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2020" sheetId="4" r:id="rId7"/>
    <sheet state="visible" name="2024" sheetId="5" r:id="rId8"/>
    <sheet state="visible" name="5 Year" sheetId="6" r:id="rId9"/>
    <sheet state="visible" name="Sheet7" sheetId="7" r:id="rId10"/>
  </sheets>
  <definedNames/>
  <calcPr/>
</workbook>
</file>

<file path=xl/sharedStrings.xml><?xml version="1.0" encoding="utf-8"?>
<sst xmlns="http://schemas.openxmlformats.org/spreadsheetml/2006/main" count="446" uniqueCount="184">
  <si>
    <t>BENCHMARK</t>
  </si>
  <si>
    <t>Stock Name</t>
  </si>
  <si>
    <t>Symbol</t>
  </si>
  <si>
    <t>Sector-Wise Weights</t>
  </si>
  <si>
    <t>Sector</t>
  </si>
  <si>
    <t>Data Available</t>
  </si>
  <si>
    <t>Price</t>
  </si>
  <si>
    <t># of Shares</t>
  </si>
  <si>
    <t>Weight</t>
  </si>
  <si>
    <t>Notes</t>
  </si>
  <si>
    <t>TELUS COMMUNICATIONS</t>
  </si>
  <si>
    <t>TU</t>
  </si>
  <si>
    <t xml:space="preserve">Communications </t>
  </si>
  <si>
    <t>Yes</t>
  </si>
  <si>
    <t>Canadian</t>
  </si>
  <si>
    <t>VERIZON COMMUNICATIONS</t>
  </si>
  <si>
    <t>VZ</t>
  </si>
  <si>
    <t>Communications</t>
  </si>
  <si>
    <t>American</t>
  </si>
  <si>
    <t>ROGERS COMMUNICATIONS</t>
  </si>
  <si>
    <t>RG</t>
  </si>
  <si>
    <t>SAUDI TELECOM</t>
  </si>
  <si>
    <t>7010.SR</t>
  </si>
  <si>
    <t xml:space="preserve">Saudi Arabia </t>
  </si>
  <si>
    <t>PEPSICO INC</t>
  </si>
  <si>
    <t>PEP</t>
  </si>
  <si>
    <t>Consumer Staples</t>
  </si>
  <si>
    <t>THE COCA-COLA COMPANY</t>
  </si>
  <si>
    <t>KO</t>
  </si>
  <si>
    <t>JOHNSON &amp; JOHNSON</t>
  </si>
  <si>
    <t>JNJ</t>
  </si>
  <si>
    <t>PROCTER &amp; GAMBLE</t>
  </si>
  <si>
    <t>PG</t>
  </si>
  <si>
    <t xml:space="preserve">Consumer Staples </t>
  </si>
  <si>
    <t>ENBRIDGE</t>
  </si>
  <si>
    <t>ENB.TO</t>
  </si>
  <si>
    <t>Energy</t>
  </si>
  <si>
    <t>FORTIS INC</t>
  </si>
  <si>
    <t>FTS.TO</t>
  </si>
  <si>
    <t xml:space="preserve">Canadian </t>
  </si>
  <si>
    <t>EMERA INC</t>
  </si>
  <si>
    <t>EMA.TO</t>
  </si>
  <si>
    <t>TMX GROUP LIMITED</t>
  </si>
  <si>
    <t>X.TO</t>
  </si>
  <si>
    <t>Finance</t>
  </si>
  <si>
    <t>TORONTO-DOMINION BANK</t>
  </si>
  <si>
    <t>TD.TO</t>
  </si>
  <si>
    <t>ROYAL BANK OF CANADA</t>
  </si>
  <si>
    <t>RY.TO</t>
  </si>
  <si>
    <t>AL RAJHI BANKING &amp; INVESTMENT CORP.</t>
  </si>
  <si>
    <t>1120.SR</t>
  </si>
  <si>
    <t>INTERMEDIATE CAPITAL GRP</t>
  </si>
  <si>
    <t>ICP.L</t>
  </si>
  <si>
    <t>GREAT-WEST LIFECO INC</t>
  </si>
  <si>
    <t>GWO.TO</t>
  </si>
  <si>
    <t>MANULIFE</t>
  </si>
  <si>
    <t>MFC.TO</t>
  </si>
  <si>
    <t>SUN LIFE FINANCIAL</t>
  </si>
  <si>
    <t>SLF.TO</t>
  </si>
  <si>
    <t>RESMED INC</t>
  </si>
  <si>
    <t>RMD</t>
  </si>
  <si>
    <t xml:space="preserve">Medical </t>
  </si>
  <si>
    <t>NEWMONT CORP</t>
  </si>
  <si>
    <t>NEM</t>
  </si>
  <si>
    <t>Basic Materials</t>
  </si>
  <si>
    <t>BARRICK GOLD CORP</t>
  </si>
  <si>
    <t>ABX.TO</t>
  </si>
  <si>
    <t>FREEPORT MCMORAN B</t>
  </si>
  <si>
    <t>FCX</t>
  </si>
  <si>
    <t>ANGLO AMERICAN PLC</t>
  </si>
  <si>
    <t>AALL</t>
  </si>
  <si>
    <t>UK - London</t>
  </si>
  <si>
    <t>WHEATON PRECIOUS METALS</t>
  </si>
  <si>
    <t>WPM</t>
  </si>
  <si>
    <t>NUCOR CORP</t>
  </si>
  <si>
    <t>NUE</t>
  </si>
  <si>
    <t>RIYADH CEMENT CO.</t>
  </si>
  <si>
    <t>303Q_SR</t>
  </si>
  <si>
    <t>Industrial</t>
  </si>
  <si>
    <t>CANADIAN PACIFIC KANSAS CITY LTD</t>
  </si>
  <si>
    <t>CP.TO</t>
  </si>
  <si>
    <t>CANADIAN NATL RAILWAY CO</t>
  </si>
  <si>
    <t>CNR.TO</t>
  </si>
  <si>
    <t>WEIR GROUP</t>
  </si>
  <si>
    <t>WEIR.L</t>
  </si>
  <si>
    <t>UK - Scotland</t>
  </si>
  <si>
    <t>WASTE CONNECTIONS INC</t>
  </si>
  <si>
    <t>WCN.TO</t>
  </si>
  <si>
    <t>U.S. TREASURY BOND</t>
  </si>
  <si>
    <t>Bonds</t>
  </si>
  <si>
    <t>CVS HEALTH CORP BOND</t>
  </si>
  <si>
    <t>CANADIAN TREASURY BONDS</t>
  </si>
  <si>
    <t>Total Weights</t>
  </si>
  <si>
    <t>Nimo Innocen Investments</t>
  </si>
  <si>
    <t>Bond Information</t>
  </si>
  <si>
    <t>CVS Health Corp. 3.75% Notes Due April 1, 2030</t>
  </si>
  <si>
    <r>
      <t>Issue Date: March 31, 2020​</t>
    </r>
    <r>
      <rPr>
        <color rgb="FF1155CC"/>
        <u/>
      </rPr>
      <t>markets.businessinsider.com</t>
    </r>
  </si>
  <si>
    <r>
      <t>Maturity Date: April 1, 2030​</t>
    </r>
    <r>
      <rPr>
        <color rgb="FF1155CC"/>
        <u/>
      </rPr>
      <t>The Wall Street Journal</t>
    </r>
    <r>
      <rPr>
        <color rgb="FF1155CC"/>
        <u/>
      </rPr>
      <t>+5</t>
    </r>
    <r>
      <rPr>
        <color rgb="FF1155CC"/>
        <u/>
      </rPr>
      <t>markets.businessinsider.com</t>
    </r>
    <r>
      <rPr>
        <color rgb="FF1155CC"/>
        <u/>
      </rPr>
      <t>+5</t>
    </r>
    <r>
      <rPr>
        <color rgb="FF1155CC"/>
        <u/>
      </rPr>
      <t>Public</t>
    </r>
    <r>
      <rPr>
        <color rgb="FF1155CC"/>
        <u/>
      </rPr>
      <t>+5</t>
    </r>
  </si>
  <si>
    <r>
      <t>Years to Maturity: Approximately 5 years​</t>
    </r>
    <r>
      <rPr>
        <color rgb="FF1155CC"/>
        <u/>
      </rPr>
      <t>TradingView</t>
    </r>
  </si>
  <si>
    <r>
      <t>Coupon Rate: 3.75%​</t>
    </r>
    <r>
      <rPr>
        <color rgb="FF1155CC"/>
        <u/>
      </rPr>
      <t>Trading Economics</t>
    </r>
    <r>
      <rPr>
        <color rgb="FF1155CC"/>
        <u/>
      </rPr>
      <t>+15</t>
    </r>
    <r>
      <rPr>
        <color rgb="FF1155CC"/>
        <u/>
      </rPr>
      <t>Morgan Stanley</t>
    </r>
    <r>
      <rPr>
        <color rgb="FF1155CC"/>
        <u/>
      </rPr>
      <t>+15</t>
    </r>
    <r>
      <rPr>
        <color rgb="FF1155CC"/>
        <u/>
      </rPr>
      <t>CBonds</t>
    </r>
    <r>
      <rPr>
        <color rgb="FF1155CC"/>
        <u/>
      </rPr>
      <t>+15</t>
    </r>
  </si>
  <si>
    <r>
      <t>Current Yield to Maturity: 5.13%​</t>
    </r>
    <r>
      <rPr>
        <color rgb="FF1155CC"/>
        <u/>
      </rPr>
      <t>markets.businessinsider.com</t>
    </r>
  </si>
  <si>
    <r>
      <t>Current Bond Price: $94.23​</t>
    </r>
    <r>
      <rPr>
        <color rgb="FF1155CC"/>
        <u/>
      </rPr>
      <t>TreasuryDirect</t>
    </r>
    <r>
      <rPr>
        <color rgb="FF1155CC"/>
        <u/>
      </rPr>
      <t>+5</t>
    </r>
    <r>
      <rPr>
        <color rgb="FF1155CC"/>
        <u/>
      </rPr>
      <t>markets.businessinsider.com</t>
    </r>
    <r>
      <rPr>
        <color rgb="FF1155CC"/>
        <u/>
      </rPr>
      <t>+5</t>
    </r>
    <r>
      <rPr>
        <color rgb="FF1155CC"/>
        <u/>
      </rPr>
      <t>Trading Economics</t>
    </r>
    <r>
      <rPr>
        <color rgb="FF1155CC"/>
        <u/>
      </rPr>
      <t>+5</t>
    </r>
  </si>
  <si>
    <r>
      <t>CUSIP: 126650DJ6​</t>
    </r>
    <r>
      <rPr>
        <color rgb="FF1155CC"/>
        <u/>
      </rPr>
      <t>Morgan Stanley</t>
    </r>
    <r>
      <rPr>
        <color rgb="FF1155CC"/>
        <u/>
      </rPr>
      <t>+7</t>
    </r>
    <r>
      <rPr>
        <color rgb="FF1155CC"/>
        <u/>
      </rPr>
      <t>markets.businessinsider.com</t>
    </r>
    <r>
      <rPr>
        <color rgb="FF1155CC"/>
        <u/>
      </rPr>
      <t>+7</t>
    </r>
    <r>
      <rPr>
        <color rgb="FF1155CC"/>
        <u/>
      </rPr>
      <t>Bondsupermart</t>
    </r>
    <r>
      <rPr>
        <color rgb="FF1155CC"/>
        <u/>
      </rPr>
      <t>+7</t>
    </r>
  </si>
  <si>
    <t>CVS Health Corp. 5.125% Notes Due February 21, 2030</t>
  </si>
  <si>
    <r>
      <t>Issue Date: February 21, 2020​</t>
    </r>
    <r>
      <rPr>
        <color rgb="FF1155CC"/>
        <u/>
      </rPr>
      <t>Public</t>
    </r>
  </si>
  <si>
    <r>
      <t>Maturity Date: February 21, 2030​</t>
    </r>
    <r>
      <rPr>
        <color rgb="FF1155CC"/>
        <u/>
      </rPr>
      <t>Public</t>
    </r>
  </si>
  <si>
    <r>
      <t>Years to Maturity: Approximately 5 years​</t>
    </r>
    <r>
      <rPr>
        <color rgb="FF1155CC"/>
        <u/>
      </rPr>
      <t>TradingView</t>
    </r>
  </si>
  <si>
    <r>
      <t>Coupon Rate: 5.125%​</t>
    </r>
    <r>
      <rPr>
        <color rgb="FF1155CC"/>
        <u/>
      </rPr>
      <t>Public</t>
    </r>
    <r>
      <rPr>
        <color rgb="FF1155CC"/>
        <u/>
      </rPr>
      <t>+1</t>
    </r>
    <r>
      <rPr>
        <color rgb="FF1155CC"/>
        <u/>
      </rPr>
      <t>TradingView</t>
    </r>
    <r>
      <rPr>
        <color rgb="FF1155CC"/>
        <u/>
      </rPr>
      <t>+1</t>
    </r>
  </si>
  <si>
    <r>
      <t>Current Yield: 5.06%​</t>
    </r>
    <r>
      <rPr>
        <color rgb="FF1155CC"/>
        <u/>
      </rPr>
      <t>Public</t>
    </r>
  </si>
  <si>
    <t>Current Bond Price: Not specified in the available data​</t>
  </si>
  <si>
    <r>
      <t>CUSIP: 126650DT4​</t>
    </r>
    <r>
      <rPr>
        <color rgb="FF1155CC"/>
        <u/>
      </rPr>
      <t>The Wall Street Journal</t>
    </r>
    <r>
      <rPr>
        <color rgb="FF1155CC"/>
        <u/>
      </rPr>
      <t>+7</t>
    </r>
    <r>
      <rPr>
        <color rgb="FF1155CC"/>
        <u/>
      </rPr>
      <t>Public</t>
    </r>
    <r>
      <rPr>
        <color rgb="FF1155CC"/>
        <u/>
      </rPr>
      <t>+7</t>
    </r>
    <r>
      <rPr>
        <color rgb="FF1155CC"/>
        <u/>
      </rPr>
      <t>Bondsupermart</t>
    </r>
    <r>
      <rPr>
        <color rgb="FF1155CC"/>
        <u/>
      </rPr>
      <t>+7</t>
    </r>
  </si>
  <si>
    <t>U.S. 10-Year Treasury Note</t>
  </si>
  <si>
    <r>
      <t>Issue Date: Treasury notes are issued periodically; specific issue dates vary.​</t>
    </r>
    <r>
      <rPr>
        <color rgb="FF1155CC"/>
        <u/>
      </rPr>
      <t>Investopedia</t>
    </r>
    <r>
      <rPr>
        <color rgb="FF1155CC"/>
        <u/>
      </rPr>
      <t>+1</t>
    </r>
    <r>
      <rPr>
        <color rgb="FF1155CC"/>
        <u/>
      </rPr>
      <t>Wikipedia</t>
    </r>
    <r>
      <rPr>
        <color rgb="FF1155CC"/>
        <u/>
      </rPr>
      <t>+1</t>
    </r>
  </si>
  <si>
    <r>
      <t>Maturity Date: 10 years from the issue date​</t>
    </r>
    <r>
      <rPr>
        <color rgb="FF1155CC"/>
        <u/>
      </rPr>
      <t>Investopedia</t>
    </r>
  </si>
  <si>
    <t>Years to Maturity: Varies depending on the issue date​</t>
  </si>
  <si>
    <r>
      <t>Coupon Rate: Varies by issue; for example, a recent 10-year Treasury note has a coupon rate of 4.625%​</t>
    </r>
    <r>
      <rPr>
        <color rgb="FF1155CC"/>
        <u/>
      </rPr>
      <t>MarketWatch</t>
    </r>
  </si>
  <si>
    <r>
      <t>Current Yield: As of March 26, 2025, the yield was 4.35%​</t>
    </r>
    <r>
      <rPr>
        <color rgb="FF1155CC"/>
        <u/>
      </rPr>
      <t>FRED</t>
    </r>
    <r>
      <rPr>
        <color rgb="FF1155CC"/>
        <u/>
      </rPr>
      <t>+1</t>
    </r>
    <r>
      <rPr>
        <color rgb="FF1155CC"/>
        <u/>
      </rPr>
      <t>YCharts</t>
    </r>
    <r>
      <rPr>
        <color rgb="FF1155CC"/>
        <u/>
      </rPr>
      <t>+1</t>
    </r>
  </si>
  <si>
    <t>Current Bond Price: Prices fluctuate based on market conditions; specific prices can be found on financial news platforms.</t>
  </si>
  <si>
    <t>Fund Holdings December 2024</t>
  </si>
  <si>
    <t>TELUS 1.75%</t>
  </si>
  <si>
    <t>TMX GROUP LIMITED 3.75%</t>
  </si>
  <si>
    <t>BARRICK GOLD CORP 2.16%</t>
  </si>
  <si>
    <t>VERIZON COMMUNICATIONS 1.75%</t>
  </si>
  <si>
    <t>TORONTO-DOMINION BANK 3.75%</t>
  </si>
  <si>
    <t>FREEPORT MCMORAN B 2.16%</t>
  </si>
  <si>
    <t>ROGERS 1.75%</t>
  </si>
  <si>
    <t>ROYAL BANK OF CANADA 3.75%</t>
  </si>
  <si>
    <t>ANGLO AMERICAN PLC 2.16%</t>
  </si>
  <si>
    <t>SAUDI TELECOM 2%</t>
  </si>
  <si>
    <t>AL RAJHI BANKING &amp; INVESTMENT CORP. 3.75%</t>
  </si>
  <si>
    <t>WHEATON PRECIOUS METALS 2.16%</t>
  </si>
  <si>
    <t>PEPSICO INC 2%</t>
  </si>
  <si>
    <t>INTERMEDIATE CAPITAL GRP 3.75%</t>
  </si>
  <si>
    <t>NUCOR CORP 2.16%</t>
  </si>
  <si>
    <t>THE COCA-COLA COMPANY 2%</t>
  </si>
  <si>
    <t>GREAT-WEST LIFECO INC 3.75%</t>
  </si>
  <si>
    <t>RIYADH CEMENT CO. 2.6%</t>
  </si>
  <si>
    <t>JOHNSON &amp; JOHNSON 2%</t>
  </si>
  <si>
    <t>MANULIFE 3.75%</t>
  </si>
  <si>
    <t>CANADIAN PACIFIC KANSAS CITY LTD 2.6%</t>
  </si>
  <si>
    <t>PROCTER &amp; GAMBLE 2%</t>
  </si>
  <si>
    <t>SUN LIFE FINANCIAL 3.75%</t>
  </si>
  <si>
    <t>CANADIAN NATL RAILWAY CO 2.6%</t>
  </si>
  <si>
    <t>ENBRIDGE 4.33%</t>
  </si>
  <si>
    <t>RESMED INC 1%</t>
  </si>
  <si>
    <t>WEIR GROUP 2.6%</t>
  </si>
  <si>
    <t>FORTIS INC 4.34%</t>
  </si>
  <si>
    <t>NEWMONT CORP 2.2%</t>
  </si>
  <si>
    <t>WASTE CONNECTIONS INC 2.6%</t>
  </si>
  <si>
    <t>EMERA INC 4.33%</t>
  </si>
  <si>
    <t>CVS HEALTH CORP BOND 5%</t>
  </si>
  <si>
    <t>CANADIAN TREASURY BONDS 5%</t>
  </si>
  <si>
    <t>U.S. TREASURY BOND 5%</t>
  </si>
  <si>
    <t>5-Year Beta</t>
  </si>
  <si>
    <t>U.S. Treasury Bond</t>
  </si>
  <si>
    <t>Canadian Treasury Bonds</t>
  </si>
  <si>
    <t>Saudi Telecom</t>
  </si>
  <si>
    <t>Riyadh Cement Co.</t>
  </si>
  <si>
    <t>Verizon Communications (VZ)</t>
  </si>
  <si>
    <t xml:space="preserve">PROCTER &amp; GAMBLE </t>
  </si>
  <si>
    <t>Johnson &amp; Johnson (JNJ)</t>
  </si>
  <si>
    <t xml:space="preserve">BARRICK GOLD CORP </t>
  </si>
  <si>
    <t>The Coca-Cola Company</t>
  </si>
  <si>
    <t>Al Rajhi Banking &amp; Investment Corp.</t>
  </si>
  <si>
    <t xml:space="preserve">Rogers Communications </t>
  </si>
  <si>
    <t>Enbridge</t>
  </si>
  <si>
    <t>Royal Bank of Canada</t>
  </si>
  <si>
    <t>Telus</t>
  </si>
  <si>
    <t xml:space="preserve">WHEATON PRECIOUS METALS </t>
  </si>
  <si>
    <t>Great-West Lifeco Inc</t>
  </si>
  <si>
    <t>ResMed INC</t>
  </si>
  <si>
    <t>Sun life financial</t>
  </si>
  <si>
    <t>Manulife</t>
  </si>
  <si>
    <t>ANGLO AMERICAN  PLC</t>
  </si>
  <si>
    <t xml:space="preserve">FREEPORT MCMORAN B </t>
  </si>
  <si>
    <t>tmx group limited</t>
  </si>
  <si>
    <t>5 - Year Beta</t>
  </si>
  <si>
    <t>STOCK</t>
  </si>
  <si>
    <t>5 - YEAR BETA</t>
  </si>
  <si>
    <t>WEIGHT</t>
  </si>
  <si>
    <t>2024 BETA</t>
  </si>
  <si>
    <t>2020 BETA</t>
  </si>
  <si>
    <t>Total</t>
  </si>
  <si>
    <t>Over 1/4 of our portfolio has a 5-Year beta ~ 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</si>
</sst>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000000"/>
      <name val="Arial"/>
    </font>
    <font>
      <u/>
      <color rgb="FF0000FF"/>
      <name val="Arial"/>
    </font>
    <font>
      <b/>
      <sz val="12.0"/>
      <color theme="1"/>
      <name val="Arial"/>
    </font>
    <font>
      <u/>
      <color rgb="FF0000FF"/>
    </font>
    <font>
      <b/>
      <color theme="1"/>
      <name val="Arial"/>
      <scheme val="minor"/>
    </font>
    <font>
      <sz val="10.0"/>
      <color rgb="FF000000"/>
      <name val="Arial"/>
    </font>
    <font>
      <b/>
      <i/>
      <sz val="13.0"/>
      <color theme="1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9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1" numFmtId="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8" numFmtId="9" xfId="0" applyAlignment="1" applyFont="1" applyNumberFormat="1">
      <alignment horizontal="right" vertical="bottom"/>
    </xf>
    <xf borderId="0" fillId="0" fontId="6" numFmtId="0" xfId="0" applyFont="1"/>
    <xf borderId="0" fillId="0" fontId="2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1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2" fontId="4" numFmtId="0" xfId="0" applyAlignment="1" applyFill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1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5" numFmtId="0" xfId="0" applyBorder="1" applyFont="1"/>
    <xf borderId="0" fillId="0" fontId="12" numFmtId="0" xfId="0" applyAlignment="1" applyFont="1">
      <alignment readingOrder="0"/>
    </xf>
    <xf borderId="1" fillId="0" fontId="12" numFmtId="0" xfId="0" applyAlignment="1" applyBorder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radingview.com/symbols/FINRA-CVS.HA/?utm_source=chatgpt.com" TargetMode="External"/><Relationship Id="rId10" Type="http://schemas.openxmlformats.org/officeDocument/2006/relationships/hyperlink" Target="https://public.com/bonds/corporate/cvs-health-corp/cvs-5.125-02-21-2030-126650dt4?utm_source=chatgpt.com" TargetMode="External"/><Relationship Id="rId13" Type="http://schemas.openxmlformats.org/officeDocument/2006/relationships/hyperlink" Target="https://public.com/bonds/corporate/cvs-health-corp/cvs-5.125-02-21-2030-126650dt4?utm_source=chatgpt.com" TargetMode="External"/><Relationship Id="rId12" Type="http://schemas.openxmlformats.org/officeDocument/2006/relationships/hyperlink" Target="https://public.com/bonds/corporate/cvs-health-corp/cvs-5.125-02-21-2030-126650dt4?utm_source=chatgpt.com" TargetMode="External"/><Relationship Id="rId1" Type="http://schemas.openxmlformats.org/officeDocument/2006/relationships/hyperlink" Target="http://ry.to/" TargetMode="External"/><Relationship Id="rId2" Type="http://schemas.openxmlformats.org/officeDocument/2006/relationships/hyperlink" Target="https://markets.businessinsider.com/bonds/cvs_health_corpdl-notes_202020-30-bond-2030-us126650dj69?utm_source=chatgpt.com" TargetMode="External"/><Relationship Id="rId3" Type="http://schemas.openxmlformats.org/officeDocument/2006/relationships/hyperlink" Target="https://markets.businessinsider.com/bonds/cvs_health_corpdl-notes_202020-30-bond-2030-us126650dj69?utm_source=chatgpt.com" TargetMode="External"/><Relationship Id="rId4" Type="http://schemas.openxmlformats.org/officeDocument/2006/relationships/hyperlink" Target="https://www.tradingview.com/symbols/FINRA-CVS.HA/?utm_source=chatgpt.com" TargetMode="External"/><Relationship Id="rId9" Type="http://schemas.openxmlformats.org/officeDocument/2006/relationships/hyperlink" Target="https://public.com/bonds/corporate/cvs-health-corp/cvs-5.125-02-21-2030-126650dt4?utm_source=chatgpt.com" TargetMode="External"/><Relationship Id="rId15" Type="http://schemas.openxmlformats.org/officeDocument/2006/relationships/hyperlink" Target="https://www.investopedia.com/terms/1/10-yeartreasury.asp?utm_source=chatgpt.com" TargetMode="External"/><Relationship Id="rId14" Type="http://schemas.openxmlformats.org/officeDocument/2006/relationships/hyperlink" Target="https://public.com/bonds/corporate/cvs-health-corp/cvs-5.125-02-21-2030-126650dt4?utm_source=chatgpt.com" TargetMode="External"/><Relationship Id="rId17" Type="http://schemas.openxmlformats.org/officeDocument/2006/relationships/hyperlink" Target="https://www.marketwatch.com/investing/bond/tmubmusd10y?countrycode=bx&amp;utm_source=chatgpt.com" TargetMode="External"/><Relationship Id="rId16" Type="http://schemas.openxmlformats.org/officeDocument/2006/relationships/hyperlink" Target="https://www.investopedia.com/terms/1/10-yeartreasury.asp?utm_source=chatgpt.com" TargetMode="External"/><Relationship Id="rId5" Type="http://schemas.openxmlformats.org/officeDocument/2006/relationships/hyperlink" Target="https://www.morganstanley.com/im/en-us/registered-investment-advisor/product-and-performance/etfs/fixed-income/eaton-vance-ultra-short-income-etf.xlsDownload.fullHoldings.html?acId=MS&amp;brand=msim&amp;fundId=100640&amp;teamId=2038&amp;ticker=EVSB&amp;timeFrame=current&amp;utm_source=chatgpt.com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markets.businessinsider.com/bonds/cvs_health_corpdl-notes_202020-30-bond-2030-us126650dj69?utm_source=chatgpt.com" TargetMode="External"/><Relationship Id="rId18" Type="http://schemas.openxmlformats.org/officeDocument/2006/relationships/hyperlink" Target="https://fred.stlouisfed.org/series/DGS10?utm_source=chatgpt.com" TargetMode="External"/><Relationship Id="rId7" Type="http://schemas.openxmlformats.org/officeDocument/2006/relationships/hyperlink" Target="https://markets.businessinsider.com/bonds/cvs_health_corpdl-notes_202020-30-bond-2030-us126650dj69?utm_source=chatgpt.com" TargetMode="External"/><Relationship Id="rId8" Type="http://schemas.openxmlformats.org/officeDocument/2006/relationships/hyperlink" Target="https://markets.businessinsider.com/bonds/cvs_health_corpdl-notes_202020-30-bond-2030-us126650dj69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3" max="5" width="17.0"/>
    <col customWidth="1" min="12" max="12" width="15.25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3" t="s">
        <v>0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3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>
        <v>2020.0</v>
      </c>
      <c r="G5" s="3">
        <v>2021.0</v>
      </c>
      <c r="H5" s="3">
        <v>2022.0</v>
      </c>
      <c r="I5" s="3">
        <v>2023.0</v>
      </c>
      <c r="J5" s="3">
        <v>2024.0</v>
      </c>
      <c r="K5" s="3" t="s">
        <v>6</v>
      </c>
      <c r="L5" s="3" t="s">
        <v>7</v>
      </c>
      <c r="M5" s="3" t="s">
        <v>8</v>
      </c>
      <c r="N5" s="3" t="s">
        <v>9</v>
      </c>
      <c r="O5" s="5"/>
      <c r="P5" s="3">
        <v>2024.0</v>
      </c>
      <c r="Q5" s="3">
        <v>2023.0</v>
      </c>
      <c r="R5" s="3">
        <v>2022.0</v>
      </c>
      <c r="S5" s="3">
        <v>2021.0</v>
      </c>
      <c r="T5" s="3">
        <v>2020.0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6" t="s">
        <v>10</v>
      </c>
      <c r="B6" s="7" t="s">
        <v>11</v>
      </c>
      <c r="C6" s="8">
        <v>0.07</v>
      </c>
      <c r="D6" s="1" t="s">
        <v>12</v>
      </c>
      <c r="E6" s="9" t="s">
        <v>13</v>
      </c>
      <c r="F6" s="10">
        <v>0.95</v>
      </c>
      <c r="G6" s="10">
        <v>0.95</v>
      </c>
      <c r="H6" s="10">
        <v>0.95</v>
      </c>
      <c r="I6" s="10">
        <v>0.95</v>
      </c>
      <c r="J6" s="10">
        <v>0.95</v>
      </c>
      <c r="K6" s="10"/>
      <c r="L6" s="2"/>
      <c r="M6" s="1">
        <v>1.75</v>
      </c>
      <c r="N6" s="1" t="s">
        <v>14</v>
      </c>
      <c r="O6" s="11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6" t="s">
        <v>15</v>
      </c>
      <c r="B7" s="1" t="s">
        <v>16</v>
      </c>
      <c r="D7" s="1" t="s">
        <v>17</v>
      </c>
      <c r="E7" s="9" t="s">
        <v>13</v>
      </c>
      <c r="F7" s="1">
        <v>0.43</v>
      </c>
      <c r="G7" s="1">
        <v>0.43</v>
      </c>
      <c r="H7" s="1">
        <v>0.4</v>
      </c>
      <c r="I7" s="1">
        <v>0.34</v>
      </c>
      <c r="J7" s="1">
        <v>0.34</v>
      </c>
      <c r="K7" s="2"/>
      <c r="L7" s="2"/>
      <c r="M7" s="1">
        <v>1.75</v>
      </c>
      <c r="N7" s="1" t="s">
        <v>18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>
      <c r="A8" s="6" t="s">
        <v>19</v>
      </c>
      <c r="B8" s="1" t="s">
        <v>20</v>
      </c>
      <c r="D8" s="1" t="s">
        <v>17</v>
      </c>
      <c r="E8" s="9" t="s">
        <v>13</v>
      </c>
      <c r="F8" s="1">
        <v>0.46</v>
      </c>
      <c r="G8" s="1">
        <v>0.6</v>
      </c>
      <c r="H8" s="1">
        <v>0.6</v>
      </c>
      <c r="I8" s="1">
        <v>0.74</v>
      </c>
      <c r="J8" s="1">
        <v>0.69</v>
      </c>
      <c r="K8" s="2"/>
      <c r="L8" s="2"/>
      <c r="M8" s="1">
        <v>1.75</v>
      </c>
      <c r="N8" s="1" t="s">
        <v>14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6" t="s">
        <v>21</v>
      </c>
      <c r="B9" s="7" t="s">
        <v>22</v>
      </c>
      <c r="D9" s="1" t="s">
        <v>12</v>
      </c>
      <c r="E9" s="9" t="s">
        <v>13</v>
      </c>
      <c r="F9" s="1">
        <v>0.13</v>
      </c>
      <c r="G9" s="1">
        <v>0.13</v>
      </c>
      <c r="H9" s="1">
        <v>0.13</v>
      </c>
      <c r="I9" s="1">
        <v>0.13</v>
      </c>
      <c r="J9" s="1">
        <v>0.13</v>
      </c>
      <c r="K9" s="2"/>
      <c r="L9" s="2"/>
      <c r="M9" s="1">
        <v>1.75</v>
      </c>
      <c r="N9" s="1" t="s">
        <v>23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A10" s="6" t="s">
        <v>24</v>
      </c>
      <c r="B10" s="1" t="s">
        <v>25</v>
      </c>
      <c r="C10" s="8">
        <v>0.08</v>
      </c>
      <c r="D10" s="1" t="s">
        <v>26</v>
      </c>
      <c r="E10" s="9" t="s">
        <v>13</v>
      </c>
      <c r="F10" s="1">
        <v>-0.09</v>
      </c>
      <c r="G10" s="1">
        <v>0.01</v>
      </c>
      <c r="H10" s="1">
        <v>0.2</v>
      </c>
      <c r="I10" s="1">
        <v>0.53</v>
      </c>
      <c r="J10" s="1">
        <v>0.53</v>
      </c>
      <c r="K10" s="1"/>
      <c r="L10" s="2"/>
      <c r="M10" s="1">
        <v>2.0</v>
      </c>
      <c r="N10" s="1" t="s">
        <v>18</v>
      </c>
      <c r="O10" s="1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6" t="s">
        <v>27</v>
      </c>
      <c r="B11" s="1" t="s">
        <v>28</v>
      </c>
      <c r="D11" s="1" t="s">
        <v>26</v>
      </c>
      <c r="E11" s="9" t="s">
        <v>13</v>
      </c>
      <c r="F11" s="1">
        <v>0.44</v>
      </c>
      <c r="G11" s="1">
        <v>0.41</v>
      </c>
      <c r="H11" s="1">
        <v>0.63</v>
      </c>
      <c r="I11" s="1">
        <v>0.57</v>
      </c>
      <c r="J11" s="1">
        <v>0.57</v>
      </c>
      <c r="K11" s="1"/>
      <c r="L11" s="2"/>
      <c r="M11" s="1">
        <v>2.0</v>
      </c>
      <c r="N11" s="1" t="s">
        <v>18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A12" s="6" t="s">
        <v>29</v>
      </c>
      <c r="B12" s="1" t="s">
        <v>30</v>
      </c>
      <c r="D12" s="1" t="s">
        <v>26</v>
      </c>
      <c r="E12" s="9" t="s">
        <v>13</v>
      </c>
      <c r="F12" s="1">
        <v>0.5</v>
      </c>
      <c r="G12" s="1">
        <v>0.5</v>
      </c>
      <c r="H12" s="1">
        <v>0.5</v>
      </c>
      <c r="I12" s="1">
        <v>0.5</v>
      </c>
      <c r="J12" s="1">
        <v>0.34</v>
      </c>
      <c r="K12" s="1"/>
      <c r="L12" s="2"/>
      <c r="M12" s="1">
        <v>2.0</v>
      </c>
      <c r="N12" s="1" t="s">
        <v>18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>
      <c r="A13" s="6" t="s">
        <v>31</v>
      </c>
      <c r="B13" s="1" t="s">
        <v>32</v>
      </c>
      <c r="D13" s="1" t="s">
        <v>33</v>
      </c>
      <c r="E13" s="9" t="s">
        <v>13</v>
      </c>
      <c r="F13" s="1">
        <v>0.23</v>
      </c>
      <c r="G13" s="1">
        <v>0.42</v>
      </c>
      <c r="H13" s="1">
        <v>0.64</v>
      </c>
      <c r="I13" s="1">
        <v>0.4</v>
      </c>
      <c r="J13" s="1">
        <v>0.4</v>
      </c>
      <c r="K13" s="1"/>
      <c r="L13" s="2"/>
      <c r="M13" s="1">
        <v>2.0</v>
      </c>
      <c r="N13" s="1" t="s">
        <v>18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6" t="s">
        <v>34</v>
      </c>
      <c r="B14" s="7" t="s">
        <v>35</v>
      </c>
      <c r="C14" s="8">
        <v>0.13</v>
      </c>
      <c r="D14" s="1" t="s">
        <v>36</v>
      </c>
      <c r="E14" s="9" t="s">
        <v>13</v>
      </c>
      <c r="F14" s="1">
        <v>0.64</v>
      </c>
      <c r="G14" s="1">
        <v>0.64</v>
      </c>
      <c r="H14" s="1">
        <v>0.64</v>
      </c>
      <c r="I14" s="1">
        <v>0.64</v>
      </c>
      <c r="J14" s="1">
        <v>0.64</v>
      </c>
      <c r="K14" s="2"/>
      <c r="L14" s="2"/>
      <c r="M14" s="1">
        <v>4.33</v>
      </c>
      <c r="N14" s="1" t="s">
        <v>14</v>
      </c>
      <c r="O14" s="1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6" t="s">
        <v>37</v>
      </c>
      <c r="B15" s="7" t="s">
        <v>38</v>
      </c>
      <c r="D15" s="1" t="s">
        <v>36</v>
      </c>
      <c r="E15" s="9" t="s">
        <v>13</v>
      </c>
      <c r="F15" s="1">
        <v>0.46</v>
      </c>
      <c r="G15" s="1">
        <v>0.46</v>
      </c>
      <c r="H15" s="1">
        <v>0.46</v>
      </c>
      <c r="I15" s="1">
        <v>0.46</v>
      </c>
      <c r="J15" s="1">
        <v>0.46</v>
      </c>
      <c r="K15" s="2"/>
      <c r="L15" s="2"/>
      <c r="M15" s="1">
        <v>4.34</v>
      </c>
      <c r="N15" s="1" t="s">
        <v>39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6" t="s">
        <v>40</v>
      </c>
      <c r="B16" s="7" t="s">
        <v>41</v>
      </c>
      <c r="D16" s="1" t="s">
        <v>36</v>
      </c>
      <c r="E16" s="9" t="s">
        <v>13</v>
      </c>
      <c r="F16" s="1">
        <v>0.26</v>
      </c>
      <c r="G16" s="1">
        <v>0.26</v>
      </c>
      <c r="H16" s="1">
        <v>0.26</v>
      </c>
      <c r="I16" s="1">
        <v>0.26</v>
      </c>
      <c r="J16" s="1">
        <v>0.26</v>
      </c>
      <c r="K16" s="1"/>
      <c r="L16" s="2"/>
      <c r="M16" s="1">
        <v>4.33</v>
      </c>
      <c r="N16" s="1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6" t="s">
        <v>42</v>
      </c>
      <c r="B17" s="7" t="s">
        <v>43</v>
      </c>
      <c r="C17" s="8">
        <v>0.3</v>
      </c>
      <c r="D17" s="1" t="s">
        <v>44</v>
      </c>
      <c r="E17" s="9" t="s">
        <v>13</v>
      </c>
      <c r="F17" s="1">
        <v>0.38</v>
      </c>
      <c r="G17" s="1">
        <v>0.38</v>
      </c>
      <c r="H17" s="1">
        <v>0.38</v>
      </c>
      <c r="I17" s="1">
        <v>0.38</v>
      </c>
      <c r="J17" s="1">
        <v>0.38</v>
      </c>
      <c r="K17" s="2"/>
      <c r="L17" s="2"/>
      <c r="M17" s="1">
        <v>3.75</v>
      </c>
      <c r="N17" s="1" t="s">
        <v>14</v>
      </c>
      <c r="O17" s="1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6" t="s">
        <v>45</v>
      </c>
      <c r="B18" s="7" t="s">
        <v>46</v>
      </c>
      <c r="D18" s="1" t="s">
        <v>44</v>
      </c>
      <c r="E18" s="9" t="s">
        <v>13</v>
      </c>
      <c r="F18" s="1">
        <v>0.82</v>
      </c>
      <c r="G18" s="1">
        <v>0.82</v>
      </c>
      <c r="H18" s="1">
        <v>0.82</v>
      </c>
      <c r="I18" s="1">
        <v>0.82</v>
      </c>
      <c r="J18" s="1">
        <v>0.82</v>
      </c>
      <c r="K18" s="2"/>
      <c r="L18" s="2"/>
      <c r="M18" s="1">
        <v>3.75</v>
      </c>
      <c r="N18" s="1" t="s">
        <v>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6" t="s">
        <v>47</v>
      </c>
      <c r="B19" s="12" t="s">
        <v>48</v>
      </c>
      <c r="D19" s="1" t="s">
        <v>44</v>
      </c>
      <c r="E19" s="9" t="s">
        <v>13</v>
      </c>
      <c r="F19" s="1">
        <v>0.73</v>
      </c>
      <c r="G19" s="1">
        <v>0.73</v>
      </c>
      <c r="H19" s="1">
        <v>0.73</v>
      </c>
      <c r="I19" s="1">
        <v>0.73</v>
      </c>
      <c r="J19" s="1">
        <v>0.73</v>
      </c>
      <c r="K19" s="2"/>
      <c r="L19" s="2"/>
      <c r="M19" s="1">
        <v>3.75</v>
      </c>
      <c r="N19" s="1" t="s">
        <v>39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6" t="s">
        <v>49</v>
      </c>
      <c r="B20" s="7" t="s">
        <v>50</v>
      </c>
      <c r="D20" s="1" t="s">
        <v>44</v>
      </c>
      <c r="E20" s="9" t="s">
        <v>13</v>
      </c>
      <c r="F20" s="1">
        <v>0.6</v>
      </c>
      <c r="G20" s="1">
        <v>0.6</v>
      </c>
      <c r="H20" s="1">
        <v>0.6</v>
      </c>
      <c r="I20" s="1">
        <v>0.48</v>
      </c>
      <c r="J20" s="1">
        <v>0.48</v>
      </c>
      <c r="K20" s="2"/>
      <c r="L20" s="2"/>
      <c r="M20" s="1">
        <v>3.75</v>
      </c>
      <c r="N20" s="1" t="s">
        <v>23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>
      <c r="A21" s="6" t="s">
        <v>51</v>
      </c>
      <c r="B21" s="1" t="s">
        <v>52</v>
      </c>
      <c r="D21" s="1" t="s">
        <v>44</v>
      </c>
      <c r="E21" s="9" t="s">
        <v>13</v>
      </c>
      <c r="F21" s="6">
        <v>2.06</v>
      </c>
      <c r="G21" s="6">
        <v>2.06</v>
      </c>
      <c r="H21" s="6">
        <v>2.06</v>
      </c>
      <c r="I21" s="6">
        <v>2.06</v>
      </c>
      <c r="J21" s="6">
        <v>2.06</v>
      </c>
      <c r="K21" s="2"/>
      <c r="L21" s="2"/>
      <c r="M21" s="1">
        <v>3.75</v>
      </c>
      <c r="N21" s="1" t="s">
        <v>23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>
      <c r="A22" s="6" t="s">
        <v>53</v>
      </c>
      <c r="B22" s="7" t="s">
        <v>54</v>
      </c>
      <c r="D22" s="1" t="s">
        <v>44</v>
      </c>
      <c r="E22" s="9" t="s">
        <v>13</v>
      </c>
      <c r="F22" s="6">
        <v>0.81</v>
      </c>
      <c r="G22" s="6">
        <v>0.81</v>
      </c>
      <c r="H22" s="6">
        <v>0.81</v>
      </c>
      <c r="I22" s="6">
        <v>0.81</v>
      </c>
      <c r="J22" s="6">
        <v>0.81</v>
      </c>
      <c r="K22" s="2"/>
      <c r="L22" s="2"/>
      <c r="M22" s="1">
        <v>3.75</v>
      </c>
      <c r="N22" s="1" t="s">
        <v>14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>
      <c r="A23" s="6" t="s">
        <v>55</v>
      </c>
      <c r="B23" s="7" t="s">
        <v>56</v>
      </c>
      <c r="D23" s="1" t="s">
        <v>44</v>
      </c>
      <c r="E23" s="9" t="s">
        <v>13</v>
      </c>
      <c r="F23" s="6">
        <v>1.03</v>
      </c>
      <c r="G23" s="6">
        <v>1.03</v>
      </c>
      <c r="H23" s="6">
        <v>1.03</v>
      </c>
      <c r="I23" s="6">
        <v>1.03</v>
      </c>
      <c r="J23" s="6">
        <v>1.03</v>
      </c>
      <c r="K23" s="2"/>
      <c r="L23" s="2"/>
      <c r="M23" s="1">
        <v>3.75</v>
      </c>
      <c r="N23" s="1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>
      <c r="A24" s="6" t="s">
        <v>57</v>
      </c>
      <c r="B24" s="7" t="s">
        <v>58</v>
      </c>
      <c r="D24" s="1" t="s">
        <v>44</v>
      </c>
      <c r="E24" s="9" t="s">
        <v>13</v>
      </c>
      <c r="F24" s="6">
        <v>0.94</v>
      </c>
      <c r="G24" s="6">
        <v>0.94</v>
      </c>
      <c r="H24" s="6">
        <v>0.94</v>
      </c>
      <c r="I24" s="6">
        <v>0.94</v>
      </c>
      <c r="J24" s="6">
        <v>0.94</v>
      </c>
      <c r="L24" s="2"/>
      <c r="M24" s="1">
        <v>3.75</v>
      </c>
      <c r="N24" s="1" t="s">
        <v>39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>
      <c r="A25" s="6" t="s">
        <v>59</v>
      </c>
      <c r="B25" s="1" t="s">
        <v>60</v>
      </c>
      <c r="C25" s="8">
        <v>0.01</v>
      </c>
      <c r="D25" s="1" t="s">
        <v>61</v>
      </c>
      <c r="E25" s="9" t="s">
        <v>13</v>
      </c>
      <c r="F25" s="1">
        <v>0.54</v>
      </c>
      <c r="G25" s="1">
        <v>1.06</v>
      </c>
      <c r="H25" s="1">
        <v>1.01</v>
      </c>
      <c r="I25" s="1">
        <v>0.82</v>
      </c>
      <c r="J25" s="1">
        <v>0.82</v>
      </c>
      <c r="K25" s="2"/>
      <c r="L25" s="2"/>
      <c r="M25" s="1">
        <v>1.0</v>
      </c>
      <c r="N25" s="1" t="s">
        <v>18</v>
      </c>
      <c r="O25" s="1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>
      <c r="A26" s="6" t="s">
        <v>62</v>
      </c>
      <c r="B26" s="1" t="s">
        <v>63</v>
      </c>
      <c r="C26" s="8">
        <v>0.13</v>
      </c>
      <c r="D26" s="1" t="s">
        <v>64</v>
      </c>
      <c r="E26" s="9" t="s">
        <v>13</v>
      </c>
      <c r="F26" s="1">
        <v>1.34</v>
      </c>
      <c r="G26" s="1">
        <v>1.2</v>
      </c>
      <c r="H26" s="1">
        <v>0.66</v>
      </c>
      <c r="I26" s="1">
        <v>0.66</v>
      </c>
      <c r="J26" s="1">
        <v>0.66</v>
      </c>
      <c r="K26" s="2"/>
      <c r="L26" s="2"/>
      <c r="M26" s="1">
        <v>2.2</v>
      </c>
      <c r="N26" s="1" t="s">
        <v>18</v>
      </c>
      <c r="O26" s="1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>
      <c r="A27" s="6" t="s">
        <v>65</v>
      </c>
      <c r="B27" s="7" t="s">
        <v>66</v>
      </c>
      <c r="D27" s="1" t="s">
        <v>64</v>
      </c>
      <c r="E27" s="9" t="s">
        <v>13</v>
      </c>
      <c r="F27" s="1">
        <v>0.51</v>
      </c>
      <c r="G27" s="1">
        <v>0.51</v>
      </c>
      <c r="H27" s="1">
        <v>0.51</v>
      </c>
      <c r="I27" s="1">
        <v>0.51</v>
      </c>
      <c r="J27" s="1">
        <v>0.51</v>
      </c>
      <c r="K27" s="2"/>
      <c r="L27" s="2"/>
      <c r="M27" s="1">
        <v>2.16</v>
      </c>
      <c r="N27" s="1" t="s">
        <v>14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>
      <c r="A28" s="6" t="s">
        <v>67</v>
      </c>
      <c r="B28" s="1" t="s">
        <v>68</v>
      </c>
      <c r="D28" s="1" t="s">
        <v>64</v>
      </c>
      <c r="E28" s="9" t="s">
        <v>13</v>
      </c>
      <c r="F28" s="1">
        <v>1.46</v>
      </c>
      <c r="G28" s="1">
        <v>1.78</v>
      </c>
      <c r="H28" s="1">
        <v>1.46</v>
      </c>
      <c r="I28" s="1">
        <v>1.87</v>
      </c>
      <c r="J28" s="1">
        <v>1.87</v>
      </c>
      <c r="K28" s="2"/>
      <c r="L28" s="2"/>
      <c r="M28" s="1">
        <v>2.16</v>
      </c>
      <c r="N28" s="1" t="s">
        <v>18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>
      <c r="A29" s="6" t="s">
        <v>69</v>
      </c>
      <c r="B29" s="1" t="s">
        <v>70</v>
      </c>
      <c r="D29" s="1" t="s">
        <v>64</v>
      </c>
      <c r="E29" s="9" t="s">
        <v>13</v>
      </c>
      <c r="F29" s="1">
        <v>1.05</v>
      </c>
      <c r="G29" s="1">
        <v>1.05</v>
      </c>
      <c r="H29" s="1">
        <v>1.05</v>
      </c>
      <c r="I29" s="1">
        <v>1.05</v>
      </c>
      <c r="J29" s="1">
        <v>1.05</v>
      </c>
      <c r="K29" s="2"/>
      <c r="L29" s="2"/>
      <c r="M29" s="1">
        <v>2.16</v>
      </c>
      <c r="N29" s="1" t="s">
        <v>71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>
      <c r="A30" s="6" t="s">
        <v>72</v>
      </c>
      <c r="B30" s="1" t="s">
        <v>73</v>
      </c>
      <c r="D30" s="1" t="s">
        <v>64</v>
      </c>
      <c r="E30" s="9" t="s">
        <v>13</v>
      </c>
      <c r="F30" s="1">
        <v>0.77</v>
      </c>
      <c r="G30" s="1">
        <v>0.77</v>
      </c>
      <c r="H30" s="1">
        <v>0.77</v>
      </c>
      <c r="I30" s="1">
        <v>0.77</v>
      </c>
      <c r="J30" s="1">
        <v>0.77</v>
      </c>
      <c r="K30" s="2"/>
      <c r="L30" s="2"/>
      <c r="M30" s="1">
        <v>2.16</v>
      </c>
      <c r="N30" s="1" t="s">
        <v>14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>
      <c r="A31" s="6" t="s">
        <v>74</v>
      </c>
      <c r="B31" s="1" t="s">
        <v>75</v>
      </c>
      <c r="D31" s="1" t="s">
        <v>64</v>
      </c>
      <c r="E31" s="9" t="s">
        <v>13</v>
      </c>
      <c r="F31" s="1">
        <v>1.9</v>
      </c>
      <c r="G31" s="1">
        <v>1.63</v>
      </c>
      <c r="H31" s="1">
        <v>1.51</v>
      </c>
      <c r="I31" s="1">
        <v>1.61</v>
      </c>
      <c r="J31" s="1">
        <v>1.61</v>
      </c>
      <c r="K31" s="2"/>
      <c r="L31" s="2"/>
      <c r="M31" s="1">
        <v>2.16</v>
      </c>
      <c r="N31" s="1" t="s">
        <v>18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>
      <c r="A32" s="6" t="s">
        <v>76</v>
      </c>
      <c r="B32" s="13" t="s">
        <v>77</v>
      </c>
      <c r="C32" s="8">
        <v>0.13</v>
      </c>
      <c r="D32" s="1" t="s">
        <v>78</v>
      </c>
      <c r="E32" s="9" t="s">
        <v>13</v>
      </c>
      <c r="F32" s="1">
        <v>0.21</v>
      </c>
      <c r="G32" s="1">
        <v>0.21</v>
      </c>
      <c r="H32" s="1">
        <v>0.21</v>
      </c>
      <c r="I32" s="1">
        <v>0.21</v>
      </c>
      <c r="J32" s="1">
        <v>0.21</v>
      </c>
      <c r="K32" s="2"/>
      <c r="L32" s="2"/>
      <c r="M32" s="1">
        <v>2.6</v>
      </c>
      <c r="N32" s="1" t="s">
        <v>23</v>
      </c>
      <c r="O32" s="11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>
      <c r="A33" s="6" t="s">
        <v>79</v>
      </c>
      <c r="B33" s="7" t="s">
        <v>80</v>
      </c>
      <c r="D33" s="1" t="s">
        <v>78</v>
      </c>
      <c r="E33" s="9" t="s">
        <v>13</v>
      </c>
      <c r="F33" s="1">
        <v>0.77</v>
      </c>
      <c r="G33" s="1">
        <v>0.77</v>
      </c>
      <c r="H33" s="1">
        <v>0.77</v>
      </c>
      <c r="I33" s="1">
        <v>0.77</v>
      </c>
      <c r="J33" s="1">
        <v>0.77</v>
      </c>
      <c r="K33" s="2"/>
      <c r="L33" s="2"/>
      <c r="M33" s="1">
        <v>2.6</v>
      </c>
      <c r="N33" s="1" t="s">
        <v>39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>
      <c r="A34" s="6" t="s">
        <v>81</v>
      </c>
      <c r="B34" s="7" t="s">
        <v>82</v>
      </c>
      <c r="D34" s="1" t="s">
        <v>78</v>
      </c>
      <c r="E34" s="9" t="s">
        <v>13</v>
      </c>
      <c r="F34" s="1">
        <v>0.63</v>
      </c>
      <c r="G34" s="1">
        <v>0.63</v>
      </c>
      <c r="H34" s="1">
        <v>0.63</v>
      </c>
      <c r="I34" s="1">
        <v>0.63</v>
      </c>
      <c r="J34" s="1">
        <v>0.63</v>
      </c>
      <c r="K34" s="2"/>
      <c r="L34" s="2"/>
      <c r="M34" s="1">
        <v>2.6</v>
      </c>
      <c r="N34" s="1" t="s">
        <v>39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>
      <c r="A35" s="6" t="s">
        <v>83</v>
      </c>
      <c r="B35" s="1" t="s">
        <v>84</v>
      </c>
      <c r="D35" s="1" t="s">
        <v>78</v>
      </c>
      <c r="E35" s="9" t="s">
        <v>13</v>
      </c>
      <c r="F35" s="1">
        <v>1.12</v>
      </c>
      <c r="G35" s="1">
        <v>1.26</v>
      </c>
      <c r="H35" s="1">
        <v>1.38</v>
      </c>
      <c r="I35" s="1">
        <v>1.35</v>
      </c>
      <c r="J35" s="1">
        <v>1.35</v>
      </c>
      <c r="K35" s="2"/>
      <c r="L35" s="2"/>
      <c r="M35" s="1">
        <v>2.6</v>
      </c>
      <c r="N35" s="1" t="s">
        <v>85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>
      <c r="A36" s="6" t="s">
        <v>86</v>
      </c>
      <c r="B36" s="7" t="s">
        <v>87</v>
      </c>
      <c r="D36" s="1" t="s">
        <v>78</v>
      </c>
      <c r="E36" s="9" t="s">
        <v>13</v>
      </c>
      <c r="F36" s="1">
        <v>0.8</v>
      </c>
      <c r="G36" s="1">
        <v>0.8</v>
      </c>
      <c r="H36" s="1">
        <v>0.8</v>
      </c>
      <c r="I36" s="1">
        <v>0.8</v>
      </c>
      <c r="J36" s="1">
        <v>0.8</v>
      </c>
      <c r="K36" s="2"/>
      <c r="L36" s="2"/>
      <c r="M36" s="1">
        <v>2.6</v>
      </c>
      <c r="N36" s="1" t="s">
        <v>14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>
      <c r="A37" s="6" t="s">
        <v>88</v>
      </c>
      <c r="B37" s="1"/>
      <c r="C37" s="8">
        <v>0.15</v>
      </c>
      <c r="D37" s="1" t="s">
        <v>89</v>
      </c>
      <c r="E37" s="2"/>
      <c r="F37" s="1"/>
      <c r="G37" s="2"/>
      <c r="H37" s="2"/>
      <c r="I37" s="2"/>
      <c r="J37" s="14">
        <v>0.049</v>
      </c>
      <c r="K37" s="2"/>
      <c r="L37" s="2"/>
      <c r="M37" s="1">
        <v>5.0</v>
      </c>
      <c r="N37" s="1"/>
      <c r="O37" s="11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>
      <c r="A38" s="6" t="s">
        <v>90</v>
      </c>
      <c r="B38" s="2"/>
      <c r="D38" s="1" t="s">
        <v>89</v>
      </c>
      <c r="E38" s="2"/>
      <c r="F38" s="2"/>
      <c r="G38" s="2"/>
      <c r="H38" s="2"/>
      <c r="I38" s="2"/>
      <c r="J38" s="14">
        <v>0.0493</v>
      </c>
      <c r="K38" s="2"/>
      <c r="L38" s="2"/>
      <c r="M38" s="1">
        <v>5.0</v>
      </c>
      <c r="N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>
      <c r="A39" s="6" t="s">
        <v>91</v>
      </c>
      <c r="B39" s="2"/>
      <c r="D39" s="1" t="s">
        <v>89</v>
      </c>
      <c r="E39" s="2"/>
      <c r="F39" s="2"/>
      <c r="G39" s="2"/>
      <c r="H39" s="2"/>
      <c r="I39" s="2"/>
      <c r="J39" s="14">
        <v>0.0272</v>
      </c>
      <c r="K39" s="2"/>
      <c r="L39" s="2"/>
      <c r="M39" s="1">
        <v>5.0</v>
      </c>
      <c r="N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>
      <c r="A40" s="2"/>
      <c r="B40" s="2"/>
      <c r="C40" s="15">
        <f>sum(C6:C39)</f>
        <v>1</v>
      </c>
      <c r="D40" s="16"/>
      <c r="E40" s="2"/>
      <c r="F40" s="2"/>
      <c r="G40" s="2"/>
      <c r="H40" s="2"/>
      <c r="I40" s="2"/>
      <c r="J40" s="2"/>
      <c r="K40" s="2"/>
      <c r="L40" s="9" t="s">
        <v>92</v>
      </c>
      <c r="M40" s="16">
        <f>SUM(M6:M39)</f>
        <v>100</v>
      </c>
      <c r="N40" s="17"/>
      <c r="O40" s="17"/>
      <c r="P40" s="17"/>
      <c r="Q40" s="17"/>
      <c r="R40" s="17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>
      <c r="A42" s="1" t="s">
        <v>93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>
      <c r="A44" s="9" t="s">
        <v>94</v>
      </c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>
      <c r="A46" s="6" t="s">
        <v>95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>
      <c r="A48" s="18" t="s">
        <v>96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>
      <c r="A50" s="18" t="s">
        <v>97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>
      <c r="A52" s="18" t="s">
        <v>98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>
      <c r="A54" s="18" t="s">
        <v>99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>
      <c r="A56" s="18" t="s">
        <v>100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18" t="s">
        <v>101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18" t="s">
        <v>102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6" t="s">
        <v>103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>
      <c r="A64" s="18" t="s">
        <v>104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>
      <c r="A66" s="18" t="s">
        <v>105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>
      <c r="A68" s="18" t="s">
        <v>106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>
      <c r="A70" s="18" t="s">
        <v>107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>
      <c r="A72" s="18" t="s">
        <v>108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>
      <c r="A74" s="6" t="s">
        <v>109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>
      <c r="A76" s="18" t="s">
        <v>110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>
      <c r="A78" s="6" t="s">
        <v>111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>
      <c r="A80" s="18" t="s">
        <v>112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>
      <c r="A82" s="18" t="s">
        <v>113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>
      <c r="A84" s="6" t="s">
        <v>114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>
      <c r="A86" s="18" t="s">
        <v>115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>
      <c r="A88" s="18" t="s">
        <v>116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>
      <c r="A90" s="6" t="s">
        <v>117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</sheetData>
  <mergeCells count="14">
    <mergeCell ref="C17:C24"/>
    <mergeCell ref="C26:C31"/>
    <mergeCell ref="C32:C36"/>
    <mergeCell ref="C37:C39"/>
    <mergeCell ref="O26:O31"/>
    <mergeCell ref="O32:O36"/>
    <mergeCell ref="O37:O39"/>
    <mergeCell ref="C6:C9"/>
    <mergeCell ref="O6:O9"/>
    <mergeCell ref="C10:C13"/>
    <mergeCell ref="O10:O13"/>
    <mergeCell ref="C14:C16"/>
    <mergeCell ref="O14:O16"/>
    <mergeCell ref="O17:O24"/>
  </mergeCells>
  <hyperlinks>
    <hyperlink r:id="rId1" ref="B19"/>
    <hyperlink r:id="rId2" ref="A48"/>
    <hyperlink r:id="rId3" ref="A50"/>
    <hyperlink r:id="rId4" ref="A52"/>
    <hyperlink r:id="rId5" ref="A54"/>
    <hyperlink r:id="rId6" ref="A56"/>
    <hyperlink r:id="rId7" ref="A58"/>
    <hyperlink r:id="rId8" ref="A60"/>
    <hyperlink r:id="rId9" ref="A64"/>
    <hyperlink r:id="rId10" ref="A66"/>
    <hyperlink r:id="rId11" ref="A68"/>
    <hyperlink r:id="rId12" ref="A70"/>
    <hyperlink r:id="rId13" ref="A72"/>
    <hyperlink r:id="rId14" ref="A76"/>
    <hyperlink r:id="rId15" ref="A80"/>
    <hyperlink r:id="rId16" ref="A82"/>
    <hyperlink r:id="rId17" ref="A86"/>
    <hyperlink r:id="rId18" ref="A88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  <col customWidth="1" min="2" max="2" width="45.0"/>
    <col customWidth="1" min="3" max="3" width="35.88"/>
  </cols>
  <sheetData>
    <row r="1">
      <c r="A1" s="19"/>
    </row>
    <row r="2">
      <c r="A2" s="19"/>
    </row>
    <row r="3">
      <c r="A3" s="19" t="s">
        <v>118</v>
      </c>
    </row>
    <row r="4">
      <c r="A4" s="20" t="s">
        <v>119</v>
      </c>
      <c r="B4" s="20" t="s">
        <v>120</v>
      </c>
      <c r="C4" s="20" t="s">
        <v>121</v>
      </c>
      <c r="E4" s="1"/>
      <c r="F4" s="1"/>
      <c r="G4" s="1"/>
      <c r="H4" s="11"/>
    </row>
    <row r="5">
      <c r="A5" s="20" t="s">
        <v>122</v>
      </c>
      <c r="B5" s="20" t="s">
        <v>123</v>
      </c>
      <c r="C5" s="20" t="s">
        <v>124</v>
      </c>
      <c r="D5" s="2"/>
      <c r="E5" s="1"/>
      <c r="F5" s="1"/>
      <c r="G5" s="1"/>
    </row>
    <row r="6">
      <c r="A6" s="20" t="s">
        <v>125</v>
      </c>
      <c r="B6" s="20" t="s">
        <v>126</v>
      </c>
      <c r="C6" s="20" t="s">
        <v>127</v>
      </c>
      <c r="D6" s="2"/>
      <c r="E6" s="1"/>
      <c r="F6" s="1"/>
      <c r="G6" s="1"/>
    </row>
    <row r="7">
      <c r="A7" s="20" t="s">
        <v>128</v>
      </c>
      <c r="B7" s="20" t="s">
        <v>129</v>
      </c>
      <c r="C7" s="20" t="s">
        <v>130</v>
      </c>
      <c r="D7" s="2"/>
      <c r="E7" s="1"/>
      <c r="F7" s="1"/>
      <c r="G7" s="1"/>
    </row>
    <row r="8">
      <c r="A8" s="20" t="s">
        <v>131</v>
      </c>
      <c r="B8" s="20" t="s">
        <v>132</v>
      </c>
      <c r="C8" s="20" t="s">
        <v>133</v>
      </c>
      <c r="D8" s="2"/>
      <c r="E8" s="1"/>
      <c r="F8" s="1"/>
      <c r="G8" s="1"/>
      <c r="H8" s="11"/>
    </row>
    <row r="9">
      <c r="A9" s="20" t="s">
        <v>134</v>
      </c>
      <c r="B9" s="20" t="s">
        <v>135</v>
      </c>
      <c r="C9" s="20" t="s">
        <v>136</v>
      </c>
      <c r="D9" s="2"/>
      <c r="E9" s="1"/>
      <c r="F9" s="1"/>
      <c r="G9" s="1"/>
    </row>
    <row r="10">
      <c r="A10" s="20" t="s">
        <v>137</v>
      </c>
      <c r="B10" s="20" t="s">
        <v>138</v>
      </c>
      <c r="C10" s="20" t="s">
        <v>139</v>
      </c>
      <c r="D10" s="2"/>
      <c r="E10" s="1"/>
      <c r="F10" s="1"/>
      <c r="G10" s="1"/>
    </row>
    <row r="11">
      <c r="A11" s="20" t="s">
        <v>140</v>
      </c>
      <c r="B11" s="20" t="s">
        <v>141</v>
      </c>
      <c r="C11" s="20" t="s">
        <v>142</v>
      </c>
      <c r="D11" s="2"/>
      <c r="E11" s="1"/>
      <c r="F11" s="1"/>
      <c r="G11" s="1"/>
    </row>
    <row r="12">
      <c r="A12" s="20" t="s">
        <v>143</v>
      </c>
      <c r="B12" s="20" t="s">
        <v>144</v>
      </c>
      <c r="C12" s="20" t="s">
        <v>145</v>
      </c>
      <c r="D12" s="2"/>
      <c r="E12" s="1"/>
      <c r="F12" s="1"/>
      <c r="G12" s="1"/>
      <c r="H12" s="11"/>
    </row>
    <row r="13">
      <c r="A13" s="20" t="s">
        <v>146</v>
      </c>
      <c r="B13" s="20" t="s">
        <v>147</v>
      </c>
      <c r="C13" s="20" t="s">
        <v>148</v>
      </c>
      <c r="D13" s="2"/>
      <c r="E13" s="1"/>
      <c r="F13" s="1"/>
      <c r="G13" s="1"/>
    </row>
    <row r="14">
      <c r="A14" s="20" t="s">
        <v>149</v>
      </c>
      <c r="B14" s="20" t="s">
        <v>150</v>
      </c>
      <c r="C14" s="20" t="s">
        <v>151</v>
      </c>
      <c r="D14" s="2"/>
      <c r="E14" s="1"/>
      <c r="F14" s="1"/>
      <c r="G14" s="1"/>
    </row>
    <row r="15">
      <c r="A15" s="20" t="s">
        <v>152</v>
      </c>
      <c r="B15" s="21"/>
      <c r="C15" s="22"/>
      <c r="D15" s="2"/>
      <c r="E15" s="1"/>
      <c r="F15" s="1"/>
      <c r="G15" s="1"/>
      <c r="H15" s="11"/>
    </row>
    <row r="16">
      <c r="B16" s="7"/>
      <c r="C16" s="2"/>
      <c r="D16" s="2"/>
      <c r="E16" s="1"/>
      <c r="F16" s="1"/>
      <c r="G16" s="1"/>
    </row>
    <row r="17">
      <c r="B17" s="13"/>
      <c r="D17" s="2"/>
      <c r="E17" s="1"/>
      <c r="F17" s="1"/>
      <c r="G17" s="1"/>
    </row>
    <row r="18">
      <c r="D18" s="2"/>
      <c r="E18" s="1"/>
      <c r="F18" s="1"/>
      <c r="G18" s="1"/>
    </row>
    <row r="19">
      <c r="D19" s="2"/>
      <c r="E19" s="1"/>
      <c r="F19" s="1"/>
      <c r="G19" s="1"/>
    </row>
    <row r="20">
      <c r="D20" s="2"/>
      <c r="E20" s="1"/>
      <c r="F20" s="1"/>
      <c r="G20" s="1"/>
    </row>
    <row r="21">
      <c r="D21" s="2"/>
      <c r="E21" s="1"/>
      <c r="F21" s="1"/>
      <c r="G21" s="1"/>
    </row>
    <row r="22">
      <c r="D22" s="2"/>
      <c r="E22" s="1"/>
      <c r="F22" s="1"/>
      <c r="G22" s="1"/>
    </row>
    <row r="23">
      <c r="D23" s="2"/>
      <c r="E23" s="1"/>
      <c r="F23" s="1"/>
      <c r="G23" s="1"/>
      <c r="H23" s="11"/>
    </row>
    <row r="24">
      <c r="D24" s="2"/>
      <c r="E24" s="1"/>
      <c r="F24" s="1"/>
      <c r="G24" s="1"/>
      <c r="H24" s="11"/>
    </row>
    <row r="25">
      <c r="D25" s="2"/>
      <c r="E25" s="1"/>
      <c r="F25" s="1"/>
      <c r="G25" s="1"/>
    </row>
    <row r="26">
      <c r="D26" s="2"/>
      <c r="E26" s="1"/>
      <c r="F26" s="1"/>
      <c r="G26" s="1"/>
    </row>
    <row r="27">
      <c r="D27" s="2"/>
      <c r="E27" s="1"/>
      <c r="F27" s="1"/>
      <c r="G27" s="1"/>
    </row>
    <row r="28">
      <c r="D28" s="2"/>
      <c r="E28" s="1"/>
      <c r="F28" s="1"/>
      <c r="G28" s="1"/>
    </row>
    <row r="29">
      <c r="D29" s="2"/>
      <c r="E29" s="1"/>
      <c r="F29" s="1"/>
      <c r="G29" s="1"/>
    </row>
    <row r="30">
      <c r="D30" s="2"/>
      <c r="E30" s="1"/>
      <c r="F30" s="1"/>
      <c r="G30" s="1"/>
      <c r="H30" s="11"/>
    </row>
    <row r="31">
      <c r="B31" s="7"/>
      <c r="C31" s="2"/>
      <c r="D31" s="2"/>
      <c r="E31" s="1"/>
      <c r="F31" s="1"/>
      <c r="G31" s="1"/>
    </row>
    <row r="32">
      <c r="B32" s="7"/>
      <c r="C32" s="2"/>
      <c r="D32" s="2"/>
      <c r="E32" s="1"/>
      <c r="F32" s="1"/>
      <c r="G32" s="1"/>
    </row>
    <row r="33">
      <c r="B33" s="1"/>
      <c r="C33" s="2"/>
      <c r="D33" s="2"/>
      <c r="E33" s="1"/>
      <c r="F33" s="1"/>
      <c r="G33" s="1"/>
    </row>
    <row r="34">
      <c r="B34" s="7"/>
      <c r="C34" s="2"/>
      <c r="D34" s="2"/>
      <c r="E34" s="1"/>
      <c r="F34" s="1"/>
      <c r="G34" s="1"/>
    </row>
    <row r="35">
      <c r="B35" s="1"/>
      <c r="C35" s="2"/>
      <c r="D35" s="2"/>
      <c r="E35" s="1"/>
      <c r="F35" s="1"/>
      <c r="G35" s="1"/>
      <c r="H35" s="11"/>
    </row>
    <row r="36">
      <c r="B36" s="2"/>
      <c r="C36" s="2"/>
      <c r="D36" s="2"/>
      <c r="E36" s="1"/>
      <c r="F36" s="1"/>
      <c r="G36" s="2"/>
    </row>
    <row r="37">
      <c r="B37" s="2"/>
      <c r="C37" s="2"/>
      <c r="D37" s="2"/>
      <c r="E37" s="1"/>
      <c r="F37" s="1"/>
      <c r="G37" s="2"/>
    </row>
  </sheetData>
  <mergeCells count="7">
    <mergeCell ref="H4:H7"/>
    <mergeCell ref="H8:H11"/>
    <mergeCell ref="H12:H14"/>
    <mergeCell ref="H15:H22"/>
    <mergeCell ref="H24:H29"/>
    <mergeCell ref="H30:H34"/>
    <mergeCell ref="H35:H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</cols>
  <sheetData>
    <row r="1">
      <c r="A1" s="23"/>
      <c r="B1" s="23"/>
      <c r="C1" s="23"/>
      <c r="D1" s="23"/>
      <c r="E1" s="23"/>
      <c r="F1" s="23"/>
      <c r="G1" s="24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>
      <c r="A2" s="25" t="s">
        <v>1</v>
      </c>
      <c r="B2" s="26">
        <v>2020.0</v>
      </c>
      <c r="C2" s="26">
        <v>2021.0</v>
      </c>
      <c r="D2" s="26">
        <v>2022.0</v>
      </c>
      <c r="E2" s="26">
        <v>2023.0</v>
      </c>
      <c r="F2" s="26">
        <v>2024.0</v>
      </c>
      <c r="G2" s="26" t="s">
        <v>153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>
      <c r="A3" s="23" t="s">
        <v>154</v>
      </c>
      <c r="B3" s="23"/>
      <c r="C3" s="23"/>
      <c r="D3" s="23"/>
      <c r="E3" s="23"/>
      <c r="F3" s="23"/>
      <c r="G3" s="24">
        <f t="shared" ref="G3:G21" si="1">Sum(B3:F3)/4</f>
        <v>0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>
      <c r="A4" s="23" t="s">
        <v>90</v>
      </c>
      <c r="B4" s="23"/>
      <c r="C4" s="23"/>
      <c r="D4" s="23"/>
      <c r="E4" s="23"/>
      <c r="F4" s="23"/>
      <c r="G4" s="24">
        <f t="shared" si="1"/>
        <v>0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23" t="s">
        <v>155</v>
      </c>
      <c r="B5" s="23"/>
      <c r="C5" s="23"/>
      <c r="D5" s="23"/>
      <c r="E5" s="23"/>
      <c r="F5" s="23"/>
      <c r="G5" s="24">
        <f t="shared" si="1"/>
        <v>0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3" t="s">
        <v>156</v>
      </c>
      <c r="B6" s="24">
        <v>0.13</v>
      </c>
      <c r="C6" s="24">
        <v>0.13</v>
      </c>
      <c r="D6" s="24">
        <v>0.13</v>
      </c>
      <c r="E6" s="24">
        <v>0.13</v>
      </c>
      <c r="F6" s="24">
        <v>0.13</v>
      </c>
      <c r="G6" s="24">
        <f t="shared" si="1"/>
        <v>0.1625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23" t="s">
        <v>157</v>
      </c>
      <c r="B7" s="24">
        <v>0.21</v>
      </c>
      <c r="C7" s="24">
        <v>0.21</v>
      </c>
      <c r="D7" s="24">
        <v>0.21</v>
      </c>
      <c r="E7" s="24">
        <v>0.21</v>
      </c>
      <c r="F7" s="24">
        <v>0.21</v>
      </c>
      <c r="G7" s="24">
        <f t="shared" si="1"/>
        <v>0.2625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23" t="s">
        <v>24</v>
      </c>
      <c r="B8" s="24">
        <v>-0.09</v>
      </c>
      <c r="C8" s="24">
        <v>0.01</v>
      </c>
      <c r="D8" s="24">
        <v>0.2</v>
      </c>
      <c r="E8" s="24">
        <v>0.53</v>
      </c>
      <c r="F8" s="24">
        <v>0.53</v>
      </c>
      <c r="G8" s="24">
        <f t="shared" si="1"/>
        <v>0.295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23" t="s">
        <v>40</v>
      </c>
      <c r="B9" s="24">
        <v>0.26</v>
      </c>
      <c r="C9" s="24">
        <v>0.26</v>
      </c>
      <c r="D9" s="24">
        <v>0.26</v>
      </c>
      <c r="E9" s="24">
        <v>0.26</v>
      </c>
      <c r="F9" s="24">
        <v>0.26</v>
      </c>
      <c r="G9" s="24">
        <f t="shared" si="1"/>
        <v>0.325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10" t="s">
        <v>42</v>
      </c>
      <c r="B10" s="24">
        <v>0.38</v>
      </c>
      <c r="C10" s="24">
        <v>0.38</v>
      </c>
      <c r="D10" s="24">
        <v>0.38</v>
      </c>
      <c r="E10" s="24">
        <v>0.38</v>
      </c>
      <c r="F10" s="24">
        <v>0.38</v>
      </c>
      <c r="G10" s="24">
        <f t="shared" si="1"/>
        <v>0.475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3" t="s">
        <v>158</v>
      </c>
      <c r="B11" s="24">
        <v>0.43</v>
      </c>
      <c r="C11" s="24">
        <v>0.43</v>
      </c>
      <c r="D11" s="24">
        <v>0.4</v>
      </c>
      <c r="E11" s="24">
        <v>0.34</v>
      </c>
      <c r="F11" s="24">
        <v>0.34</v>
      </c>
      <c r="G11" s="24">
        <f t="shared" si="1"/>
        <v>0.485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3" t="s">
        <v>159</v>
      </c>
      <c r="B12" s="24">
        <v>0.23</v>
      </c>
      <c r="C12" s="24">
        <v>0.42</v>
      </c>
      <c r="D12" s="24">
        <v>0.64</v>
      </c>
      <c r="E12" s="24">
        <v>0.4</v>
      </c>
      <c r="F12" s="24">
        <v>0.4</v>
      </c>
      <c r="G12" s="24">
        <f t="shared" si="1"/>
        <v>0.5225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23" t="s">
        <v>37</v>
      </c>
      <c r="B13" s="24">
        <v>0.46</v>
      </c>
      <c r="C13" s="24">
        <v>0.46</v>
      </c>
      <c r="D13" s="24">
        <v>0.46</v>
      </c>
      <c r="E13" s="24">
        <v>0.46</v>
      </c>
      <c r="F13" s="24">
        <v>0.46</v>
      </c>
      <c r="G13" s="24">
        <f t="shared" si="1"/>
        <v>0.575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3" t="s">
        <v>160</v>
      </c>
      <c r="B14" s="24">
        <v>0.5</v>
      </c>
      <c r="C14" s="24">
        <v>0.5</v>
      </c>
      <c r="D14" s="24">
        <v>0.5</v>
      </c>
      <c r="E14" s="24">
        <v>0.5</v>
      </c>
      <c r="F14" s="24">
        <v>0.34</v>
      </c>
      <c r="G14" s="24">
        <f t="shared" si="1"/>
        <v>0.585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3" t="s">
        <v>161</v>
      </c>
      <c r="B15" s="24">
        <v>0.51</v>
      </c>
      <c r="C15" s="24">
        <v>0.51</v>
      </c>
      <c r="D15" s="24">
        <v>0.51</v>
      </c>
      <c r="E15" s="24">
        <v>0.51</v>
      </c>
      <c r="F15" s="24">
        <v>0.51</v>
      </c>
      <c r="G15" s="24">
        <f t="shared" si="1"/>
        <v>0.6375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3" t="s">
        <v>162</v>
      </c>
      <c r="B16" s="24">
        <v>0.44</v>
      </c>
      <c r="C16" s="24">
        <v>0.41</v>
      </c>
      <c r="D16" s="24">
        <v>0.63</v>
      </c>
      <c r="E16" s="24">
        <v>0.57</v>
      </c>
      <c r="F16" s="24">
        <v>0.57</v>
      </c>
      <c r="G16" s="24">
        <f t="shared" si="1"/>
        <v>0.655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3" t="s">
        <v>163</v>
      </c>
      <c r="B17" s="24">
        <v>0.6</v>
      </c>
      <c r="C17" s="24">
        <v>0.6</v>
      </c>
      <c r="D17" s="24">
        <v>0.6</v>
      </c>
      <c r="E17" s="24">
        <v>0.48</v>
      </c>
      <c r="F17" s="24">
        <v>0.48</v>
      </c>
      <c r="G17" s="24">
        <f t="shared" si="1"/>
        <v>0.69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3" t="s">
        <v>164</v>
      </c>
      <c r="B18" s="24">
        <v>0.46</v>
      </c>
      <c r="C18" s="24">
        <v>0.6</v>
      </c>
      <c r="D18" s="24">
        <v>0.6</v>
      </c>
      <c r="E18" s="24">
        <v>0.74</v>
      </c>
      <c r="F18" s="24">
        <v>0.69</v>
      </c>
      <c r="G18" s="24">
        <f t="shared" si="1"/>
        <v>0.7725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3" t="s">
        <v>81</v>
      </c>
      <c r="B19" s="24">
        <v>0.63</v>
      </c>
      <c r="C19" s="24">
        <v>0.63</v>
      </c>
      <c r="D19" s="24">
        <v>0.63</v>
      </c>
      <c r="E19" s="24">
        <v>0.63</v>
      </c>
      <c r="F19" s="24">
        <v>0.63</v>
      </c>
      <c r="G19" s="24">
        <f t="shared" si="1"/>
        <v>0.7875</v>
      </c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3" t="s">
        <v>165</v>
      </c>
      <c r="B20" s="24">
        <v>0.64</v>
      </c>
      <c r="C20" s="24">
        <v>0.64</v>
      </c>
      <c r="D20" s="24">
        <v>0.64</v>
      </c>
      <c r="E20" s="24">
        <v>0.64</v>
      </c>
      <c r="F20" s="24">
        <v>0.64</v>
      </c>
      <c r="G20" s="24">
        <f t="shared" si="1"/>
        <v>0.8</v>
      </c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3" t="s">
        <v>166</v>
      </c>
      <c r="B21" s="24">
        <v>0.73</v>
      </c>
      <c r="C21" s="24">
        <v>0.73</v>
      </c>
      <c r="D21" s="24">
        <v>0.73</v>
      </c>
      <c r="E21" s="24">
        <v>0.73</v>
      </c>
      <c r="F21" s="24">
        <v>0.73</v>
      </c>
      <c r="G21" s="24">
        <f t="shared" si="1"/>
        <v>0.9125</v>
      </c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23" t="s">
        <v>167</v>
      </c>
      <c r="B22" s="10">
        <v>0.95</v>
      </c>
      <c r="C22" s="10">
        <v>0.95</v>
      </c>
      <c r="D22" s="10">
        <v>0.95</v>
      </c>
      <c r="E22" s="10">
        <v>0.95</v>
      </c>
      <c r="F22" s="10">
        <v>0.95</v>
      </c>
      <c r="G22" s="10">
        <v>0.95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3" t="s">
        <v>168</v>
      </c>
      <c r="B23" s="24">
        <v>0.77</v>
      </c>
      <c r="C23" s="24">
        <v>0.77</v>
      </c>
      <c r="D23" s="24">
        <v>0.77</v>
      </c>
      <c r="E23" s="24">
        <v>0.77</v>
      </c>
      <c r="F23" s="24">
        <v>0.77</v>
      </c>
      <c r="G23" s="24">
        <f t="shared" ref="G23:G36" si="2">Sum(B23:F23)/4</f>
        <v>0.9625</v>
      </c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3" t="s">
        <v>79</v>
      </c>
      <c r="B24" s="24">
        <v>0.77</v>
      </c>
      <c r="C24" s="24">
        <v>0.77</v>
      </c>
      <c r="D24" s="24">
        <v>0.77</v>
      </c>
      <c r="E24" s="24">
        <v>0.77</v>
      </c>
      <c r="F24" s="24">
        <v>0.77</v>
      </c>
      <c r="G24" s="24">
        <f t="shared" si="2"/>
        <v>0.9625</v>
      </c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3" t="s">
        <v>86</v>
      </c>
      <c r="B25" s="24">
        <v>0.8</v>
      </c>
      <c r="C25" s="24">
        <v>0.8</v>
      </c>
      <c r="D25" s="24">
        <v>0.8</v>
      </c>
      <c r="E25" s="24">
        <v>0.8</v>
      </c>
      <c r="F25" s="24">
        <v>0.8</v>
      </c>
      <c r="G25" s="24">
        <f t="shared" si="2"/>
        <v>1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3" t="s">
        <v>169</v>
      </c>
      <c r="B26" s="24">
        <v>0.81</v>
      </c>
      <c r="C26" s="24">
        <v>0.81</v>
      </c>
      <c r="D26" s="24">
        <v>0.81</v>
      </c>
      <c r="E26" s="24">
        <v>0.81</v>
      </c>
      <c r="F26" s="24">
        <v>0.81</v>
      </c>
      <c r="G26" s="24">
        <f t="shared" si="2"/>
        <v>1.0125</v>
      </c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23" t="s">
        <v>45</v>
      </c>
      <c r="B27" s="24">
        <v>0.82</v>
      </c>
      <c r="C27" s="24">
        <v>0.82</v>
      </c>
      <c r="D27" s="24">
        <v>0.82</v>
      </c>
      <c r="E27" s="24">
        <v>0.82</v>
      </c>
      <c r="F27" s="24">
        <v>0.82</v>
      </c>
      <c r="G27" s="24">
        <f t="shared" si="2"/>
        <v>1.025</v>
      </c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7" t="s">
        <v>170</v>
      </c>
      <c r="B28" s="24">
        <v>0.54</v>
      </c>
      <c r="C28" s="24">
        <v>1.06</v>
      </c>
      <c r="D28" s="24">
        <v>1.01</v>
      </c>
      <c r="E28" s="24">
        <v>0.82</v>
      </c>
      <c r="F28" s="24">
        <v>0.82</v>
      </c>
      <c r="G28" s="24">
        <f t="shared" si="2"/>
        <v>1.0625</v>
      </c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23" t="s">
        <v>62</v>
      </c>
      <c r="B29" s="24">
        <v>1.34</v>
      </c>
      <c r="C29" s="24">
        <v>1.2</v>
      </c>
      <c r="D29" s="24">
        <v>0.66</v>
      </c>
      <c r="E29" s="24">
        <v>0.66</v>
      </c>
      <c r="F29" s="24">
        <v>0.66</v>
      </c>
      <c r="G29" s="24">
        <f t="shared" si="2"/>
        <v>1.13</v>
      </c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23" t="s">
        <v>171</v>
      </c>
      <c r="B30" s="24">
        <v>0.94</v>
      </c>
      <c r="C30" s="24">
        <v>0.94</v>
      </c>
      <c r="D30" s="24">
        <v>0.94</v>
      </c>
      <c r="E30" s="24">
        <v>0.94</v>
      </c>
      <c r="F30" s="24">
        <v>0.94</v>
      </c>
      <c r="G30" s="24">
        <f t="shared" si="2"/>
        <v>1.175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3" t="s">
        <v>172</v>
      </c>
      <c r="B31" s="24">
        <v>1.03</v>
      </c>
      <c r="C31" s="24">
        <v>1.03</v>
      </c>
      <c r="D31" s="24">
        <v>1.03</v>
      </c>
      <c r="E31" s="24">
        <v>1.03</v>
      </c>
      <c r="F31" s="24">
        <v>1.03</v>
      </c>
      <c r="G31" s="24">
        <f t="shared" si="2"/>
        <v>1.2875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3" t="s">
        <v>173</v>
      </c>
      <c r="B32" s="24">
        <v>1.05</v>
      </c>
      <c r="C32" s="24">
        <v>1.05</v>
      </c>
      <c r="D32" s="24">
        <v>1.05</v>
      </c>
      <c r="E32" s="24">
        <v>1.05</v>
      </c>
      <c r="F32" s="24">
        <v>1.05</v>
      </c>
      <c r="G32" s="24">
        <f t="shared" si="2"/>
        <v>1.3125</v>
      </c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3" t="s">
        <v>83</v>
      </c>
      <c r="B33" s="24">
        <v>1.12</v>
      </c>
      <c r="C33" s="24">
        <v>1.26</v>
      </c>
      <c r="D33" s="24">
        <v>1.38</v>
      </c>
      <c r="E33" s="24">
        <v>1.35</v>
      </c>
      <c r="F33" s="24">
        <v>1.35</v>
      </c>
      <c r="G33" s="24">
        <f t="shared" si="2"/>
        <v>1.615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3" t="s">
        <v>74</v>
      </c>
      <c r="B34" s="24">
        <v>1.9</v>
      </c>
      <c r="C34" s="24">
        <v>1.63</v>
      </c>
      <c r="D34" s="24">
        <v>1.51</v>
      </c>
      <c r="E34" s="24">
        <v>1.61</v>
      </c>
      <c r="F34" s="24">
        <v>1.61</v>
      </c>
      <c r="G34" s="24">
        <f t="shared" si="2"/>
        <v>2.065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3" t="s">
        <v>174</v>
      </c>
      <c r="B35" s="24">
        <v>1.46</v>
      </c>
      <c r="C35" s="24">
        <v>1.78</v>
      </c>
      <c r="D35" s="24">
        <v>1.46</v>
      </c>
      <c r="E35" s="24">
        <v>1.87</v>
      </c>
      <c r="F35" s="24">
        <v>1.87</v>
      </c>
      <c r="G35" s="24">
        <f t="shared" si="2"/>
        <v>2.11</v>
      </c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3" t="s">
        <v>51</v>
      </c>
      <c r="B36" s="24">
        <v>2.06</v>
      </c>
      <c r="C36" s="24">
        <v>2.06</v>
      </c>
      <c r="D36" s="24">
        <v>2.06</v>
      </c>
      <c r="E36" s="24">
        <v>2.06</v>
      </c>
      <c r="F36" s="24">
        <v>2.06</v>
      </c>
      <c r="G36" s="24">
        <f t="shared" si="2"/>
        <v>2.575</v>
      </c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</row>
    <row r="100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</row>
    <row r="1002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20.5"/>
    <col customWidth="1" min="3" max="3" width="21.63"/>
  </cols>
  <sheetData>
    <row r="1">
      <c r="A1" s="28"/>
      <c r="B1" s="1"/>
      <c r="C1" s="1"/>
    </row>
    <row r="2">
      <c r="A2" s="3" t="s">
        <v>1</v>
      </c>
      <c r="B2" s="3">
        <v>2020.0</v>
      </c>
      <c r="C2" s="29" t="s">
        <v>8</v>
      </c>
    </row>
    <row r="3">
      <c r="A3" s="28" t="s">
        <v>24</v>
      </c>
      <c r="B3" s="1">
        <v>-0.09</v>
      </c>
      <c r="C3" s="1">
        <v>2.0</v>
      </c>
    </row>
    <row r="4">
      <c r="A4" s="1" t="s">
        <v>156</v>
      </c>
      <c r="B4" s="1">
        <v>0.13</v>
      </c>
      <c r="C4" s="1">
        <v>1.75</v>
      </c>
    </row>
    <row r="5">
      <c r="A5" s="1" t="s">
        <v>157</v>
      </c>
      <c r="B5" s="1">
        <v>0.21</v>
      </c>
      <c r="C5" s="1">
        <v>2.6</v>
      </c>
    </row>
    <row r="6">
      <c r="A6" s="1" t="s">
        <v>159</v>
      </c>
      <c r="B6" s="1">
        <v>0.23</v>
      </c>
      <c r="C6" s="1">
        <v>2.0</v>
      </c>
    </row>
    <row r="7">
      <c r="A7" s="1" t="s">
        <v>40</v>
      </c>
      <c r="B7" s="1">
        <v>0.26</v>
      </c>
      <c r="C7" s="1">
        <v>4.33</v>
      </c>
    </row>
    <row r="8">
      <c r="A8" s="1" t="s">
        <v>42</v>
      </c>
      <c r="B8" s="1">
        <v>0.38</v>
      </c>
      <c r="C8" s="1">
        <v>3.75</v>
      </c>
    </row>
    <row r="9">
      <c r="A9" s="1" t="s">
        <v>158</v>
      </c>
      <c r="B9" s="1">
        <v>0.43</v>
      </c>
      <c r="C9" s="1">
        <v>1.75</v>
      </c>
    </row>
    <row r="10">
      <c r="A10" s="1" t="s">
        <v>162</v>
      </c>
      <c r="B10" s="1">
        <v>0.44</v>
      </c>
      <c r="C10" s="1">
        <v>2.0</v>
      </c>
    </row>
    <row r="11">
      <c r="A11" s="1" t="s">
        <v>164</v>
      </c>
      <c r="B11" s="1">
        <v>0.46</v>
      </c>
      <c r="C11" s="1">
        <v>1.75</v>
      </c>
    </row>
    <row r="12">
      <c r="A12" s="1" t="s">
        <v>37</v>
      </c>
      <c r="B12" s="1">
        <v>0.46</v>
      </c>
      <c r="C12" s="1">
        <v>4.34</v>
      </c>
    </row>
    <row r="13">
      <c r="A13" s="1" t="s">
        <v>160</v>
      </c>
      <c r="B13" s="1">
        <v>0.5</v>
      </c>
      <c r="C13" s="1">
        <v>2.0</v>
      </c>
    </row>
    <row r="14">
      <c r="A14" s="1" t="s">
        <v>161</v>
      </c>
      <c r="B14" s="1">
        <v>0.51</v>
      </c>
      <c r="C14" s="1">
        <v>2.16</v>
      </c>
    </row>
    <row r="15">
      <c r="A15" s="30" t="s">
        <v>170</v>
      </c>
      <c r="B15" s="1">
        <v>0.54</v>
      </c>
      <c r="C15" s="1">
        <v>1.0</v>
      </c>
    </row>
    <row r="16">
      <c r="A16" s="1" t="s">
        <v>163</v>
      </c>
      <c r="B16" s="1">
        <v>0.6</v>
      </c>
      <c r="C16" s="1">
        <v>3.75</v>
      </c>
    </row>
    <row r="17">
      <c r="A17" s="1" t="s">
        <v>81</v>
      </c>
      <c r="B17" s="1">
        <v>0.63</v>
      </c>
      <c r="C17" s="1">
        <v>2.6</v>
      </c>
    </row>
    <row r="18">
      <c r="A18" s="1" t="s">
        <v>165</v>
      </c>
      <c r="B18" s="1">
        <v>0.64</v>
      </c>
      <c r="C18" s="1">
        <v>4.33</v>
      </c>
    </row>
    <row r="19">
      <c r="A19" s="1" t="s">
        <v>166</v>
      </c>
      <c r="B19" s="1">
        <v>0.73</v>
      </c>
      <c r="C19" s="1">
        <v>3.75</v>
      </c>
    </row>
    <row r="20">
      <c r="A20" s="1" t="s">
        <v>168</v>
      </c>
      <c r="B20" s="1">
        <v>0.77</v>
      </c>
      <c r="C20" s="1">
        <v>2.16</v>
      </c>
    </row>
    <row r="21">
      <c r="A21" s="1" t="s">
        <v>79</v>
      </c>
      <c r="B21" s="1">
        <v>0.77</v>
      </c>
      <c r="C21" s="1">
        <v>2.6</v>
      </c>
    </row>
    <row r="22">
      <c r="A22" s="1" t="s">
        <v>86</v>
      </c>
      <c r="B22" s="1">
        <v>0.8</v>
      </c>
      <c r="C22" s="1">
        <v>2.6</v>
      </c>
    </row>
    <row r="23">
      <c r="A23" s="1" t="s">
        <v>169</v>
      </c>
      <c r="B23" s="6">
        <v>0.81</v>
      </c>
      <c r="C23" s="1">
        <v>3.75</v>
      </c>
    </row>
    <row r="24">
      <c r="A24" s="1" t="s">
        <v>45</v>
      </c>
      <c r="B24" s="1">
        <v>0.82</v>
      </c>
      <c r="C24" s="1">
        <v>3.75</v>
      </c>
    </row>
    <row r="25">
      <c r="A25" s="1" t="s">
        <v>171</v>
      </c>
      <c r="B25" s="6">
        <v>0.94</v>
      </c>
      <c r="C25" s="1">
        <v>3.75</v>
      </c>
    </row>
    <row r="26">
      <c r="A26" s="1" t="s">
        <v>167</v>
      </c>
      <c r="B26" s="10">
        <v>0.95</v>
      </c>
      <c r="C26" s="1">
        <v>1.75</v>
      </c>
    </row>
    <row r="27">
      <c r="A27" s="1" t="s">
        <v>172</v>
      </c>
      <c r="B27" s="6">
        <v>1.03</v>
      </c>
      <c r="C27" s="1">
        <v>3.75</v>
      </c>
    </row>
    <row r="28">
      <c r="A28" s="1" t="s">
        <v>173</v>
      </c>
      <c r="B28" s="1">
        <v>1.05</v>
      </c>
      <c r="C28" s="1">
        <v>2.16</v>
      </c>
    </row>
    <row r="29">
      <c r="A29" s="1" t="s">
        <v>83</v>
      </c>
      <c r="B29" s="1">
        <v>1.12</v>
      </c>
      <c r="C29" s="1">
        <v>2.6</v>
      </c>
    </row>
    <row r="30">
      <c r="A30" s="1" t="s">
        <v>62</v>
      </c>
      <c r="B30" s="1">
        <v>1.34</v>
      </c>
      <c r="C30" s="1">
        <v>2.2</v>
      </c>
    </row>
    <row r="31">
      <c r="A31" s="1" t="s">
        <v>174</v>
      </c>
      <c r="B31" s="1">
        <v>1.46</v>
      </c>
      <c r="C31" s="1">
        <v>2.16</v>
      </c>
    </row>
    <row r="32">
      <c r="A32" s="1" t="s">
        <v>74</v>
      </c>
      <c r="B32" s="1">
        <v>1.9</v>
      </c>
      <c r="C32" s="1">
        <v>2.16</v>
      </c>
    </row>
    <row r="33">
      <c r="A33" s="1" t="s">
        <v>51</v>
      </c>
      <c r="B33" s="6">
        <v>2.06</v>
      </c>
      <c r="C33" s="1">
        <v>3.75</v>
      </c>
    </row>
    <row r="35">
      <c r="A35" s="1" t="s">
        <v>154</v>
      </c>
      <c r="B35" s="1"/>
      <c r="C35" s="1">
        <v>5.0</v>
      </c>
    </row>
    <row r="36">
      <c r="A36" s="31" t="s">
        <v>90</v>
      </c>
      <c r="B36" s="2"/>
      <c r="C36" s="1">
        <v>5.0</v>
      </c>
    </row>
    <row r="37">
      <c r="A37" s="1" t="s">
        <v>155</v>
      </c>
      <c r="B37" s="2"/>
      <c r="C37" s="1">
        <v>5.0</v>
      </c>
    </row>
    <row r="38">
      <c r="A38" s="2"/>
      <c r="B38" s="2"/>
      <c r="C38" s="2"/>
    </row>
    <row r="39">
      <c r="A39" s="2"/>
      <c r="B39" s="2"/>
      <c r="C39" s="2"/>
    </row>
    <row r="40">
      <c r="A40" s="3"/>
      <c r="B40" s="3"/>
      <c r="C40" s="3"/>
    </row>
    <row r="41">
      <c r="A41" s="1"/>
      <c r="B41" s="10"/>
      <c r="C41" s="1"/>
    </row>
    <row r="42">
      <c r="A42" s="1"/>
      <c r="B42" s="1"/>
      <c r="C42" s="1"/>
    </row>
    <row r="43">
      <c r="A43" s="1"/>
      <c r="B43" s="1"/>
      <c r="C43" s="1"/>
    </row>
    <row r="44">
      <c r="A44" s="1"/>
      <c r="B44" s="1"/>
      <c r="C44" s="1"/>
    </row>
    <row r="45">
      <c r="A45" s="28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  <row r="49">
      <c r="A49" s="1"/>
      <c r="B49" s="1"/>
      <c r="C49" s="1"/>
    </row>
    <row r="50">
      <c r="A50" s="1"/>
      <c r="B50" s="1"/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C56" s="1"/>
    </row>
    <row r="57">
      <c r="A57" s="1"/>
      <c r="C57" s="1"/>
    </row>
    <row r="58">
      <c r="A58" s="1"/>
      <c r="C58" s="1"/>
    </row>
    <row r="59">
      <c r="A59" s="1"/>
      <c r="C59" s="1"/>
    </row>
    <row r="60">
      <c r="A60" s="30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31"/>
      <c r="B73" s="2"/>
      <c r="C73" s="1"/>
    </row>
    <row r="74">
      <c r="A74" s="1"/>
      <c r="B74" s="2"/>
      <c r="C74" s="1"/>
    </row>
    <row r="75">
      <c r="A75" s="2"/>
      <c r="B75" s="2"/>
      <c r="C75" s="2"/>
    </row>
    <row r="76">
      <c r="A76" s="2"/>
      <c r="B76" s="2"/>
      <c r="C76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16.13"/>
    <col customWidth="1" min="3" max="3" width="17.5"/>
  </cols>
  <sheetData>
    <row r="1">
      <c r="A1" s="1"/>
      <c r="B1" s="1"/>
      <c r="C1" s="1"/>
    </row>
    <row r="2">
      <c r="A2" s="3" t="s">
        <v>1</v>
      </c>
      <c r="B2" s="3">
        <v>2024.0</v>
      </c>
      <c r="C2" s="29" t="s">
        <v>8</v>
      </c>
    </row>
    <row r="3">
      <c r="A3" s="1" t="s">
        <v>156</v>
      </c>
      <c r="B3" s="1">
        <v>0.13</v>
      </c>
      <c r="C3" s="1">
        <v>1.75</v>
      </c>
    </row>
    <row r="4">
      <c r="A4" s="1" t="s">
        <v>157</v>
      </c>
      <c r="B4" s="1">
        <v>0.21</v>
      </c>
      <c r="C4" s="1">
        <v>2.6</v>
      </c>
    </row>
    <row r="5">
      <c r="A5" s="1" t="s">
        <v>40</v>
      </c>
      <c r="B5" s="1">
        <v>0.26</v>
      </c>
      <c r="C5" s="1">
        <v>4.33</v>
      </c>
    </row>
    <row r="6">
      <c r="A6" s="1" t="s">
        <v>158</v>
      </c>
      <c r="B6" s="1">
        <v>0.34</v>
      </c>
      <c r="C6" s="1">
        <v>1.75</v>
      </c>
    </row>
    <row r="7">
      <c r="A7" s="1" t="s">
        <v>160</v>
      </c>
      <c r="B7" s="1">
        <v>0.34</v>
      </c>
      <c r="C7" s="1">
        <v>2.0</v>
      </c>
    </row>
    <row r="8">
      <c r="A8" s="1" t="s">
        <v>175</v>
      </c>
      <c r="B8" s="1">
        <v>0.38</v>
      </c>
      <c r="C8" s="1">
        <v>3.75</v>
      </c>
    </row>
    <row r="9">
      <c r="A9" s="1" t="s">
        <v>159</v>
      </c>
      <c r="B9" s="1">
        <v>0.4</v>
      </c>
      <c r="C9" s="1">
        <v>2.0</v>
      </c>
    </row>
    <row r="10">
      <c r="A10" s="1" t="s">
        <v>37</v>
      </c>
      <c r="B10" s="1">
        <v>0.46</v>
      </c>
      <c r="C10" s="1">
        <v>4.34</v>
      </c>
    </row>
    <row r="11">
      <c r="A11" s="1" t="s">
        <v>163</v>
      </c>
      <c r="B11" s="1">
        <v>0.48</v>
      </c>
      <c r="C11" s="1">
        <v>3.75</v>
      </c>
    </row>
    <row r="12">
      <c r="A12" s="1" t="s">
        <v>161</v>
      </c>
      <c r="B12" s="1">
        <v>0.51</v>
      </c>
      <c r="C12" s="1">
        <v>2.16</v>
      </c>
    </row>
    <row r="13">
      <c r="A13" s="28" t="s">
        <v>24</v>
      </c>
      <c r="B13" s="1">
        <v>0.53</v>
      </c>
      <c r="C13" s="1">
        <v>2.0</v>
      </c>
    </row>
    <row r="14">
      <c r="A14" s="1" t="s">
        <v>162</v>
      </c>
      <c r="B14" s="1">
        <v>0.57</v>
      </c>
      <c r="C14" s="1">
        <v>2.0</v>
      </c>
    </row>
    <row r="15">
      <c r="A15" s="1" t="s">
        <v>81</v>
      </c>
      <c r="B15" s="1">
        <v>0.63</v>
      </c>
      <c r="C15" s="1">
        <v>2.6</v>
      </c>
    </row>
    <row r="16">
      <c r="A16" s="1" t="s">
        <v>165</v>
      </c>
      <c r="B16" s="1">
        <v>0.64</v>
      </c>
      <c r="C16" s="1">
        <v>4.33</v>
      </c>
    </row>
    <row r="17">
      <c r="A17" s="1" t="s">
        <v>62</v>
      </c>
      <c r="B17" s="1">
        <v>0.66</v>
      </c>
      <c r="C17" s="1">
        <v>2.2</v>
      </c>
    </row>
    <row r="18">
      <c r="A18" s="1" t="s">
        <v>164</v>
      </c>
      <c r="B18" s="1">
        <v>0.69</v>
      </c>
      <c r="C18" s="1">
        <v>1.75</v>
      </c>
    </row>
    <row r="19">
      <c r="A19" s="1" t="s">
        <v>166</v>
      </c>
      <c r="B19" s="1">
        <v>0.73</v>
      </c>
      <c r="C19" s="1">
        <v>3.75</v>
      </c>
    </row>
    <row r="20">
      <c r="A20" s="1" t="s">
        <v>168</v>
      </c>
      <c r="B20" s="1">
        <v>0.77</v>
      </c>
      <c r="C20" s="1">
        <v>2.16</v>
      </c>
    </row>
    <row r="21">
      <c r="A21" s="1" t="s">
        <v>79</v>
      </c>
      <c r="B21" s="1">
        <v>0.77</v>
      </c>
      <c r="C21" s="1">
        <v>2.6</v>
      </c>
    </row>
    <row r="22">
      <c r="A22" s="1" t="s">
        <v>86</v>
      </c>
      <c r="B22" s="1">
        <v>0.8</v>
      </c>
      <c r="C22" s="1">
        <v>2.6</v>
      </c>
    </row>
    <row r="23">
      <c r="A23" s="1" t="s">
        <v>169</v>
      </c>
      <c r="B23" s="6">
        <v>0.81</v>
      </c>
      <c r="C23" s="1">
        <v>3.75</v>
      </c>
    </row>
    <row r="24">
      <c r="A24" s="1" t="s">
        <v>45</v>
      </c>
      <c r="B24" s="1">
        <v>0.82</v>
      </c>
      <c r="C24" s="1">
        <v>3.75</v>
      </c>
    </row>
    <row r="25">
      <c r="A25" s="30" t="s">
        <v>170</v>
      </c>
      <c r="B25" s="1">
        <v>0.82</v>
      </c>
      <c r="C25" s="1">
        <v>1.0</v>
      </c>
    </row>
    <row r="26">
      <c r="A26" s="1" t="s">
        <v>171</v>
      </c>
      <c r="B26" s="6">
        <v>0.94</v>
      </c>
      <c r="C26" s="1">
        <v>3.75</v>
      </c>
    </row>
    <row r="27">
      <c r="A27" s="1" t="s">
        <v>167</v>
      </c>
      <c r="B27" s="10">
        <v>0.95</v>
      </c>
      <c r="C27" s="1">
        <v>1.75</v>
      </c>
    </row>
    <row r="28">
      <c r="A28" s="1" t="s">
        <v>172</v>
      </c>
      <c r="B28" s="6">
        <v>1.03</v>
      </c>
      <c r="C28" s="1">
        <v>3.75</v>
      </c>
    </row>
    <row r="29">
      <c r="A29" s="1" t="s">
        <v>173</v>
      </c>
      <c r="B29" s="1">
        <v>1.05</v>
      </c>
      <c r="C29" s="1">
        <v>2.16</v>
      </c>
    </row>
    <row r="30">
      <c r="A30" s="1" t="s">
        <v>83</v>
      </c>
      <c r="B30" s="1">
        <v>1.35</v>
      </c>
      <c r="C30" s="1">
        <v>2.6</v>
      </c>
    </row>
    <row r="31">
      <c r="A31" s="1" t="s">
        <v>74</v>
      </c>
      <c r="B31" s="1">
        <v>1.61</v>
      </c>
      <c r="C31" s="1">
        <v>2.16</v>
      </c>
    </row>
    <row r="32">
      <c r="A32" s="1" t="s">
        <v>174</v>
      </c>
      <c r="B32" s="1">
        <v>1.87</v>
      </c>
      <c r="C32" s="1">
        <v>2.16</v>
      </c>
    </row>
    <row r="33">
      <c r="A33" s="1" t="s">
        <v>51</v>
      </c>
      <c r="B33" s="6">
        <v>2.06</v>
      </c>
      <c r="C33" s="1">
        <v>3.75</v>
      </c>
    </row>
    <row r="35">
      <c r="A35" s="1" t="s">
        <v>154</v>
      </c>
      <c r="B35" s="2"/>
      <c r="C35" s="1">
        <v>5.0</v>
      </c>
    </row>
    <row r="36">
      <c r="A36" s="31" t="s">
        <v>90</v>
      </c>
      <c r="B36" s="2"/>
      <c r="C36" s="1">
        <v>5.0</v>
      </c>
    </row>
    <row r="37">
      <c r="A37" s="1" t="s">
        <v>155</v>
      </c>
      <c r="B37" s="2"/>
      <c r="C37" s="1">
        <v>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hidden="1" min="3" max="8" width="12.63"/>
    <col customWidth="1" min="9" max="9" width="21.5"/>
    <col customWidth="1" min="10" max="10" width="23.0"/>
  </cols>
  <sheetData>
    <row r="1">
      <c r="A1" s="1"/>
      <c r="B1" s="7"/>
      <c r="C1" s="2"/>
      <c r="D1" s="1"/>
      <c r="E1" s="1"/>
      <c r="F1" s="1"/>
      <c r="G1" s="1"/>
      <c r="H1" s="1"/>
      <c r="I1" s="10"/>
      <c r="J1" s="1"/>
    </row>
    <row r="2">
      <c r="A2" s="3" t="s">
        <v>1</v>
      </c>
      <c r="B2" s="3"/>
      <c r="C2" s="3" t="s">
        <v>5</v>
      </c>
      <c r="D2" s="3">
        <v>2020.0</v>
      </c>
      <c r="E2" s="3">
        <v>2021.0</v>
      </c>
      <c r="F2" s="3">
        <v>2022.0</v>
      </c>
      <c r="G2" s="3">
        <v>2023.0</v>
      </c>
      <c r="H2" s="3">
        <v>2024.0</v>
      </c>
      <c r="I2" s="29" t="s">
        <v>176</v>
      </c>
      <c r="J2" s="29" t="s">
        <v>8</v>
      </c>
    </row>
    <row r="3">
      <c r="A3" s="1" t="s">
        <v>156</v>
      </c>
      <c r="B3" s="7"/>
      <c r="C3" s="2"/>
      <c r="D3" s="1">
        <v>0.13</v>
      </c>
      <c r="E3" s="1">
        <v>0.13</v>
      </c>
      <c r="F3" s="1">
        <v>0.13</v>
      </c>
      <c r="G3" s="1">
        <v>0.13</v>
      </c>
      <c r="H3" s="1">
        <v>0.13</v>
      </c>
      <c r="I3" s="10">
        <f t="shared" ref="I3:I33" si="1">SUM(D3:H3)/5</f>
        <v>0.13</v>
      </c>
      <c r="J3" s="1">
        <v>1.75</v>
      </c>
    </row>
    <row r="4">
      <c r="A4" s="1" t="s">
        <v>157</v>
      </c>
      <c r="B4" s="7"/>
      <c r="C4" s="2"/>
      <c r="D4" s="1">
        <v>0.21</v>
      </c>
      <c r="E4" s="1">
        <v>0.21</v>
      </c>
      <c r="F4" s="1">
        <v>0.21</v>
      </c>
      <c r="G4" s="1">
        <v>0.21</v>
      </c>
      <c r="H4" s="1">
        <v>0.21</v>
      </c>
      <c r="I4" s="10">
        <f t="shared" si="1"/>
        <v>0.21</v>
      </c>
      <c r="J4" s="1">
        <v>2.6</v>
      </c>
    </row>
    <row r="5">
      <c r="A5" s="28" t="s">
        <v>24</v>
      </c>
      <c r="B5" s="1"/>
      <c r="C5" s="9" t="s">
        <v>13</v>
      </c>
      <c r="D5" s="1">
        <v>-0.09</v>
      </c>
      <c r="E5" s="1">
        <v>0.01</v>
      </c>
      <c r="F5" s="1">
        <v>0.2</v>
      </c>
      <c r="G5" s="1">
        <v>0.53</v>
      </c>
      <c r="H5" s="1">
        <v>0.53</v>
      </c>
      <c r="I5" s="10">
        <f t="shared" si="1"/>
        <v>0.236</v>
      </c>
      <c r="J5" s="1">
        <v>2.0</v>
      </c>
    </row>
    <row r="6">
      <c r="A6" s="1" t="s">
        <v>40</v>
      </c>
      <c r="B6" s="7"/>
      <c r="C6" s="2"/>
      <c r="D6" s="1">
        <v>0.26</v>
      </c>
      <c r="E6" s="1">
        <v>0.26</v>
      </c>
      <c r="F6" s="1">
        <v>0.26</v>
      </c>
      <c r="G6" s="1">
        <v>0.26</v>
      </c>
      <c r="H6" s="1">
        <v>0.26</v>
      </c>
      <c r="I6" s="10">
        <f t="shared" si="1"/>
        <v>0.26</v>
      </c>
      <c r="J6" s="1">
        <v>4.33</v>
      </c>
    </row>
    <row r="7">
      <c r="A7" s="1" t="s">
        <v>175</v>
      </c>
      <c r="B7" s="7"/>
      <c r="C7" s="2"/>
      <c r="D7" s="1">
        <v>0.38</v>
      </c>
      <c r="E7" s="1">
        <v>0.38</v>
      </c>
      <c r="F7" s="1">
        <v>0.38</v>
      </c>
      <c r="G7" s="1">
        <v>0.38</v>
      </c>
      <c r="H7" s="1">
        <v>0.38</v>
      </c>
      <c r="I7" s="10">
        <f t="shared" si="1"/>
        <v>0.38</v>
      </c>
      <c r="J7" s="1">
        <v>3.75</v>
      </c>
    </row>
    <row r="8">
      <c r="A8" s="1" t="s">
        <v>158</v>
      </c>
      <c r="B8" s="1"/>
      <c r="C8" s="9" t="s">
        <v>13</v>
      </c>
      <c r="D8" s="1">
        <v>0.43</v>
      </c>
      <c r="E8" s="1">
        <v>0.43</v>
      </c>
      <c r="F8" s="1">
        <v>0.4</v>
      </c>
      <c r="G8" s="1">
        <v>0.34</v>
      </c>
      <c r="H8" s="1">
        <v>0.34</v>
      </c>
      <c r="I8" s="10">
        <f t="shared" si="1"/>
        <v>0.388</v>
      </c>
      <c r="J8" s="1">
        <v>1.75</v>
      </c>
    </row>
    <row r="9">
      <c r="A9" s="1" t="s">
        <v>159</v>
      </c>
      <c r="B9" s="1"/>
      <c r="C9" s="9" t="s">
        <v>13</v>
      </c>
      <c r="D9" s="1">
        <v>0.23</v>
      </c>
      <c r="E9" s="1">
        <v>0.42</v>
      </c>
      <c r="F9" s="1">
        <v>0.64</v>
      </c>
      <c r="G9" s="1">
        <v>0.4</v>
      </c>
      <c r="H9" s="1">
        <v>0.4</v>
      </c>
      <c r="I9" s="10">
        <f t="shared" si="1"/>
        <v>0.418</v>
      </c>
      <c r="J9" s="1">
        <v>2.0</v>
      </c>
    </row>
    <row r="10">
      <c r="A10" s="1" t="s">
        <v>37</v>
      </c>
      <c r="B10" s="7"/>
      <c r="C10" s="9" t="s">
        <v>13</v>
      </c>
      <c r="D10" s="1">
        <v>0.46</v>
      </c>
      <c r="E10" s="1">
        <v>0.46</v>
      </c>
      <c r="F10" s="1">
        <v>0.46</v>
      </c>
      <c r="G10" s="1">
        <v>0.46</v>
      </c>
      <c r="H10" s="1">
        <v>0.46</v>
      </c>
      <c r="I10" s="10">
        <f t="shared" si="1"/>
        <v>0.46</v>
      </c>
      <c r="J10" s="1">
        <v>4.34</v>
      </c>
    </row>
    <row r="11">
      <c r="A11" s="1" t="s">
        <v>160</v>
      </c>
      <c r="B11" s="1"/>
      <c r="C11" s="9" t="s">
        <v>13</v>
      </c>
      <c r="D11" s="1">
        <v>0.5</v>
      </c>
      <c r="E11" s="1">
        <v>0.5</v>
      </c>
      <c r="F11" s="1">
        <v>0.5</v>
      </c>
      <c r="G11" s="1">
        <v>0.5</v>
      </c>
      <c r="H11" s="1">
        <v>0.34</v>
      </c>
      <c r="I11" s="10">
        <f t="shared" si="1"/>
        <v>0.468</v>
      </c>
      <c r="J11" s="1">
        <v>2.0</v>
      </c>
    </row>
    <row r="12">
      <c r="A12" s="1" t="s">
        <v>161</v>
      </c>
      <c r="B12" s="7"/>
      <c r="C12" s="9" t="s">
        <v>13</v>
      </c>
      <c r="D12" s="1">
        <v>0.51</v>
      </c>
      <c r="E12" s="1">
        <v>0.51</v>
      </c>
      <c r="F12" s="1">
        <v>0.51</v>
      </c>
      <c r="G12" s="1">
        <v>0.51</v>
      </c>
      <c r="H12" s="1">
        <v>0.51</v>
      </c>
      <c r="I12" s="10">
        <f t="shared" si="1"/>
        <v>0.51</v>
      </c>
      <c r="J12" s="1">
        <v>2.16</v>
      </c>
    </row>
    <row r="13">
      <c r="A13" s="1" t="s">
        <v>162</v>
      </c>
      <c r="B13" s="1"/>
      <c r="C13" s="9" t="s">
        <v>13</v>
      </c>
      <c r="D13" s="1">
        <v>0.44</v>
      </c>
      <c r="E13" s="1">
        <v>0.41</v>
      </c>
      <c r="F13" s="1">
        <v>0.63</v>
      </c>
      <c r="G13" s="1">
        <v>0.57</v>
      </c>
      <c r="H13" s="1">
        <v>0.57</v>
      </c>
      <c r="I13" s="10">
        <f t="shared" si="1"/>
        <v>0.524</v>
      </c>
      <c r="J13" s="1">
        <v>2.0</v>
      </c>
    </row>
    <row r="14">
      <c r="A14" s="1" t="s">
        <v>163</v>
      </c>
      <c r="B14" s="7"/>
      <c r="C14" s="2"/>
      <c r="D14" s="1">
        <v>0.6</v>
      </c>
      <c r="E14" s="1">
        <v>0.6</v>
      </c>
      <c r="F14" s="1">
        <v>0.6</v>
      </c>
      <c r="G14" s="1">
        <v>0.48</v>
      </c>
      <c r="H14" s="1">
        <v>0.48</v>
      </c>
      <c r="I14" s="10">
        <f t="shared" si="1"/>
        <v>0.552</v>
      </c>
      <c r="J14" s="1">
        <v>3.75</v>
      </c>
    </row>
    <row r="15">
      <c r="A15" s="1" t="s">
        <v>164</v>
      </c>
      <c r="B15" s="1"/>
      <c r="C15" s="9" t="s">
        <v>13</v>
      </c>
      <c r="D15" s="1">
        <v>0.46</v>
      </c>
      <c r="E15" s="1">
        <v>0.6</v>
      </c>
      <c r="F15" s="1">
        <v>0.6</v>
      </c>
      <c r="G15" s="1">
        <v>0.74</v>
      </c>
      <c r="H15" s="1">
        <v>0.69</v>
      </c>
      <c r="I15" s="10">
        <f t="shared" si="1"/>
        <v>0.618</v>
      </c>
      <c r="J15" s="1">
        <v>1.75</v>
      </c>
    </row>
    <row r="16">
      <c r="A16" s="1" t="s">
        <v>81</v>
      </c>
      <c r="B16" s="7"/>
      <c r="C16" s="2"/>
      <c r="D16" s="1">
        <v>0.63</v>
      </c>
      <c r="E16" s="1">
        <v>0.63</v>
      </c>
      <c r="F16" s="1">
        <v>0.63</v>
      </c>
      <c r="G16" s="1">
        <v>0.63</v>
      </c>
      <c r="H16" s="1">
        <v>0.63</v>
      </c>
      <c r="I16" s="10">
        <f t="shared" si="1"/>
        <v>0.63</v>
      </c>
      <c r="J16" s="1">
        <v>2.6</v>
      </c>
    </row>
    <row r="17">
      <c r="A17" s="1" t="s">
        <v>165</v>
      </c>
      <c r="B17" s="7"/>
      <c r="C17" s="9" t="s">
        <v>13</v>
      </c>
      <c r="D17" s="1">
        <v>0.64</v>
      </c>
      <c r="E17" s="1">
        <v>0.64</v>
      </c>
      <c r="F17" s="1">
        <v>0.64</v>
      </c>
      <c r="G17" s="1">
        <v>0.64</v>
      </c>
      <c r="H17" s="1">
        <v>0.64</v>
      </c>
      <c r="I17" s="10">
        <f t="shared" si="1"/>
        <v>0.64</v>
      </c>
      <c r="J17" s="1">
        <v>4.33</v>
      </c>
    </row>
    <row r="18">
      <c r="A18" s="1" t="s">
        <v>166</v>
      </c>
      <c r="B18" s="13"/>
      <c r="C18" s="9" t="s">
        <v>13</v>
      </c>
      <c r="D18" s="1">
        <v>0.73</v>
      </c>
      <c r="E18" s="1">
        <v>0.73</v>
      </c>
      <c r="F18" s="1">
        <v>0.73</v>
      </c>
      <c r="G18" s="1">
        <v>0.73</v>
      </c>
      <c r="H18" s="1">
        <v>0.73</v>
      </c>
      <c r="I18" s="10">
        <f t="shared" si="1"/>
        <v>0.73</v>
      </c>
      <c r="J18" s="1">
        <v>3.75</v>
      </c>
    </row>
    <row r="19">
      <c r="A19" s="1" t="s">
        <v>168</v>
      </c>
      <c r="B19" s="1"/>
      <c r="C19" s="9" t="s">
        <v>13</v>
      </c>
      <c r="D19" s="1">
        <v>0.77</v>
      </c>
      <c r="E19" s="1">
        <v>0.77</v>
      </c>
      <c r="F19" s="1">
        <v>0.77</v>
      </c>
      <c r="G19" s="1">
        <v>0.77</v>
      </c>
      <c r="H19" s="1">
        <v>0.77</v>
      </c>
      <c r="I19" s="10">
        <f t="shared" si="1"/>
        <v>0.77</v>
      </c>
      <c r="J19" s="1">
        <v>2.16</v>
      </c>
    </row>
    <row r="20">
      <c r="A20" s="1" t="s">
        <v>79</v>
      </c>
      <c r="B20" s="7"/>
      <c r="C20" s="2"/>
      <c r="D20" s="1">
        <v>0.77</v>
      </c>
      <c r="E20" s="1">
        <v>0.77</v>
      </c>
      <c r="F20" s="1">
        <v>0.77</v>
      </c>
      <c r="G20" s="1">
        <v>0.77</v>
      </c>
      <c r="H20" s="1">
        <v>0.77</v>
      </c>
      <c r="I20" s="10">
        <f t="shared" si="1"/>
        <v>0.77</v>
      </c>
      <c r="J20" s="1">
        <v>2.6</v>
      </c>
    </row>
    <row r="21">
      <c r="A21" s="1" t="s">
        <v>86</v>
      </c>
      <c r="B21" s="7"/>
      <c r="C21" s="9" t="s">
        <v>13</v>
      </c>
      <c r="D21" s="1">
        <v>0.8</v>
      </c>
      <c r="E21" s="1">
        <v>0.8</v>
      </c>
      <c r="F21" s="1">
        <v>0.8</v>
      </c>
      <c r="G21" s="1">
        <v>0.8</v>
      </c>
      <c r="H21" s="1">
        <v>0.8</v>
      </c>
      <c r="I21" s="10">
        <f t="shared" si="1"/>
        <v>0.8</v>
      </c>
      <c r="J21" s="1">
        <v>2.6</v>
      </c>
    </row>
    <row r="22">
      <c r="A22" s="1" t="s">
        <v>169</v>
      </c>
      <c r="B22" s="7"/>
      <c r="C22" s="2"/>
      <c r="D22" s="6">
        <v>0.81</v>
      </c>
      <c r="E22" s="6">
        <v>0.81</v>
      </c>
      <c r="F22" s="6">
        <v>0.81</v>
      </c>
      <c r="G22" s="6">
        <v>0.81</v>
      </c>
      <c r="H22" s="6">
        <v>0.81</v>
      </c>
      <c r="I22" s="10">
        <f t="shared" si="1"/>
        <v>0.81</v>
      </c>
      <c r="J22" s="1">
        <v>3.75</v>
      </c>
    </row>
    <row r="23">
      <c r="A23" s="1" t="s">
        <v>45</v>
      </c>
      <c r="B23" s="7"/>
      <c r="C23" s="9" t="s">
        <v>13</v>
      </c>
      <c r="D23" s="1">
        <v>0.82</v>
      </c>
      <c r="E23" s="1">
        <v>0.82</v>
      </c>
      <c r="F23" s="1">
        <v>0.82</v>
      </c>
      <c r="G23" s="1">
        <v>0.82</v>
      </c>
      <c r="H23" s="1">
        <v>0.82</v>
      </c>
      <c r="I23" s="10">
        <f t="shared" si="1"/>
        <v>0.82</v>
      </c>
      <c r="J23" s="1">
        <v>3.75</v>
      </c>
    </row>
    <row r="24">
      <c r="A24" s="30" t="s">
        <v>170</v>
      </c>
      <c r="B24" s="1"/>
      <c r="C24" s="9" t="s">
        <v>13</v>
      </c>
      <c r="D24" s="1">
        <v>0.54</v>
      </c>
      <c r="E24" s="1">
        <v>1.06</v>
      </c>
      <c r="F24" s="1">
        <v>1.01</v>
      </c>
      <c r="G24" s="1">
        <v>0.82</v>
      </c>
      <c r="H24" s="1">
        <v>0.82</v>
      </c>
      <c r="I24" s="10">
        <f t="shared" si="1"/>
        <v>0.85</v>
      </c>
      <c r="J24" s="1">
        <v>1.0</v>
      </c>
    </row>
    <row r="25">
      <c r="A25" s="1" t="s">
        <v>62</v>
      </c>
      <c r="B25" s="1"/>
      <c r="C25" s="9" t="s">
        <v>13</v>
      </c>
      <c r="D25" s="1">
        <v>1.34</v>
      </c>
      <c r="E25" s="1">
        <v>1.2</v>
      </c>
      <c r="F25" s="1">
        <v>0.66</v>
      </c>
      <c r="G25" s="1">
        <v>0.66</v>
      </c>
      <c r="H25" s="1">
        <v>0.66</v>
      </c>
      <c r="I25" s="10">
        <f t="shared" si="1"/>
        <v>0.904</v>
      </c>
      <c r="J25" s="1">
        <v>2.2</v>
      </c>
    </row>
    <row r="26">
      <c r="A26" s="1" t="s">
        <v>171</v>
      </c>
      <c r="B26" s="7"/>
      <c r="C26" s="9" t="s">
        <v>13</v>
      </c>
      <c r="D26" s="6">
        <v>0.94</v>
      </c>
      <c r="E26" s="6">
        <v>0.94</v>
      </c>
      <c r="F26" s="6">
        <v>0.94</v>
      </c>
      <c r="G26" s="6">
        <v>0.94</v>
      </c>
      <c r="H26" s="6">
        <v>0.94</v>
      </c>
      <c r="I26" s="10">
        <f t="shared" si="1"/>
        <v>0.94</v>
      </c>
      <c r="J26" s="1">
        <v>3.75</v>
      </c>
    </row>
    <row r="27">
      <c r="A27" s="1" t="s">
        <v>167</v>
      </c>
      <c r="B27" s="7"/>
      <c r="C27" s="9" t="s">
        <v>13</v>
      </c>
      <c r="D27" s="10">
        <v>0.95</v>
      </c>
      <c r="E27" s="10">
        <v>0.95</v>
      </c>
      <c r="F27" s="10">
        <v>0.95</v>
      </c>
      <c r="G27" s="10">
        <v>0.95</v>
      </c>
      <c r="H27" s="10">
        <v>0.95</v>
      </c>
      <c r="I27" s="10">
        <f t="shared" si="1"/>
        <v>0.95</v>
      </c>
      <c r="J27" s="1">
        <v>1.75</v>
      </c>
    </row>
    <row r="28">
      <c r="A28" s="1" t="s">
        <v>172</v>
      </c>
      <c r="B28" s="7"/>
      <c r="C28" s="9" t="s">
        <v>13</v>
      </c>
      <c r="D28" s="6">
        <v>1.03</v>
      </c>
      <c r="E28" s="6">
        <v>1.03</v>
      </c>
      <c r="F28" s="6">
        <v>1.03</v>
      </c>
      <c r="G28" s="6">
        <v>1.03</v>
      </c>
      <c r="H28" s="6">
        <v>1.03</v>
      </c>
      <c r="I28" s="10">
        <f t="shared" si="1"/>
        <v>1.03</v>
      </c>
      <c r="J28" s="1">
        <v>3.75</v>
      </c>
    </row>
    <row r="29">
      <c r="A29" s="1" t="s">
        <v>173</v>
      </c>
      <c r="B29" s="1"/>
      <c r="C29" s="2"/>
      <c r="D29" s="1">
        <v>1.05</v>
      </c>
      <c r="E29" s="1">
        <v>1.05</v>
      </c>
      <c r="F29" s="1">
        <v>1.05</v>
      </c>
      <c r="G29" s="1">
        <v>1.05</v>
      </c>
      <c r="H29" s="1">
        <v>1.05</v>
      </c>
      <c r="I29" s="10">
        <f t="shared" si="1"/>
        <v>1.05</v>
      </c>
      <c r="J29" s="1">
        <v>2.16</v>
      </c>
    </row>
    <row r="30">
      <c r="A30" s="1" t="s">
        <v>83</v>
      </c>
      <c r="B30" s="1"/>
      <c r="C30" s="2"/>
      <c r="D30" s="1">
        <v>1.12</v>
      </c>
      <c r="E30" s="1">
        <v>1.26</v>
      </c>
      <c r="F30" s="1">
        <v>1.38</v>
      </c>
      <c r="G30" s="1">
        <v>1.35</v>
      </c>
      <c r="H30" s="1">
        <v>1.35</v>
      </c>
      <c r="I30" s="10">
        <f t="shared" si="1"/>
        <v>1.292</v>
      </c>
      <c r="J30" s="1">
        <v>2.6</v>
      </c>
    </row>
    <row r="31">
      <c r="A31" s="1" t="s">
        <v>74</v>
      </c>
      <c r="B31" s="1"/>
      <c r="C31" s="9" t="s">
        <v>13</v>
      </c>
      <c r="D31" s="1">
        <v>1.9</v>
      </c>
      <c r="E31" s="1">
        <v>1.63</v>
      </c>
      <c r="F31" s="1">
        <v>1.51</v>
      </c>
      <c r="G31" s="1">
        <v>1.61</v>
      </c>
      <c r="H31" s="1">
        <v>1.61</v>
      </c>
      <c r="I31" s="10">
        <f t="shared" si="1"/>
        <v>1.652</v>
      </c>
      <c r="J31" s="1">
        <v>2.16</v>
      </c>
    </row>
    <row r="32">
      <c r="A32" s="1" t="s">
        <v>174</v>
      </c>
      <c r="B32" s="1"/>
      <c r="C32" s="9" t="s">
        <v>13</v>
      </c>
      <c r="D32" s="1">
        <v>1.46</v>
      </c>
      <c r="E32" s="1">
        <v>1.78</v>
      </c>
      <c r="F32" s="1">
        <v>1.46</v>
      </c>
      <c r="G32" s="1">
        <v>1.87</v>
      </c>
      <c r="H32" s="1">
        <v>1.87</v>
      </c>
      <c r="I32" s="10">
        <f t="shared" si="1"/>
        <v>1.688</v>
      </c>
      <c r="J32" s="1">
        <v>2.16</v>
      </c>
    </row>
    <row r="33">
      <c r="A33" s="1" t="s">
        <v>51</v>
      </c>
      <c r="B33" s="1"/>
      <c r="C33" s="2"/>
      <c r="D33" s="6">
        <v>2.06</v>
      </c>
      <c r="E33" s="6">
        <v>2.06</v>
      </c>
      <c r="F33" s="6">
        <v>2.06</v>
      </c>
      <c r="G33" s="6">
        <v>2.06</v>
      </c>
      <c r="H33" s="6">
        <v>2.06</v>
      </c>
      <c r="I33" s="10">
        <f t="shared" si="1"/>
        <v>2.06</v>
      </c>
      <c r="J33" s="1">
        <v>3.75</v>
      </c>
    </row>
    <row r="35">
      <c r="A35" s="1" t="s">
        <v>154</v>
      </c>
      <c r="B35" s="1"/>
      <c r="C35" s="2"/>
      <c r="D35" s="1"/>
      <c r="E35" s="2"/>
      <c r="F35" s="2"/>
      <c r="G35" s="2"/>
      <c r="H35" s="2"/>
      <c r="I35" s="2"/>
      <c r="J35" s="1">
        <v>5.0</v>
      </c>
    </row>
    <row r="36">
      <c r="A36" s="31" t="s">
        <v>90</v>
      </c>
      <c r="B36" s="2"/>
      <c r="C36" s="2"/>
      <c r="D36" s="2"/>
      <c r="E36" s="2"/>
      <c r="F36" s="2"/>
      <c r="G36" s="2"/>
      <c r="H36" s="2"/>
      <c r="I36" s="2"/>
      <c r="J36" s="1">
        <v>5.0</v>
      </c>
    </row>
    <row r="37">
      <c r="A37" s="1" t="s">
        <v>155</v>
      </c>
      <c r="B37" s="2"/>
      <c r="C37" s="2"/>
      <c r="D37" s="2"/>
      <c r="E37" s="2"/>
      <c r="F37" s="2"/>
      <c r="G37" s="2"/>
      <c r="H37" s="2"/>
      <c r="I37" s="2"/>
      <c r="J37" s="1">
        <v>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13"/>
    <col hidden="1" min="3" max="9" width="12.63"/>
    <col customWidth="1" min="10" max="10" width="17.38"/>
    <col customWidth="1" min="11" max="11" width="19.75"/>
    <col customWidth="1" min="15" max="15" width="35.0"/>
    <col customWidth="1" min="16" max="16" width="17.13"/>
    <col customWidth="1" min="20" max="20" width="27.75"/>
    <col customWidth="1" min="21" max="21" width="16.75"/>
  </cols>
  <sheetData>
    <row r="2">
      <c r="A2" s="3"/>
      <c r="B2" s="32" t="s">
        <v>177</v>
      </c>
      <c r="C2" s="32"/>
      <c r="D2" s="32" t="s">
        <v>5</v>
      </c>
      <c r="E2" s="32">
        <v>2020.0</v>
      </c>
      <c r="F2" s="32">
        <v>2021.0</v>
      </c>
      <c r="G2" s="32">
        <v>2022.0</v>
      </c>
      <c r="H2" s="32">
        <v>2023.0</v>
      </c>
      <c r="I2" s="32">
        <v>2024.0</v>
      </c>
      <c r="J2" s="33" t="s">
        <v>178</v>
      </c>
      <c r="K2" s="33" t="s">
        <v>179</v>
      </c>
      <c r="O2" s="32" t="s">
        <v>177</v>
      </c>
      <c r="P2" s="33" t="s">
        <v>180</v>
      </c>
      <c r="Q2" s="29" t="s">
        <v>179</v>
      </c>
      <c r="T2" s="32" t="s">
        <v>177</v>
      </c>
      <c r="U2" s="33" t="s">
        <v>181</v>
      </c>
      <c r="V2" s="29" t="s">
        <v>179</v>
      </c>
    </row>
    <row r="3">
      <c r="A3" s="1"/>
      <c r="B3" s="34" t="s">
        <v>21</v>
      </c>
      <c r="C3" s="35"/>
      <c r="D3" s="22"/>
      <c r="E3" s="34">
        <v>0.13</v>
      </c>
      <c r="F3" s="34">
        <v>0.13</v>
      </c>
      <c r="G3" s="34">
        <v>0.13</v>
      </c>
      <c r="H3" s="34">
        <v>0.13</v>
      </c>
      <c r="I3" s="34">
        <v>0.13</v>
      </c>
      <c r="J3" s="36">
        <f t="shared" ref="J3:J12" si="1">SUM(E3:I3)/5</f>
        <v>0.13</v>
      </c>
      <c r="K3" s="34">
        <v>1.75</v>
      </c>
      <c r="O3" s="34" t="s">
        <v>21</v>
      </c>
      <c r="P3" s="34">
        <v>0.13</v>
      </c>
      <c r="Q3" s="1">
        <v>1.75</v>
      </c>
      <c r="T3" s="37" t="s">
        <v>24</v>
      </c>
      <c r="U3" s="34">
        <v>-0.09</v>
      </c>
      <c r="V3" s="1">
        <v>2.0</v>
      </c>
    </row>
    <row r="4">
      <c r="A4" s="1"/>
      <c r="B4" s="34" t="s">
        <v>76</v>
      </c>
      <c r="C4" s="35"/>
      <c r="D4" s="22"/>
      <c r="E4" s="34">
        <v>0.21</v>
      </c>
      <c r="F4" s="34">
        <v>0.21</v>
      </c>
      <c r="G4" s="34">
        <v>0.21</v>
      </c>
      <c r="H4" s="34">
        <v>0.21</v>
      </c>
      <c r="I4" s="34">
        <v>0.21</v>
      </c>
      <c r="J4" s="36">
        <f t="shared" si="1"/>
        <v>0.21</v>
      </c>
      <c r="K4" s="34">
        <v>2.6</v>
      </c>
      <c r="O4" s="34" t="s">
        <v>76</v>
      </c>
      <c r="P4" s="34">
        <v>0.21</v>
      </c>
      <c r="Q4" s="1">
        <v>2.6</v>
      </c>
      <c r="T4" s="34" t="s">
        <v>21</v>
      </c>
      <c r="U4" s="34">
        <v>0.13</v>
      </c>
      <c r="V4" s="1">
        <v>1.75</v>
      </c>
    </row>
    <row r="5">
      <c r="A5" s="28"/>
      <c r="B5" s="37" t="s">
        <v>24</v>
      </c>
      <c r="C5" s="34"/>
      <c r="D5" s="38" t="s">
        <v>13</v>
      </c>
      <c r="E5" s="34">
        <v>-0.09</v>
      </c>
      <c r="F5" s="34">
        <v>0.01</v>
      </c>
      <c r="G5" s="34">
        <v>0.2</v>
      </c>
      <c r="H5" s="34">
        <v>0.53</v>
      </c>
      <c r="I5" s="34">
        <v>0.53</v>
      </c>
      <c r="J5" s="36">
        <f t="shared" si="1"/>
        <v>0.236</v>
      </c>
      <c r="K5" s="34">
        <v>2.0</v>
      </c>
      <c r="O5" s="34" t="s">
        <v>40</v>
      </c>
      <c r="P5" s="34">
        <v>0.26</v>
      </c>
      <c r="Q5" s="1">
        <v>4.33</v>
      </c>
      <c r="T5" s="34" t="s">
        <v>76</v>
      </c>
      <c r="U5" s="34">
        <v>0.21</v>
      </c>
      <c r="V5" s="1">
        <v>2.6</v>
      </c>
    </row>
    <row r="6">
      <c r="A6" s="1"/>
      <c r="B6" s="34" t="s">
        <v>40</v>
      </c>
      <c r="C6" s="35"/>
      <c r="D6" s="22"/>
      <c r="E6" s="34">
        <v>0.26</v>
      </c>
      <c r="F6" s="34">
        <v>0.26</v>
      </c>
      <c r="G6" s="34">
        <v>0.26</v>
      </c>
      <c r="H6" s="34">
        <v>0.26</v>
      </c>
      <c r="I6" s="34">
        <v>0.26</v>
      </c>
      <c r="J6" s="36">
        <f t="shared" si="1"/>
        <v>0.26</v>
      </c>
      <c r="K6" s="34">
        <v>4.33</v>
      </c>
      <c r="O6" s="34" t="s">
        <v>15</v>
      </c>
      <c r="P6" s="34">
        <v>0.34</v>
      </c>
      <c r="Q6" s="1">
        <v>1.75</v>
      </c>
      <c r="T6" s="34" t="s">
        <v>159</v>
      </c>
      <c r="U6" s="34">
        <v>0.23</v>
      </c>
      <c r="V6" s="1">
        <v>2.0</v>
      </c>
    </row>
    <row r="7">
      <c r="A7" s="1"/>
      <c r="B7" s="34" t="s">
        <v>42</v>
      </c>
      <c r="C7" s="35"/>
      <c r="D7" s="22"/>
      <c r="E7" s="34">
        <v>0.38</v>
      </c>
      <c r="F7" s="34">
        <v>0.38</v>
      </c>
      <c r="G7" s="34">
        <v>0.38</v>
      </c>
      <c r="H7" s="34">
        <v>0.38</v>
      </c>
      <c r="I7" s="34">
        <v>0.38</v>
      </c>
      <c r="J7" s="36">
        <f t="shared" si="1"/>
        <v>0.38</v>
      </c>
      <c r="K7" s="34">
        <v>3.75</v>
      </c>
      <c r="O7" s="34" t="s">
        <v>29</v>
      </c>
      <c r="P7" s="34">
        <v>0.34</v>
      </c>
      <c r="Q7" s="1">
        <v>2.0</v>
      </c>
      <c r="T7" s="34" t="s">
        <v>40</v>
      </c>
      <c r="U7" s="34">
        <v>0.26</v>
      </c>
      <c r="V7" s="1">
        <v>4.33</v>
      </c>
    </row>
    <row r="8">
      <c r="A8" s="1"/>
      <c r="B8" s="34" t="s">
        <v>15</v>
      </c>
      <c r="C8" s="34"/>
      <c r="D8" s="38" t="s">
        <v>13</v>
      </c>
      <c r="E8" s="34">
        <v>0.43</v>
      </c>
      <c r="F8" s="34">
        <v>0.43</v>
      </c>
      <c r="G8" s="34">
        <v>0.4</v>
      </c>
      <c r="H8" s="34">
        <v>0.34</v>
      </c>
      <c r="I8" s="34">
        <v>0.34</v>
      </c>
      <c r="J8" s="36">
        <f t="shared" si="1"/>
        <v>0.388</v>
      </c>
      <c r="K8" s="34">
        <v>1.75</v>
      </c>
      <c r="O8" s="34" t="s">
        <v>42</v>
      </c>
      <c r="P8" s="34">
        <v>0.38</v>
      </c>
      <c r="Q8" s="1">
        <v>3.75</v>
      </c>
      <c r="T8" s="34" t="s">
        <v>42</v>
      </c>
      <c r="U8" s="34">
        <v>0.38</v>
      </c>
      <c r="V8" s="1">
        <v>3.75</v>
      </c>
    </row>
    <row r="9">
      <c r="A9" s="1"/>
      <c r="B9" s="34" t="s">
        <v>159</v>
      </c>
      <c r="C9" s="34"/>
      <c r="D9" s="38" t="s">
        <v>13</v>
      </c>
      <c r="E9" s="34">
        <v>0.23</v>
      </c>
      <c r="F9" s="34">
        <v>0.42</v>
      </c>
      <c r="G9" s="34">
        <v>0.64</v>
      </c>
      <c r="H9" s="34">
        <v>0.4</v>
      </c>
      <c r="I9" s="34">
        <v>0.4</v>
      </c>
      <c r="J9" s="36">
        <f t="shared" si="1"/>
        <v>0.418</v>
      </c>
      <c r="K9" s="34">
        <v>2.0</v>
      </c>
      <c r="O9" s="34" t="s">
        <v>159</v>
      </c>
      <c r="P9" s="34">
        <v>0.4</v>
      </c>
      <c r="Q9" s="1">
        <v>2.0</v>
      </c>
      <c r="T9" s="34" t="s">
        <v>15</v>
      </c>
      <c r="U9" s="34">
        <v>0.43</v>
      </c>
      <c r="V9" s="1">
        <v>1.75</v>
      </c>
    </row>
    <row r="10">
      <c r="A10" s="1"/>
      <c r="B10" s="34" t="s">
        <v>37</v>
      </c>
      <c r="C10" s="35"/>
      <c r="D10" s="38" t="s">
        <v>13</v>
      </c>
      <c r="E10" s="34">
        <v>0.46</v>
      </c>
      <c r="F10" s="34">
        <v>0.46</v>
      </c>
      <c r="G10" s="34">
        <v>0.46</v>
      </c>
      <c r="H10" s="34">
        <v>0.46</v>
      </c>
      <c r="I10" s="34">
        <v>0.46</v>
      </c>
      <c r="J10" s="36">
        <f t="shared" si="1"/>
        <v>0.46</v>
      </c>
      <c r="K10" s="34">
        <v>4.34</v>
      </c>
      <c r="O10" s="34" t="s">
        <v>37</v>
      </c>
      <c r="P10" s="34">
        <v>0.46</v>
      </c>
      <c r="Q10" s="1">
        <v>4.34</v>
      </c>
      <c r="T10" s="34" t="s">
        <v>27</v>
      </c>
      <c r="U10" s="34">
        <v>0.44</v>
      </c>
      <c r="V10" s="1">
        <v>2.0</v>
      </c>
    </row>
    <row r="11">
      <c r="A11" s="1"/>
      <c r="B11" s="34" t="s">
        <v>29</v>
      </c>
      <c r="C11" s="34"/>
      <c r="D11" s="38" t="s">
        <v>13</v>
      </c>
      <c r="E11" s="34">
        <v>0.5</v>
      </c>
      <c r="F11" s="34">
        <v>0.5</v>
      </c>
      <c r="G11" s="34">
        <v>0.5</v>
      </c>
      <c r="H11" s="34">
        <v>0.5</v>
      </c>
      <c r="I11" s="34">
        <v>0.34</v>
      </c>
      <c r="J11" s="36">
        <f t="shared" si="1"/>
        <v>0.468</v>
      </c>
      <c r="K11" s="34">
        <v>2.0</v>
      </c>
      <c r="O11" s="34" t="s">
        <v>49</v>
      </c>
      <c r="P11" s="34">
        <v>0.48</v>
      </c>
      <c r="Q11" s="1">
        <v>3.75</v>
      </c>
      <c r="T11" s="34" t="s">
        <v>19</v>
      </c>
      <c r="U11" s="34">
        <v>0.46</v>
      </c>
      <c r="V11" s="1">
        <v>1.75</v>
      </c>
    </row>
    <row r="12">
      <c r="A12" s="1"/>
      <c r="B12" s="34" t="s">
        <v>161</v>
      </c>
      <c r="C12" s="35"/>
      <c r="D12" s="38" t="s">
        <v>13</v>
      </c>
      <c r="E12" s="34">
        <v>0.51</v>
      </c>
      <c r="F12" s="34">
        <v>0.51</v>
      </c>
      <c r="G12" s="34">
        <v>0.51</v>
      </c>
      <c r="H12" s="34">
        <v>0.51</v>
      </c>
      <c r="I12" s="34">
        <v>0.51</v>
      </c>
      <c r="J12" s="36">
        <f t="shared" si="1"/>
        <v>0.51</v>
      </c>
      <c r="K12" s="34">
        <v>2.16</v>
      </c>
      <c r="O12" s="34" t="s">
        <v>161</v>
      </c>
      <c r="P12" s="34">
        <v>0.51</v>
      </c>
      <c r="Q12" s="1">
        <v>2.16</v>
      </c>
      <c r="T12" s="34" t="s">
        <v>37</v>
      </c>
      <c r="U12" s="34">
        <v>0.46</v>
      </c>
      <c r="V12" s="1">
        <v>4.34</v>
      </c>
    </row>
    <row r="13">
      <c r="A13" s="6"/>
      <c r="B13" s="20" t="s">
        <v>182</v>
      </c>
      <c r="C13" s="39"/>
      <c r="D13" s="39"/>
      <c r="E13" s="39"/>
      <c r="F13" s="39"/>
      <c r="G13" s="39"/>
      <c r="H13" s="39"/>
      <c r="I13" s="39"/>
      <c r="J13" s="39"/>
      <c r="K13" s="39">
        <f>SUM(K3:K12)</f>
        <v>26.68</v>
      </c>
    </row>
    <row r="14">
      <c r="A14" s="40"/>
      <c r="B14" s="41" t="s">
        <v>183</v>
      </c>
      <c r="C14" s="39"/>
      <c r="D14" s="39"/>
      <c r="E14" s="39"/>
      <c r="F14" s="39"/>
      <c r="G14" s="39"/>
      <c r="H14" s="39"/>
      <c r="I14" s="39"/>
      <c r="J14" s="39"/>
      <c r="K14" s="39"/>
      <c r="L14" s="42"/>
      <c r="M14" s="42"/>
    </row>
  </sheetData>
  <drawing r:id="rId1"/>
</worksheet>
</file>