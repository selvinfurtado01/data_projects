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Returns" sheetId="1" r:id="rId4"/>
    <sheet state="visible" name="Final_Analysis" sheetId="2" r:id="rId5"/>
    <sheet state="visible" name="Weights" sheetId="3" r:id="rId6"/>
    <sheet state="visible" name="Yearly_Metrics" sheetId="4" r:id="rId7"/>
  </sheets>
  <definedNames/>
  <calcPr/>
</workbook>
</file>

<file path=xl/sharedStrings.xml><?xml version="1.0" encoding="utf-8"?>
<sst xmlns="http://schemas.openxmlformats.org/spreadsheetml/2006/main" count="297" uniqueCount="153">
  <si>
    <t>Date</t>
  </si>
  <si>
    <t>TELUS</t>
  </si>
  <si>
    <t>VERIZON</t>
  </si>
  <si>
    <t>ROGERS</t>
  </si>
  <si>
    <t>PEPSICO</t>
  </si>
  <si>
    <t>COCA-COLA</t>
  </si>
  <si>
    <t>JOHNSON&amp;JOHNSON</t>
  </si>
  <si>
    <t>PROCTOR&amp;GAMBLE</t>
  </si>
  <si>
    <t>ENBRIDGE</t>
  </si>
  <si>
    <t>FORTIS</t>
  </si>
  <si>
    <t>TD</t>
  </si>
  <si>
    <t>RBC</t>
  </si>
  <si>
    <t>MANULIFE</t>
  </si>
  <si>
    <t>SUNLIFE</t>
  </si>
  <si>
    <t>RESMED</t>
  </si>
  <si>
    <t>NEWMONT</t>
  </si>
  <si>
    <t>BARRICK GOLD</t>
  </si>
  <si>
    <t>FREEPORT MCMORAN</t>
  </si>
  <si>
    <t>WHEATON PRECIOUS</t>
  </si>
  <si>
    <t>NUCOR CORP</t>
  </si>
  <si>
    <t>WASTE CONNECTIONS</t>
  </si>
  <si>
    <t>ICG</t>
  </si>
  <si>
    <t>ANGLO AMERICAN PLC</t>
  </si>
  <si>
    <t>Al Rajhi Banking &amp; Investment Corp</t>
  </si>
  <si>
    <t>CANADIAN NATL RAILWAY CO</t>
  </si>
  <si>
    <t>CANADIAN PACIFIC KANSAS CITY LTD</t>
  </si>
  <si>
    <t>EMERA INC</t>
  </si>
  <si>
    <t>Great-West Lifeco Inc</t>
  </si>
  <si>
    <t>Riyadh Cement Co.</t>
  </si>
  <si>
    <t>Saudi Telecom</t>
  </si>
  <si>
    <t>TMX GROUP LTD</t>
  </si>
  <si>
    <t>WEIR GROUP</t>
  </si>
  <si>
    <t>CVS Health Corp Bond</t>
  </si>
  <si>
    <t>US Treasury Bond</t>
  </si>
  <si>
    <t>Canadian Treasury Bond</t>
  </si>
  <si>
    <t>S&amp;P 500 Composite</t>
  </si>
  <si>
    <t>Portfolio Daily Return</t>
  </si>
  <si>
    <t>MSCI World Return</t>
  </si>
  <si>
    <t>Vanguard Total Market Return</t>
  </si>
  <si>
    <t>S&amp;P TSX60 Return</t>
  </si>
  <si>
    <t>Vanguard FTSE Canada Return</t>
  </si>
  <si>
    <t>Cumulative Portfolio</t>
  </si>
  <si>
    <t>Cumulative S&amp;P 500 Composite</t>
  </si>
  <si>
    <t>MSCI World</t>
  </si>
  <si>
    <t>Vanguard Total Market</t>
  </si>
  <si>
    <t>S&amp;P TSX60</t>
  </si>
  <si>
    <t>Vanguard FTSE Canada</t>
  </si>
  <si>
    <t>Cumulative Portfolio Year-end</t>
  </si>
  <si>
    <t>S&amp;P 500 Composite Year End</t>
  </si>
  <si>
    <t>MSCI Year End</t>
  </si>
  <si>
    <t>Vanguard Year End</t>
  </si>
  <si>
    <t>TSX60 Year End</t>
  </si>
  <si>
    <t>FTSE Year End</t>
  </si>
  <si>
    <t>Securities</t>
  </si>
  <si>
    <t>Weights</t>
  </si>
  <si>
    <t>Total_Weight</t>
  </si>
  <si>
    <t>Stock Name</t>
  </si>
  <si>
    <t>Symbol</t>
  </si>
  <si>
    <t>Sector-Wise Weights</t>
  </si>
  <si>
    <t>Sector</t>
  </si>
  <si>
    <t>Rebalancing Weights of Portfolio</t>
  </si>
  <si>
    <t>TELUS COMMUNICATIONS</t>
  </si>
  <si>
    <t>TU</t>
  </si>
  <si>
    <t xml:space="preserve">Communications </t>
  </si>
  <si>
    <t>VERIZON COMMUNICATIONS</t>
  </si>
  <si>
    <t>VZ</t>
  </si>
  <si>
    <t>Communications</t>
  </si>
  <si>
    <t>ROGERS COMMUNICATIONS</t>
  </si>
  <si>
    <t>RG</t>
  </si>
  <si>
    <t>SAUDI TELECOM</t>
  </si>
  <si>
    <t>7010.SR</t>
  </si>
  <si>
    <t>PEPSICO INC</t>
  </si>
  <si>
    <t>PEP</t>
  </si>
  <si>
    <t>Consumer Staples</t>
  </si>
  <si>
    <t>THE COCA-COLA COMPANY</t>
  </si>
  <si>
    <t>KO</t>
  </si>
  <si>
    <t>JOHNSON &amp; JOHNSON</t>
  </si>
  <si>
    <t>JNJ</t>
  </si>
  <si>
    <t>PROCTER &amp; GAMBLE</t>
  </si>
  <si>
    <t>PG</t>
  </si>
  <si>
    <t xml:space="preserve">Consumer Staples </t>
  </si>
  <si>
    <t>ENB.TO</t>
  </si>
  <si>
    <t>Energy</t>
  </si>
  <si>
    <t>FORTIS INC</t>
  </si>
  <si>
    <t>FTS.TO</t>
  </si>
  <si>
    <t>EMA.TO</t>
  </si>
  <si>
    <t>TMX GROUP LIMITED</t>
  </si>
  <si>
    <t>X.TO</t>
  </si>
  <si>
    <t>Finance</t>
  </si>
  <si>
    <t>TORONTO-DOMINION BANK</t>
  </si>
  <si>
    <t>TD.TO</t>
  </si>
  <si>
    <t>ROYAL BANK OF CANADA</t>
  </si>
  <si>
    <t>RY.TO</t>
  </si>
  <si>
    <t>AL RAJHI BANKING &amp; INVESTMENT CORP.</t>
  </si>
  <si>
    <t>1120.SR</t>
  </si>
  <si>
    <t>INTERMEDIATE CAPITAL GRP</t>
  </si>
  <si>
    <t>ICP.L</t>
  </si>
  <si>
    <t>GREAT-WEST LIFECO INC</t>
  </si>
  <si>
    <t>GWO.TO</t>
  </si>
  <si>
    <t>MFC.TO</t>
  </si>
  <si>
    <t>SUN LIFE FINANCIAL</t>
  </si>
  <si>
    <t>SLF.TO</t>
  </si>
  <si>
    <t>RESMED INC</t>
  </si>
  <si>
    <t>RMD</t>
  </si>
  <si>
    <t xml:space="preserve">Medical </t>
  </si>
  <si>
    <t>NEWMONT CORP</t>
  </si>
  <si>
    <t>NEM</t>
  </si>
  <si>
    <t>Basic Materials</t>
  </si>
  <si>
    <t>BARRICK GOLD CORP</t>
  </si>
  <si>
    <t>ABX.TO</t>
  </si>
  <si>
    <t>FREEPORT MCMORAN B</t>
  </si>
  <si>
    <t>FCX</t>
  </si>
  <si>
    <t>AALL</t>
  </si>
  <si>
    <t>WHEATON PRECIOUS METALS</t>
  </si>
  <si>
    <t>WPM</t>
  </si>
  <si>
    <t>NUE</t>
  </si>
  <si>
    <t>RIYADH CEMENT CO.</t>
  </si>
  <si>
    <t>303Q_SR</t>
  </si>
  <si>
    <t>Industrial</t>
  </si>
  <si>
    <t>CP.TO</t>
  </si>
  <si>
    <t>CNR.TO</t>
  </si>
  <si>
    <t>WEIR.L</t>
  </si>
  <si>
    <t>WASTE CONNECTIONS INC</t>
  </si>
  <si>
    <t>WCN.TO</t>
  </si>
  <si>
    <t>U.S. TREASURY BOND</t>
  </si>
  <si>
    <t>Bonds</t>
  </si>
  <si>
    <t>CVS HEALTH CORP BOND</t>
  </si>
  <si>
    <t>CANADIAN TREASURY BONDS</t>
  </si>
  <si>
    <t>Note on Rebalanced Portfolio Weights Calculation</t>
  </si>
  <si>
    <t>The portfolio weights for each quarter from Q1 2020 to Q3 2024 were rebalanced using the Jagannathan and Ma (2003) minimum variance optimization method. The rebalancing approach ensures that:</t>
  </si>
  <si>
    <t>Sector weights remain fixed throughout all rebalancing periods, as per the original target sector allocations (e.g., Finance = 30%, Energy = 13%, Bonds = 15%, etc.).</t>
  </si>
  <si>
    <t>Within each sector, the weights of individual securities are recalculated each quarter by minimizing portfolio variance using the covariance matrix of security returns over that quarter.</t>
  </si>
  <si>
    <t>Security</t>
  </si>
  <si>
    <t>Original Weight</t>
  </si>
  <si>
    <t>No short selling is allowed — all optimized weights are constrained to be non-negative.</t>
  </si>
  <si>
    <t>For the final quarter (Q4 2024), the portfolio weights are not rebalanced. They are kept fixed and equal to the original set of final weights provided as input.</t>
  </si>
  <si>
    <t>The optimization process uses daily returns of each security to compute the quarterly covariance matrices, which guide the allocation of weights within each sector.</t>
  </si>
  <si>
    <t>Rebalanced Portfolio Daily Return</t>
  </si>
  <si>
    <t>Rebalanced Portfolio Performance</t>
  </si>
  <si>
    <t>Year</t>
  </si>
  <si>
    <t>Portfolio YoY Return</t>
  </si>
  <si>
    <t>S&amp;P 500 YoY Return</t>
  </si>
  <si>
    <t>Annually</t>
  </si>
  <si>
    <t>Daily</t>
  </si>
  <si>
    <t>Risk free rate</t>
  </si>
  <si>
    <t>Considering for daily: 252 business days</t>
  </si>
  <si>
    <t>Risk free rate of 5% considered</t>
  </si>
  <si>
    <t>CAGR</t>
  </si>
  <si>
    <t>Metric</t>
  </si>
  <si>
    <t>Portfolio</t>
  </si>
  <si>
    <t>S&amp;P 500</t>
  </si>
  <si>
    <t>Beta</t>
  </si>
  <si>
    <t>Sharpe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</si>
</sst>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H:MM:SS"/>
    <numFmt numFmtId="165" formatCode="dd/MM/yyyy"/>
    <numFmt numFmtId="166" formatCode="yyyy-mm-dd"/>
    <numFmt numFmtId="167" formatCode="0.0000"/>
  </numFmts>
  <fonts count="9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1" xfId="0" applyFont="1" applyNumberFormat="1"/>
    <xf borderId="0" fillId="0" fontId="3" numFmtId="11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2" numFmtId="165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9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3" numFmtId="166" xfId="0" applyAlignment="1" applyFont="1" applyNumberFormat="1">
      <alignment readingOrder="0"/>
    </xf>
    <xf borderId="0" fillId="0" fontId="3" numFmtId="167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Cumulative Portfolio and S&amp;P 500 Composite Performance Comparison</a:t>
            </a:r>
          </a:p>
        </c:rich>
      </c:tx>
      <c:overlay val="0"/>
    </c:title>
    <c:plotArea>
      <c:layout>
        <c:manualLayout>
          <c:xMode val="edge"/>
          <c:yMode val="edge"/>
          <c:x val="0.07132682291666669"/>
          <c:y val="0.3113207547169811"/>
          <c:w val="0.9063103792158282"/>
          <c:h val="0.5092991913746628"/>
        </c:manualLayout>
      </c:layout>
      <c:lineChart>
        <c:ser>
          <c:idx val="0"/>
          <c:order val="0"/>
          <c:tx>
            <c:strRef>
              <c:f>Final_Analysis!$B$1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589"/>
            <c:marker>
              <c:symbol val="none"/>
            </c:marker>
          </c:dPt>
          <c:dPt>
            <c:idx val="994"/>
            <c:marker>
              <c:symbol val="none"/>
            </c:marker>
          </c:dPt>
          <c:dPt>
            <c:idx val="1077"/>
            <c:marker>
              <c:symbol val="none"/>
            </c:marker>
          </c:dPt>
          <c:cat>
            <c:strRef>
              <c:f>Final_Analysis!$A$2:$A$1259</c:f>
            </c:strRef>
          </c:cat>
          <c:val>
            <c:numRef>
              <c:f>Final_Analysis!$B$2:$B$1259</c:f>
              <c:numCache/>
            </c:numRef>
          </c:val>
          <c:smooth val="0"/>
        </c:ser>
        <c:ser>
          <c:idx val="1"/>
          <c:order val="1"/>
          <c:tx>
            <c:strRef>
              <c:f>Final_Analysis!$C$1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sans-serif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sans-serif"/>
                      </a:rPr>
                      <a:t>1</a:t>
                    </a:r>
                  </a:p>
                </c:rich>
              </c:tx>
              <c:numFmt formatCode="0.00" sourceLinked="0"/>
              <c:txPr>
                <a:bodyPr/>
                <a:lstStyle/>
                <a:p>
                  <a:pPr lvl="0">
                    <a:defRPr>
                      <a:latin typeface="sans-serif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Final_Analysis!$C$2:$C$1259</c:f>
              <c:numCache/>
            </c:numRef>
          </c:val>
          <c:smooth val="0"/>
        </c:ser>
        <c:ser>
          <c:idx val="2"/>
          <c:order val="2"/>
          <c:tx>
            <c:strRef>
              <c:f>Final_Analysis!$D$1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Final_Analysis!$D$2:$D$1259</c:f>
              <c:numCache/>
            </c:numRef>
          </c:val>
          <c:smooth val="0"/>
        </c:ser>
        <c:ser>
          <c:idx val="3"/>
          <c:order val="3"/>
          <c:tx>
            <c:strRef>
              <c:f>Final_Analysis!$E$1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sans-serif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sans-serif"/>
                      </a:rPr>
                      <a:t>1.01</a:t>
                    </a:r>
                  </a:p>
                </c:rich>
              </c:tx>
              <c:numFmt formatCode="0.00" sourceLinked="0"/>
              <c:txPr>
                <a:bodyPr/>
                <a:lstStyle/>
                <a:p>
                  <a:pPr lvl="0">
                    <a:defRPr>
                      <a:latin typeface="sans-serif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Final_Analysis!$E$2:$E$1259</c:f>
              <c:numCache/>
            </c:numRef>
          </c:val>
          <c:smooth val="0"/>
        </c:ser>
        <c:axId val="1231398854"/>
        <c:axId val="1148387691"/>
      </c:lineChart>
      <c:catAx>
        <c:axId val="1231398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387691"/>
      </c:catAx>
      <c:valAx>
        <c:axId val="1148387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39885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Cumulative Portfolio, MSCI World and Vanguard Total Market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Final_Analysis!$B$1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Final_Analysis!$B$2:$B$1259</c:f>
              <c:numCache/>
            </c:numRef>
          </c:val>
          <c:smooth val="0"/>
        </c:ser>
        <c:ser>
          <c:idx val="1"/>
          <c:order val="1"/>
          <c:tx>
            <c:strRef>
              <c:f>Final_Analysis!$C$1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Final_Analysis!$C$2:$C$1259</c:f>
              <c:numCache/>
            </c:numRef>
          </c:val>
          <c:smooth val="0"/>
        </c:ser>
        <c:ser>
          <c:idx val="2"/>
          <c:order val="2"/>
          <c:tx>
            <c:strRef>
              <c:f>Final_Analysis!$F$1</c:f>
            </c:strRef>
          </c:tx>
          <c:spPr>
            <a:ln cmpd="sng">
              <a:solidFill>
                <a:srgbClr val="BF9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Final_Analysis!$F$2:$F$1259</c:f>
              <c:numCache/>
            </c:numRef>
          </c:val>
          <c:smooth val="0"/>
        </c:ser>
        <c:ser>
          <c:idx val="3"/>
          <c:order val="3"/>
          <c:tx>
            <c:strRef>
              <c:f>Final_Analysis!$G$1</c:f>
            </c:strRef>
          </c:tx>
          <c:spPr>
            <a:ln cmpd="sng">
              <a:solidFill>
                <a:srgbClr val="BF9000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Final_Analysis!$G$2:$G$1259</c:f>
              <c:numCache/>
            </c:numRef>
          </c:val>
          <c:smooth val="0"/>
        </c:ser>
        <c:ser>
          <c:idx val="4"/>
          <c:order val="4"/>
          <c:tx>
            <c:strRef>
              <c:f>Final_Analysis!$H$1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Final_Analysis!$H$2:$H$1259</c:f>
              <c:numCache/>
            </c:numRef>
          </c:val>
          <c:smooth val="0"/>
        </c:ser>
        <c:ser>
          <c:idx val="5"/>
          <c:order val="5"/>
          <c:tx>
            <c:strRef>
              <c:f>Final_Analysis!$I$1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Final_Analysis!$I$2:$I$1259</c:f>
              <c:numCache/>
            </c:numRef>
          </c:val>
          <c:smooth val="0"/>
        </c:ser>
        <c:axId val="845430747"/>
        <c:axId val="717822833"/>
      </c:lineChart>
      <c:catAx>
        <c:axId val="84543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822833"/>
      </c:catAx>
      <c:valAx>
        <c:axId val="717822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430747"/>
      </c:valAx>
    </c:plotArea>
    <c:legend>
      <c:legendPos val="t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Cumulative Portfolio, S&amp;P TSX60 and Vanguard FTSE Canada Fund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Final_Analysis!$B$1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Final_Analysis!$B$2:$B$1259</c:f>
              <c:numCache/>
            </c:numRef>
          </c:val>
          <c:smooth val="0"/>
        </c:ser>
        <c:ser>
          <c:idx val="1"/>
          <c:order val="1"/>
          <c:tx>
            <c:strRef>
              <c:f>Final_Analysis!$C$1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Final_Analysis!$C$2:$C$1259</c:f>
              <c:numCache/>
            </c:numRef>
          </c:val>
          <c:smooth val="0"/>
        </c:ser>
        <c:ser>
          <c:idx val="2"/>
          <c:order val="2"/>
          <c:tx>
            <c:strRef>
              <c:f>Final_Analysis!$J$1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Final_Analysis!$J$2:$J$1259</c:f>
              <c:numCache/>
            </c:numRef>
          </c:val>
          <c:smooth val="0"/>
        </c:ser>
        <c:ser>
          <c:idx val="3"/>
          <c:order val="3"/>
          <c:tx>
            <c:strRef>
              <c:f>Final_Analysis!$K$1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Final_Analysis!$K$2:$K$1259</c:f>
              <c:numCache/>
            </c:numRef>
          </c:val>
          <c:smooth val="0"/>
        </c:ser>
        <c:ser>
          <c:idx val="4"/>
          <c:order val="4"/>
          <c:tx>
            <c:strRef>
              <c:f>Final_Analysis!$L$1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Final_Analysis!$L$2:$L$1259</c:f>
              <c:numCache/>
            </c:numRef>
          </c:val>
          <c:smooth val="0"/>
        </c:ser>
        <c:ser>
          <c:idx val="5"/>
          <c:order val="5"/>
          <c:tx>
            <c:strRef>
              <c:f>Final_Analysis!$M$1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Final_Analysis!$M$2:$M$1259</c:f>
              <c:numCache/>
            </c:numRef>
          </c:val>
          <c:smooth val="0"/>
        </c:ser>
        <c:axId val="1199629186"/>
        <c:axId val="418271307"/>
      </c:lineChart>
      <c:catAx>
        <c:axId val="1199629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271307"/>
      </c:catAx>
      <c:valAx>
        <c:axId val="418271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62918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Cumulative Portfolio YoY 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Final_Analysis!$B$1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Final_Analysis!$A$2:$A$1259</c:f>
            </c:strRef>
          </c:cat>
          <c:val>
            <c:numRef>
              <c:f>Final_Analysis!$B$2:$B$1259</c:f>
              <c:numCache/>
            </c:numRef>
          </c:val>
          <c:smooth val="0"/>
        </c:ser>
        <c:ser>
          <c:idx val="1"/>
          <c:order val="1"/>
          <c:tx>
            <c:strRef>
              <c:f>Final_Analysis!$C$1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Final_Analysis!$A$2:$A$1259</c:f>
            </c:strRef>
          </c:cat>
          <c:val>
            <c:numRef>
              <c:f>Final_Analysis!$C$2:$C$1259</c:f>
              <c:numCache/>
            </c:numRef>
          </c:val>
          <c:smooth val="0"/>
        </c:ser>
        <c:axId val="1242729867"/>
        <c:axId val="1620921703"/>
      </c:lineChart>
      <c:catAx>
        <c:axId val="1242729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921703"/>
      </c:catAx>
      <c:valAx>
        <c:axId val="1620921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729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Beta and Sharpe Ratio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Yearly_Metrics!$B$7</c:f>
            </c:strRef>
          </c:tx>
          <c:spPr>
            <a:solidFill>
              <a:schemeClr val="accent1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0.00" sourceLinked="0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Yearly_Metrics!$A$8:$A$9</c:f>
            </c:strRef>
          </c:cat>
          <c:val>
            <c:numRef>
              <c:f>Yearly_Metrics!$B$8:$B$9</c:f>
              <c:numCache/>
            </c:numRef>
          </c:val>
        </c:ser>
        <c:ser>
          <c:idx val="1"/>
          <c:order val="1"/>
          <c:tx>
            <c:strRef>
              <c:f>Yearly_Metrics!$C$7</c:f>
            </c:strRef>
          </c:tx>
          <c:spPr>
            <a:solidFill>
              <a:schemeClr val="accent2"/>
            </a:solidFill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dLbls>
            <c:numFmt formatCode="0.00" sourceLinked="0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Yearly_Metrics!$A$8:$A$9</c:f>
            </c:strRef>
          </c:cat>
          <c:val>
            <c:numRef>
              <c:f>Yearly_Metrics!$C$8:$C$9</c:f>
              <c:numCache/>
            </c:numRef>
          </c:val>
        </c:ser>
        <c:axId val="1417317837"/>
        <c:axId val="728049505"/>
      </c:barChart>
      <c:catAx>
        <c:axId val="141731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049505"/>
      </c:catAx>
      <c:valAx>
        <c:axId val="728049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317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Cumulative Portfolio YoY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Yearly_Metrics!$B$1</c:f>
            </c:strRef>
          </c:tx>
          <c:spPr>
            <a:solidFill>
              <a:schemeClr val="accent1"/>
            </a:solidFill>
            <a:ln cmpd="sng">
              <a:solidFill>
                <a:schemeClr val="dk1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 b="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Yearly_Metrics!$A$2:$A$6</c:f>
            </c:strRef>
          </c:cat>
          <c:val>
            <c:numRef>
              <c:f>Yearly_Metrics!$B$2:$B$6</c:f>
              <c:numCache/>
            </c:numRef>
          </c:val>
        </c:ser>
        <c:axId val="1926478438"/>
        <c:axId val="1441870393"/>
      </c:barChart>
      <c:catAx>
        <c:axId val="192647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870393"/>
      </c:catAx>
      <c:valAx>
        <c:axId val="1441870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Portfolio YoY 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478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Portfolio YoY Return and S&amp;P 500 YoY Return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Yearly_Metrics!$B$1</c:f>
            </c:strRef>
          </c:tx>
          <c:spPr>
            <a:solidFill>
              <a:schemeClr val="accent1"/>
            </a:solidFill>
            <a:ln cmpd="sng">
              <a:solidFill>
                <a:schemeClr val="dk1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Yearly_Metrics!$A$2:$A$6</c:f>
            </c:strRef>
          </c:cat>
          <c:val>
            <c:numRef>
              <c:f>Yearly_Metrics!$B$2:$B$6</c:f>
              <c:numCache/>
            </c:numRef>
          </c:val>
        </c:ser>
        <c:ser>
          <c:idx val="1"/>
          <c:order val="1"/>
          <c:tx>
            <c:strRef>
              <c:f>Yearly_Metrics!$C$1</c:f>
            </c:strRef>
          </c:tx>
          <c:spPr>
            <a:solidFill>
              <a:schemeClr val="accent2"/>
            </a:solidFill>
            <a:ln cmpd="sng">
              <a:solidFill>
                <a:schemeClr val="dk1"/>
              </a:solidFill>
            </a:ln>
          </c:spPr>
          <c:dLbls>
            <c:numFmt formatCode="0.00" sourceLinked="0"/>
            <c:txPr>
              <a:bodyPr/>
              <a:lstStyle/>
              <a:p>
                <a:pPr lvl="0">
                  <a:defRPr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Yearly_Metrics!$A$2:$A$6</c:f>
            </c:strRef>
          </c:cat>
          <c:val>
            <c:numRef>
              <c:f>Yearly_Metrics!$C$2:$C$6</c:f>
              <c:numCache/>
            </c:numRef>
          </c:val>
        </c:ser>
        <c:axId val="1571200857"/>
        <c:axId val="1405501266"/>
      </c:barChart>
      <c:catAx>
        <c:axId val="1571200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501266"/>
      </c:catAx>
      <c:valAx>
        <c:axId val="1405501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200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Portfolio vs S&amp;P500 Composite CAGR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Yearly_Metrics!$E$5</c:f>
            </c:strRef>
          </c:tx>
          <c:spPr>
            <a:solidFill>
              <a:schemeClr val="accent1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Yearly_Metrics!$D$6</c:f>
            </c:strRef>
          </c:cat>
          <c:val>
            <c:numRef>
              <c:f>Yearly_Metrics!$E$6</c:f>
              <c:numCache/>
            </c:numRef>
          </c:val>
        </c:ser>
        <c:ser>
          <c:idx val="1"/>
          <c:order val="1"/>
          <c:tx>
            <c:strRef>
              <c:f>Yearly_Metrics!$F$5</c:f>
            </c:strRef>
          </c:tx>
          <c:spPr>
            <a:solidFill>
              <a:schemeClr val="accent2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Yearly_Metrics!$D$6</c:f>
            </c:strRef>
          </c:cat>
          <c:val>
            <c:numRef>
              <c:f>Yearly_Metrics!$F$6</c:f>
              <c:numCache/>
            </c:numRef>
          </c:val>
        </c:ser>
        <c:axId val="427411815"/>
        <c:axId val="1000812723"/>
      </c:barChart>
      <c:catAx>
        <c:axId val="427411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812723"/>
      </c:catAx>
      <c:valAx>
        <c:axId val="1000812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411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857250</xdr:colOff>
      <xdr:row>16</xdr:row>
      <xdr:rowOff>0</xdr:rowOff>
    </xdr:from>
    <xdr:ext cx="4305300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857250</xdr:colOff>
      <xdr:row>46</xdr:row>
      <xdr:rowOff>142875</xdr:rowOff>
    </xdr:from>
    <xdr:ext cx="5000625" cy="3086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857250</xdr:colOff>
      <xdr:row>30</xdr:row>
      <xdr:rowOff>76200</xdr:rowOff>
    </xdr:from>
    <xdr:ext cx="4743450" cy="2933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857250</xdr:colOff>
      <xdr:row>0</xdr:row>
      <xdr:rowOff>0</xdr:rowOff>
    </xdr:from>
    <xdr:ext cx="4657725" cy="2886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10</xdr:row>
      <xdr:rowOff>104775</xdr:rowOff>
    </xdr:from>
    <xdr:ext cx="4143375" cy="25622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2152650</xdr:colOff>
      <xdr:row>1</xdr:row>
      <xdr:rowOff>180975</xdr:rowOff>
    </xdr:from>
    <xdr:ext cx="3848100" cy="2390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2152650</xdr:colOff>
      <xdr:row>14</xdr:row>
      <xdr:rowOff>95250</xdr:rowOff>
    </xdr:from>
    <xdr:ext cx="3848100" cy="2390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285750</xdr:colOff>
      <xdr:row>7</xdr:row>
      <xdr:rowOff>114300</xdr:rowOff>
    </xdr:from>
    <xdr:ext cx="3810000" cy="2390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y.t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5" width="9.71"/>
    <col customWidth="1" min="6" max="6" width="11.29"/>
    <col customWidth="1" min="7" max="7" width="19.86"/>
    <col customWidth="1" min="8" max="8" width="18.57"/>
    <col customWidth="1" min="9" max="9" width="10.14"/>
    <col customWidth="1" min="10" max="12" width="9.71"/>
    <col customWidth="1" min="13" max="13" width="10.43"/>
    <col customWidth="1" min="14" max="15" width="9.71"/>
    <col customWidth="1" min="16" max="16" width="11.14"/>
    <col customWidth="1" min="17" max="17" width="14.14"/>
    <col customWidth="1" min="18" max="18" width="20.57"/>
    <col customWidth="1" min="19" max="19" width="19.43"/>
    <col customWidth="1" min="20" max="20" width="12.86"/>
    <col customWidth="1" min="21" max="21" width="20.43"/>
    <col customWidth="1" min="22" max="22" width="17.14"/>
    <col customWidth="1" min="23" max="23" width="21.0"/>
    <col customWidth="1" min="24" max="24" width="32.0"/>
    <col customWidth="1" min="25" max="25" width="26.86"/>
    <col customWidth="1" min="26" max="26" width="33.0"/>
    <col customWidth="1" min="27" max="27" width="17.57"/>
    <col customWidth="1" min="28" max="28" width="19.57"/>
    <col customWidth="1" min="29" max="29" width="21.43"/>
    <col customWidth="1" min="30" max="30" width="19.71"/>
    <col customWidth="1" min="31" max="31" width="18.29"/>
    <col customWidth="1" min="32" max="32" width="17.14"/>
    <col customWidth="1" min="33" max="33" width="20.29"/>
    <col customWidth="1" min="34" max="34" width="17.14"/>
    <col customWidth="1" min="35" max="35" width="22.14"/>
    <col customWidth="1" min="36" max="36" width="18.14"/>
    <col customWidth="1" min="37" max="38" width="19.86"/>
    <col customWidth="1" min="39" max="39" width="27.29"/>
    <col customWidth="1" min="40" max="40" width="19.86"/>
    <col customWidth="1" min="41" max="41" width="27.14"/>
    <col customWidth="1" min="42" max="42" width="19.0"/>
    <col customWidth="1" min="43" max="47" width="2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3">
        <v>43832.0</v>
      </c>
      <c r="B2" s="4">
        <v>0.002324</v>
      </c>
      <c r="C2" s="4">
        <v>-0.0057</v>
      </c>
      <c r="D2" s="4">
        <v>6.04E-4</v>
      </c>
      <c r="E2" s="4">
        <v>-0.006219</v>
      </c>
      <c r="F2" s="4">
        <v>-0.006504</v>
      </c>
      <c r="G2" s="4">
        <v>6.86E-4</v>
      </c>
      <c r="H2" s="4">
        <v>-0.01193</v>
      </c>
      <c r="I2" s="4">
        <v>-0.001509</v>
      </c>
      <c r="J2" s="4">
        <v>-0.003854</v>
      </c>
      <c r="K2" s="4">
        <v>0.007304</v>
      </c>
      <c r="L2" s="4">
        <v>0.006313</v>
      </c>
      <c r="M2" s="4">
        <v>0.013307</v>
      </c>
      <c r="N2" s="4">
        <v>0.006583</v>
      </c>
      <c r="O2" s="4">
        <v>0.007356</v>
      </c>
      <c r="P2" s="4">
        <v>-0.005293</v>
      </c>
      <c r="Q2" s="4">
        <v>-0.001515</v>
      </c>
      <c r="R2" s="4">
        <v>0.006098</v>
      </c>
      <c r="S2" s="4">
        <v>-0.001345</v>
      </c>
      <c r="T2" s="4">
        <v>-0.020611</v>
      </c>
      <c r="U2" s="4">
        <v>0.010354</v>
      </c>
      <c r="V2" s="4">
        <v>-0.00853657445046951</v>
      </c>
      <c r="W2" s="4">
        <v>-0.0070390899798742</v>
      </c>
      <c r="X2" s="4">
        <v>0.0</v>
      </c>
      <c r="Y2" s="4">
        <v>-0.0064613209009467</v>
      </c>
      <c r="Z2" s="4">
        <v>-0.0020288350041223</v>
      </c>
      <c r="AA2" s="4">
        <v>0.002346488791679</v>
      </c>
      <c r="AB2" s="4">
        <v>-0.0014997698477279</v>
      </c>
      <c r="AC2" s="4">
        <v>0.0</v>
      </c>
      <c r="AD2" s="4">
        <v>0.0</v>
      </c>
      <c r="AE2" s="4">
        <v>0.0035548604940465</v>
      </c>
      <c r="AF2" s="4">
        <v>-0.0029662829286392</v>
      </c>
      <c r="AG2" s="4">
        <v>-0.007956012168147</v>
      </c>
      <c r="AH2" s="4">
        <v>-0.0499468562191522</v>
      </c>
      <c r="AI2" s="4">
        <v>0.0050745339326463</v>
      </c>
      <c r="AJ2" s="4">
        <v>0.008379</v>
      </c>
      <c r="AK2" s="4">
        <f>Weights!E58</f>
        <v>-0.002885660754</v>
      </c>
      <c r="AL2" s="5">
        <v>0.00457636486320955</v>
      </c>
      <c r="AM2" s="5">
        <v>0.00263463514054329</v>
      </c>
      <c r="AN2" s="5">
        <v>0.00272701145273446</v>
      </c>
      <c r="AO2" s="5">
        <v>0.00316739073429039</v>
      </c>
      <c r="AP2" s="4">
        <f>1*(1+AK2)</f>
        <v>0.9971143392</v>
      </c>
      <c r="AQ2" s="4">
        <f>1 * (1+AJ2)</f>
        <v>1.008379</v>
      </c>
      <c r="AR2" s="5">
        <f>1 * (1+AL2)</f>
        <v>1.004576365</v>
      </c>
      <c r="AS2" s="5">
        <f> 1*(1+AM2)</f>
        <v>1.002634635</v>
      </c>
      <c r="AT2" s="5">
        <f t="shared" ref="AT2:AU2" si="1">1*(1+AN2)</f>
        <v>1.002727011</v>
      </c>
      <c r="AU2" s="5">
        <f t="shared" si="1"/>
        <v>1.003167391</v>
      </c>
    </row>
    <row r="3">
      <c r="A3" s="3">
        <v>43833.0</v>
      </c>
      <c r="B3" s="4">
        <v>-0.002834</v>
      </c>
      <c r="C3" s="4">
        <v>-0.010647</v>
      </c>
      <c r="D3" s="4">
        <v>-0.003219</v>
      </c>
      <c r="E3" s="4">
        <v>-0.001399</v>
      </c>
      <c r="F3" s="4">
        <v>-0.005456</v>
      </c>
      <c r="G3" s="4">
        <v>-0.011578</v>
      </c>
      <c r="H3" s="4">
        <v>-0.006726</v>
      </c>
      <c r="I3" s="4">
        <v>-0.001763</v>
      </c>
      <c r="J3" s="4">
        <v>0.004594</v>
      </c>
      <c r="K3" s="4">
        <v>-8.84E-4</v>
      </c>
      <c r="L3" s="4">
        <v>-0.003513</v>
      </c>
      <c r="M3" s="4">
        <v>-0.008755</v>
      </c>
      <c r="N3" s="4">
        <v>-0.006976</v>
      </c>
      <c r="O3" s="4">
        <v>-0.005253</v>
      </c>
      <c r="P3" s="4">
        <v>-0.009024</v>
      </c>
      <c r="Q3" s="4">
        <v>-0.007587</v>
      </c>
      <c r="R3" s="4">
        <v>-0.030303</v>
      </c>
      <c r="S3" s="4">
        <v>-0.005722</v>
      </c>
      <c r="T3" s="4">
        <v>-0.013244</v>
      </c>
      <c r="U3" s="4">
        <v>-0.001417</v>
      </c>
      <c r="V3" s="4">
        <v>-0.0141450963407726</v>
      </c>
      <c r="W3" s="4">
        <v>-0.0189798617998844</v>
      </c>
      <c r="X3" s="4">
        <v>0.0015526830178234</v>
      </c>
      <c r="Y3" s="4">
        <v>-0.0042230042600484</v>
      </c>
      <c r="Z3" s="4">
        <v>0.0040061960028514</v>
      </c>
      <c r="AA3" s="4">
        <v>0.0045020467790828</v>
      </c>
      <c r="AB3" s="4">
        <v>0.0015020225358377</v>
      </c>
      <c r="AC3" s="4">
        <v>-0.0058564322883245</v>
      </c>
      <c r="AD3" s="4">
        <v>-0.0061038245616887</v>
      </c>
      <c r="AE3" s="4">
        <v>-0.0013286575317212</v>
      </c>
      <c r="AF3" s="4">
        <v>-0.0049586747493124</v>
      </c>
      <c r="AG3" s="4">
        <v>0.0039417279918712</v>
      </c>
      <c r="AH3" s="4">
        <v>0.0128635358315589</v>
      </c>
      <c r="AI3" s="4">
        <v>-9.181274233976E-4</v>
      </c>
      <c r="AJ3" s="4">
        <v>-0.00706</v>
      </c>
      <c r="AK3" s="4">
        <f>Weights!E59</f>
        <v>-0.003223208509</v>
      </c>
      <c r="AL3" s="5">
        <v>0.00759275206904397</v>
      </c>
      <c r="AM3" s="5">
        <v>0.00831208450684872</v>
      </c>
      <c r="AN3" s="5">
        <v>-0.00116540434782796</v>
      </c>
      <c r="AO3" s="5">
        <v>-5.74316807396169E-4</v>
      </c>
      <c r="AP3" s="4">
        <f t="shared" ref="AP3:AP1259" si="3">AP2*(1+AK3)</f>
        <v>0.9939004318</v>
      </c>
      <c r="AQ3" s="4">
        <f t="shared" ref="AQ3:AQ1259" si="4">AQ2 * (1 + AJ3)</f>
        <v>1.001259844</v>
      </c>
      <c r="AR3" s="5">
        <f t="shared" ref="AR3:AR1259" si="5">AR2 * (1 +AL3)</f>
        <v>1.012203864</v>
      </c>
      <c r="AS3" s="5">
        <f t="shared" ref="AS3:AU3" si="2">AS2*(1+AM3)</f>
        <v>1.010968619</v>
      </c>
      <c r="AT3" s="5">
        <f t="shared" si="2"/>
        <v>1.001558429</v>
      </c>
      <c r="AU3" s="5">
        <f t="shared" si="2"/>
        <v>1.002591255</v>
      </c>
    </row>
    <row r="4">
      <c r="A4" s="3">
        <v>43836.0</v>
      </c>
      <c r="B4" s="4">
        <v>0.002325</v>
      </c>
      <c r="C4" s="4">
        <v>-0.002152</v>
      </c>
      <c r="D4" s="4">
        <v>0.001817</v>
      </c>
      <c r="E4" s="4">
        <v>0.003834</v>
      </c>
      <c r="F4" s="4">
        <v>-3.66E-4</v>
      </c>
      <c r="G4" s="4">
        <v>-0.001248</v>
      </c>
      <c r="H4" s="4">
        <v>0.001387</v>
      </c>
      <c r="I4" s="4">
        <v>0.009334</v>
      </c>
      <c r="J4" s="4">
        <v>0.002166</v>
      </c>
      <c r="K4" s="4">
        <v>0.001947</v>
      </c>
      <c r="L4" s="4">
        <v>0.00214</v>
      </c>
      <c r="M4" s="4">
        <v>0.005397</v>
      </c>
      <c r="N4" s="4">
        <v>0.007245</v>
      </c>
      <c r="O4" s="4">
        <v>0.004765</v>
      </c>
      <c r="P4" s="4">
        <v>0.01004</v>
      </c>
      <c r="Q4" s="4">
        <v>0.003058</v>
      </c>
      <c r="R4" s="4">
        <v>0.003906</v>
      </c>
      <c r="S4" s="4">
        <v>-0.008802</v>
      </c>
      <c r="T4" s="4">
        <v>-0.008457</v>
      </c>
      <c r="U4" s="4">
        <v>0.013755</v>
      </c>
      <c r="V4" s="4">
        <v>0.00374300961476525</v>
      </c>
      <c r="W4" s="4">
        <v>0.0069930398510442</v>
      </c>
      <c r="X4" s="4">
        <v>0.0062016325384917</v>
      </c>
      <c r="Y4" s="4">
        <v>1.696937785626E-4</v>
      </c>
      <c r="Z4" s="4">
        <v>0.009587810705959</v>
      </c>
      <c r="AA4" s="4">
        <v>0.0026892294310907</v>
      </c>
      <c r="AB4" s="4">
        <v>0.0080983208701057</v>
      </c>
      <c r="AC4" s="4">
        <v>-0.0147275178546167</v>
      </c>
      <c r="AD4" s="4">
        <v>-0.0040939811606376</v>
      </c>
      <c r="AE4" s="4">
        <v>-0.0205725084104378</v>
      </c>
      <c r="AF4" s="4">
        <v>6.64538002435E-4</v>
      </c>
      <c r="AG4" s="4">
        <v>-0.0037908511925689</v>
      </c>
      <c r="AH4" s="4">
        <v>0.0088349158021032</v>
      </c>
      <c r="AI4" s="4">
        <v>0.0</v>
      </c>
      <c r="AJ4" s="4">
        <v>0.003533</v>
      </c>
      <c r="AK4" s="4">
        <f>Weights!E60</f>
        <v>0.001877508644</v>
      </c>
      <c r="AL4" s="5">
        <v>-0.00843970784730974</v>
      </c>
      <c r="AM4" s="5">
        <v>-0.00636455923719825</v>
      </c>
      <c r="AN4" s="5">
        <v>-0.00350063991266558</v>
      </c>
      <c r="AO4" s="5">
        <v>-0.0029213684275573</v>
      </c>
      <c r="AP4" s="4">
        <f t="shared" si="3"/>
        <v>0.9957664885</v>
      </c>
      <c r="AQ4" s="4">
        <f t="shared" si="4"/>
        <v>1.004797295</v>
      </c>
      <c r="AR4" s="5">
        <f t="shared" si="5"/>
        <v>1.003661159</v>
      </c>
      <c r="AS4" s="5">
        <f t="shared" ref="AS4:AU4" si="6">AS3*(1+AM4)</f>
        <v>1.004534249</v>
      </c>
      <c r="AT4" s="5">
        <f t="shared" si="6"/>
        <v>0.9980523336</v>
      </c>
      <c r="AU4" s="5">
        <f t="shared" si="6"/>
        <v>0.9996623164</v>
      </c>
    </row>
    <row r="5">
      <c r="A5" s="3">
        <v>43837.0</v>
      </c>
      <c r="B5" s="4">
        <v>0.001031</v>
      </c>
      <c r="C5" s="4">
        <v>-0.011117</v>
      </c>
      <c r="D5" s="4">
        <v>0.004231</v>
      </c>
      <c r="E5" s="4">
        <v>-0.015718</v>
      </c>
      <c r="F5" s="4">
        <v>-0.007682</v>
      </c>
      <c r="G5" s="4">
        <v>0.006107</v>
      </c>
      <c r="H5" s="4">
        <v>-0.006191</v>
      </c>
      <c r="I5" s="4">
        <v>-0.006748</v>
      </c>
      <c r="J5" s="4">
        <v>-9.61E-4</v>
      </c>
      <c r="K5" s="4">
        <v>-0.004594</v>
      </c>
      <c r="L5" s="4">
        <v>-0.002764</v>
      </c>
      <c r="M5" s="4">
        <v>0.007321</v>
      </c>
      <c r="N5" s="4">
        <v>0.016347</v>
      </c>
      <c r="O5" s="4">
        <v>-0.00564</v>
      </c>
      <c r="P5" s="4">
        <v>-6.93E-4</v>
      </c>
      <c r="Q5" s="4">
        <v>-0.003049</v>
      </c>
      <c r="R5" s="4">
        <v>0.015564</v>
      </c>
      <c r="S5" s="4">
        <v>0.002732</v>
      </c>
      <c r="T5" s="4">
        <v>-0.002225</v>
      </c>
      <c r="U5" s="4">
        <v>-0.003015</v>
      </c>
      <c r="V5" s="4">
        <v>6.21584648562212E-4</v>
      </c>
      <c r="W5" s="4">
        <v>-0.0032407558622616</v>
      </c>
      <c r="X5" s="4">
        <v>-0.0092449563409843</v>
      </c>
      <c r="Y5" s="4">
        <v>0.0134838602246616</v>
      </c>
      <c r="Z5" s="4">
        <v>-9.43537785262E-4</v>
      </c>
      <c r="AA5" s="4">
        <v>0.0033970061215349</v>
      </c>
      <c r="AB5" s="4">
        <v>0.0098186504661172</v>
      </c>
      <c r="AC5" s="4">
        <v>-0.0418535996457234</v>
      </c>
      <c r="AD5" s="4">
        <v>0.0020555597759523</v>
      </c>
      <c r="AE5" s="4">
        <v>-0.0040742418694758</v>
      </c>
      <c r="AF5" s="4">
        <v>-0.0039840934731494</v>
      </c>
      <c r="AG5" s="4">
        <v>-0.0125034612719631</v>
      </c>
      <c r="AH5" s="4">
        <v>0.0257251947297096</v>
      </c>
      <c r="AI5" s="4">
        <v>-0.0027560724007551</v>
      </c>
      <c r="AJ5" s="4">
        <v>-0.002803</v>
      </c>
      <c r="AK5" s="4">
        <f>Weights!E61</f>
        <v>-0.0005005214664</v>
      </c>
      <c r="AL5" s="5">
        <v>0.00567411021236674</v>
      </c>
      <c r="AM5" s="5">
        <v>0.00341592543077018</v>
      </c>
      <c r="AN5" s="5">
        <v>-0.00234216178122548</v>
      </c>
      <c r="AO5" s="5">
        <v>-0.00203079277434836</v>
      </c>
      <c r="AP5" s="4">
        <f t="shared" si="3"/>
        <v>0.995268086</v>
      </c>
      <c r="AQ5" s="4">
        <f t="shared" si="4"/>
        <v>1.001980848</v>
      </c>
      <c r="AR5" s="5">
        <f t="shared" si="5"/>
        <v>1.009356043</v>
      </c>
      <c r="AS5" s="5">
        <f t="shared" ref="AS5:AU5" si="7">AS4*(1+AM5)</f>
        <v>1.007965663</v>
      </c>
      <c r="AT5" s="5">
        <f t="shared" si="7"/>
        <v>0.9957147336</v>
      </c>
      <c r="AU5" s="5">
        <f t="shared" si="7"/>
        <v>0.9976322094</v>
      </c>
    </row>
    <row r="6">
      <c r="A6" s="3">
        <v>43838.0</v>
      </c>
      <c r="B6" s="4">
        <v>-0.001545</v>
      </c>
      <c r="C6" s="4">
        <v>0.001846</v>
      </c>
      <c r="D6" s="4">
        <v>0.002006</v>
      </c>
      <c r="E6" s="4">
        <v>0.005149</v>
      </c>
      <c r="F6" s="4">
        <v>0.001843</v>
      </c>
      <c r="G6" s="4">
        <v>-1.38E-4</v>
      </c>
      <c r="H6" s="4">
        <v>0.004263</v>
      </c>
      <c r="I6" s="4">
        <v>0.004278</v>
      </c>
      <c r="J6" s="4">
        <v>0.002404</v>
      </c>
      <c r="K6" s="4">
        <v>0.005857</v>
      </c>
      <c r="L6" s="4">
        <v>0.006048</v>
      </c>
      <c r="M6" s="4">
        <v>0.010174</v>
      </c>
      <c r="N6" s="4">
        <v>0.02166</v>
      </c>
      <c r="O6" s="4">
        <v>0.007219</v>
      </c>
      <c r="P6" s="4">
        <v>-0.026602</v>
      </c>
      <c r="Q6" s="4">
        <v>-0.050459</v>
      </c>
      <c r="R6" s="4">
        <v>0.009962</v>
      </c>
      <c r="S6" s="4">
        <v>-0.04564</v>
      </c>
      <c r="T6" s="4">
        <v>-0.002416</v>
      </c>
      <c r="U6" s="4">
        <v>0.007453</v>
      </c>
      <c r="V6" s="4">
        <v>0.00869556364268508</v>
      </c>
      <c r="W6" s="4">
        <v>-0.0041802332239483</v>
      </c>
      <c r="X6" s="4">
        <v>0.0233280577276731</v>
      </c>
      <c r="Y6" s="4">
        <v>0.00652671186533</v>
      </c>
      <c r="Z6" s="4">
        <v>-0.004841736933114</v>
      </c>
      <c r="AA6" s="4">
        <v>0.0042765738855568</v>
      </c>
      <c r="AB6" s="4">
        <v>-0.0041247780268799</v>
      </c>
      <c r="AC6" s="4">
        <v>0.0546022230091802</v>
      </c>
      <c r="AD6" s="4">
        <v>0.0184615949762865</v>
      </c>
      <c r="AE6" s="4">
        <v>-1.818828226702E-4</v>
      </c>
      <c r="AF6" s="4">
        <v>-0.0253333602596916</v>
      </c>
      <c r="AG6" s="4">
        <v>0.0027527969644445</v>
      </c>
      <c r="AH6" s="4">
        <v>-0.0085378407762064</v>
      </c>
      <c r="AI6" s="4">
        <v>0.0013813702564617</v>
      </c>
      <c r="AJ6" s="4">
        <v>0.004902</v>
      </c>
      <c r="AK6" s="4">
        <f>Weights!E62</f>
        <v>0.002002437845</v>
      </c>
      <c r="AL6" s="5">
        <v>-0.00261957749460395</v>
      </c>
      <c r="AM6" s="5">
        <v>-0.00237054271476711</v>
      </c>
      <c r="AN6" s="5">
        <v>0.0027385728896232</v>
      </c>
      <c r="AO6" s="5">
        <v>0.00232549013309912</v>
      </c>
      <c r="AP6" s="4">
        <f t="shared" si="3"/>
        <v>0.9972610485</v>
      </c>
      <c r="AQ6" s="4">
        <f t="shared" si="4"/>
        <v>1.006892559</v>
      </c>
      <c r="AR6" s="5">
        <f t="shared" si="5"/>
        <v>1.006711957</v>
      </c>
      <c r="AS6" s="5">
        <f t="shared" ref="AS6:AU6" si="8">AS5*(1+AM6)</f>
        <v>1.005576238</v>
      </c>
      <c r="AT6" s="5">
        <f t="shared" si="8"/>
        <v>0.998441571</v>
      </c>
      <c r="AU6" s="5">
        <f t="shared" si="8"/>
        <v>0.9999521933</v>
      </c>
    </row>
    <row r="7">
      <c r="A7" s="3">
        <v>43839.0</v>
      </c>
      <c r="B7" s="4">
        <v>-0.009283</v>
      </c>
      <c r="C7" s="4">
        <v>-0.014403</v>
      </c>
      <c r="D7" s="4">
        <v>-0.004405</v>
      </c>
      <c r="E7" s="4">
        <v>6.68E-4</v>
      </c>
      <c r="F7" s="4">
        <v>0.018215</v>
      </c>
      <c r="G7" s="4">
        <v>0.002966</v>
      </c>
      <c r="H7" s="4">
        <v>0.010938</v>
      </c>
      <c r="I7" s="4">
        <v>-0.001754</v>
      </c>
      <c r="J7" s="4">
        <v>-0.001439</v>
      </c>
      <c r="K7" s="4">
        <v>-0.002108</v>
      </c>
      <c r="L7" s="4">
        <v>-1.25E-4</v>
      </c>
      <c r="M7" s="4">
        <v>0.008153</v>
      </c>
      <c r="N7" s="4">
        <v>0.008816</v>
      </c>
      <c r="O7" s="4">
        <v>0.008383</v>
      </c>
      <c r="P7" s="4">
        <v>-0.009981</v>
      </c>
      <c r="Q7" s="4">
        <v>-0.017713</v>
      </c>
      <c r="R7" s="4">
        <v>-0.016692</v>
      </c>
      <c r="S7" s="4">
        <v>-0.008922</v>
      </c>
      <c r="T7" s="4">
        <v>-0.003353</v>
      </c>
      <c r="U7" s="4">
        <v>0.005146</v>
      </c>
      <c r="V7" s="4">
        <v>-0.00554183750621983</v>
      </c>
      <c r="W7" s="4">
        <v>0.0097947075077011</v>
      </c>
      <c r="X7" s="4">
        <v>0.0</v>
      </c>
      <c r="Y7" s="4">
        <v>-0.0022446478205626</v>
      </c>
      <c r="Z7" s="4">
        <v>5.933313374968E-4</v>
      </c>
      <c r="AA7" s="4">
        <v>0.0046133078261754</v>
      </c>
      <c r="AB7" s="4">
        <v>0.0047334721003255</v>
      </c>
      <c r="AC7" s="4">
        <v>0.0</v>
      </c>
      <c r="AD7" s="4">
        <v>0.0</v>
      </c>
      <c r="AE7" s="4">
        <v>0.005637647749707</v>
      </c>
      <c r="AF7" s="4">
        <v>0.0054718302751772</v>
      </c>
      <c r="AG7" s="4">
        <v>-0.0102940480650473</v>
      </c>
      <c r="AH7" s="4">
        <v>-0.0177610288800856</v>
      </c>
      <c r="AI7" s="4">
        <v>0.0032198388564561</v>
      </c>
      <c r="AJ7" s="4">
        <v>0.006655</v>
      </c>
      <c r="AK7" s="4">
        <f>Weights!E63</f>
        <v>-0.0009819058469</v>
      </c>
      <c r="AL7" s="5">
        <v>0.00282858297141874</v>
      </c>
      <c r="AM7" s="5">
        <v>0.00493579211439154</v>
      </c>
      <c r="AN7" s="5">
        <v>-0.00273109359075651</v>
      </c>
      <c r="AO7" s="5">
        <v>-0.00202988103239343</v>
      </c>
      <c r="AP7" s="4">
        <f t="shared" si="3"/>
        <v>0.996281832</v>
      </c>
      <c r="AQ7" s="4">
        <f t="shared" si="4"/>
        <v>1.013593429</v>
      </c>
      <c r="AR7" s="5">
        <f t="shared" si="5"/>
        <v>1.009559525</v>
      </c>
      <c r="AS7" s="5">
        <f t="shared" ref="AS7:AU7" si="9">AS6*(1+AM7)</f>
        <v>1.010539553</v>
      </c>
      <c r="AT7" s="5">
        <f t="shared" si="9"/>
        <v>0.9957147336</v>
      </c>
      <c r="AU7" s="5">
        <f t="shared" si="9"/>
        <v>0.9979224093</v>
      </c>
    </row>
    <row r="8">
      <c r="A8" s="3">
        <v>43840.0</v>
      </c>
      <c r="B8" s="4">
        <v>0.002082</v>
      </c>
      <c r="C8" s="4">
        <v>0.002379</v>
      </c>
      <c r="D8" s="4">
        <v>-0.004626</v>
      </c>
      <c r="E8" s="4">
        <v>-0.001929</v>
      </c>
      <c r="F8" s="4">
        <v>0.003433</v>
      </c>
      <c r="G8" s="4">
        <v>-0.00227</v>
      </c>
      <c r="H8" s="4">
        <v>9.69E-4</v>
      </c>
      <c r="I8" s="4">
        <v>0.00251</v>
      </c>
      <c r="J8" s="4">
        <v>0.007445</v>
      </c>
      <c r="K8" s="4">
        <v>-0.001965</v>
      </c>
      <c r="L8" s="4">
        <v>1.25E-4</v>
      </c>
      <c r="M8" s="4">
        <v>0.005709</v>
      </c>
      <c r="N8" s="4">
        <v>-0.002497</v>
      </c>
      <c r="O8" s="4">
        <v>-0.004379</v>
      </c>
      <c r="P8" s="4">
        <v>0.014642</v>
      </c>
      <c r="Q8" s="4">
        <v>0.011475</v>
      </c>
      <c r="R8" s="4">
        <v>-0.00463</v>
      </c>
      <c r="S8" s="4">
        <v>0.0</v>
      </c>
      <c r="T8" s="4">
        <v>-0.013645</v>
      </c>
      <c r="U8" s="4">
        <v>7.47E-4</v>
      </c>
      <c r="V8" s="4">
        <v>0.0191951117240576</v>
      </c>
      <c r="W8" s="4">
        <v>0.009468753782426</v>
      </c>
      <c r="X8" s="4">
        <v>0.0030442321669608</v>
      </c>
      <c r="Y8" s="4">
        <v>0.0156640430970433</v>
      </c>
      <c r="Z8" s="4">
        <v>0.0161279592308929</v>
      </c>
      <c r="AA8" s="4">
        <v>0.0037088349706202</v>
      </c>
      <c r="AB8" s="4">
        <v>-0.004711171899579</v>
      </c>
      <c r="AC8" s="4">
        <v>0.0205278270447883</v>
      </c>
      <c r="AD8" s="4">
        <v>-0.0030213588435067</v>
      </c>
      <c r="AE8" s="4">
        <v>0.0363469984123376</v>
      </c>
      <c r="AF8" s="4">
        <v>0.0265308150581338</v>
      </c>
      <c r="AG8" s="4">
        <v>0.0090143144471124</v>
      </c>
      <c r="AH8" s="4">
        <v>0.0126027404418647</v>
      </c>
      <c r="AI8" s="4">
        <v>-0.0013753521283432</v>
      </c>
      <c r="AJ8" s="4">
        <v>-0.002855</v>
      </c>
      <c r="AK8" s="4">
        <f>Weights!E64</f>
        <v>0.00603005914</v>
      </c>
      <c r="AL8" s="5">
        <v>0.00574194519484438</v>
      </c>
      <c r="AM8" s="5">
        <v>0.0062459355533424</v>
      </c>
      <c r="AN8" s="5">
        <v>0.00391253420047377</v>
      </c>
      <c r="AO8" s="5">
        <v>0.0024702806297836</v>
      </c>
      <c r="AP8" s="4">
        <f t="shared" si="3"/>
        <v>1.00228947</v>
      </c>
      <c r="AQ8" s="4">
        <f t="shared" si="4"/>
        <v>1.010699619</v>
      </c>
      <c r="AR8" s="5">
        <f t="shared" si="5"/>
        <v>1.015356361</v>
      </c>
      <c r="AS8" s="5">
        <f t="shared" ref="AS8:AU8" si="10">AS7*(1+AM8)</f>
        <v>1.016851318</v>
      </c>
      <c r="AT8" s="5">
        <f t="shared" si="10"/>
        <v>0.9996105015</v>
      </c>
      <c r="AU8" s="5">
        <f t="shared" si="10"/>
        <v>1.000387558</v>
      </c>
    </row>
    <row r="9">
      <c r="A9" s="3">
        <v>43843.0</v>
      </c>
      <c r="B9" s="4">
        <v>0.002078</v>
      </c>
      <c r="C9" s="4">
        <v>0.002712</v>
      </c>
      <c r="D9" s="4">
        <v>0.004849</v>
      </c>
      <c r="E9" s="4">
        <v>0.014867</v>
      </c>
      <c r="F9" s="4">
        <v>0.010805</v>
      </c>
      <c r="G9" s="4">
        <v>0.004412</v>
      </c>
      <c r="H9" s="4">
        <v>0.00734</v>
      </c>
      <c r="I9" s="4">
        <v>0.008262</v>
      </c>
      <c r="J9" s="4">
        <v>0.004052</v>
      </c>
      <c r="K9" s="4">
        <v>0.002684</v>
      </c>
      <c r="L9" s="4">
        <v>0.004759</v>
      </c>
      <c r="M9" s="4">
        <v>-0.002838</v>
      </c>
      <c r="N9" s="4">
        <v>-2.09E-4</v>
      </c>
      <c r="O9" s="4">
        <v>0.008796</v>
      </c>
      <c r="P9" s="4">
        <v>0.004258</v>
      </c>
      <c r="Q9" s="4">
        <v>-0.037277</v>
      </c>
      <c r="R9" s="4">
        <v>0.048837</v>
      </c>
      <c r="S9" s="4">
        <v>-0.011163</v>
      </c>
      <c r="T9" s="4">
        <v>0.01137</v>
      </c>
      <c r="U9" s="4">
        <v>0.013217</v>
      </c>
      <c r="V9" s="4">
        <v>0.00303761487853115</v>
      </c>
      <c r="W9" s="4">
        <v>-0.00594832435397</v>
      </c>
      <c r="X9" s="4">
        <v>0.0075872235689111</v>
      </c>
      <c r="Y9" s="4">
        <v>0.0086136802995273</v>
      </c>
      <c r="Z9" s="4">
        <v>-0.0018085269723366</v>
      </c>
      <c r="AA9" s="4">
        <v>-0.0042231448107484</v>
      </c>
      <c r="AB9" s="4">
        <v>-0.0026628748630607</v>
      </c>
      <c r="AC9" s="4">
        <v>0.0057471176051633</v>
      </c>
      <c r="AD9" s="4">
        <v>-0.0010098884327317</v>
      </c>
      <c r="AE9" s="4">
        <v>0.0127375253953583</v>
      </c>
      <c r="AF9" s="4">
        <v>-0.0069583427870169</v>
      </c>
      <c r="AG9" s="4">
        <v>0.0147060240701872</v>
      </c>
      <c r="AH9" s="4">
        <v>-0.0162338148235973</v>
      </c>
      <c r="AI9" s="4">
        <v>0.0013772463270103</v>
      </c>
      <c r="AJ9" s="4">
        <v>0.006976</v>
      </c>
      <c r="AK9" s="4">
        <f>Weights!E65</f>
        <v>0.002980185823</v>
      </c>
      <c r="AL9" s="5">
        <v>-0.0040064305199795</v>
      </c>
      <c r="AM9" s="5">
        <v>-0.0028926550477244</v>
      </c>
      <c r="AN9" s="5">
        <v>0.00194868650431856</v>
      </c>
      <c r="AO9" s="5">
        <v>0.00420323273136968</v>
      </c>
      <c r="AP9" s="4">
        <f t="shared" si="3"/>
        <v>1.005276479</v>
      </c>
      <c r="AQ9" s="4">
        <f t="shared" si="4"/>
        <v>1.01775026</v>
      </c>
      <c r="AR9" s="5">
        <f t="shared" si="5"/>
        <v>1.011288406</v>
      </c>
      <c r="AS9" s="5">
        <f t="shared" ref="AS9:AU9" si="11">AS8*(1+AM9)</f>
        <v>1.013909918</v>
      </c>
      <c r="AT9" s="5">
        <f t="shared" si="11"/>
        <v>1.001558429</v>
      </c>
      <c r="AU9" s="5">
        <f t="shared" si="11"/>
        <v>1.004592419</v>
      </c>
    </row>
    <row r="10">
      <c r="A10" s="3">
        <v>43844.0</v>
      </c>
      <c r="B10" s="4">
        <v>-0.002592</v>
      </c>
      <c r="C10" s="4">
        <v>-0.00186</v>
      </c>
      <c r="D10" s="4">
        <v>4.02E-4</v>
      </c>
      <c r="E10" s="4">
        <v>0.002344</v>
      </c>
      <c r="F10" s="4">
        <v>-0.002316</v>
      </c>
      <c r="G10" s="4">
        <v>0.005628</v>
      </c>
      <c r="H10" s="4">
        <v>-0.001521</v>
      </c>
      <c r="I10" s="4">
        <v>-9.93E-4</v>
      </c>
      <c r="J10" s="4">
        <v>-0.002374</v>
      </c>
      <c r="K10" s="4">
        <v>-0.00464</v>
      </c>
      <c r="L10" s="4">
        <v>0.002867</v>
      </c>
      <c r="M10" s="4">
        <v>-0.001897</v>
      </c>
      <c r="N10" s="4">
        <v>-0.001878</v>
      </c>
      <c r="O10" s="4">
        <v>3.16E-4</v>
      </c>
      <c r="P10" s="4">
        <v>0.008952</v>
      </c>
      <c r="Q10" s="4">
        <v>0.021886</v>
      </c>
      <c r="R10" s="4">
        <v>-0.023651</v>
      </c>
      <c r="S10" s="4">
        <v>0.009833</v>
      </c>
      <c r="T10" s="4">
        <v>0.011804</v>
      </c>
      <c r="U10" s="4">
        <v>7.36E-4</v>
      </c>
      <c r="V10" s="4">
        <v>0.0054511334738998</v>
      </c>
      <c r="W10" s="4">
        <v>-0.0050633157748175</v>
      </c>
      <c r="X10" s="4">
        <v>-0.0060240728674878</v>
      </c>
      <c r="Y10" s="4">
        <v>5.692589076362E-4</v>
      </c>
      <c r="Z10" s="4">
        <v>-6.432500881117E-4</v>
      </c>
      <c r="AA10" s="4">
        <v>0.0047708660014413</v>
      </c>
      <c r="AB10" s="4">
        <v>-0.0011866019993747</v>
      </c>
      <c r="AC10" s="4">
        <v>-0.007142809850081</v>
      </c>
      <c r="AD10" s="4">
        <v>-0.0091001284523858</v>
      </c>
      <c r="AE10" s="4">
        <v>0.0097346375079561</v>
      </c>
      <c r="AF10" s="4">
        <v>-0.0203535551922473</v>
      </c>
      <c r="AG10" s="4">
        <v>0.0195037724522135</v>
      </c>
      <c r="AH10" s="4">
        <v>-0.016501634800038</v>
      </c>
      <c r="AI10" s="4">
        <v>0.0027514388412199</v>
      </c>
      <c r="AJ10" s="4">
        <v>-0.001515</v>
      </c>
      <c r="AK10" s="4">
        <f>Weights!E66</f>
        <v>0.0001140959964</v>
      </c>
      <c r="AL10" s="5">
        <v>0.00643599126927574</v>
      </c>
      <c r="AM10" s="5">
        <v>0.00682968699589525</v>
      </c>
      <c r="AN10" s="5">
        <v>0.00194446199408893</v>
      </c>
      <c r="AO10" s="5">
        <v>-2.88616008426445E-4</v>
      </c>
      <c r="AP10" s="4">
        <f t="shared" si="3"/>
        <v>1.005391177</v>
      </c>
      <c r="AQ10" s="4">
        <f t="shared" si="4"/>
        <v>1.016208368</v>
      </c>
      <c r="AR10" s="5">
        <f t="shared" si="5"/>
        <v>1.017797049</v>
      </c>
      <c r="AS10" s="5">
        <f t="shared" ref="AS10:AU10" si="12">AS9*(1+AM10)</f>
        <v>1.020834605</v>
      </c>
      <c r="AT10" s="5">
        <f t="shared" si="12"/>
        <v>1.003505921</v>
      </c>
      <c r="AU10" s="5">
        <f t="shared" si="12"/>
        <v>1.004302478</v>
      </c>
    </row>
    <row r="11">
      <c r="A11" s="3">
        <v>43845.0</v>
      </c>
      <c r="B11" s="4">
        <v>0.004418</v>
      </c>
      <c r="C11" s="4">
        <v>0.001016</v>
      </c>
      <c r="D11" s="4">
        <v>-0.002814</v>
      </c>
      <c r="E11" s="4">
        <v>0.017172</v>
      </c>
      <c r="F11" s="4">
        <v>0.0125</v>
      </c>
      <c r="G11" s="4">
        <v>0.003344</v>
      </c>
      <c r="H11" s="4">
        <v>0.010185</v>
      </c>
      <c r="I11" s="4">
        <v>-7.46E-4</v>
      </c>
      <c r="J11" s="4">
        <v>0.007139</v>
      </c>
      <c r="K11" s="4">
        <v>0.00771</v>
      </c>
      <c r="L11" s="4">
        <v>0.003107</v>
      </c>
      <c r="M11" s="4">
        <v>-0.013308</v>
      </c>
      <c r="N11" s="4">
        <v>0.00209</v>
      </c>
      <c r="O11" s="4">
        <v>0.002526</v>
      </c>
      <c r="P11" s="4">
        <v>0.01611</v>
      </c>
      <c r="Q11" s="4">
        <v>0.018122</v>
      </c>
      <c r="R11" s="4">
        <v>-0.017411</v>
      </c>
      <c r="S11" s="4">
        <v>0.015146</v>
      </c>
      <c r="T11" s="4">
        <v>-0.010556</v>
      </c>
      <c r="U11" s="4">
        <v>0.011458</v>
      </c>
      <c r="V11" s="4">
        <v>0.00180731605607165</v>
      </c>
      <c r="W11" s="4">
        <v>0.0064771289781493</v>
      </c>
      <c r="X11" s="4">
        <v>0.0045453333330578</v>
      </c>
      <c r="Y11" s="4">
        <v>0.0136563606326849</v>
      </c>
      <c r="Z11" s="4">
        <v>-0.0047675984520929</v>
      </c>
      <c r="AA11" s="4">
        <v>0.0047489186792448</v>
      </c>
      <c r="AB11" s="4">
        <v>0.0071277722259266</v>
      </c>
      <c r="AC11" s="4">
        <v>-0.0071942699101766</v>
      </c>
      <c r="AD11" s="4">
        <v>0.0051020085916495</v>
      </c>
      <c r="AE11" s="4">
        <v>-0.0080195530858415</v>
      </c>
      <c r="AF11" s="4">
        <v>-0.009536938569415</v>
      </c>
      <c r="AG11" s="4">
        <v>0.0103627503019601</v>
      </c>
      <c r="AH11" s="4">
        <v>0.011744981992263</v>
      </c>
      <c r="AI11" s="4">
        <v>-4.573323084343E-4</v>
      </c>
      <c r="AJ11" s="4">
        <v>0.00187</v>
      </c>
      <c r="AK11" s="4">
        <f>Weights!E67</f>
        <v>0.00348267118</v>
      </c>
      <c r="AL11" s="5">
        <v>-0.00199832881181694</v>
      </c>
      <c r="AM11" s="5">
        <v>-5.40510626835577E-4</v>
      </c>
      <c r="AN11" s="5">
        <v>0.00427046855980717</v>
      </c>
      <c r="AO11" s="5">
        <v>0.00462002555709539</v>
      </c>
      <c r="AP11" s="4">
        <f t="shared" si="3"/>
        <v>1.008892624</v>
      </c>
      <c r="AQ11" s="4">
        <f t="shared" si="4"/>
        <v>1.018108678</v>
      </c>
      <c r="AR11" s="5">
        <f t="shared" si="5"/>
        <v>1.015763156</v>
      </c>
      <c r="AS11" s="5">
        <f t="shared" ref="AS11:AU11" si="13">AS10*(1+AM11)</f>
        <v>1.020282833</v>
      </c>
      <c r="AT11" s="5">
        <f t="shared" si="13"/>
        <v>1.007791362</v>
      </c>
      <c r="AU11" s="5">
        <f t="shared" si="13"/>
        <v>1.008942381</v>
      </c>
    </row>
    <row r="12">
      <c r="A12" s="3">
        <v>43846.0</v>
      </c>
      <c r="B12" s="4">
        <v>0.008538</v>
      </c>
      <c r="C12" s="4">
        <v>0.009645</v>
      </c>
      <c r="D12" s="4">
        <v>0.00262</v>
      </c>
      <c r="E12" s="4">
        <v>0.002945</v>
      </c>
      <c r="F12" s="4">
        <v>0.002116</v>
      </c>
      <c r="G12" s="4">
        <v>0.008095</v>
      </c>
      <c r="H12" s="4">
        <v>8.73E-4</v>
      </c>
      <c r="I12" s="4">
        <v>0.007214</v>
      </c>
      <c r="J12" s="4">
        <v>0.00827</v>
      </c>
      <c r="K12" s="4">
        <v>0.008897</v>
      </c>
      <c r="L12" s="4">
        <v>0.008921</v>
      </c>
      <c r="M12" s="4">
        <v>0.00578</v>
      </c>
      <c r="N12" s="4">
        <v>0.008344</v>
      </c>
      <c r="O12" s="4">
        <v>0.012664</v>
      </c>
      <c r="P12" s="4">
        <v>0.006893</v>
      </c>
      <c r="Q12" s="4">
        <v>-0.016181</v>
      </c>
      <c r="R12" s="4">
        <v>-0.010015</v>
      </c>
      <c r="S12" s="4">
        <v>-0.004263</v>
      </c>
      <c r="T12" s="4">
        <v>-0.001497</v>
      </c>
      <c r="U12" s="4">
        <v>0.015174</v>
      </c>
      <c r="V12" s="4">
        <v>0.0048106186683634</v>
      </c>
      <c r="W12" s="4">
        <v>0.0321762118678963</v>
      </c>
      <c r="X12" s="4">
        <v>0.0</v>
      </c>
      <c r="Y12" s="4">
        <v>0.0073776787239188</v>
      </c>
      <c r="Z12" s="4">
        <v>0.008258082739567</v>
      </c>
      <c r="AA12" s="4">
        <v>0.0178540038749528</v>
      </c>
      <c r="AB12" s="4">
        <v>0.0047184889593261</v>
      </c>
      <c r="AC12" s="4">
        <v>0.0</v>
      </c>
      <c r="AD12" s="4">
        <v>0.0</v>
      </c>
      <c r="AE12" s="4">
        <v>0.0064504116122816</v>
      </c>
      <c r="AF12" s="4">
        <v>-0.0020632893272471</v>
      </c>
      <c r="AG12" s="4">
        <v>-3.943271267393E-4</v>
      </c>
      <c r="AH12" s="4">
        <v>0.0149253455949105</v>
      </c>
      <c r="AI12" s="4">
        <v>4.575415569707E-4</v>
      </c>
      <c r="AJ12" s="4">
        <v>0.008367</v>
      </c>
      <c r="AK12" s="4">
        <f>Weights!E68</f>
        <v>0.005665930892</v>
      </c>
      <c r="AL12" s="5">
        <v>0.00140177198632485</v>
      </c>
      <c r="AM12" s="5">
        <v>0.00246248911448043</v>
      </c>
      <c r="AN12" s="5">
        <v>-7.72974396842429E-4</v>
      </c>
      <c r="AO12" s="5">
        <v>0.0</v>
      </c>
      <c r="AP12" s="4">
        <f t="shared" si="3"/>
        <v>1.01460894</v>
      </c>
      <c r="AQ12" s="4">
        <f t="shared" si="4"/>
        <v>1.026627193</v>
      </c>
      <c r="AR12" s="5">
        <f t="shared" si="5"/>
        <v>1.017187024</v>
      </c>
      <c r="AS12" s="5">
        <f t="shared" ref="AS12:AU12" si="14">AS11*(1+AM12)</f>
        <v>1.022795269</v>
      </c>
      <c r="AT12" s="5">
        <f t="shared" si="14"/>
        <v>1.007012365</v>
      </c>
      <c r="AU12" s="5">
        <f t="shared" si="14"/>
        <v>1.008942381</v>
      </c>
    </row>
    <row r="13">
      <c r="A13" s="3">
        <v>43847.0</v>
      </c>
      <c r="B13" s="4">
        <v>0.00744</v>
      </c>
      <c r="C13" s="4">
        <v>0.007709</v>
      </c>
      <c r="D13" s="4">
        <v>-8.04E-4</v>
      </c>
      <c r="E13" s="4">
        <v>0.011819</v>
      </c>
      <c r="F13" s="4">
        <v>0.002112</v>
      </c>
      <c r="G13" s="4">
        <v>0.006545</v>
      </c>
      <c r="H13" s="4">
        <v>0.002697</v>
      </c>
      <c r="I13" s="4">
        <v>7.41E-4</v>
      </c>
      <c r="J13" s="4">
        <v>0.013593</v>
      </c>
      <c r="K13" s="4">
        <v>7.05E-4</v>
      </c>
      <c r="L13" s="4">
        <v>0.001105</v>
      </c>
      <c r="M13" s="4">
        <v>0.011973</v>
      </c>
      <c r="N13" s="4">
        <v>0.005999</v>
      </c>
      <c r="O13" s="4">
        <v>-9.95E-4</v>
      </c>
      <c r="P13" s="4">
        <v>-0.007759</v>
      </c>
      <c r="Q13" s="4">
        <v>0.008224</v>
      </c>
      <c r="R13" s="4">
        <v>0.001556</v>
      </c>
      <c r="S13" s="4">
        <v>0.006778</v>
      </c>
      <c r="T13" s="4">
        <v>0.008622</v>
      </c>
      <c r="U13" s="4">
        <v>0.005016</v>
      </c>
      <c r="V13" s="4">
        <v>0.0143626158235621</v>
      </c>
      <c r="W13" s="4">
        <v>-0.0022263583665182</v>
      </c>
      <c r="X13" s="4">
        <v>0.0030211362060679</v>
      </c>
      <c r="Y13" s="4">
        <v>0.006209193750869</v>
      </c>
      <c r="Z13" s="4">
        <v>-0.0023318418251133</v>
      </c>
      <c r="AA13" s="4">
        <v>0.0079105398700629</v>
      </c>
      <c r="AB13" s="4">
        <v>0.0076314524287679</v>
      </c>
      <c r="AC13" s="4">
        <v>-0.0029281788596194</v>
      </c>
      <c r="AD13" s="4">
        <v>0.0010159847824582</v>
      </c>
      <c r="AE13" s="4">
        <v>-0.0045290193531618</v>
      </c>
      <c r="AF13" s="4">
        <v>-6.891009169184E-4</v>
      </c>
      <c r="AG13" s="4">
        <v>0.0</v>
      </c>
      <c r="AH13" s="4">
        <v>0.0</v>
      </c>
      <c r="AI13" s="4">
        <v>4.572276557324E-4</v>
      </c>
      <c r="AJ13" s="4">
        <v>0.003862</v>
      </c>
      <c r="AK13" s="4">
        <f>Weights!E69</f>
        <v>0.003682071969</v>
      </c>
      <c r="AL13" s="5">
        <v>0.00799844003934335</v>
      </c>
      <c r="AM13" s="5">
        <v>0.0085675477489362</v>
      </c>
      <c r="AN13" s="5">
        <v>0.00502873886099042</v>
      </c>
      <c r="AO13" s="5">
        <v>0.0034497406291416</v>
      </c>
      <c r="AP13" s="4">
        <f t="shared" si="3"/>
        <v>1.018344803</v>
      </c>
      <c r="AQ13" s="4">
        <f t="shared" si="4"/>
        <v>1.030592027</v>
      </c>
      <c r="AR13" s="5">
        <f t="shared" si="5"/>
        <v>1.025322934</v>
      </c>
      <c r="AS13" s="5">
        <f t="shared" ref="AS13:AU13" si="15">AS12*(1+AM13)</f>
        <v>1.031558116</v>
      </c>
      <c r="AT13" s="5">
        <f t="shared" si="15"/>
        <v>1.012076367</v>
      </c>
      <c r="AU13" s="5">
        <f t="shared" si="15"/>
        <v>1.012422971</v>
      </c>
    </row>
    <row r="14">
      <c r="A14" s="3">
        <v>43851.0</v>
      </c>
      <c r="B14" s="4">
        <v>0.005093</v>
      </c>
      <c r="C14" s="4">
        <v>0.00316</v>
      </c>
      <c r="D14" s="4">
        <v>-0.006237</v>
      </c>
      <c r="E14" s="4">
        <v>0.004248</v>
      </c>
      <c r="F14" s="4">
        <v>0.004039</v>
      </c>
      <c r="G14" s="4">
        <v>6.7E-4</v>
      </c>
      <c r="H14" s="4">
        <v>-0.002532</v>
      </c>
      <c r="I14" s="4">
        <v>0.005429</v>
      </c>
      <c r="J14" s="4">
        <v>0.012486</v>
      </c>
      <c r="K14" s="4">
        <v>-0.003701</v>
      </c>
      <c r="L14" s="4">
        <v>0.00184</v>
      </c>
      <c r="M14" s="4">
        <v>-0.024136</v>
      </c>
      <c r="N14" s="4">
        <v>-0.006786</v>
      </c>
      <c r="O14" s="4">
        <v>0.008532</v>
      </c>
      <c r="P14" s="4">
        <v>0.00529</v>
      </c>
      <c r="Q14" s="4">
        <v>0.03752</v>
      </c>
      <c r="R14" s="4">
        <v>-0.04662</v>
      </c>
      <c r="S14" s="4">
        <v>0.022679</v>
      </c>
      <c r="T14" s="4">
        <v>-0.026947</v>
      </c>
      <c r="U14" s="4">
        <v>-0.001528</v>
      </c>
      <c r="V14" s="4">
        <v>0.00648957895137192</v>
      </c>
      <c r="W14" s="4">
        <v>-0.0180766269660975</v>
      </c>
      <c r="X14" s="4">
        <v>-0.0045181573873794</v>
      </c>
      <c r="Y14" s="4">
        <v>-0.0102056770125199</v>
      </c>
      <c r="Z14" s="4">
        <v>-0.0120075288117684</v>
      </c>
      <c r="AA14" s="4">
        <v>0.0126257223073713</v>
      </c>
      <c r="AB14" s="4">
        <v>0.0072823797123751</v>
      </c>
      <c r="AC14" s="4">
        <v>-0.0014683143477562</v>
      </c>
      <c r="AD14" s="4">
        <v>-0.0030457149477542</v>
      </c>
      <c r="AE14" s="4">
        <v>0.0134773075852987</v>
      </c>
      <c r="AF14" s="4">
        <v>-0.0251723919201493</v>
      </c>
      <c r="AG14" s="4">
        <v>-0.0188107103940156</v>
      </c>
      <c r="AH14" s="4">
        <v>-0.0364923276224553</v>
      </c>
      <c r="AI14" s="4">
        <v>0.003198921649276</v>
      </c>
      <c r="AJ14" s="4">
        <v>-0.002652</v>
      </c>
      <c r="AK14" s="4">
        <f>Weights!E70</f>
        <v>-0.003335443529</v>
      </c>
      <c r="AL14" s="5">
        <v>0.00337219915336217</v>
      </c>
      <c r="AM14" s="5">
        <v>0.00249485301615659</v>
      </c>
      <c r="AN14" s="5">
        <v>0.00230953515950149</v>
      </c>
      <c r="AO14" s="5">
        <v>0.00286434766472831</v>
      </c>
      <c r="AP14" s="4">
        <f t="shared" si="3"/>
        <v>1.014948172</v>
      </c>
      <c r="AQ14" s="4">
        <f t="shared" si="4"/>
        <v>1.027858897</v>
      </c>
      <c r="AR14" s="5">
        <f t="shared" si="5"/>
        <v>1.028780527</v>
      </c>
      <c r="AS14" s="5">
        <f t="shared" ref="AS14:AU14" si="16">AS13*(1+AM14)</f>
        <v>1.034131702</v>
      </c>
      <c r="AT14" s="5">
        <f t="shared" si="16"/>
        <v>1.014413793</v>
      </c>
      <c r="AU14" s="5">
        <f t="shared" si="16"/>
        <v>1.015322902</v>
      </c>
    </row>
    <row r="15">
      <c r="A15" s="3">
        <v>43852.0</v>
      </c>
      <c r="B15" s="4">
        <v>0.002787</v>
      </c>
      <c r="C15" s="4">
        <v>0.002653</v>
      </c>
      <c r="D15" s="4">
        <v>0.027131</v>
      </c>
      <c r="E15" s="4">
        <v>0.010715</v>
      </c>
      <c r="F15" s="4">
        <v>0.007696</v>
      </c>
      <c r="G15" s="4">
        <v>-0.006833</v>
      </c>
      <c r="H15" s="4">
        <v>0.001745</v>
      </c>
      <c r="I15" s="4">
        <v>0.002455</v>
      </c>
      <c r="J15" s="4">
        <v>-6.85E-4</v>
      </c>
      <c r="K15" s="4">
        <v>-0.001946</v>
      </c>
      <c r="L15" s="4">
        <v>-0.004898</v>
      </c>
      <c r="M15" s="4">
        <v>0.006789</v>
      </c>
      <c r="N15" s="4">
        <v>0.003106</v>
      </c>
      <c r="O15" s="4">
        <v>0.015067</v>
      </c>
      <c r="P15" s="4">
        <v>0.001601</v>
      </c>
      <c r="Q15" s="4">
        <v>-0.001572</v>
      </c>
      <c r="R15" s="4">
        <v>0.004075</v>
      </c>
      <c r="S15" s="4">
        <v>0.010048</v>
      </c>
      <c r="T15" s="4">
        <v>-0.007448</v>
      </c>
      <c r="U15" s="4">
        <v>-0.003673</v>
      </c>
      <c r="V15" s="4">
        <v>-0.00762014924805931</v>
      </c>
      <c r="W15" s="4">
        <v>-0.0045451421886339</v>
      </c>
      <c r="X15" s="4">
        <v>0.0</v>
      </c>
      <c r="Y15" s="4">
        <v>-0.0098315006323093</v>
      </c>
      <c r="Z15" s="4">
        <v>0.0032526441900868</v>
      </c>
      <c r="AA15" s="4">
        <v>0.0062343195394303</v>
      </c>
      <c r="AB15" s="4">
        <v>-8.677242690815E-4</v>
      </c>
      <c r="AC15" s="4">
        <v>0.0058821934523822</v>
      </c>
      <c r="AD15" s="4">
        <v>-0.0040732575626606</v>
      </c>
      <c r="AE15" s="4">
        <v>0.0122819236338638</v>
      </c>
      <c r="AF15" s="4">
        <v>-0.0162717012906232</v>
      </c>
      <c r="AG15" s="4">
        <v>-0.0010798342815929</v>
      </c>
      <c r="AH15" s="4">
        <v>0.0</v>
      </c>
      <c r="AI15" s="4">
        <v>0.0041007823998355</v>
      </c>
      <c r="AJ15" s="4">
        <v>2.89E-4</v>
      </c>
      <c r="AK15" s="4">
        <f>Weights!E71</f>
        <v>0.001180692071</v>
      </c>
      <c r="AL15" s="5">
        <v>-0.00523916973934512</v>
      </c>
      <c r="AM15" s="5">
        <v>-0.00213326347115738</v>
      </c>
      <c r="AN15" s="5">
        <v>0.00307231326389545</v>
      </c>
      <c r="AO15" s="5">
        <v>0.0031419868835727</v>
      </c>
      <c r="AP15" s="4">
        <f t="shared" si="3"/>
        <v>1.016146513</v>
      </c>
      <c r="AQ15" s="4">
        <f t="shared" si="4"/>
        <v>1.028155949</v>
      </c>
      <c r="AR15" s="5">
        <f t="shared" si="5"/>
        <v>1.023390571</v>
      </c>
      <c r="AS15" s="5">
        <f t="shared" ref="AS15:AU15" si="17">AS14*(1+AM15)</f>
        <v>1.031925626</v>
      </c>
      <c r="AT15" s="5">
        <f t="shared" si="17"/>
        <v>1.01753039</v>
      </c>
      <c r="AU15" s="5">
        <f t="shared" si="17"/>
        <v>1.018513033</v>
      </c>
    </row>
    <row r="16">
      <c r="A16" s="3">
        <v>43853.0</v>
      </c>
      <c r="B16" s="4">
        <v>0.003032</v>
      </c>
      <c r="C16" s="4">
        <v>4.96E-4</v>
      </c>
      <c r="D16" s="4">
        <v>0.002168</v>
      </c>
      <c r="E16" s="4">
        <v>0.001883</v>
      </c>
      <c r="F16" s="4">
        <v>0.003819</v>
      </c>
      <c r="G16" s="4">
        <v>0.001889</v>
      </c>
      <c r="H16" s="4">
        <v>-0.004545</v>
      </c>
      <c r="I16" s="4">
        <v>0.003918</v>
      </c>
      <c r="J16" s="4">
        <v>0.007998</v>
      </c>
      <c r="K16" s="4">
        <v>0.001418</v>
      </c>
      <c r="L16" s="4">
        <v>0.00566</v>
      </c>
      <c r="M16" s="4">
        <v>0.001927</v>
      </c>
      <c r="N16" s="4">
        <v>0.0</v>
      </c>
      <c r="O16" s="4">
        <v>-0.01819</v>
      </c>
      <c r="P16" s="4">
        <v>-0.001827</v>
      </c>
      <c r="Q16" s="4">
        <v>-0.017323</v>
      </c>
      <c r="R16" s="4">
        <v>-0.028409</v>
      </c>
      <c r="S16" s="4">
        <v>0.001372</v>
      </c>
      <c r="T16" s="4">
        <v>-0.004233</v>
      </c>
      <c r="U16" s="4">
        <v>-0.001638</v>
      </c>
      <c r="V16" s="4">
        <v>-0.00885993324360423</v>
      </c>
      <c r="W16" s="4">
        <v>-0.034703472199305</v>
      </c>
      <c r="X16" s="4">
        <v>-0.0030256038513727</v>
      </c>
      <c r="Y16" s="4">
        <v>0.0102519189623768</v>
      </c>
      <c r="Z16" s="4">
        <v>0.0082236576399861</v>
      </c>
      <c r="AA16" s="4">
        <v>0.0070327111321062</v>
      </c>
      <c r="AB16" s="4">
        <v>-0.003473403337121</v>
      </c>
      <c r="AC16" s="4">
        <v>0.0087719912214563</v>
      </c>
      <c r="AD16" s="4">
        <v>-0.0470348732679407</v>
      </c>
      <c r="AE16" s="4">
        <v>0.0044349249851776</v>
      </c>
      <c r="AF16" s="4">
        <v>-0.0233730190730132</v>
      </c>
      <c r="AG16" s="4">
        <v>-0.0064857682099753</v>
      </c>
      <c r="AH16" s="4">
        <v>-0.0163934669268019</v>
      </c>
      <c r="AI16" s="4">
        <v>9.069863390247E-4</v>
      </c>
      <c r="AJ16" s="4">
        <v>0.001141</v>
      </c>
      <c r="AK16" s="4">
        <f>Weights!E72</f>
        <v>-0.002974954341</v>
      </c>
      <c r="AL16" s="5">
        <v>0.00178865770711733</v>
      </c>
      <c r="AM16" s="5">
        <v>5.94058026567756E-4</v>
      </c>
      <c r="AN16" s="5">
        <v>0.00497692878765332</v>
      </c>
      <c r="AO16" s="5">
        <v>0.00427076759136224</v>
      </c>
      <c r="AP16" s="4">
        <f t="shared" si="3"/>
        <v>1.013123523</v>
      </c>
      <c r="AQ16" s="4">
        <f t="shared" si="4"/>
        <v>1.029329075</v>
      </c>
      <c r="AR16" s="5">
        <f t="shared" si="5"/>
        <v>1.025221067</v>
      </c>
      <c r="AS16" s="5">
        <f t="shared" ref="AS16:AU16" si="18">AS15*(1+AM16)</f>
        <v>1.03253865</v>
      </c>
      <c r="AT16" s="5">
        <f t="shared" si="18"/>
        <v>1.022594566</v>
      </c>
      <c r="AU16" s="5">
        <f t="shared" si="18"/>
        <v>1.022862866</v>
      </c>
    </row>
    <row r="17">
      <c r="A17" s="3">
        <v>43854.0</v>
      </c>
      <c r="B17" s="4">
        <v>0.002771</v>
      </c>
      <c r="C17" s="4">
        <v>-0.003801</v>
      </c>
      <c r="D17" s="4">
        <v>-0.010622</v>
      </c>
      <c r="E17" s="4">
        <v>-0.005117</v>
      </c>
      <c r="F17" s="4">
        <v>-0.002594</v>
      </c>
      <c r="G17" s="4">
        <v>-0.001414</v>
      </c>
      <c r="H17" s="4">
        <v>0.0012</v>
      </c>
      <c r="I17" s="4">
        <v>0.001219</v>
      </c>
      <c r="J17" s="4">
        <v>0.003627</v>
      </c>
      <c r="K17" s="4">
        <v>-7.08E-4</v>
      </c>
      <c r="L17" s="4">
        <v>-0.005526</v>
      </c>
      <c r="M17" s="4">
        <v>-0.007212</v>
      </c>
      <c r="N17" s="4">
        <v>-0.00227</v>
      </c>
      <c r="O17" s="4">
        <v>0.006196</v>
      </c>
      <c r="P17" s="4">
        <v>0.013501</v>
      </c>
      <c r="Q17" s="4">
        <v>0.030449</v>
      </c>
      <c r="R17" s="4">
        <v>-0.01086</v>
      </c>
      <c r="S17" s="4">
        <v>0.018157</v>
      </c>
      <c r="T17" s="4">
        <v>-0.02744</v>
      </c>
      <c r="U17" s="4">
        <v>0.009436</v>
      </c>
      <c r="V17" s="4">
        <v>0.0107270621012542</v>
      </c>
      <c r="W17" s="4">
        <v>0.0085147067185644</v>
      </c>
      <c r="X17" s="4">
        <v>0.0</v>
      </c>
      <c r="Y17" s="4">
        <v>-0.0067119680138566</v>
      </c>
      <c r="Z17" s="4">
        <v>0.004151265216884</v>
      </c>
      <c r="AA17" s="4">
        <v>0.0049885341618418</v>
      </c>
      <c r="AB17" s="4">
        <v>-8.710678929603E-4</v>
      </c>
      <c r="AC17" s="4">
        <v>0.0</v>
      </c>
      <c r="AD17" s="4">
        <v>0.0</v>
      </c>
      <c r="AE17" s="4">
        <v>-0.0028326855162916</v>
      </c>
      <c r="AF17" s="4">
        <v>0.0213550969921283</v>
      </c>
      <c r="AG17" s="4">
        <v>-0.0285594099662876</v>
      </c>
      <c r="AH17" s="4">
        <v>-0.0339080545605843</v>
      </c>
      <c r="AI17" s="4">
        <v>0.0027201534026244</v>
      </c>
      <c r="AJ17" s="4">
        <v>-0.009042</v>
      </c>
      <c r="AK17" s="4">
        <f>Weights!E73</f>
        <v>-0.001750053937</v>
      </c>
      <c r="AL17" s="5">
        <v>-7.93411873061367E-4</v>
      </c>
      <c r="AM17" s="5">
        <v>0.00112750084275758</v>
      </c>
      <c r="AN17" s="5">
        <v>0.00457155950355803</v>
      </c>
      <c r="AO17" s="5">
        <v>0.00396965024874496</v>
      </c>
      <c r="AP17" s="4">
        <f t="shared" si="3"/>
        <v>1.011350503</v>
      </c>
      <c r="AQ17" s="4">
        <f t="shared" si="4"/>
        <v>1.020021881</v>
      </c>
      <c r="AR17" s="5">
        <f t="shared" si="5"/>
        <v>1.024407644</v>
      </c>
      <c r="AS17" s="5">
        <f t="shared" ref="AS17:AU17" si="19">AS16*(1+AM17)</f>
        <v>1.033702838</v>
      </c>
      <c r="AT17" s="5">
        <f t="shared" si="19"/>
        <v>1.027269418</v>
      </c>
      <c r="AU17" s="5">
        <f t="shared" si="19"/>
        <v>1.026923273</v>
      </c>
    </row>
    <row r="18">
      <c r="A18" s="3">
        <v>43857.0</v>
      </c>
      <c r="B18" s="4">
        <v>0.006029</v>
      </c>
      <c r="C18" s="4">
        <v>-0.006138</v>
      </c>
      <c r="D18" s="4">
        <v>0.005368</v>
      </c>
      <c r="E18" s="4">
        <v>-0.005423</v>
      </c>
      <c r="F18" s="4">
        <v>-0.003467</v>
      </c>
      <c r="G18" s="4">
        <v>0.002899</v>
      </c>
      <c r="H18" s="4">
        <v>0.004395</v>
      </c>
      <c r="I18" s="4">
        <v>-0.005359</v>
      </c>
      <c r="J18" s="4">
        <v>-2.26E-4</v>
      </c>
      <c r="K18" s="4">
        <v>-0.00673</v>
      </c>
      <c r="L18" s="4">
        <v>-0.007331</v>
      </c>
      <c r="M18" s="4">
        <v>-0.030024</v>
      </c>
      <c r="N18" s="4">
        <v>-0.009723</v>
      </c>
      <c r="O18" s="4">
        <v>-0.0109</v>
      </c>
      <c r="P18" s="4">
        <v>0.006096</v>
      </c>
      <c r="Q18" s="4">
        <v>-0.012442</v>
      </c>
      <c r="R18" s="4">
        <v>-0.079392</v>
      </c>
      <c r="S18" s="4">
        <v>-0.015141</v>
      </c>
      <c r="T18" s="4">
        <v>-0.022849</v>
      </c>
      <c r="U18" s="4">
        <v>0.001016</v>
      </c>
      <c r="V18" s="4">
        <v>-0.00825484983517133</v>
      </c>
      <c r="W18" s="4">
        <v>-0.0466695061520709</v>
      </c>
      <c r="X18" s="4">
        <v>-0.0122136933924702</v>
      </c>
      <c r="Y18" s="4">
        <v>-0.016812835588884</v>
      </c>
      <c r="Z18" s="4">
        <v>-0.0127518585138272</v>
      </c>
      <c r="AA18" s="4">
        <v>0.0026472953840355</v>
      </c>
      <c r="AB18" s="4">
        <v>0.0026161381082949</v>
      </c>
      <c r="AC18" s="4">
        <v>-0.0217389860188638</v>
      </c>
      <c r="AD18" s="4">
        <v>-0.0118792745017134</v>
      </c>
      <c r="AE18" s="4">
        <v>-0.0048453001844462</v>
      </c>
      <c r="AF18" s="4">
        <v>-0.0165826763998152</v>
      </c>
      <c r="AG18" s="4">
        <v>-0.0064402039634391</v>
      </c>
      <c r="AH18" s="4">
        <v>-0.0452111692225866</v>
      </c>
      <c r="AI18" s="4">
        <v>0.0028093116715617</v>
      </c>
      <c r="AJ18" s="4">
        <v>-0.015731</v>
      </c>
      <c r="AK18" s="4">
        <f>Weights!E74</f>
        <v>-0.01111184404</v>
      </c>
      <c r="AL18" s="5">
        <v>-0.00665139507125334</v>
      </c>
      <c r="AM18" s="5">
        <v>-0.00948496306767343</v>
      </c>
      <c r="AN18" s="5">
        <v>0.00265436728485535</v>
      </c>
      <c r="AO18" s="5">
        <v>0.00282396557767827</v>
      </c>
      <c r="AP18" s="4">
        <f t="shared" si="3"/>
        <v>1.000112533</v>
      </c>
      <c r="AQ18" s="4">
        <f t="shared" si="4"/>
        <v>1.003975917</v>
      </c>
      <c r="AR18" s="5">
        <f t="shared" si="5"/>
        <v>1.017593904</v>
      </c>
      <c r="AS18" s="5">
        <f t="shared" ref="AS18:AU18" si="20">AS17*(1+AM18)</f>
        <v>1.023898205</v>
      </c>
      <c r="AT18" s="5">
        <f t="shared" si="20"/>
        <v>1.029996169</v>
      </c>
      <c r="AU18" s="5">
        <f t="shared" si="20"/>
        <v>1.029823269</v>
      </c>
    </row>
    <row r="19">
      <c r="A19" s="3">
        <v>43858.0</v>
      </c>
      <c r="B19" s="4">
        <v>0.014981</v>
      </c>
      <c r="C19" s="4">
        <v>0.013186</v>
      </c>
      <c r="D19" s="4">
        <v>0.007317</v>
      </c>
      <c r="E19" s="4">
        <v>0.002111</v>
      </c>
      <c r="F19" s="4">
        <v>-0.008177</v>
      </c>
      <c r="G19" s="4">
        <v>0.005042</v>
      </c>
      <c r="H19" s="4">
        <v>0.002705</v>
      </c>
      <c r="I19" s="4">
        <v>0.006368</v>
      </c>
      <c r="J19" s="4">
        <v>-0.004067</v>
      </c>
      <c r="K19" s="4">
        <v>0.005528</v>
      </c>
      <c r="L19" s="4">
        <v>0.005633</v>
      </c>
      <c r="M19" s="4">
        <v>0.011982</v>
      </c>
      <c r="N19" s="4">
        <v>0.010027</v>
      </c>
      <c r="O19" s="4">
        <v>0.016685</v>
      </c>
      <c r="P19" s="4">
        <v>-0.005835</v>
      </c>
      <c r="Q19" s="4">
        <v>-0.053543</v>
      </c>
      <c r="R19" s="4">
        <v>0.036697</v>
      </c>
      <c r="S19" s="4">
        <v>-0.014349</v>
      </c>
      <c r="T19" s="4">
        <v>0.005897</v>
      </c>
      <c r="U19" s="4">
        <v>-0.002741</v>
      </c>
      <c r="V19" s="4">
        <v>0.00891809434405077</v>
      </c>
      <c r="W19" s="4">
        <v>0.0098399023290698</v>
      </c>
      <c r="X19" s="4">
        <v>0.0</v>
      </c>
      <c r="Y19" s="4">
        <v>0.0102275343443638</v>
      </c>
      <c r="Z19" s="4">
        <v>0.0137421694429133</v>
      </c>
      <c r="AA19" s="4">
        <v>-0.0042905278277146</v>
      </c>
      <c r="AB19" s="4">
        <v>2.899235320321E-4</v>
      </c>
      <c r="AC19" s="4">
        <v>0.0</v>
      </c>
      <c r="AD19" s="4">
        <v>-0.0065571802338583</v>
      </c>
      <c r="AE19" s="4">
        <v>0.0210712528055236</v>
      </c>
      <c r="AF19" s="4">
        <v>0.0073314341035533</v>
      </c>
      <c r="AG19" s="4">
        <v>0.011976812967597</v>
      </c>
      <c r="AH19" s="4">
        <v>0.0224299145941579</v>
      </c>
      <c r="AI19" s="4">
        <v>-0.002259952644484</v>
      </c>
      <c r="AJ19" s="4">
        <v>0.010054</v>
      </c>
      <c r="AK19" s="4">
        <f>Weights!E75</f>
        <v>0.004887121163</v>
      </c>
      <c r="AL19" s="5">
        <v>-0.0170899950352393</v>
      </c>
      <c r="AM19" s="5">
        <v>-0.0150215784770141</v>
      </c>
      <c r="AN19" s="5">
        <v>-0.00151295902132242</v>
      </c>
      <c r="AO19" s="5">
        <v>-0.00168952012597245</v>
      </c>
      <c r="AP19" s="4">
        <f t="shared" si="3"/>
        <v>1.005000205</v>
      </c>
      <c r="AQ19" s="4">
        <f t="shared" si="4"/>
        <v>1.014069891</v>
      </c>
      <c r="AR19" s="5">
        <f t="shared" si="5"/>
        <v>1.000203229</v>
      </c>
      <c r="AS19" s="5">
        <f t="shared" ref="AS19:AU19" si="21">AS18*(1+AM19)</f>
        <v>1.008517638</v>
      </c>
      <c r="AT19" s="5">
        <f t="shared" si="21"/>
        <v>1.028437827</v>
      </c>
      <c r="AU19" s="5">
        <f t="shared" si="21"/>
        <v>1.028083362</v>
      </c>
    </row>
    <row r="20">
      <c r="A20" s="3">
        <v>43859.0</v>
      </c>
      <c r="B20" s="4">
        <v>-0.010578</v>
      </c>
      <c r="C20" s="4">
        <v>-0.019275</v>
      </c>
      <c r="D20" s="4">
        <v>-0.010208</v>
      </c>
      <c r="E20" s="4">
        <v>-0.004985</v>
      </c>
      <c r="F20" s="4">
        <v>0.0</v>
      </c>
      <c r="G20" s="4">
        <v>0.006956</v>
      </c>
      <c r="H20" s="4">
        <v>-0.007697</v>
      </c>
      <c r="I20" s="4">
        <v>9.73E-4</v>
      </c>
      <c r="J20" s="4">
        <v>-0.001815</v>
      </c>
      <c r="K20" s="4">
        <v>-0.006207</v>
      </c>
      <c r="L20" s="4">
        <v>-0.002863</v>
      </c>
      <c r="M20" s="4">
        <v>-0.009373</v>
      </c>
      <c r="N20" s="4">
        <v>-0.008893</v>
      </c>
      <c r="O20" s="4">
        <v>0.015554</v>
      </c>
      <c r="P20" s="4">
        <v>0.007223</v>
      </c>
      <c r="Q20" s="4">
        <v>0.034942</v>
      </c>
      <c r="R20" s="4">
        <v>-8.85E-4</v>
      </c>
      <c r="S20" s="4">
        <v>-0.00208</v>
      </c>
      <c r="T20" s="4">
        <v>-0.028502</v>
      </c>
      <c r="U20" s="4">
        <v>-0.013842</v>
      </c>
      <c r="V20" s="4">
        <v>0.0135532848891501</v>
      </c>
      <c r="W20" s="4">
        <v>-0.0024360055258202</v>
      </c>
      <c r="X20" s="4">
        <v>0.0139104066568191</v>
      </c>
      <c r="Y20" s="4">
        <v>0.0038068118473373</v>
      </c>
      <c r="Z20" s="4">
        <v>0.0139632599787622</v>
      </c>
      <c r="AA20" s="4">
        <v>-0.0031489824768797</v>
      </c>
      <c r="AB20" s="4">
        <v>-0.0011592853068238</v>
      </c>
      <c r="AC20" s="4">
        <v>0.0044443237198859</v>
      </c>
      <c r="AD20" s="4">
        <v>-0.0110011644021766</v>
      </c>
      <c r="AE20" s="4">
        <v>0.0137300503523154</v>
      </c>
      <c r="AF20" s="4">
        <v>0.0116449205976822</v>
      </c>
      <c r="AG20" s="4">
        <v>-0.017682821682477</v>
      </c>
      <c r="AH20" s="4">
        <v>-0.0286411027520128</v>
      </c>
      <c r="AI20" s="4">
        <v>0.0013591670559331</v>
      </c>
      <c r="AJ20" s="4">
        <v>-8.67E-4</v>
      </c>
      <c r="AK20" s="4">
        <f>Weights!E76</f>
        <v>-0.002095806165</v>
      </c>
      <c r="AL20" s="5">
        <v>0.00925280071686507</v>
      </c>
      <c r="AM20" s="5">
        <v>0.00966089103941203</v>
      </c>
      <c r="AN20" s="5">
        <v>0.00151525153480158</v>
      </c>
      <c r="AO20" s="5">
        <v>0.00141016957161843</v>
      </c>
      <c r="AP20" s="4">
        <f t="shared" si="3"/>
        <v>1.002893919</v>
      </c>
      <c r="AQ20" s="4">
        <f t="shared" si="4"/>
        <v>1.013190692</v>
      </c>
      <c r="AR20" s="5">
        <f t="shared" si="5"/>
        <v>1.009457911</v>
      </c>
      <c r="AS20" s="5">
        <f t="shared" ref="AS20:AU20" si="22">AS19*(1+AM20)</f>
        <v>1.018260817</v>
      </c>
      <c r="AT20" s="5">
        <f t="shared" si="22"/>
        <v>1.029996169</v>
      </c>
      <c r="AU20" s="5">
        <f t="shared" si="22"/>
        <v>1.029533134</v>
      </c>
    </row>
    <row r="21" ht="15.75" customHeight="1">
      <c r="A21" s="3">
        <v>43860.0</v>
      </c>
      <c r="B21" s="4">
        <v>0.002735</v>
      </c>
      <c r="C21" s="4">
        <v>-0.002856</v>
      </c>
      <c r="D21" s="4">
        <v>-0.003372</v>
      </c>
      <c r="E21" s="4">
        <v>0.014817</v>
      </c>
      <c r="F21" s="4">
        <v>0.03245</v>
      </c>
      <c r="G21" s="4">
        <v>-0.001196</v>
      </c>
      <c r="H21" s="4">
        <v>0.007117</v>
      </c>
      <c r="I21" s="4">
        <v>0.003161</v>
      </c>
      <c r="J21" s="4">
        <v>-0.003182</v>
      </c>
      <c r="K21" s="4">
        <v>-0.002141</v>
      </c>
      <c r="L21" s="4">
        <v>-1.25E-4</v>
      </c>
      <c r="M21" s="4">
        <v>-0.001992</v>
      </c>
      <c r="N21" s="4">
        <v>-0.003965</v>
      </c>
      <c r="O21" s="4">
        <v>-0.002412</v>
      </c>
      <c r="P21" s="4">
        <v>0.007844</v>
      </c>
      <c r="Q21" s="4">
        <v>0.036977</v>
      </c>
      <c r="R21" s="4">
        <v>0.002657</v>
      </c>
      <c r="S21" s="4">
        <v>0.006947</v>
      </c>
      <c r="T21" s="4">
        <v>0.016646</v>
      </c>
      <c r="U21" s="4">
        <v>0.010837</v>
      </c>
      <c r="V21" s="4">
        <v>-0.0122092503920091</v>
      </c>
      <c r="W21" s="4">
        <v>-0.0080585266994749</v>
      </c>
      <c r="X21" s="4">
        <v>0.0121950737608955</v>
      </c>
      <c r="Y21" s="4">
        <v>0.0123444439589928</v>
      </c>
      <c r="Z21" s="4">
        <v>0.0194802679150714</v>
      </c>
      <c r="AA21" s="4">
        <v>-0.0011251691464809</v>
      </c>
      <c r="AB21" s="4">
        <v>5.805701363221E-4</v>
      </c>
      <c r="AC21" s="4">
        <v>-0.005899845945963</v>
      </c>
      <c r="AD21" s="4">
        <v>0.0155729240162192</v>
      </c>
      <c r="AE21" s="4">
        <v>-0.0064881264224563</v>
      </c>
      <c r="AF21" s="4">
        <v>-0.003237478190608</v>
      </c>
      <c r="AG21" s="4">
        <v>-0.0119065488739942</v>
      </c>
      <c r="AH21" s="4">
        <v>-0.0225847012300319</v>
      </c>
      <c r="AI21" s="4">
        <v>0.0</v>
      </c>
      <c r="AJ21" s="4">
        <v>0.003134</v>
      </c>
      <c r="AK21" s="4">
        <f>Weights!E77</f>
        <v>0.001181942461</v>
      </c>
      <c r="AL21" s="5">
        <v>3.02238062847459E-4</v>
      </c>
      <c r="AM21" s="5">
        <v>-6.6188515869936E-4</v>
      </c>
      <c r="AN21" s="5">
        <v>0.00226943853198347</v>
      </c>
      <c r="AO21" s="5">
        <v>0.00225368392451619</v>
      </c>
      <c r="AP21" s="4">
        <f t="shared" si="3"/>
        <v>1.004079282</v>
      </c>
      <c r="AQ21" s="4">
        <f t="shared" si="4"/>
        <v>1.016366032</v>
      </c>
      <c r="AR21" s="5">
        <f t="shared" si="5"/>
        <v>1.009763007</v>
      </c>
      <c r="AS21" s="5">
        <f t="shared" ref="AS21:AU21" si="23">AS20*(1+AM21)</f>
        <v>1.017586845</v>
      </c>
      <c r="AT21" s="5">
        <f t="shared" si="23"/>
        <v>1.032333682</v>
      </c>
      <c r="AU21" s="5">
        <f t="shared" si="23"/>
        <v>1.031853376</v>
      </c>
    </row>
    <row r="22" ht="15.75" customHeight="1">
      <c r="A22" s="3">
        <v>43861.0</v>
      </c>
      <c r="B22" s="4">
        <v>-0.005455</v>
      </c>
      <c r="C22" s="4">
        <v>0.001348</v>
      </c>
      <c r="D22" s="4">
        <v>-0.003582</v>
      </c>
      <c r="E22" s="4">
        <v>-0.012584</v>
      </c>
      <c r="F22" s="4">
        <v>-0.007815</v>
      </c>
      <c r="G22" s="4">
        <v>-0.00991</v>
      </c>
      <c r="H22" s="4">
        <v>-0.01056</v>
      </c>
      <c r="I22" s="4">
        <v>-0.0143</v>
      </c>
      <c r="J22" s="4">
        <v>-0.005928</v>
      </c>
      <c r="K22" s="4">
        <v>-0.011803</v>
      </c>
      <c r="L22" s="4">
        <v>-0.014232</v>
      </c>
      <c r="M22" s="4">
        <v>-0.028443</v>
      </c>
      <c r="N22" s="4">
        <v>-0.014875</v>
      </c>
      <c r="O22" s="4">
        <v>-0.039108</v>
      </c>
      <c r="P22" s="4">
        <v>0.002001</v>
      </c>
      <c r="Q22" s="4">
        <v>-0.007752</v>
      </c>
      <c r="R22" s="4">
        <v>-0.019435</v>
      </c>
      <c r="S22" s="4">
        <v>0.015868</v>
      </c>
      <c r="T22" s="4">
        <v>-0.028039</v>
      </c>
      <c r="U22" s="4">
        <v>-0.016643</v>
      </c>
      <c r="V22" s="4">
        <v>0.0253089031690254</v>
      </c>
      <c r="W22" s="4">
        <v>-0.0223535412255695</v>
      </c>
      <c r="X22" s="4">
        <v>0.0</v>
      </c>
      <c r="Y22" s="4">
        <v>-0.0143459624590959</v>
      </c>
      <c r="Z22" s="4">
        <v>-0.0106937640777644</v>
      </c>
      <c r="AA22" s="4">
        <v>-0.0085760963345392</v>
      </c>
      <c r="AB22" s="4">
        <v>-0.0055105067174165</v>
      </c>
      <c r="AC22" s="4">
        <v>0.0</v>
      </c>
      <c r="AD22" s="4">
        <v>0.0</v>
      </c>
      <c r="AE22" s="4">
        <v>-4.083084234723E-4</v>
      </c>
      <c r="AF22" s="4">
        <v>-0.0270660247555255</v>
      </c>
      <c r="AG22" s="4">
        <v>-0.0271123277339846</v>
      </c>
      <c r="AH22" s="4">
        <v>-0.0243902364376285</v>
      </c>
      <c r="AI22" s="4">
        <v>0.0027137149959994</v>
      </c>
      <c r="AJ22" s="4">
        <v>-0.017706</v>
      </c>
      <c r="AK22" s="4">
        <f>Weights!E78</f>
        <v>-0.009980294153</v>
      </c>
      <c r="AL22" s="5">
        <v>0.00151065033918129</v>
      </c>
      <c r="AM22" s="5">
        <v>0.00240882007613385</v>
      </c>
      <c r="AN22" s="5">
        <v>-0.00188683222293606</v>
      </c>
      <c r="AO22" s="5">
        <v>-0.00393462452679038</v>
      </c>
      <c r="AP22" s="4">
        <f t="shared" si="3"/>
        <v>0.9940582753</v>
      </c>
      <c r="AQ22" s="4">
        <f t="shared" si="4"/>
        <v>0.9983702548</v>
      </c>
      <c r="AR22" s="5">
        <f t="shared" si="5"/>
        <v>1.011288406</v>
      </c>
      <c r="AS22" s="5">
        <f t="shared" ref="AS22:AU22" si="24">AS21*(1+AM22)</f>
        <v>1.020038029</v>
      </c>
      <c r="AT22" s="5">
        <f t="shared" si="24"/>
        <v>1.030385841</v>
      </c>
      <c r="AU22" s="5">
        <f t="shared" si="24"/>
        <v>1.027793421</v>
      </c>
    </row>
    <row r="23" ht="15.75" customHeight="1">
      <c r="A23" s="3">
        <v>43864.0</v>
      </c>
      <c r="B23" s="4">
        <v>-0.00349</v>
      </c>
      <c r="C23" s="4">
        <v>-0.023385</v>
      </c>
      <c r="D23" s="4">
        <v>-0.00719</v>
      </c>
      <c r="E23" s="4">
        <v>0.00345</v>
      </c>
      <c r="F23" s="4">
        <v>0.003082</v>
      </c>
      <c r="G23" s="4">
        <v>0.008732</v>
      </c>
      <c r="H23" s="4">
        <v>0.003932</v>
      </c>
      <c r="I23" s="4">
        <v>0.009835</v>
      </c>
      <c r="J23" s="4">
        <v>0.002064</v>
      </c>
      <c r="K23" s="4">
        <v>-0.004886</v>
      </c>
      <c r="L23" s="4">
        <v>-0.00228</v>
      </c>
      <c r="M23" s="4">
        <v>-0.003082</v>
      </c>
      <c r="N23" s="4">
        <v>4.25E-4</v>
      </c>
      <c r="O23" s="4">
        <v>0.026231</v>
      </c>
      <c r="P23" s="4">
        <v>0.011762</v>
      </c>
      <c r="Q23" s="4">
        <v>0.001562</v>
      </c>
      <c r="R23" s="4">
        <v>0.030631</v>
      </c>
      <c r="S23" s="4">
        <v>-0.017997</v>
      </c>
      <c r="T23" s="4">
        <v>0.009476</v>
      </c>
      <c r="U23" s="4">
        <v>0.022635</v>
      </c>
      <c r="V23" s="4">
        <v>-0.00746274211515918</v>
      </c>
      <c r="W23" s="4">
        <v>0.0034246242517299</v>
      </c>
      <c r="X23" s="4">
        <v>0.0015220641677915</v>
      </c>
      <c r="Y23" s="4">
        <v>-0.001698038815297</v>
      </c>
      <c r="Z23" s="4">
        <v>0.0034417903048726</v>
      </c>
      <c r="AA23" s="4">
        <v>0.0052579930749574</v>
      </c>
      <c r="AB23" s="4">
        <v>0.0087488729835758</v>
      </c>
      <c r="AC23" s="4">
        <v>-0.0164424638238008</v>
      </c>
      <c r="AD23" s="4">
        <v>-0.0187224963346095</v>
      </c>
      <c r="AE23" s="4">
        <v>0.0148631847566458</v>
      </c>
      <c r="AF23" s="4">
        <v>0.001854568048385</v>
      </c>
      <c r="AG23" s="4">
        <v>-0.0131229253814033</v>
      </c>
      <c r="AH23" s="4">
        <v>0.0</v>
      </c>
      <c r="AI23" s="4">
        <v>0.0</v>
      </c>
      <c r="AJ23" s="4">
        <v>0.007255</v>
      </c>
      <c r="AK23" s="4">
        <f>Weights!E79</f>
        <v>0.00120233432</v>
      </c>
      <c r="AL23" s="5">
        <v>-0.0171961368568244</v>
      </c>
      <c r="AM23" s="5">
        <v>-0.0176620986800248</v>
      </c>
      <c r="AN23" s="5">
        <v>-0.00718358411524144</v>
      </c>
      <c r="AO23" s="5">
        <v>-0.00733669780147983</v>
      </c>
      <c r="AP23" s="4">
        <f t="shared" si="3"/>
        <v>0.9952534657</v>
      </c>
      <c r="AQ23" s="4">
        <f t="shared" si="4"/>
        <v>1.005613431</v>
      </c>
      <c r="AR23" s="5">
        <f t="shared" si="5"/>
        <v>0.9938981521</v>
      </c>
      <c r="AS23" s="5">
        <f t="shared" ref="AS23:AU23" si="25">AS22*(1+AM23)</f>
        <v>1.002022016</v>
      </c>
      <c r="AT23" s="5">
        <f t="shared" si="25"/>
        <v>1.022983978</v>
      </c>
      <c r="AU23" s="5">
        <f t="shared" si="25"/>
        <v>1.020252811</v>
      </c>
    </row>
    <row r="24" ht="15.75" customHeight="1">
      <c r="A24" s="3">
        <v>43865.0</v>
      </c>
      <c r="B24" s="4">
        <v>0.006004</v>
      </c>
      <c r="C24" s="4">
        <v>0.004134</v>
      </c>
      <c r="D24" s="4">
        <v>0.003822</v>
      </c>
      <c r="E24" s="4">
        <v>0.004982</v>
      </c>
      <c r="F24" s="4">
        <v>0.004438</v>
      </c>
      <c r="G24" s="4">
        <v>0.009523</v>
      </c>
      <c r="H24" s="4">
        <v>0.004396</v>
      </c>
      <c r="I24" s="4">
        <v>0.004139</v>
      </c>
      <c r="J24" s="4">
        <v>-0.018082</v>
      </c>
      <c r="K24" s="4">
        <v>0.019094</v>
      </c>
      <c r="L24" s="4">
        <v>0.017136</v>
      </c>
      <c r="M24" s="4">
        <v>0.01185</v>
      </c>
      <c r="N24" s="4">
        <v>0.006803</v>
      </c>
      <c r="O24" s="4">
        <v>0.022741</v>
      </c>
      <c r="P24" s="4">
        <v>-0.029831</v>
      </c>
      <c r="Q24" s="4">
        <v>-0.037441</v>
      </c>
      <c r="R24" s="4">
        <v>0.052448</v>
      </c>
      <c r="S24" s="4">
        <v>-0.004495</v>
      </c>
      <c r="T24" s="4">
        <v>0.018773</v>
      </c>
      <c r="U24" s="4">
        <v>0.007107</v>
      </c>
      <c r="V24" s="4">
        <v>0.00751885337892788</v>
      </c>
      <c r="W24" s="4">
        <v>0.0371913442301272</v>
      </c>
      <c r="X24" s="4">
        <v>0.007598755046182</v>
      </c>
      <c r="Y24" s="4">
        <v>0.0144176061834304</v>
      </c>
      <c r="Z24" s="4">
        <v>0.0117362569513068</v>
      </c>
      <c r="AA24" s="4">
        <v>-0.0133290487279758</v>
      </c>
      <c r="AB24" s="4">
        <v>-0.0060710813407148</v>
      </c>
      <c r="AC24" s="4">
        <v>-0.0030395089725075</v>
      </c>
      <c r="AD24" s="4">
        <v>0.0011223005434524</v>
      </c>
      <c r="AE24" s="4">
        <v>0.0098176509863223</v>
      </c>
      <c r="AF24" s="4">
        <v>0.0288781400194999</v>
      </c>
      <c r="AG24" s="4">
        <v>0.0141939406981217</v>
      </c>
      <c r="AH24" s="4">
        <v>0.054605305880061</v>
      </c>
      <c r="AI24" s="4">
        <v>-0.0031572779660106</v>
      </c>
      <c r="AJ24" s="4">
        <v>0.01498</v>
      </c>
      <c r="AK24" s="4">
        <f>Weights!E80</f>
        <v>0.008139253842</v>
      </c>
      <c r="AL24" s="5">
        <v>0.00542313111451164</v>
      </c>
      <c r="AM24" s="5">
        <v>0.00880629258194276</v>
      </c>
      <c r="AN24" s="5">
        <v>0.00495073682061053</v>
      </c>
      <c r="AO24" s="5">
        <v>0.00369536640223699</v>
      </c>
      <c r="AP24" s="4">
        <f t="shared" si="3"/>
        <v>1.003354086</v>
      </c>
      <c r="AQ24" s="4">
        <f t="shared" si="4"/>
        <v>1.02067752</v>
      </c>
      <c r="AR24" s="5">
        <f t="shared" si="5"/>
        <v>0.9992881921</v>
      </c>
      <c r="AS24" s="5">
        <f t="shared" ref="AS24:AU24" si="26">AS23*(1+AM24)</f>
        <v>1.010846115</v>
      </c>
      <c r="AT24" s="5">
        <f t="shared" si="26"/>
        <v>1.028048502</v>
      </c>
      <c r="AU24" s="5">
        <f t="shared" si="26"/>
        <v>1.024023019</v>
      </c>
    </row>
    <row r="25" ht="15.75" customHeight="1">
      <c r="A25" s="3">
        <v>43866.0</v>
      </c>
      <c r="B25" s="4">
        <v>-2.49E-4</v>
      </c>
      <c r="C25" s="4">
        <v>0.014411</v>
      </c>
      <c r="D25" s="4">
        <v>4.01E-4</v>
      </c>
      <c r="E25" s="4">
        <v>0.007541</v>
      </c>
      <c r="F25" s="4">
        <v>1.7E-4</v>
      </c>
      <c r="G25" s="4">
        <v>0.015765</v>
      </c>
      <c r="H25" s="4">
        <v>0.009152</v>
      </c>
      <c r="I25" s="4">
        <v>0.014064</v>
      </c>
      <c r="J25" s="4">
        <v>0.001865</v>
      </c>
      <c r="K25" s="4">
        <v>0.009993</v>
      </c>
      <c r="L25" s="4">
        <v>0.004243</v>
      </c>
      <c r="M25" s="4">
        <v>0.01833</v>
      </c>
      <c r="N25" s="4">
        <v>0.010346</v>
      </c>
      <c r="O25" s="4">
        <v>0.005334</v>
      </c>
      <c r="P25" s="4">
        <v>0.001583</v>
      </c>
      <c r="Q25" s="4">
        <v>0.004862</v>
      </c>
      <c r="R25" s="4">
        <v>0.030731</v>
      </c>
      <c r="S25" s="4">
        <v>-0.01181</v>
      </c>
      <c r="T25" s="4">
        <v>0.013923</v>
      </c>
      <c r="U25" s="4">
        <v>0.005142</v>
      </c>
      <c r="V25" s="4">
        <v>0.00172224147839461</v>
      </c>
      <c r="W25" s="4">
        <v>0.0029035927276117</v>
      </c>
      <c r="X25" s="4">
        <v>0.0015083927756009</v>
      </c>
      <c r="Y25" s="4">
        <v>0.0128551683227768</v>
      </c>
      <c r="Z25" s="4">
        <v>0.0133649313992871</v>
      </c>
      <c r="AA25" s="4">
        <v>-0.0011967025855735</v>
      </c>
      <c r="AB25" s="4">
        <v>0.0090166023662308</v>
      </c>
      <c r="AC25" s="4">
        <v>-0.009146482537764</v>
      </c>
      <c r="AD25" s="4">
        <v>-0.0112104239696111</v>
      </c>
      <c r="AE25" s="4">
        <v>-0.0094032530057717</v>
      </c>
      <c r="AF25" s="4">
        <v>0.0226700657099532</v>
      </c>
      <c r="AG25" s="4">
        <v>0.0391865160274305</v>
      </c>
      <c r="AH25" s="4">
        <v>0.0286961962123868</v>
      </c>
      <c r="AI25" s="4">
        <v>-0.0018099616703058</v>
      </c>
      <c r="AJ25" s="4">
        <v>0.011251</v>
      </c>
      <c r="AK25" s="4">
        <f>Weights!E81</f>
        <v>0.008501172931</v>
      </c>
      <c r="AL25" s="5">
        <v>0.017809726405358</v>
      </c>
      <c r="AM25" s="5">
        <v>0.0157614894997686</v>
      </c>
      <c r="AN25" s="5">
        <v>-0.00151582536411687</v>
      </c>
      <c r="AO25" s="5">
        <v>0.0</v>
      </c>
      <c r="AP25" s="4">
        <f t="shared" si="3"/>
        <v>1.011883773</v>
      </c>
      <c r="AQ25" s="4">
        <f t="shared" si="4"/>
        <v>1.032161163</v>
      </c>
      <c r="AR25" s="5">
        <f t="shared" si="5"/>
        <v>1.017085241</v>
      </c>
      <c r="AS25" s="5">
        <f t="shared" ref="AS25:AU25" si="27">AS24*(1+AM25)</f>
        <v>1.026778556</v>
      </c>
      <c r="AT25" s="5">
        <f t="shared" si="27"/>
        <v>1.02649016</v>
      </c>
      <c r="AU25" s="5">
        <f t="shared" si="27"/>
        <v>1.024023019</v>
      </c>
    </row>
    <row r="26" ht="15.75" customHeight="1">
      <c r="A26" s="3">
        <v>43867.0</v>
      </c>
      <c r="B26" s="4">
        <v>0.011691</v>
      </c>
      <c r="C26" s="4">
        <v>0.005243</v>
      </c>
      <c r="D26" s="4">
        <v>0.00601</v>
      </c>
      <c r="E26" s="4">
        <v>2.08E-4</v>
      </c>
      <c r="F26" s="4">
        <v>0.002379</v>
      </c>
      <c r="G26" s="4">
        <v>-0.002987</v>
      </c>
      <c r="H26" s="4">
        <v>0.002602</v>
      </c>
      <c r="I26" s="4">
        <v>0.006935</v>
      </c>
      <c r="J26" s="4">
        <v>0.003955</v>
      </c>
      <c r="K26" s="4">
        <v>0.00583</v>
      </c>
      <c r="L26" s="4">
        <v>0.005592</v>
      </c>
      <c r="M26" s="4">
        <v>0.008</v>
      </c>
      <c r="N26" s="4">
        <v>0.001881</v>
      </c>
      <c r="O26" s="4">
        <v>0.016514</v>
      </c>
      <c r="P26" s="4">
        <v>0.002032</v>
      </c>
      <c r="Q26" s="4">
        <v>0.053226</v>
      </c>
      <c r="R26" s="4">
        <v>-0.007252</v>
      </c>
      <c r="S26" s="4">
        <v>0.021793</v>
      </c>
      <c r="T26" s="4">
        <v>-0.009491</v>
      </c>
      <c r="U26" s="4">
        <v>0.005316</v>
      </c>
      <c r="V26" s="4">
        <v>0.00114607014097867</v>
      </c>
      <c r="W26" s="4">
        <v>0.0072374319630037</v>
      </c>
      <c r="X26" s="4">
        <v>-0.0060240728674878</v>
      </c>
      <c r="Y26" s="4">
        <v>0.0059913991578688</v>
      </c>
      <c r="Z26" s="4">
        <v>-0.0025160592047004</v>
      </c>
      <c r="AA26" s="4">
        <v>-0.0071905184781193</v>
      </c>
      <c r="AB26" s="4">
        <v>0.0100893993382999</v>
      </c>
      <c r="AC26" s="4">
        <v>0.0061540725392466</v>
      </c>
      <c r="AD26" s="4">
        <v>-0.00793667448665</v>
      </c>
      <c r="AE26" s="4">
        <v>0.0023329349450627</v>
      </c>
      <c r="AF26" s="4">
        <v>-0.0017593807062433</v>
      </c>
      <c r="AG26" s="4">
        <v>0.0042529792595344</v>
      </c>
      <c r="AH26" s="4">
        <v>-0.0030321377102202</v>
      </c>
      <c r="AI26" s="4">
        <v>9.060007411132E-4</v>
      </c>
      <c r="AJ26" s="4">
        <v>0.003326</v>
      </c>
      <c r="AK26" s="4">
        <f>Weights!E82</f>
        <v>0.003623139251</v>
      </c>
      <c r="AL26" s="5">
        <v>0.009299199819355</v>
      </c>
      <c r="AM26" s="5">
        <v>0.00984729684212859</v>
      </c>
      <c r="AN26" s="5">
        <v>0.0</v>
      </c>
      <c r="AO26" s="5">
        <v>-5.66405349268883E-4</v>
      </c>
      <c r="AP26" s="4">
        <f t="shared" si="3"/>
        <v>1.015549969</v>
      </c>
      <c r="AQ26" s="4">
        <f t="shared" si="4"/>
        <v>1.035594131</v>
      </c>
      <c r="AR26" s="5">
        <f t="shared" si="5"/>
        <v>1.02654332</v>
      </c>
      <c r="AS26" s="5">
        <f t="shared" ref="AS26:AU26" si="28">AS25*(1+AM26)</f>
        <v>1.036889549</v>
      </c>
      <c r="AT26" s="5">
        <f t="shared" si="28"/>
        <v>1.02649016</v>
      </c>
      <c r="AU26" s="5">
        <f t="shared" si="28"/>
        <v>1.023443007</v>
      </c>
    </row>
    <row r="27" ht="15.75" customHeight="1">
      <c r="A27" s="3">
        <v>43868.0</v>
      </c>
      <c r="B27" s="4">
        <v>0.00836</v>
      </c>
      <c r="C27" s="4">
        <v>0.008412</v>
      </c>
      <c r="D27" s="4">
        <v>-0.00458</v>
      </c>
      <c r="E27" s="4">
        <v>0.007206</v>
      </c>
      <c r="F27" s="4">
        <v>0.00339</v>
      </c>
      <c r="G27" s="4">
        <v>-0.010682</v>
      </c>
      <c r="H27" s="4">
        <v>-0.008337</v>
      </c>
      <c r="I27" s="4">
        <v>0.001662</v>
      </c>
      <c r="J27" s="4">
        <v>0.00139</v>
      </c>
      <c r="K27" s="4">
        <v>8.78E-4</v>
      </c>
      <c r="L27" s="4">
        <v>-0.003337</v>
      </c>
      <c r="M27" s="4">
        <v>-0.010417</v>
      </c>
      <c r="N27" s="4">
        <v>0.005215</v>
      </c>
      <c r="O27" s="4">
        <v>0.005572</v>
      </c>
      <c r="P27" s="4">
        <v>-0.008335</v>
      </c>
      <c r="Q27" s="4">
        <v>-0.003063</v>
      </c>
      <c r="R27" s="4">
        <v>-0.042208</v>
      </c>
      <c r="S27" s="4">
        <v>-0.018232</v>
      </c>
      <c r="T27" s="4">
        <v>-0.023038</v>
      </c>
      <c r="U27" s="4">
        <v>-0.005986</v>
      </c>
      <c r="V27" s="4">
        <v>0.00343441454361714</v>
      </c>
      <c r="W27" s="4">
        <v>-0.0263471381994319</v>
      </c>
      <c r="X27" s="4">
        <v>0.0</v>
      </c>
      <c r="Y27" s="4">
        <v>-0.0182588377503273</v>
      </c>
      <c r="Z27" s="4">
        <v>-0.0153287450326926</v>
      </c>
      <c r="AA27" s="4">
        <v>0.0063804886385245</v>
      </c>
      <c r="AB27" s="4">
        <v>0.0022832686013563</v>
      </c>
      <c r="AC27" s="4">
        <v>0.0</v>
      </c>
      <c r="AD27" s="4">
        <v>0.0</v>
      </c>
      <c r="AE27" s="4">
        <v>0.0012840521611741</v>
      </c>
      <c r="AF27" s="4">
        <v>-0.0222064240679827</v>
      </c>
      <c r="AG27" s="4">
        <v>0.010164061919005</v>
      </c>
      <c r="AH27" s="4">
        <v>-0.0401460473275365</v>
      </c>
      <c r="AI27" s="4">
        <v>0.0027178170430635</v>
      </c>
      <c r="AJ27" s="4">
        <v>-0.005401</v>
      </c>
      <c r="AK27" s="4">
        <f>Weights!E83</f>
        <v>-0.005106779049</v>
      </c>
      <c r="AL27" s="5">
        <v>0.00356641067218488</v>
      </c>
      <c r="AM27" s="5">
        <v>0.00277748566952729</v>
      </c>
      <c r="AN27" s="5">
        <v>-0.0102467608593661</v>
      </c>
      <c r="AO27" s="5">
        <v>-0.0099178373045945</v>
      </c>
      <c r="AP27" s="4">
        <f t="shared" si="3"/>
        <v>1.010363779</v>
      </c>
      <c r="AQ27" s="4">
        <f t="shared" si="4"/>
        <v>1.030000887</v>
      </c>
      <c r="AR27" s="5">
        <f t="shared" si="5"/>
        <v>1.030204395</v>
      </c>
      <c r="AS27" s="5">
        <f t="shared" ref="AS27:AU27" si="29">AS26*(1+AM27)</f>
        <v>1.039769495</v>
      </c>
      <c r="AT27" s="5">
        <f t="shared" si="29"/>
        <v>1.015971961</v>
      </c>
      <c r="AU27" s="5">
        <f t="shared" si="29"/>
        <v>1.013292666</v>
      </c>
    </row>
    <row r="28" ht="15.75" customHeight="1">
      <c r="A28" s="3">
        <v>43871.0</v>
      </c>
      <c r="B28" s="4">
        <v>0.008291</v>
      </c>
      <c r="C28" s="4">
        <v>0.005005</v>
      </c>
      <c r="D28" s="4">
        <v>-0.004801</v>
      </c>
      <c r="E28" s="4">
        <v>0.001995</v>
      </c>
      <c r="F28" s="4">
        <v>0.009461</v>
      </c>
      <c r="G28" s="4">
        <v>-1.98E-4</v>
      </c>
      <c r="H28" s="4">
        <v>7.14E-4</v>
      </c>
      <c r="I28" s="4">
        <v>0.009483</v>
      </c>
      <c r="J28" s="4">
        <v>0.003471</v>
      </c>
      <c r="K28" s="4">
        <v>-0.00351</v>
      </c>
      <c r="L28" s="4">
        <v>1.24E-4</v>
      </c>
      <c r="M28" s="4">
        <v>-0.002005</v>
      </c>
      <c r="N28" s="4">
        <v>0.00249</v>
      </c>
      <c r="O28" s="4">
        <v>0.01009</v>
      </c>
      <c r="P28" s="4">
        <v>0.009087</v>
      </c>
      <c r="Q28" s="4">
        <v>0.009217</v>
      </c>
      <c r="R28" s="4">
        <v>0.031356</v>
      </c>
      <c r="S28" s="4">
        <v>0.017519</v>
      </c>
      <c r="T28" s="4">
        <v>-0.005426</v>
      </c>
      <c r="U28" s="4">
        <v>0.003212</v>
      </c>
      <c r="V28" s="4">
        <v>0.0131204630516874</v>
      </c>
      <c r="W28" s="4">
        <v>-0.0086101866658184</v>
      </c>
      <c r="X28" s="4">
        <v>-0.0015410362793638</v>
      </c>
      <c r="Y28" s="4">
        <v>0.0042306356920953</v>
      </c>
      <c r="Z28" s="4">
        <v>0.0037440093558307</v>
      </c>
      <c r="AA28" s="4">
        <v>0.0063397808786327</v>
      </c>
      <c r="AB28" s="4">
        <v>-0.0019932730604848</v>
      </c>
      <c r="AC28" s="4">
        <v>0.0</v>
      </c>
      <c r="AD28" s="4">
        <v>0.0023040772752069</v>
      </c>
      <c r="AE28" s="4">
        <v>-0.0025648109712772</v>
      </c>
      <c r="AF28" s="4">
        <v>-0.0028840317864352</v>
      </c>
      <c r="AG28" s="4">
        <v>0.0236164995316141</v>
      </c>
      <c r="AH28" s="4">
        <v>-0.0196450569730524</v>
      </c>
      <c r="AI28" s="4">
        <v>0.0013550705670093</v>
      </c>
      <c r="AJ28" s="4">
        <v>0.007326</v>
      </c>
      <c r="AK28" s="4">
        <f>Weights!E84</f>
        <v>0.003153317686</v>
      </c>
      <c r="AL28" s="5">
        <v>-0.0066140507391571</v>
      </c>
      <c r="AM28" s="5">
        <v>-0.00571660423776521</v>
      </c>
      <c r="AN28" s="5">
        <v>0.00230067958930968</v>
      </c>
      <c r="AO28" s="5">
        <v>0.00286227177185671</v>
      </c>
      <c r="AP28" s="4">
        <f t="shared" si="3"/>
        <v>1.013549777</v>
      </c>
      <c r="AQ28" s="4">
        <f t="shared" si="4"/>
        <v>1.037546674</v>
      </c>
      <c r="AR28" s="5">
        <f t="shared" si="5"/>
        <v>1.023390571</v>
      </c>
      <c r="AS28" s="5">
        <f t="shared" ref="AS28:AU28" si="30">AS27*(1+AM28)</f>
        <v>1.033825544</v>
      </c>
      <c r="AT28" s="5">
        <f t="shared" si="30"/>
        <v>1.018309387</v>
      </c>
      <c r="AU28" s="5">
        <f t="shared" si="30"/>
        <v>1.016192985</v>
      </c>
    </row>
    <row r="29" ht="15.75" customHeight="1">
      <c r="A29" s="3">
        <v>43872.0</v>
      </c>
      <c r="B29" s="4">
        <v>0.00266</v>
      </c>
      <c r="C29" s="4">
        <v>-0.02573</v>
      </c>
      <c r="D29" s="4">
        <v>-0.001608</v>
      </c>
      <c r="E29" s="4">
        <v>0.002883</v>
      </c>
      <c r="F29" s="4">
        <v>-0.002678</v>
      </c>
      <c r="G29" s="4">
        <v>8.56E-4</v>
      </c>
      <c r="H29" s="4">
        <v>-0.015931</v>
      </c>
      <c r="I29" s="4">
        <v>0.004462</v>
      </c>
      <c r="J29" s="4">
        <v>0.004382</v>
      </c>
      <c r="K29" s="4">
        <v>0.002466</v>
      </c>
      <c r="L29" s="4">
        <v>0.005951</v>
      </c>
      <c r="M29" s="4">
        <v>0.015068</v>
      </c>
      <c r="N29" s="4">
        <v>0.009729</v>
      </c>
      <c r="O29" s="4">
        <v>0.006698</v>
      </c>
      <c r="P29" s="4">
        <v>-0.004502</v>
      </c>
      <c r="Q29" s="4">
        <v>-0.045662</v>
      </c>
      <c r="R29" s="4">
        <v>0.018899</v>
      </c>
      <c r="S29" s="4">
        <v>0.013774</v>
      </c>
      <c r="T29" s="4">
        <v>0.014268</v>
      </c>
      <c r="U29" s="4">
        <v>-0.002501</v>
      </c>
      <c r="V29" s="4">
        <v>0.00506760491457458</v>
      </c>
      <c r="W29" s="4">
        <v>0.0186103273876074</v>
      </c>
      <c r="X29" s="4">
        <v>-0.0262344712380699</v>
      </c>
      <c r="Y29" s="4">
        <v>-0.0038948975675326</v>
      </c>
      <c r="Z29" s="4">
        <v>0.0060580495412938</v>
      </c>
      <c r="AA29" s="4">
        <v>0.0034054886853436</v>
      </c>
      <c r="AB29" s="4">
        <v>0.00713249847748</v>
      </c>
      <c r="AC29" s="4">
        <v>-0.0169228571677068</v>
      </c>
      <c r="AD29" s="4">
        <v>-0.0091953991230375</v>
      </c>
      <c r="AE29" s="4">
        <v>-0.0286081360099359</v>
      </c>
      <c r="AF29" s="4">
        <v>0.0090384352973957</v>
      </c>
      <c r="AG29" s="4">
        <v>0.0081908376740134</v>
      </c>
      <c r="AH29" s="4">
        <v>0.0277957216735196</v>
      </c>
      <c r="AI29" s="4">
        <v>-0.0018041441243064</v>
      </c>
      <c r="AJ29" s="4">
        <v>0.001688</v>
      </c>
      <c r="AK29" s="4">
        <f>Weights!E85</f>
        <v>0.001179974896</v>
      </c>
      <c r="AL29" s="5">
        <v>0.00506793205650879</v>
      </c>
      <c r="AM29" s="5">
        <v>0.00735003999951811</v>
      </c>
      <c r="AN29" s="5">
        <v>0.00879892829543971</v>
      </c>
      <c r="AO29" s="5">
        <v>0.00770526314718744</v>
      </c>
      <c r="AP29" s="4">
        <f t="shared" si="3"/>
        <v>1.014745741</v>
      </c>
      <c r="AQ29" s="4">
        <f t="shared" si="4"/>
        <v>1.039298052</v>
      </c>
      <c r="AR29" s="5">
        <f t="shared" si="5"/>
        <v>1.028577045</v>
      </c>
      <c r="AS29" s="5">
        <f t="shared" ref="AS29:AU29" si="31">AS28*(1+AM29)</f>
        <v>1.041424203</v>
      </c>
      <c r="AT29" s="5">
        <f t="shared" si="31"/>
        <v>1.027269418</v>
      </c>
      <c r="AU29" s="5">
        <f t="shared" si="31"/>
        <v>1.024023019</v>
      </c>
    </row>
    <row r="30" ht="15.75" customHeight="1">
      <c r="A30" s="3">
        <v>43873.0</v>
      </c>
      <c r="B30" s="4">
        <v>0.007477</v>
      </c>
      <c r="C30" s="4">
        <v>-0.007838</v>
      </c>
      <c r="D30" s="4">
        <v>0.005033</v>
      </c>
      <c r="E30" s="4">
        <v>0.0</v>
      </c>
      <c r="F30" s="4">
        <v>-0.003021</v>
      </c>
      <c r="G30" s="4">
        <v>-0.005922</v>
      </c>
      <c r="H30" s="4">
        <v>-0.005718</v>
      </c>
      <c r="I30" s="4">
        <v>0.00678</v>
      </c>
      <c r="J30" s="4">
        <v>2.3E-4</v>
      </c>
      <c r="K30" s="4">
        <v>-0.001405</v>
      </c>
      <c r="L30" s="4">
        <v>0.004806</v>
      </c>
      <c r="M30" s="4">
        <v>-0.004948</v>
      </c>
      <c r="N30" s="4">
        <v>0.009225</v>
      </c>
      <c r="O30" s="4">
        <v>-0.006883</v>
      </c>
      <c r="P30" s="4">
        <v>-0.007463</v>
      </c>
      <c r="Q30" s="4">
        <v>-0.030303</v>
      </c>
      <c r="R30" s="4">
        <v>0.021774</v>
      </c>
      <c r="S30" s="4">
        <v>-0.019361</v>
      </c>
      <c r="T30" s="4">
        <v>6.21E-4</v>
      </c>
      <c r="U30" s="4">
        <v>0.005918</v>
      </c>
      <c r="V30" s="4">
        <v>0.00280100392893012</v>
      </c>
      <c r="W30" s="4">
        <v>0.0492083416197284</v>
      </c>
      <c r="X30" s="4">
        <v>0.0126783485681518</v>
      </c>
      <c r="Y30" s="4">
        <v>0.0012770371768311</v>
      </c>
      <c r="Z30" s="4">
        <v>0.0103144044378067</v>
      </c>
      <c r="AA30" s="4">
        <v>-6.788366911189E-4</v>
      </c>
      <c r="AB30" s="4">
        <v>-0.0022659542382822</v>
      </c>
      <c r="AC30" s="4">
        <v>0.0</v>
      </c>
      <c r="AD30" s="4">
        <v>-0.0023201848060903</v>
      </c>
      <c r="AE30" s="4">
        <v>-0.025562717063765</v>
      </c>
      <c r="AF30" s="4">
        <v>0.0358294573602699</v>
      </c>
      <c r="AG30" s="4">
        <v>-0.0013536961672722</v>
      </c>
      <c r="AH30" s="4">
        <v>0.0251572081844748</v>
      </c>
      <c r="AI30" s="4">
        <v>-0.003163087625864</v>
      </c>
      <c r="AJ30" s="4">
        <v>0.006463</v>
      </c>
      <c r="AK30" s="4">
        <f>Weights!E86</f>
        <v>0.002506631054</v>
      </c>
      <c r="AL30" s="5">
        <v>0.00464729343591385</v>
      </c>
      <c r="AM30" s="5">
        <v>0.00276539171473233</v>
      </c>
      <c r="AN30" s="5">
        <v>0.00796344076765165</v>
      </c>
      <c r="AO30" s="5">
        <v>0.00821294065254218</v>
      </c>
      <c r="AP30" s="4">
        <f t="shared" si="3"/>
        <v>1.017289334</v>
      </c>
      <c r="AQ30" s="4">
        <f t="shared" si="4"/>
        <v>1.046015036</v>
      </c>
      <c r="AR30" s="5">
        <f t="shared" si="5"/>
        <v>1.033357144</v>
      </c>
      <c r="AS30" s="5">
        <f t="shared" ref="AS30:AU30" si="32">AS29*(1+AM30)</f>
        <v>1.044304149</v>
      </c>
      <c r="AT30" s="5">
        <f t="shared" si="32"/>
        <v>1.035450017</v>
      </c>
      <c r="AU30" s="5">
        <f t="shared" si="32"/>
        <v>1.032433259</v>
      </c>
    </row>
    <row r="31" ht="15.75" customHeight="1">
      <c r="A31" s="3">
        <v>43874.0</v>
      </c>
      <c r="B31" s="4">
        <v>-0.015561</v>
      </c>
      <c r="C31" s="4">
        <v>0.007213</v>
      </c>
      <c r="D31" s="4">
        <v>-0.005809</v>
      </c>
      <c r="E31" s="4">
        <v>0.00267</v>
      </c>
      <c r="F31" s="4">
        <v>0.003366</v>
      </c>
      <c r="G31" s="4">
        <v>-0.006619</v>
      </c>
      <c r="H31" s="4">
        <v>0.012232</v>
      </c>
      <c r="I31" s="4">
        <v>-0.009974</v>
      </c>
      <c r="J31" s="4">
        <v>0.01056</v>
      </c>
      <c r="K31" s="4">
        <v>-0.00563</v>
      </c>
      <c r="L31" s="4">
        <v>9.81E-4</v>
      </c>
      <c r="M31" s="4">
        <v>-0.019393</v>
      </c>
      <c r="N31" s="4">
        <v>-0.001016</v>
      </c>
      <c r="O31" s="4">
        <v>0.012271</v>
      </c>
      <c r="P31" s="4">
        <v>0.002734</v>
      </c>
      <c r="Q31" s="4">
        <v>0.026316</v>
      </c>
      <c r="R31" s="4">
        <v>-0.004736</v>
      </c>
      <c r="S31" s="4">
        <v>0.004849</v>
      </c>
      <c r="T31" s="4">
        <v>-0.008683</v>
      </c>
      <c r="U31" s="4">
        <v>0.025027</v>
      </c>
      <c r="V31" s="4">
        <v>0.0111731309088047</v>
      </c>
      <c r="W31" s="4">
        <v>-0.0099839094031822</v>
      </c>
      <c r="X31" s="4">
        <v>-0.0046948176374488</v>
      </c>
      <c r="Y31" s="4">
        <v>-0.0075711159178487</v>
      </c>
      <c r="Z31" s="4">
        <v>0.0011862767993078</v>
      </c>
      <c r="AA31" s="4">
        <v>0.0011884550228034</v>
      </c>
      <c r="AB31" s="4">
        <v>-0.0088020541520698</v>
      </c>
      <c r="AC31" s="4">
        <v>0.0046946287504385</v>
      </c>
      <c r="AD31" s="4">
        <v>-0.004651231042773</v>
      </c>
      <c r="AE31" s="4">
        <v>0.0016129800392474</v>
      </c>
      <c r="AF31" s="4">
        <v>-0.0401245709476416</v>
      </c>
      <c r="AG31" s="4">
        <v>-0.0237292410078924</v>
      </c>
      <c r="AH31" s="4">
        <v>-0.0079754671669458</v>
      </c>
      <c r="AI31" s="4">
        <v>-4.537766764588E-4</v>
      </c>
      <c r="AJ31" s="4">
        <v>-0.00163</v>
      </c>
      <c r="AK31" s="4">
        <f>Weights!E87</f>
        <v>-0.002678490072</v>
      </c>
      <c r="AL31" s="5">
        <v>0.00501913408918119</v>
      </c>
      <c r="AM31" s="5">
        <v>0.00627860372105404</v>
      </c>
      <c r="AN31" s="5">
        <v>0.0048907133773981</v>
      </c>
      <c r="AO31" s="5">
        <v>0.00589887216843032</v>
      </c>
      <c r="AP31" s="4">
        <f t="shared" si="3"/>
        <v>1.014564534</v>
      </c>
      <c r="AQ31" s="4">
        <f t="shared" si="4"/>
        <v>1.044310031</v>
      </c>
      <c r="AR31" s="5">
        <f t="shared" si="5"/>
        <v>1.038543703</v>
      </c>
      <c r="AS31" s="5">
        <f t="shared" ref="AS31:AU31" si="33">AS30*(1+AM31)</f>
        <v>1.050860921</v>
      </c>
      <c r="AT31" s="5">
        <f t="shared" si="33"/>
        <v>1.040514107</v>
      </c>
      <c r="AU31" s="5">
        <f t="shared" si="33"/>
        <v>1.038523451</v>
      </c>
    </row>
    <row r="32" ht="15.75" customHeight="1">
      <c r="A32" s="3">
        <v>43875.0</v>
      </c>
      <c r="B32" s="4">
        <v>-0.013619</v>
      </c>
      <c r="C32" s="4">
        <v>-0.002387</v>
      </c>
      <c r="D32" s="4">
        <v>-6.05E-4</v>
      </c>
      <c r="E32" s="4">
        <v>0.00355</v>
      </c>
      <c r="F32" s="4">
        <v>0.005704</v>
      </c>
      <c r="G32" s="4">
        <v>2.67E-4</v>
      </c>
      <c r="H32" s="4">
        <v>0.009443</v>
      </c>
      <c r="I32" s="4">
        <v>0.004284</v>
      </c>
      <c r="J32" s="4">
        <v>0.008409</v>
      </c>
      <c r="K32" s="4">
        <v>0.005308</v>
      </c>
      <c r="L32" s="4">
        <v>0.001225</v>
      </c>
      <c r="M32" s="4">
        <v>-5.07E-4</v>
      </c>
      <c r="N32" s="4">
        <v>0.019317</v>
      </c>
      <c r="O32" s="4">
        <v>0.009835</v>
      </c>
      <c r="P32" s="4">
        <v>0.001363</v>
      </c>
      <c r="Q32" s="4">
        <v>-0.022436</v>
      </c>
      <c r="R32" s="4">
        <v>-0.029342</v>
      </c>
      <c r="S32" s="4">
        <v>0.033781</v>
      </c>
      <c r="T32" s="4">
        <v>-0.016684</v>
      </c>
      <c r="U32" s="4">
        <v>0.009825</v>
      </c>
      <c r="V32" s="4">
        <v>0.00331494199459747</v>
      </c>
      <c r="W32" s="4">
        <v>-0.0180579049786271</v>
      </c>
      <c r="X32" s="4">
        <v>0.0</v>
      </c>
      <c r="Y32" s="4">
        <v>-2.409211111035E-4</v>
      </c>
      <c r="Z32" s="4">
        <v>-0.010940876404086</v>
      </c>
      <c r="AA32" s="4">
        <v>0.0062757723808919</v>
      </c>
      <c r="AB32" s="4">
        <v>-0.0045831113703821</v>
      </c>
      <c r="AC32" s="4">
        <v>0.0</v>
      </c>
      <c r="AD32" s="4">
        <v>0.0</v>
      </c>
      <c r="AE32" s="4">
        <v>-0.0074588326475836</v>
      </c>
      <c r="AF32" s="4">
        <v>-0.0050450830181971</v>
      </c>
      <c r="AG32" s="4">
        <v>-0.0087499828703448</v>
      </c>
      <c r="AH32" s="4">
        <v>-0.0179344000930672</v>
      </c>
      <c r="AI32" s="4">
        <v>0.0022680494360636</v>
      </c>
      <c r="AJ32" s="4">
        <v>0.001844</v>
      </c>
      <c r="AK32" s="4">
        <f>Weights!E88</f>
        <v>-0.0008642137496</v>
      </c>
      <c r="AL32" s="5">
        <v>-0.00323150834121332</v>
      </c>
      <c r="AM32" s="5">
        <v>-4.08299481792995E-4</v>
      </c>
      <c r="AN32" s="5">
        <v>-0.00524124341697251</v>
      </c>
      <c r="AO32" s="5">
        <v>-0.00530590705947409</v>
      </c>
      <c r="AP32" s="4">
        <f t="shared" si="3"/>
        <v>1.013687734</v>
      </c>
      <c r="AQ32" s="4">
        <f t="shared" si="4"/>
        <v>1.046235739</v>
      </c>
      <c r="AR32" s="5">
        <f t="shared" si="5"/>
        <v>1.03518764</v>
      </c>
      <c r="AS32" s="5">
        <f t="shared" ref="AS32:AU32" si="34">AS31*(1+AM32)</f>
        <v>1.050431855</v>
      </c>
      <c r="AT32" s="5">
        <f t="shared" si="34"/>
        <v>1.035060519</v>
      </c>
      <c r="AU32" s="5">
        <f t="shared" si="34"/>
        <v>1.033013142</v>
      </c>
    </row>
    <row r="33" ht="15.75" customHeight="1">
      <c r="A33" s="3">
        <v>43879.0</v>
      </c>
      <c r="B33" s="4">
        <v>0.006657</v>
      </c>
      <c r="C33" s="4">
        <v>-0.010255</v>
      </c>
      <c r="D33" s="4">
        <v>0.010282</v>
      </c>
      <c r="E33" s="4">
        <v>-0.009456</v>
      </c>
      <c r="F33" s="4">
        <v>-0.007006</v>
      </c>
      <c r="G33" s="4">
        <v>-0.006594</v>
      </c>
      <c r="H33" s="4">
        <v>-0.010068</v>
      </c>
      <c r="I33" s="4">
        <v>-0.015166</v>
      </c>
      <c r="J33" s="4">
        <v>0.006132</v>
      </c>
      <c r="K33" s="4">
        <v>0.0</v>
      </c>
      <c r="L33" s="4">
        <v>-0.003794</v>
      </c>
      <c r="M33" s="4">
        <v>-0.006596</v>
      </c>
      <c r="N33" s="4">
        <v>-0.014762</v>
      </c>
      <c r="O33" s="4">
        <v>-0.010193</v>
      </c>
      <c r="P33" s="4">
        <v>0.034264</v>
      </c>
      <c r="Q33" s="4">
        <v>0.113115</v>
      </c>
      <c r="R33" s="4">
        <v>-0.017974</v>
      </c>
      <c r="S33" s="4">
        <v>0.047016</v>
      </c>
      <c r="T33" s="4">
        <v>0.00509</v>
      </c>
      <c r="U33" s="4">
        <v>0.008284</v>
      </c>
      <c r="V33" s="4">
        <v>0.0115638283948962</v>
      </c>
      <c r="W33" s="4">
        <v>0.0047764773461957</v>
      </c>
      <c r="X33" s="4">
        <v>0.0062891766310992</v>
      </c>
      <c r="Y33" s="4">
        <v>0.0</v>
      </c>
      <c r="Z33" s="4">
        <v>0.0</v>
      </c>
      <c r="AA33" s="4">
        <v>0.0</v>
      </c>
      <c r="AB33" s="4">
        <v>0.0</v>
      </c>
      <c r="AC33" s="4">
        <v>-0.0062303620354727</v>
      </c>
      <c r="AD33" s="4">
        <v>0.0140188280594475</v>
      </c>
      <c r="AE33" s="4">
        <v>0.0</v>
      </c>
      <c r="AF33" s="4">
        <v>0.0199204251823648</v>
      </c>
      <c r="AG33" s="4">
        <v>0.0</v>
      </c>
      <c r="AH33" s="4">
        <v>0.0</v>
      </c>
      <c r="AI33" s="4">
        <v>0.0</v>
      </c>
      <c r="AJ33" s="4">
        <v>-0.00292</v>
      </c>
      <c r="AK33" s="4">
        <f>Weights!E89</f>
        <v>0.003542458932</v>
      </c>
      <c r="AL33" s="5">
        <v>0.00127706421779594</v>
      </c>
      <c r="AM33" s="5">
        <v>0.00163338312419436</v>
      </c>
      <c r="AN33" s="5">
        <v>0.00564550016149589</v>
      </c>
      <c r="AO33" s="5">
        <v>0.00393051981185488</v>
      </c>
      <c r="AP33" s="4">
        <f t="shared" si="3"/>
        <v>1.017278681</v>
      </c>
      <c r="AQ33" s="4">
        <f t="shared" si="4"/>
        <v>1.04318073</v>
      </c>
      <c r="AR33" s="5">
        <f t="shared" si="5"/>
        <v>1.036509641</v>
      </c>
      <c r="AS33" s="5">
        <f t="shared" ref="AS33:AU33" si="35">AS32*(1+AM33)</f>
        <v>1.052147613</v>
      </c>
      <c r="AT33" s="5">
        <f t="shared" si="35"/>
        <v>1.040903953</v>
      </c>
      <c r="AU33" s="5">
        <f t="shared" si="35"/>
        <v>1.037073421</v>
      </c>
    </row>
    <row r="34" ht="15.75" customHeight="1">
      <c r="A34" s="3">
        <v>43880.0</v>
      </c>
      <c r="B34" s="4">
        <v>-0.005143</v>
      </c>
      <c r="C34" s="4">
        <v>0.005353</v>
      </c>
      <c r="D34" s="4">
        <v>0.00439</v>
      </c>
      <c r="E34" s="4">
        <v>-4.81E-4</v>
      </c>
      <c r="F34" s="4">
        <v>0.004032</v>
      </c>
      <c r="G34" s="4">
        <v>-0.001341</v>
      </c>
      <c r="H34" s="4">
        <v>0.004565</v>
      </c>
      <c r="I34" s="4">
        <v>0.009865</v>
      </c>
      <c r="J34" s="4">
        <v>-6.77E-4</v>
      </c>
      <c r="K34" s="4">
        <v>0.00528</v>
      </c>
      <c r="L34" s="4">
        <v>0.001474</v>
      </c>
      <c r="M34" s="4">
        <v>0.016343</v>
      </c>
      <c r="N34" s="4">
        <v>-4.05E-4</v>
      </c>
      <c r="O34" s="4">
        <v>0.010412</v>
      </c>
      <c r="P34" s="4">
        <v>0.012944</v>
      </c>
      <c r="Q34" s="4">
        <v>0.057437</v>
      </c>
      <c r="R34" s="4">
        <v>0.006656</v>
      </c>
      <c r="S34" s="4">
        <v>0.024841</v>
      </c>
      <c r="T34" s="4">
        <v>0.006752</v>
      </c>
      <c r="U34" s="4">
        <v>-0.018343</v>
      </c>
      <c r="V34" s="4">
        <v>0.00163317631951609</v>
      </c>
      <c r="W34" s="4">
        <v>-0.0232943313284241</v>
      </c>
      <c r="X34" s="4">
        <v>0.0</v>
      </c>
      <c r="Y34" s="4">
        <v>-0.0140561922500231</v>
      </c>
      <c r="Z34" s="4">
        <v>-0.0064647659410773</v>
      </c>
      <c r="AA34" s="4">
        <v>0.0134837766290636</v>
      </c>
      <c r="AB34" s="4">
        <v>-0.0046042129912942</v>
      </c>
      <c r="AC34" s="4">
        <v>-0.0015675153596307</v>
      </c>
      <c r="AD34" s="4">
        <v>0.0023040772752069</v>
      </c>
      <c r="AE34" s="4">
        <v>-0.0070025933338342</v>
      </c>
      <c r="AF34" s="4">
        <v>-0.0454546243193278</v>
      </c>
      <c r="AG34" s="4">
        <v>0.0088272209020303</v>
      </c>
      <c r="AH34" s="4">
        <v>-0.0201511735883871</v>
      </c>
      <c r="AI34" s="4">
        <v>0.0022617805071734</v>
      </c>
      <c r="AJ34" s="4">
        <v>0.004706</v>
      </c>
      <c r="AK34" s="4">
        <f>Weights!E90</f>
        <v>0.0009812813449</v>
      </c>
      <c r="AL34" s="5">
        <v>-0.00284530202307142</v>
      </c>
      <c r="AM34" s="5">
        <v>-0.00232998423358732</v>
      </c>
      <c r="AN34" s="5">
        <v>0.00149685364724816</v>
      </c>
      <c r="AO34" s="5">
        <v>0.00251662540087904</v>
      </c>
      <c r="AP34" s="4">
        <f t="shared" si="3"/>
        <v>1.018276918</v>
      </c>
      <c r="AQ34" s="4">
        <f t="shared" si="4"/>
        <v>1.048089939</v>
      </c>
      <c r="AR34" s="5">
        <f t="shared" si="5"/>
        <v>1.033560458</v>
      </c>
      <c r="AS34" s="5">
        <f t="shared" ref="AS34:AU34" si="36">AS33*(1+AM34)</f>
        <v>1.049696126</v>
      </c>
      <c r="AT34" s="5">
        <f t="shared" si="36"/>
        <v>1.042462034</v>
      </c>
      <c r="AU34" s="5">
        <f t="shared" si="36"/>
        <v>1.039683346</v>
      </c>
    </row>
    <row r="35" ht="15.75" customHeight="1">
      <c r="A35" s="3">
        <v>43881.0</v>
      </c>
      <c r="B35" s="4">
        <v>-0.033973</v>
      </c>
      <c r="C35" s="4">
        <v>-0.002233</v>
      </c>
      <c r="D35" s="4">
        <v>-0.012716</v>
      </c>
      <c r="E35" s="4">
        <v>-0.002542</v>
      </c>
      <c r="F35" s="4">
        <v>-8.37E-4</v>
      </c>
      <c r="G35" s="4">
        <v>-0.003827</v>
      </c>
      <c r="H35" s="4">
        <v>0.009088</v>
      </c>
      <c r="I35" s="4">
        <v>-0.005004</v>
      </c>
      <c r="J35" s="4">
        <v>-0.005647</v>
      </c>
      <c r="K35" s="4">
        <v>0.002451</v>
      </c>
      <c r="L35" s="4">
        <v>-0.001472</v>
      </c>
      <c r="M35" s="4">
        <v>0.006533</v>
      </c>
      <c r="N35" s="4">
        <v>0.002228</v>
      </c>
      <c r="O35" s="4">
        <v>-0.00351</v>
      </c>
      <c r="P35" s="4">
        <v>0.041802</v>
      </c>
      <c r="Q35" s="4">
        <v>-0.029248</v>
      </c>
      <c r="R35" s="4">
        <v>-0.001653</v>
      </c>
      <c r="S35" s="4">
        <v>0.007458</v>
      </c>
      <c r="T35" s="4">
        <v>0.002934</v>
      </c>
      <c r="U35" s="4">
        <v>-0.001752</v>
      </c>
      <c r="V35" s="4">
        <v>0.0135871241695191</v>
      </c>
      <c r="W35" s="4">
        <v>0.0163056877179772</v>
      </c>
      <c r="X35" s="4">
        <v>0.0140626607168456</v>
      </c>
      <c r="Y35" s="4">
        <v>0.0030954844502908</v>
      </c>
      <c r="Z35" s="4">
        <v>0.0023559638488592</v>
      </c>
      <c r="AA35" s="4">
        <v>-0.0016630169472493</v>
      </c>
      <c r="AB35" s="4">
        <v>-0.001156558723361</v>
      </c>
      <c r="AC35" s="4">
        <v>0.0047096891029523</v>
      </c>
      <c r="AD35" s="4">
        <v>0.0057470899149283</v>
      </c>
      <c r="AE35" s="4">
        <v>-0.0029240077166436</v>
      </c>
      <c r="AF35" s="4">
        <v>0.0081845855472635</v>
      </c>
      <c r="AG35" s="4">
        <v>-0.0030554344164256</v>
      </c>
      <c r="AH35" s="4">
        <v>0.0089974667259751</v>
      </c>
      <c r="AI35" s="4">
        <v>-0.0018053617377737</v>
      </c>
      <c r="AJ35" s="4">
        <v>-0.003816</v>
      </c>
      <c r="AK35" s="4">
        <f>Weights!E91</f>
        <v>0.001429435911</v>
      </c>
      <c r="AL35" s="5">
        <v>0.00393578381673531</v>
      </c>
      <c r="AM35" s="5">
        <v>0.0050791217819297</v>
      </c>
      <c r="AN35" s="5">
        <v>0.00411071700342646</v>
      </c>
      <c r="AO35" s="5">
        <v>0.0030683681258814</v>
      </c>
      <c r="AP35" s="4">
        <f t="shared" si="3"/>
        <v>1.019732479</v>
      </c>
      <c r="AQ35" s="4">
        <f t="shared" si="4"/>
        <v>1.044090428</v>
      </c>
      <c r="AR35" s="5">
        <f t="shared" si="5"/>
        <v>1.037628329</v>
      </c>
      <c r="AS35" s="5">
        <f t="shared" ref="AS35:AU35" si="37">AS34*(1+AM35)</f>
        <v>1.05502766</v>
      </c>
      <c r="AT35" s="5">
        <f t="shared" si="37"/>
        <v>1.046747301</v>
      </c>
      <c r="AU35" s="5">
        <f t="shared" si="37"/>
        <v>1.042873477</v>
      </c>
    </row>
    <row r="36" ht="15.75" customHeight="1">
      <c r="A36" s="3">
        <v>43882.0</v>
      </c>
      <c r="B36" s="4">
        <v>0.0</v>
      </c>
      <c r="C36" s="4">
        <v>0.001894</v>
      </c>
      <c r="D36" s="4">
        <v>-0.009459</v>
      </c>
      <c r="E36" s="4">
        <v>0.004753</v>
      </c>
      <c r="F36" s="4">
        <v>0.006865</v>
      </c>
      <c r="G36" s="4">
        <v>0.010514</v>
      </c>
      <c r="H36" s="4">
        <v>9.48E-4</v>
      </c>
      <c r="I36" s="4">
        <v>0.002634</v>
      </c>
      <c r="J36" s="4">
        <v>0.004543</v>
      </c>
      <c r="K36" s="4">
        <v>8.73E-4</v>
      </c>
      <c r="L36" s="4">
        <v>0.014988</v>
      </c>
      <c r="M36" s="4">
        <v>-0.025961</v>
      </c>
      <c r="N36" s="4">
        <v>-0.004648</v>
      </c>
      <c r="O36" s="4">
        <v>-0.012045</v>
      </c>
      <c r="P36" s="4">
        <v>0.027859</v>
      </c>
      <c r="Q36" s="4">
        <v>0.070301</v>
      </c>
      <c r="R36" s="4">
        <v>-0.011589</v>
      </c>
      <c r="S36" s="4">
        <v>0.015114</v>
      </c>
      <c r="T36" s="4">
        <v>0.015047</v>
      </c>
      <c r="U36" s="4">
        <v>0.00741</v>
      </c>
      <c r="V36" s="4">
        <v>-0.00321731277905201</v>
      </c>
      <c r="W36" s="4">
        <v>0.0165228308545477</v>
      </c>
      <c r="X36" s="4">
        <v>0.0092449563409842</v>
      </c>
      <c r="Y36" s="4">
        <v>0.0082029386807933</v>
      </c>
      <c r="Z36" s="4">
        <v>0.0025181154850433</v>
      </c>
      <c r="AA36" s="4">
        <v>-0.0014992084616033</v>
      </c>
      <c r="AB36" s="4">
        <v>-0.0043414456599552</v>
      </c>
      <c r="AC36" s="4">
        <v>-0.024999880631222</v>
      </c>
      <c r="AD36" s="4">
        <v>0.0148571039258287</v>
      </c>
      <c r="AE36" s="4">
        <v>0.0012937729187068</v>
      </c>
      <c r="AF36" s="4">
        <v>0.0088559745331011</v>
      </c>
      <c r="AG36" s="4">
        <v>0.0022291706887938</v>
      </c>
      <c r="AH36" s="4">
        <v>-0.0286624680194516</v>
      </c>
      <c r="AI36" s="4">
        <v>0.0031659491919682</v>
      </c>
      <c r="AJ36" s="4">
        <v>-0.010518</v>
      </c>
      <c r="AK36" s="4">
        <f>Weights!E92</f>
        <v>0.002051509787</v>
      </c>
      <c r="AL36" s="5">
        <v>-0.00421446793153712</v>
      </c>
      <c r="AM36" s="5">
        <v>-0.00302030786143703</v>
      </c>
      <c r="AN36" s="5">
        <v>0.0</v>
      </c>
      <c r="AO36" s="5">
        <v>-0.0011120248410652</v>
      </c>
      <c r="AP36" s="4">
        <f t="shared" si="3"/>
        <v>1.02182447</v>
      </c>
      <c r="AQ36" s="4">
        <f t="shared" si="4"/>
        <v>1.033108685</v>
      </c>
      <c r="AR36" s="5">
        <f t="shared" si="5"/>
        <v>1.033255277</v>
      </c>
      <c r="AS36" s="5">
        <f t="shared" ref="AS36:AU36" si="38">AS35*(1+AM36)</f>
        <v>1.051841152</v>
      </c>
      <c r="AT36" s="5">
        <f t="shared" si="38"/>
        <v>1.046747301</v>
      </c>
      <c r="AU36" s="5">
        <f t="shared" si="38"/>
        <v>1.041713776</v>
      </c>
    </row>
    <row r="37" ht="15.75" customHeight="1">
      <c r="A37" s="3">
        <v>43885.0</v>
      </c>
      <c r="B37" s="4">
        <v>-0.013761</v>
      </c>
      <c r="C37" s="4">
        <v>-0.003608</v>
      </c>
      <c r="D37" s="4">
        <v>-0.001016</v>
      </c>
      <c r="E37" s="4">
        <v>-0.022009</v>
      </c>
      <c r="F37" s="4">
        <v>-0.024613</v>
      </c>
      <c r="G37" s="4">
        <v>-0.020476</v>
      </c>
      <c r="H37" s="4">
        <v>-0.026835</v>
      </c>
      <c r="I37" s="4">
        <v>-0.0246</v>
      </c>
      <c r="J37" s="4">
        <v>-0.005654</v>
      </c>
      <c r="K37" s="4">
        <v>-0.01867</v>
      </c>
      <c r="L37" s="4">
        <v>-0.014645</v>
      </c>
      <c r="M37" s="4">
        <v>-0.067575</v>
      </c>
      <c r="N37" s="4">
        <v>-0.028629</v>
      </c>
      <c r="O37" s="4">
        <v>-0.023292</v>
      </c>
      <c r="P37" s="4">
        <v>0.016586</v>
      </c>
      <c r="Q37" s="4">
        <v>0.018767</v>
      </c>
      <c r="R37" s="4">
        <v>-0.058626</v>
      </c>
      <c r="S37" s="4">
        <v>0.01185</v>
      </c>
      <c r="T37" s="4">
        <v>-0.026354</v>
      </c>
      <c r="U37" s="4">
        <v>-0.013162</v>
      </c>
      <c r="V37" s="4">
        <v>0.00968269706311919</v>
      </c>
      <c r="W37" s="4">
        <v>0.0011777462137005</v>
      </c>
      <c r="X37" s="4">
        <v>0.0</v>
      </c>
      <c r="Y37" s="4">
        <v>-0.0031414741650849</v>
      </c>
      <c r="Z37" s="4">
        <v>-0.0202344345195835</v>
      </c>
      <c r="AA37" s="4">
        <v>0.0106772935692043</v>
      </c>
      <c r="AB37" s="4">
        <v>-0.0081395337816316</v>
      </c>
      <c r="AC37" s="4">
        <v>0.0</v>
      </c>
      <c r="AD37" s="4">
        <v>0.0</v>
      </c>
      <c r="AE37" s="4">
        <v>0.0024982154947419</v>
      </c>
      <c r="AF37" s="4">
        <v>-0.0248719032869816</v>
      </c>
      <c r="AG37" s="4">
        <v>-0.0059773850211201</v>
      </c>
      <c r="AH37" s="4">
        <v>-0.0354098497517358</v>
      </c>
      <c r="AI37" s="4">
        <v>0.0027053565214956</v>
      </c>
      <c r="AJ37" s="4">
        <v>-0.033514</v>
      </c>
      <c r="AK37" s="4">
        <f>Weights!E93</f>
        <v>-0.01230162359</v>
      </c>
      <c r="AL37" s="5">
        <v>-0.00698814280003823</v>
      </c>
      <c r="AM37" s="5">
        <v>-0.0102535123094701</v>
      </c>
      <c r="AN37" s="5">
        <v>0.00148849763267255</v>
      </c>
      <c r="AO37" s="5">
        <v>0.00222702176800604</v>
      </c>
      <c r="AP37" s="4">
        <f t="shared" si="3"/>
        <v>1.00925437</v>
      </c>
      <c r="AQ37" s="4">
        <f t="shared" si="4"/>
        <v>0.9984850802</v>
      </c>
      <c r="AR37" s="5">
        <f t="shared" si="5"/>
        <v>1.026034742</v>
      </c>
      <c r="AS37" s="5">
        <f t="shared" ref="AS37:AU37" si="39">AS36*(1+AM37)</f>
        <v>1.041056085</v>
      </c>
      <c r="AT37" s="5">
        <f t="shared" si="39"/>
        <v>1.048305381</v>
      </c>
      <c r="AU37" s="5">
        <f t="shared" si="39"/>
        <v>1.044033695</v>
      </c>
    </row>
    <row r="38" ht="15.75" customHeight="1">
      <c r="A38" s="3">
        <v>43886.0</v>
      </c>
      <c r="B38" s="4">
        <v>-0.012403</v>
      </c>
      <c r="C38" s="4">
        <v>-0.015003</v>
      </c>
      <c r="D38" s="4">
        <v>-0.019931</v>
      </c>
      <c r="E38" s="4">
        <v>-0.010796</v>
      </c>
      <c r="F38" s="4">
        <v>-0.014152</v>
      </c>
      <c r="G38" s="4">
        <v>-0.008636</v>
      </c>
      <c r="H38" s="4">
        <v>-0.015166</v>
      </c>
      <c r="I38" s="4">
        <v>-0.023751</v>
      </c>
      <c r="J38" s="4">
        <v>-0.009779</v>
      </c>
      <c r="K38" s="4">
        <v>-0.018137</v>
      </c>
      <c r="L38" s="4">
        <v>-0.019899</v>
      </c>
      <c r="M38" s="4">
        <v>-0.01891</v>
      </c>
      <c r="N38" s="4">
        <v>-0.023829</v>
      </c>
      <c r="O38" s="4">
        <v>-0.023671</v>
      </c>
      <c r="P38" s="4">
        <v>-0.022284</v>
      </c>
      <c r="Q38" s="4">
        <v>-0.068421</v>
      </c>
      <c r="R38" s="4">
        <v>-0.045374</v>
      </c>
      <c r="S38" s="4">
        <v>-0.004504</v>
      </c>
      <c r="T38" s="4">
        <v>-0.049059</v>
      </c>
      <c r="U38" s="4">
        <v>-0.005982</v>
      </c>
      <c r="V38" s="4">
        <v>-0.0388919395931873</v>
      </c>
      <c r="W38" s="4">
        <v>-0.0857409551577386</v>
      </c>
      <c r="X38" s="4">
        <v>-0.036753408040062</v>
      </c>
      <c r="Y38" s="4">
        <v>-0.0121212988683309</v>
      </c>
      <c r="Z38" s="4">
        <v>-0.0019370037636997</v>
      </c>
      <c r="AA38" s="4">
        <v>-0.0061077834201407</v>
      </c>
      <c r="AB38" s="4">
        <v>-0.0155333831163309</v>
      </c>
      <c r="AC38" s="4">
        <v>-0.0159998930863194</v>
      </c>
      <c r="AD38" s="4">
        <v>-0.0333334254319194</v>
      </c>
      <c r="AE38" s="4">
        <v>-0.0073897390200869</v>
      </c>
      <c r="AF38" s="4">
        <v>-0.0540135426959067</v>
      </c>
      <c r="AG38" s="4">
        <v>-0.0502026221603195</v>
      </c>
      <c r="AH38" s="4">
        <v>-0.0639020969976275</v>
      </c>
      <c r="AI38" s="4">
        <v>0.0018926134379659</v>
      </c>
      <c r="AJ38" s="4">
        <v>-0.03028</v>
      </c>
      <c r="AK38" s="4">
        <f>Weights!E94</f>
        <v>-0.0249753044</v>
      </c>
      <c r="AL38" s="5">
        <v>-0.0346912574253631</v>
      </c>
      <c r="AM38" s="5">
        <v>-0.0329035181207125</v>
      </c>
      <c r="AN38" s="5">
        <v>-3.7155056811533E-4</v>
      </c>
      <c r="AO38" s="5">
        <v>2.7771273612398E-4</v>
      </c>
      <c r="AP38" s="4">
        <f t="shared" si="3"/>
        <v>0.9840479352</v>
      </c>
      <c r="AQ38" s="4">
        <f t="shared" si="4"/>
        <v>0.968250952</v>
      </c>
      <c r="AR38" s="5">
        <f t="shared" si="5"/>
        <v>0.9904403064</v>
      </c>
      <c r="AS38" s="5">
        <f t="shared" ref="AS38:AU38" si="40">AS37*(1+AM38)</f>
        <v>1.006801678</v>
      </c>
      <c r="AT38" s="5">
        <f t="shared" si="40"/>
        <v>1.047915883</v>
      </c>
      <c r="AU38" s="5">
        <f t="shared" si="40"/>
        <v>1.044323637</v>
      </c>
    </row>
    <row r="39" ht="15.75" customHeight="1">
      <c r="A39" s="3">
        <v>43887.0</v>
      </c>
      <c r="B39" s="4">
        <v>-0.009419</v>
      </c>
      <c r="C39" s="4">
        <v>3.5E-4</v>
      </c>
      <c r="D39" s="4">
        <v>0.002283</v>
      </c>
      <c r="E39" s="4">
        <v>0.006237</v>
      </c>
      <c r="F39" s="4">
        <v>-0.003805</v>
      </c>
      <c r="G39" s="4">
        <v>-0.006706</v>
      </c>
      <c r="H39" s="4">
        <v>-0.010459</v>
      </c>
      <c r="I39" s="4">
        <v>-0.016303</v>
      </c>
      <c r="J39" s="4">
        <v>-0.00712</v>
      </c>
      <c r="K39" s="4">
        <v>-0.004708</v>
      </c>
      <c r="L39" s="4">
        <v>-0.021306</v>
      </c>
      <c r="M39" s="4">
        <v>-0.005102</v>
      </c>
      <c r="N39" s="4">
        <v>-0.002998</v>
      </c>
      <c r="O39" s="4">
        <v>6.63E-4</v>
      </c>
      <c r="P39" s="4">
        <v>0.005291</v>
      </c>
      <c r="Q39" s="4">
        <v>0.001412</v>
      </c>
      <c r="R39" s="4">
        <v>-0.025163</v>
      </c>
      <c r="S39" s="4">
        <v>-0.017496</v>
      </c>
      <c r="T39" s="4">
        <v>-0.028908</v>
      </c>
      <c r="U39" s="4">
        <v>-0.012875</v>
      </c>
      <c r="V39" s="4">
        <v>-0.0260531381737626</v>
      </c>
      <c r="W39" s="4">
        <v>-0.0019558985245733</v>
      </c>
      <c r="X39" s="4">
        <v>0.0015897104586095</v>
      </c>
      <c r="Y39" s="4">
        <v>-0.0311656905633457</v>
      </c>
      <c r="Z39" s="4">
        <v>-0.0218623480863516</v>
      </c>
      <c r="AA39" s="4">
        <v>-0.0094666853473152</v>
      </c>
      <c r="AB39" s="4">
        <v>-0.0193511487856953</v>
      </c>
      <c r="AC39" s="4">
        <v>0.0081298604632058</v>
      </c>
      <c r="AD39" s="4">
        <v>-0.0095124113019077</v>
      </c>
      <c r="AE39" s="4">
        <v>-0.0160145156127865</v>
      </c>
      <c r="AF39" s="4">
        <v>-0.0083268361654978</v>
      </c>
      <c r="AG39" s="4">
        <v>-0.0528564018625211</v>
      </c>
      <c r="AH39" s="4">
        <v>-0.0341321221600032</v>
      </c>
      <c r="AI39" s="4">
        <v>-0.0022490355749735</v>
      </c>
      <c r="AJ39" s="4">
        <v>-0.003779</v>
      </c>
      <c r="AK39" s="4">
        <f>Weights!E95</f>
        <v>-0.01314262529</v>
      </c>
      <c r="AL39" s="5">
        <v>-0.0267995154638219</v>
      </c>
      <c r="AM39" s="5">
        <v>-0.0305537228751994</v>
      </c>
      <c r="AN39" s="5">
        <v>0.00371763422280024</v>
      </c>
      <c r="AO39" s="5">
        <v>0.00361006743428049</v>
      </c>
      <c r="AP39" s="4">
        <f t="shared" si="3"/>
        <v>0.971114962</v>
      </c>
      <c r="AQ39" s="4">
        <f t="shared" si="4"/>
        <v>0.9645919316</v>
      </c>
      <c r="AR39" s="5">
        <f t="shared" si="5"/>
        <v>0.9638969861</v>
      </c>
      <c r="AS39" s="5">
        <f t="shared" ref="AS39:AU39" si="41">AS38*(1+AM39)</f>
        <v>0.9760401382</v>
      </c>
      <c r="AT39" s="5">
        <f t="shared" si="41"/>
        <v>1.051811651</v>
      </c>
      <c r="AU39" s="5">
        <f t="shared" si="41"/>
        <v>1.048093716</v>
      </c>
    </row>
    <row r="40" ht="15.75" customHeight="1">
      <c r="A40" s="3">
        <v>43888.0</v>
      </c>
      <c r="B40" s="4">
        <v>-0.01215</v>
      </c>
      <c r="C40" s="4">
        <v>-0.036402</v>
      </c>
      <c r="D40" s="4">
        <v>-0.015114</v>
      </c>
      <c r="E40" s="4">
        <v>-0.039513</v>
      </c>
      <c r="F40" s="4">
        <v>-0.046354</v>
      </c>
      <c r="G40" s="4">
        <v>-0.031737</v>
      </c>
      <c r="H40" s="4">
        <v>-0.055426</v>
      </c>
      <c r="I40" s="4">
        <v>-0.039776</v>
      </c>
      <c r="J40" s="4">
        <v>-0.036086</v>
      </c>
      <c r="K40" s="4">
        <v>-0.053857</v>
      </c>
      <c r="L40" s="4">
        <v>-0.026892</v>
      </c>
      <c r="M40" s="4">
        <v>-0.039316</v>
      </c>
      <c r="N40" s="4">
        <v>-0.036082</v>
      </c>
      <c r="O40" s="4">
        <v>-0.019286</v>
      </c>
      <c r="P40" s="4">
        <v>-0.058097</v>
      </c>
      <c r="Q40" s="4">
        <v>-0.098731</v>
      </c>
      <c r="R40" s="4">
        <v>-0.063097</v>
      </c>
      <c r="S40" s="4">
        <v>-0.049432</v>
      </c>
      <c r="T40" s="4">
        <v>-0.042592</v>
      </c>
      <c r="U40" s="4">
        <v>-0.043757</v>
      </c>
      <c r="V40" s="4">
        <v>0.00682973472310011</v>
      </c>
      <c r="W40" s="4">
        <v>0.0027848650101451</v>
      </c>
      <c r="X40" s="4">
        <v>-0.003174482862048</v>
      </c>
      <c r="Y40" s="4">
        <v>-0.0056569709013096</v>
      </c>
      <c r="Z40" s="4">
        <v>-0.0035309157353704</v>
      </c>
      <c r="AA40" s="4">
        <v>0.0028505227179334</v>
      </c>
      <c r="AB40" s="4">
        <v>-0.0085001512119339</v>
      </c>
      <c r="AC40" s="4">
        <v>-0.008064298838912</v>
      </c>
      <c r="AD40" s="4">
        <v>-0.0096039827029331</v>
      </c>
      <c r="AE40" s="4">
        <v>0.0057182771799477</v>
      </c>
      <c r="AF40" s="4">
        <v>0.112355186898702</v>
      </c>
      <c r="AG40" s="4">
        <v>-0.0261152189900902</v>
      </c>
      <c r="AH40" s="4">
        <v>-0.0150376687898169</v>
      </c>
      <c r="AI40" s="4">
        <v>-0.0013527506614828</v>
      </c>
      <c r="AJ40" s="4">
        <v>-0.044163</v>
      </c>
      <c r="AK40" s="4">
        <f>Weights!E96</f>
        <v>-0.0214149211</v>
      </c>
      <c r="AL40" s="5">
        <v>-0.00295422471427675</v>
      </c>
      <c r="AM40" s="5">
        <v>-0.00552506474952674</v>
      </c>
      <c r="AN40" s="5">
        <v>0.0</v>
      </c>
      <c r="AO40" s="5">
        <v>0.00166031484466078</v>
      </c>
      <c r="AP40" s="4">
        <f t="shared" si="3"/>
        <v>0.9503186117</v>
      </c>
      <c r="AQ40" s="4">
        <f t="shared" si="4"/>
        <v>0.9219926582</v>
      </c>
      <c r="AR40" s="5">
        <f t="shared" si="5"/>
        <v>0.9610494178</v>
      </c>
      <c r="AS40" s="5">
        <f t="shared" ref="AS40:AU40" si="42">AS39*(1+AM40)</f>
        <v>0.9706474533</v>
      </c>
      <c r="AT40" s="5">
        <f t="shared" si="42"/>
        <v>1.051811651</v>
      </c>
      <c r="AU40" s="5">
        <f t="shared" si="42"/>
        <v>1.049833881</v>
      </c>
    </row>
    <row r="41" ht="15.75" customHeight="1">
      <c r="A41" s="3">
        <v>43889.0</v>
      </c>
      <c r="B41" s="4">
        <v>-0.030214</v>
      </c>
      <c r="C41" s="4">
        <v>-0.016346</v>
      </c>
      <c r="D41" s="4">
        <v>-0.035316</v>
      </c>
      <c r="E41" s="4">
        <v>-0.031825</v>
      </c>
      <c r="F41" s="4">
        <v>-0.026215</v>
      </c>
      <c r="G41" s="4">
        <v>-0.033352</v>
      </c>
      <c r="H41" s="4">
        <v>-0.002379</v>
      </c>
      <c r="I41" s="4">
        <v>-0.006107</v>
      </c>
      <c r="J41" s="4">
        <v>-0.029038</v>
      </c>
      <c r="K41" s="4">
        <v>-0.0075</v>
      </c>
      <c r="L41" s="4">
        <v>-0.020003</v>
      </c>
      <c r="M41" s="4">
        <v>-0.001186</v>
      </c>
      <c r="N41" s="4">
        <v>-0.027364</v>
      </c>
      <c r="O41" s="4">
        <v>-0.023107</v>
      </c>
      <c r="P41" s="4">
        <v>-0.040834</v>
      </c>
      <c r="Q41" s="4">
        <v>-0.071987</v>
      </c>
      <c r="R41" s="4">
        <v>0.016327</v>
      </c>
      <c r="S41" s="4">
        <v>-0.079457</v>
      </c>
      <c r="T41" s="4">
        <v>-0.011002</v>
      </c>
      <c r="U41" s="4">
        <v>0.010366</v>
      </c>
      <c r="V41" s="4">
        <v>-0.0548332337237985</v>
      </c>
      <c r="W41" s="4">
        <v>-0.0481382450324322</v>
      </c>
      <c r="X41" s="4">
        <v>0.0</v>
      </c>
      <c r="Y41" s="4">
        <v>-0.0129913194489206</v>
      </c>
      <c r="Z41" s="4">
        <v>-0.004948796033706</v>
      </c>
      <c r="AA41" s="4">
        <v>-0.0195622274215196</v>
      </c>
      <c r="AB41" s="4">
        <v>-0.0214329419722131</v>
      </c>
      <c r="AC41" s="4">
        <v>0.0</v>
      </c>
      <c r="AD41" s="4">
        <v>0.0012124487786826</v>
      </c>
      <c r="AE41" s="4">
        <v>-0.0090620718336645</v>
      </c>
      <c r="AF41" s="4">
        <v>-0.0186915543169842</v>
      </c>
      <c r="AG41" s="4">
        <v>-0.05299294449778</v>
      </c>
      <c r="AH41" s="4">
        <v>-0.0083968843240322</v>
      </c>
      <c r="AI41" s="4">
        <v>4.515962554638E-4</v>
      </c>
      <c r="AJ41" s="4">
        <v>-0.008238</v>
      </c>
      <c r="AK41" s="4">
        <f>Weights!E97</f>
        <v>-0.02001574921</v>
      </c>
      <c r="AL41" s="5">
        <v>-0.0373545119452058</v>
      </c>
      <c r="AM41" s="5">
        <v>-0.0438129592902978</v>
      </c>
      <c r="AN41" s="5">
        <v>-0.00555559003525618</v>
      </c>
      <c r="AO41" s="5">
        <v>-0.00552486051851763</v>
      </c>
      <c r="AP41" s="4">
        <f t="shared" si="3"/>
        <v>0.9312972727</v>
      </c>
      <c r="AQ41" s="4">
        <f t="shared" si="4"/>
        <v>0.9143972826</v>
      </c>
      <c r="AR41" s="5">
        <f t="shared" si="5"/>
        <v>0.9251498859</v>
      </c>
      <c r="AS41" s="5">
        <f t="shared" ref="AS41:AU41" si="43">AS40*(1+AM41)</f>
        <v>0.9281205159</v>
      </c>
      <c r="AT41" s="5">
        <f t="shared" si="43"/>
        <v>1.045968217</v>
      </c>
      <c r="AU41" s="5">
        <f t="shared" si="43"/>
        <v>1.044033695</v>
      </c>
    </row>
    <row r="42" ht="15.75" customHeight="1">
      <c r="A42" s="3">
        <v>43892.0</v>
      </c>
      <c r="B42" s="4">
        <v>0.035291</v>
      </c>
      <c r="C42" s="4">
        <v>0.058346</v>
      </c>
      <c r="D42" s="4">
        <v>0.047941</v>
      </c>
      <c r="E42" s="4">
        <v>0.042036</v>
      </c>
      <c r="F42" s="4">
        <v>0.045429</v>
      </c>
      <c r="G42" s="4">
        <v>0.041196</v>
      </c>
      <c r="H42" s="4">
        <v>0.055904</v>
      </c>
      <c r="I42" s="4">
        <v>0.020572</v>
      </c>
      <c r="J42" s="4">
        <v>0.045477</v>
      </c>
      <c r="K42" s="4">
        <v>0.011432</v>
      </c>
      <c r="L42" s="4">
        <v>0.030482</v>
      </c>
      <c r="M42" s="4">
        <v>0.021378</v>
      </c>
      <c r="N42" s="4">
        <v>0.024283</v>
      </c>
      <c r="O42" s="4">
        <v>0.061588</v>
      </c>
      <c r="P42" s="4">
        <v>0.049294</v>
      </c>
      <c r="Q42" s="4">
        <v>0.045531</v>
      </c>
      <c r="R42" s="4">
        <v>0.054217</v>
      </c>
      <c r="S42" s="4">
        <v>0.028772</v>
      </c>
      <c r="T42" s="4">
        <v>0.032648</v>
      </c>
      <c r="U42" s="4">
        <v>0.030677</v>
      </c>
      <c r="V42" s="4">
        <v>-0.0478468080399178</v>
      </c>
      <c r="W42" s="4">
        <v>-0.0318781923566796</v>
      </c>
      <c r="X42" s="4">
        <v>0.0</v>
      </c>
      <c r="Y42" s="4">
        <v>-0.0210770903268004</v>
      </c>
      <c r="Z42" s="4">
        <v>-0.0210118090399108</v>
      </c>
      <c r="AA42" s="4">
        <v>-0.0354703607592752</v>
      </c>
      <c r="AB42" s="4">
        <v>-0.0122027233635292</v>
      </c>
      <c r="AC42" s="4">
        <v>0.0</v>
      </c>
      <c r="AD42" s="4">
        <v>0.0</v>
      </c>
      <c r="AE42" s="4">
        <v>-0.0081684100647858</v>
      </c>
      <c r="AF42" s="4">
        <v>-0.043589579076687</v>
      </c>
      <c r="AG42" s="4">
        <v>-0.0025281621780256</v>
      </c>
      <c r="AH42" s="4">
        <v>-0.132409582187507</v>
      </c>
      <c r="AI42" s="4">
        <v>-0.0054147557104583</v>
      </c>
      <c r="AJ42" s="4">
        <v>0.046039</v>
      </c>
      <c r="AK42" s="4">
        <f>Weights!E98</f>
        <v>0.004268751876</v>
      </c>
      <c r="AL42" s="5">
        <v>-0.0142904982382574</v>
      </c>
      <c r="AM42" s="5">
        <v>-0.00673448310166924</v>
      </c>
      <c r="AN42" s="5">
        <v>-0.015981418074273</v>
      </c>
      <c r="AO42" s="5">
        <v>-0.0158332768172239</v>
      </c>
      <c r="AP42" s="4">
        <f t="shared" si="3"/>
        <v>0.9352727497</v>
      </c>
      <c r="AQ42" s="4">
        <f t="shared" si="4"/>
        <v>0.9564952191</v>
      </c>
      <c r="AR42" s="5">
        <f t="shared" si="5"/>
        <v>0.911929033</v>
      </c>
      <c r="AS42" s="5">
        <f t="shared" ref="AS42:AU42" si="44">AS41*(1+AM42)</f>
        <v>0.921870104</v>
      </c>
      <c r="AT42" s="5">
        <f t="shared" si="44"/>
        <v>1.029252161</v>
      </c>
      <c r="AU42" s="5">
        <f t="shared" si="44"/>
        <v>1.027503221</v>
      </c>
    </row>
    <row r="43" ht="15.75" customHeight="1">
      <c r="A43" s="3">
        <v>43893.0</v>
      </c>
      <c r="B43" s="4">
        <v>-0.007989</v>
      </c>
      <c r="C43" s="4">
        <v>-0.028262</v>
      </c>
      <c r="D43" s="4">
        <v>-0.008942</v>
      </c>
      <c r="E43" s="4">
        <v>-0.014537</v>
      </c>
      <c r="F43" s="4">
        <v>0.002504</v>
      </c>
      <c r="G43" s="4">
        <v>-0.031638</v>
      </c>
      <c r="H43" s="4">
        <v>-0.011626</v>
      </c>
      <c r="I43" s="4">
        <v>-0.009686</v>
      </c>
      <c r="J43" s="4">
        <v>2.36E-4</v>
      </c>
      <c r="K43" s="4">
        <v>-0.027395</v>
      </c>
      <c r="L43" s="4">
        <v>-0.020068</v>
      </c>
      <c r="M43" s="4">
        <v>-0.02907</v>
      </c>
      <c r="N43" s="4">
        <v>-0.020998</v>
      </c>
      <c r="O43" s="4">
        <v>-0.0208</v>
      </c>
      <c r="P43" s="4">
        <v>0.061926</v>
      </c>
      <c r="Q43" s="4">
        <v>0.045161</v>
      </c>
      <c r="R43" s="4">
        <v>-0.040952</v>
      </c>
      <c r="S43" s="4">
        <v>0.040587</v>
      </c>
      <c r="T43" s="4">
        <v>-0.019438</v>
      </c>
      <c r="U43" s="4">
        <v>-0.012066</v>
      </c>
      <c r="V43" s="4">
        <v>0.00753774404310769</v>
      </c>
      <c r="W43" s="4">
        <v>0.0294677999348882</v>
      </c>
      <c r="X43" s="4">
        <v>0.0033615611218258</v>
      </c>
      <c r="Y43" s="4">
        <v>0.0104578334758003</v>
      </c>
      <c r="Z43" s="4">
        <v>0.0146690690495656</v>
      </c>
      <c r="AA43" s="4">
        <v>0.0178569045843288</v>
      </c>
      <c r="AB43" s="4">
        <v>-0.0026341717167271</v>
      </c>
      <c r="AC43" s="4">
        <v>-0.0288623893716927</v>
      </c>
      <c r="AD43" s="4">
        <v>0.0037083922886715</v>
      </c>
      <c r="AE43" s="4">
        <v>0.0119059415902205</v>
      </c>
      <c r="AF43" s="4">
        <v>-0.021830923320905</v>
      </c>
      <c r="AG43" s="4">
        <v>0.0819534347357471</v>
      </c>
      <c r="AH43" s="4">
        <v>-0.0346050718846843</v>
      </c>
      <c r="AI43" s="4">
        <v>0.0027219624175904</v>
      </c>
      <c r="AJ43" s="4">
        <v>-0.028108</v>
      </c>
      <c r="AK43" s="4">
        <f>Weights!E99</f>
        <v>-0.0005051923748</v>
      </c>
      <c r="AL43" s="5">
        <v>0.0397014239185826</v>
      </c>
      <c r="AM43" s="5">
        <v>0.0414115157564736</v>
      </c>
      <c r="AN43" s="5">
        <v>-0.0217309349782701</v>
      </c>
      <c r="AO43" s="5">
        <v>-0.0220151151460865</v>
      </c>
      <c r="AP43" s="4">
        <f t="shared" si="3"/>
        <v>0.934800257</v>
      </c>
      <c r="AQ43" s="4">
        <f t="shared" si="4"/>
        <v>0.9296100515</v>
      </c>
      <c r="AR43" s="5">
        <f t="shared" si="5"/>
        <v>0.9481339142</v>
      </c>
      <c r="AS43" s="5">
        <f t="shared" ref="AS43:AU43" si="45">AS42*(1+AM43)</f>
        <v>0.9600461423</v>
      </c>
      <c r="AT43" s="5">
        <f t="shared" si="45"/>
        <v>1.006885549</v>
      </c>
      <c r="AU43" s="5">
        <f t="shared" si="45"/>
        <v>1.004882619</v>
      </c>
    </row>
    <row r="44" ht="15.75" customHeight="1">
      <c r="A44" s="3">
        <v>43894.0</v>
      </c>
      <c r="B44" s="4">
        <v>0.030336</v>
      </c>
      <c r="C44" s="4">
        <v>0.043447</v>
      </c>
      <c r="D44" s="4">
        <v>0.028116</v>
      </c>
      <c r="E44" s="4">
        <v>0.050229</v>
      </c>
      <c r="F44" s="4">
        <v>0.051017</v>
      </c>
      <c r="G44" s="4">
        <v>0.05819</v>
      </c>
      <c r="H44" s="4">
        <v>0.053567</v>
      </c>
      <c r="I44" s="4">
        <v>0.026434</v>
      </c>
      <c r="J44" s="4">
        <v>0.029307</v>
      </c>
      <c r="K44" s="4">
        <v>0.009454</v>
      </c>
      <c r="L44" s="4">
        <v>0.005452</v>
      </c>
      <c r="M44" s="4">
        <v>0.011976</v>
      </c>
      <c r="N44" s="4">
        <v>0.028598</v>
      </c>
      <c r="O44" s="4">
        <v>0.057976</v>
      </c>
      <c r="P44" s="4">
        <v>0.028353</v>
      </c>
      <c r="Q44" s="4">
        <v>0.032407</v>
      </c>
      <c r="R44" s="4">
        <v>0.037736</v>
      </c>
      <c r="S44" s="4">
        <v>0.003605</v>
      </c>
      <c r="T44" s="4">
        <v>0.031526</v>
      </c>
      <c r="U44" s="4">
        <v>0.035216</v>
      </c>
      <c r="V44" s="4">
        <v>0.0392767142209129</v>
      </c>
      <c r="W44" s="4">
        <v>0.0316600340254362</v>
      </c>
      <c r="X44" s="4">
        <v>0.033500703539913</v>
      </c>
      <c r="Y44" s="4">
        <v>-0.0088709382215825</v>
      </c>
      <c r="Z44" s="4">
        <v>-0.0175084757050184</v>
      </c>
      <c r="AA44" s="4">
        <v>0.0107694567302356</v>
      </c>
      <c r="AB44" s="4">
        <v>-0.0238324486557786</v>
      </c>
      <c r="AC44" s="4">
        <v>0.0227270116792404</v>
      </c>
      <c r="AD44" s="4">
        <v>0.0357141614869229</v>
      </c>
      <c r="AE44" s="4">
        <v>-0.0107924908246758</v>
      </c>
      <c r="AF44" s="4">
        <v>-0.003523862905941</v>
      </c>
      <c r="AG44" s="4">
        <v>-0.0232703802169833</v>
      </c>
      <c r="AH44" s="4">
        <v>-0.0716912356852988</v>
      </c>
      <c r="AI44" s="4">
        <v>0.0104073251736358</v>
      </c>
      <c r="AJ44" s="4">
        <v>0.042203</v>
      </c>
      <c r="AK44" s="4">
        <f>Weights!E100</f>
        <v>0.01372496144</v>
      </c>
      <c r="AL44" s="5">
        <v>-0.022525137121054</v>
      </c>
      <c r="AM44" s="5">
        <v>-0.0257865061543026</v>
      </c>
      <c r="AN44" s="5">
        <v>-0.00623517331024248</v>
      </c>
      <c r="AO44" s="5">
        <v>-0.00808084314797619</v>
      </c>
      <c r="AP44" s="4">
        <f t="shared" si="3"/>
        <v>0.9476303545</v>
      </c>
      <c r="AQ44" s="4">
        <f t="shared" si="4"/>
        <v>0.9688423845</v>
      </c>
      <c r="AR44" s="5">
        <f t="shared" si="5"/>
        <v>0.9267770677</v>
      </c>
      <c r="AS44" s="5">
        <f t="shared" ref="AS44:AU44" si="46">AS43*(1+AM44)</f>
        <v>0.9352899066</v>
      </c>
      <c r="AT44" s="5">
        <f t="shared" si="46"/>
        <v>1.000607444</v>
      </c>
      <c r="AU44" s="5">
        <f t="shared" si="46"/>
        <v>0.9967623204</v>
      </c>
    </row>
    <row r="45" ht="15.75" customHeight="1">
      <c r="A45" s="3">
        <v>43895.0</v>
      </c>
      <c r="B45" s="4">
        <v>-0.022668</v>
      </c>
      <c r="C45" s="4">
        <v>-0.016518</v>
      </c>
      <c r="D45" s="4">
        <v>-0.025714</v>
      </c>
      <c r="E45" s="4">
        <v>-0.023422</v>
      </c>
      <c r="F45" s="4">
        <v>-0.036999</v>
      </c>
      <c r="G45" s="4">
        <v>-0.010245</v>
      </c>
      <c r="H45" s="4">
        <v>-0.023052</v>
      </c>
      <c r="I45" s="4">
        <v>-0.008756</v>
      </c>
      <c r="J45" s="4">
        <v>-0.004363</v>
      </c>
      <c r="K45" s="4">
        <v>-0.022049</v>
      </c>
      <c r="L45" s="4">
        <v>-0.017194</v>
      </c>
      <c r="M45" s="4">
        <v>-0.014793</v>
      </c>
      <c r="N45" s="4">
        <v>-0.034753</v>
      </c>
      <c r="O45" s="4">
        <v>-0.023281</v>
      </c>
      <c r="P45" s="4">
        <v>0.021177</v>
      </c>
      <c r="Q45" s="4">
        <v>0.053812</v>
      </c>
      <c r="R45" s="4">
        <v>-0.044019</v>
      </c>
      <c r="S45" s="4">
        <v>0.001633</v>
      </c>
      <c r="T45" s="4">
        <v>-0.056031</v>
      </c>
      <c r="U45" s="4">
        <v>0.005506</v>
      </c>
      <c r="V45" s="4">
        <v>0.0323936146168988</v>
      </c>
      <c r="W45" s="4">
        <v>0.0075668791635483</v>
      </c>
      <c r="X45" s="4">
        <v>-0.0064829570846285</v>
      </c>
      <c r="Y45" s="4">
        <v>0.035538595548916</v>
      </c>
      <c r="Z45" s="4">
        <v>0.038415217563521</v>
      </c>
      <c r="AA45" s="4">
        <v>0.0256059151903036</v>
      </c>
      <c r="AB45" s="4">
        <v>0.0135269087371023</v>
      </c>
      <c r="AC45" s="4">
        <v>0.0068377711373448</v>
      </c>
      <c r="AD45" s="4">
        <v>0.0</v>
      </c>
      <c r="AE45" s="4">
        <v>0.0192273318671676</v>
      </c>
      <c r="AF45" s="4">
        <v>0.0255402275261595</v>
      </c>
      <c r="AG45" s="4">
        <v>0.0559640613567995</v>
      </c>
      <c r="AH45" s="4">
        <v>-0.0178217889561208</v>
      </c>
      <c r="AI45" s="4">
        <v>-4.479558634423E-4</v>
      </c>
      <c r="AJ45" s="4">
        <v>-0.033922</v>
      </c>
      <c r="AK45" s="4">
        <f>Weights!E101</f>
        <v>0.0006260428308</v>
      </c>
      <c r="AL45" s="5">
        <v>0.0380774837651956</v>
      </c>
      <c r="AM45" s="5">
        <v>0.0399660753119415</v>
      </c>
      <c r="AN45" s="5">
        <v>-0.0160786519756721</v>
      </c>
      <c r="AO45" s="5">
        <v>-0.0171663240946146</v>
      </c>
      <c r="AP45" s="4">
        <f t="shared" si="3"/>
        <v>0.9482236117</v>
      </c>
      <c r="AQ45" s="4">
        <f t="shared" si="4"/>
        <v>0.9359773132</v>
      </c>
      <c r="AR45" s="5">
        <f t="shared" si="5"/>
        <v>0.9620664065</v>
      </c>
      <c r="AS45" s="5">
        <f t="shared" ref="AS45:AU45" si="47">AS44*(1+AM45)</f>
        <v>0.9726697734</v>
      </c>
      <c r="AT45" s="5">
        <f t="shared" si="47"/>
        <v>0.9845190247</v>
      </c>
      <c r="AU45" s="5">
        <f t="shared" si="47"/>
        <v>0.9796515754</v>
      </c>
    </row>
    <row r="46" ht="15.75" customHeight="1">
      <c r="A46" s="3">
        <v>43896.0</v>
      </c>
      <c r="B46" s="4">
        <v>-0.006931</v>
      </c>
      <c r="C46" s="4">
        <v>-0.005073</v>
      </c>
      <c r="D46" s="4">
        <v>-0.005027</v>
      </c>
      <c r="E46" s="4">
        <v>-0.006083</v>
      </c>
      <c r="F46" s="4">
        <v>-0.026084</v>
      </c>
      <c r="G46" s="4">
        <v>1.41E-4</v>
      </c>
      <c r="H46" s="4">
        <v>2.47E-4</v>
      </c>
      <c r="I46" s="4">
        <v>-0.012211</v>
      </c>
      <c r="J46" s="4">
        <v>0.006458</v>
      </c>
      <c r="K46" s="4">
        <v>-0.026736</v>
      </c>
      <c r="L46" s="4">
        <v>-0.0218</v>
      </c>
      <c r="M46" s="4">
        <v>-0.035435</v>
      </c>
      <c r="N46" s="4">
        <v>-0.02137</v>
      </c>
      <c r="O46" s="4">
        <v>-0.02735</v>
      </c>
      <c r="P46" s="4">
        <v>0.005184</v>
      </c>
      <c r="Q46" s="4">
        <v>-0.039716</v>
      </c>
      <c r="R46" s="4">
        <v>-0.056056</v>
      </c>
      <c r="S46" s="4">
        <v>-0.004891</v>
      </c>
      <c r="T46" s="4">
        <v>-0.028452</v>
      </c>
      <c r="U46" s="4">
        <v>-0.015058</v>
      </c>
      <c r="V46" s="4">
        <v>-0.0232424711452183</v>
      </c>
      <c r="W46" s="4">
        <v>-0.0396371308444231</v>
      </c>
      <c r="X46" s="4">
        <v>-0.004894056333395</v>
      </c>
      <c r="Y46" s="4">
        <v>-0.0283872755967464</v>
      </c>
      <c r="Z46" s="4">
        <v>-0.02697611154833</v>
      </c>
      <c r="AA46" s="4">
        <v>0.0038538628646123</v>
      </c>
      <c r="AB46" s="4">
        <v>-0.0188802043498409</v>
      </c>
      <c r="AC46" s="4">
        <v>-0.001697746918456</v>
      </c>
      <c r="AD46" s="4">
        <v>0.0023780492336222</v>
      </c>
      <c r="AE46" s="4">
        <v>0.0387822015097349</v>
      </c>
      <c r="AF46" s="4">
        <v>-0.0229884928370152</v>
      </c>
      <c r="AG46" s="4">
        <v>-0.0254390754707579</v>
      </c>
      <c r="AH46" s="4">
        <v>-0.0665322437700227</v>
      </c>
      <c r="AI46" s="4">
        <v>-0.0031360756993784</v>
      </c>
      <c r="AJ46" s="4">
        <v>-0.017054</v>
      </c>
      <c r="AK46" s="4">
        <f>Weights!E102</f>
        <v>-0.01626534194</v>
      </c>
      <c r="AL46" s="5">
        <v>-0.0303382453497323</v>
      </c>
      <c r="AM46" s="5">
        <v>-0.0333270846264011</v>
      </c>
      <c r="AN46" s="5">
        <v>-0.0243122987681932</v>
      </c>
      <c r="AO46" s="5">
        <v>-0.0260508200533183</v>
      </c>
      <c r="AP46" s="4">
        <f t="shared" si="3"/>
        <v>0.9328004304</v>
      </c>
      <c r="AQ46" s="4">
        <f t="shared" si="4"/>
        <v>0.9200151561</v>
      </c>
      <c r="AR46" s="5">
        <f t="shared" si="5"/>
        <v>0.9328789998</v>
      </c>
      <c r="AS46" s="5">
        <f t="shared" ref="AS46:AU46" si="48">AS45*(1+AM46)</f>
        <v>0.9402535255</v>
      </c>
      <c r="AT46" s="5">
        <f t="shared" si="48"/>
        <v>0.960583104</v>
      </c>
      <c r="AU46" s="5">
        <f t="shared" si="48"/>
        <v>0.9541308485</v>
      </c>
    </row>
    <row r="47" ht="15.75" customHeight="1">
      <c r="A47" s="3">
        <v>43899.0</v>
      </c>
      <c r="B47" s="4">
        <v>-0.068993</v>
      </c>
      <c r="C47" s="4">
        <v>-0.018287</v>
      </c>
      <c r="D47" s="4">
        <v>-0.089053</v>
      </c>
      <c r="E47" s="4">
        <v>-0.051727</v>
      </c>
      <c r="F47" s="4">
        <v>-0.061527</v>
      </c>
      <c r="G47" s="4">
        <v>-0.039358</v>
      </c>
      <c r="H47" s="4">
        <v>-0.04603</v>
      </c>
      <c r="I47" s="4">
        <v>-0.178327</v>
      </c>
      <c r="J47" s="4">
        <v>-0.080889</v>
      </c>
      <c r="K47" s="4">
        <v>-0.139196</v>
      </c>
      <c r="L47" s="4">
        <v>-0.100151</v>
      </c>
      <c r="M47" s="4">
        <v>-0.113948</v>
      </c>
      <c r="N47" s="4">
        <v>-0.117256</v>
      </c>
      <c r="O47" s="4">
        <v>-0.069725</v>
      </c>
      <c r="P47" s="4">
        <v>-0.087297</v>
      </c>
      <c r="Q47" s="4">
        <v>-0.050222</v>
      </c>
      <c r="R47" s="4">
        <v>-0.127254</v>
      </c>
      <c r="S47" s="4">
        <v>-0.068152</v>
      </c>
      <c r="T47" s="4">
        <v>-0.123454</v>
      </c>
      <c r="U47" s="4">
        <v>-0.04249</v>
      </c>
      <c r="V47" s="4">
        <v>-0.0761449947285969</v>
      </c>
      <c r="W47" s="4">
        <v>-0.0869988955754802</v>
      </c>
      <c r="X47" s="4">
        <v>0.0</v>
      </c>
      <c r="Y47" s="4">
        <v>0.0075004457851677</v>
      </c>
      <c r="Z47" s="4">
        <v>-0.0162639019117917</v>
      </c>
      <c r="AA47" s="4">
        <v>0.0031714181029984</v>
      </c>
      <c r="AB47" s="4">
        <v>-0.0295288080127749</v>
      </c>
      <c r="AC47" s="4">
        <v>0.0</v>
      </c>
      <c r="AD47" s="4">
        <v>0.0</v>
      </c>
      <c r="AE47" s="4">
        <v>0.0021958716037564</v>
      </c>
      <c r="AF47" s="4">
        <v>0.0168628248191811</v>
      </c>
      <c r="AG47" s="4">
        <v>-0.0032628893215483</v>
      </c>
      <c r="AH47" s="4">
        <v>-0.237581024661775</v>
      </c>
      <c r="AI47" s="4">
        <v>0.0125847902778968</v>
      </c>
      <c r="AJ47" s="4">
        <v>-0.07597</v>
      </c>
      <c r="AK47" s="4">
        <f>Weights!E103</f>
        <v>-0.06445581566</v>
      </c>
      <c r="AL47" s="5">
        <v>-0.0155891275532157</v>
      </c>
      <c r="AM47" s="5">
        <v>-0.0185740772425344</v>
      </c>
      <c r="AN47" s="5">
        <v>0.0147058770229211</v>
      </c>
      <c r="AO47" s="5">
        <v>0.0142856862346407</v>
      </c>
      <c r="AP47" s="4">
        <f t="shared" si="3"/>
        <v>0.8726760178</v>
      </c>
      <c r="AQ47" s="4">
        <f t="shared" si="4"/>
        <v>0.8501216046</v>
      </c>
      <c r="AR47" s="5">
        <f t="shared" si="5"/>
        <v>0.9183362301</v>
      </c>
      <c r="AS47" s="5">
        <f t="shared" ref="AS47:AU47" si="49">AS46*(1+AM47)</f>
        <v>0.9227891839</v>
      </c>
      <c r="AT47" s="5">
        <f t="shared" si="49"/>
        <v>0.974709321</v>
      </c>
      <c r="AU47" s="5">
        <f t="shared" si="49"/>
        <v>0.9677612624</v>
      </c>
    </row>
    <row r="48" ht="15.75" customHeight="1">
      <c r="A48" s="3">
        <v>43900.0</v>
      </c>
      <c r="B48" s="4">
        <v>0.034237</v>
      </c>
      <c r="C48" s="4">
        <v>0.012359</v>
      </c>
      <c r="D48" s="4">
        <v>0.027039</v>
      </c>
      <c r="E48" s="4">
        <v>0.030578</v>
      </c>
      <c r="F48" s="4">
        <v>0.034709</v>
      </c>
      <c r="G48" s="4">
        <v>0.038112</v>
      </c>
      <c r="H48" s="4">
        <v>0.038687</v>
      </c>
      <c r="I48" s="4">
        <v>0.034891</v>
      </c>
      <c r="J48" s="4">
        <v>0.010222</v>
      </c>
      <c r="K48" s="4">
        <v>0.044296</v>
      </c>
      <c r="L48" s="4">
        <v>0.028589</v>
      </c>
      <c r="M48" s="4">
        <v>0.048489</v>
      </c>
      <c r="N48" s="4">
        <v>0.047593</v>
      </c>
      <c r="O48" s="4">
        <v>0.046667</v>
      </c>
      <c r="P48" s="4">
        <v>0.012558</v>
      </c>
      <c r="Q48" s="4">
        <v>0.007776</v>
      </c>
      <c r="R48" s="4">
        <v>0.09356</v>
      </c>
      <c r="S48" s="4">
        <v>0.036217</v>
      </c>
      <c r="T48" s="4">
        <v>0.069412</v>
      </c>
      <c r="U48" s="4">
        <v>0.012753</v>
      </c>
      <c r="V48" s="4">
        <v>-0.128139157864855</v>
      </c>
      <c r="W48" s="4">
        <v>-0.10647162900851</v>
      </c>
      <c r="X48" s="4">
        <v>-0.0811288467827106</v>
      </c>
      <c r="Y48" s="4">
        <v>-0.0987866269692954</v>
      </c>
      <c r="Z48" s="4">
        <v>-0.157202076016048</v>
      </c>
      <c r="AA48" s="4">
        <v>-0.0758735733998607</v>
      </c>
      <c r="AB48" s="4">
        <v>-0.0222222861078749</v>
      </c>
      <c r="AC48" s="4">
        <v>-0.0754717670119508</v>
      </c>
      <c r="AD48" s="4">
        <v>-0.0547944354589815</v>
      </c>
      <c r="AE48" s="4">
        <v>-0.0766117760689528</v>
      </c>
      <c r="AF48" s="4">
        <v>-0.150019322868648</v>
      </c>
      <c r="AG48" s="4">
        <v>-0.0444271491519699</v>
      </c>
      <c r="AH48" s="4">
        <v>-0.293201085311135</v>
      </c>
      <c r="AI48" s="4">
        <v>-0.0328455562403028</v>
      </c>
      <c r="AJ48" s="4">
        <v>0.049396</v>
      </c>
      <c r="AK48" s="4">
        <f>Weights!E104</f>
        <v>-0.03117402909</v>
      </c>
      <c r="AL48" s="5">
        <v>-0.0828350378330549</v>
      </c>
      <c r="AM48" s="5">
        <v>-0.0802843821427008</v>
      </c>
      <c r="AN48" s="5">
        <v>-0.0104668758482112</v>
      </c>
      <c r="AO48" s="5">
        <v>-0.00779140724236715</v>
      </c>
      <c r="AP48" s="4">
        <f t="shared" si="3"/>
        <v>0.8454711902</v>
      </c>
      <c r="AQ48" s="4">
        <f t="shared" si="4"/>
        <v>0.8921142114</v>
      </c>
      <c r="AR48" s="5">
        <f t="shared" si="5"/>
        <v>0.8422658137</v>
      </c>
      <c r="AS48" s="5">
        <f t="shared" ref="AS48:AU48" si="50">AS47*(1+AM48)</f>
        <v>0.8487036245</v>
      </c>
      <c r="AT48" s="5">
        <f t="shared" si="50"/>
        <v>0.9645071595</v>
      </c>
      <c r="AU48" s="5">
        <f t="shared" si="50"/>
        <v>0.9602210403</v>
      </c>
    </row>
    <row r="49" ht="15.75" customHeight="1">
      <c r="A49" s="3">
        <v>43901.0</v>
      </c>
      <c r="B49" s="4">
        <v>-0.029628</v>
      </c>
      <c r="C49" s="4">
        <v>-0.029901</v>
      </c>
      <c r="D49" s="4">
        <v>-0.023177</v>
      </c>
      <c r="E49" s="4">
        <v>-0.032727</v>
      </c>
      <c r="F49" s="4">
        <v>-0.027022</v>
      </c>
      <c r="G49" s="4">
        <v>-0.069472</v>
      </c>
      <c r="H49" s="4">
        <v>-0.074326</v>
      </c>
      <c r="I49" s="4">
        <v>-0.035261</v>
      </c>
      <c r="J49" s="4">
        <v>-0.04615</v>
      </c>
      <c r="K49" s="4">
        <v>-0.039453</v>
      </c>
      <c r="L49" s="4">
        <v>-0.050089</v>
      </c>
      <c r="M49" s="4">
        <v>-0.056971</v>
      </c>
      <c r="N49" s="4">
        <v>-0.052618</v>
      </c>
      <c r="O49" s="4">
        <v>-0.05009</v>
      </c>
      <c r="P49" s="4">
        <v>-0.048781</v>
      </c>
      <c r="Q49" s="4">
        <v>-0.070988</v>
      </c>
      <c r="R49" s="4">
        <v>-0.097778</v>
      </c>
      <c r="S49" s="4">
        <v>-0.059382</v>
      </c>
      <c r="T49" s="4">
        <v>-0.045785</v>
      </c>
      <c r="U49" s="4">
        <v>-0.040438</v>
      </c>
      <c r="V49" s="4">
        <v>-0.064253995982245</v>
      </c>
      <c r="W49" s="4">
        <v>0.0300893294226294</v>
      </c>
      <c r="X49" s="4">
        <v>0.0882918638795549</v>
      </c>
      <c r="Y49" s="4">
        <v>0.0581139426990702</v>
      </c>
      <c r="Z49" s="4">
        <v>0.108847601977816</v>
      </c>
      <c r="AA49" s="4">
        <v>0.0133237166089104</v>
      </c>
      <c r="AB49" s="4">
        <v>0.0227273395498217</v>
      </c>
      <c r="AC49" s="4">
        <v>0.083673390902325</v>
      </c>
      <c r="AD49" s="4">
        <v>0.0750987538304199</v>
      </c>
      <c r="AE49" s="4">
        <v>0.014421359545963</v>
      </c>
      <c r="AF49" s="4">
        <v>0.0131580493296059</v>
      </c>
      <c r="AG49" s="4">
        <v>0.0212071022500295</v>
      </c>
      <c r="AH49" s="4">
        <v>0.49899800891824</v>
      </c>
      <c r="AI49" s="4">
        <v>0.0206515056204961</v>
      </c>
      <c r="AJ49" s="4">
        <v>-0.048868</v>
      </c>
      <c r="AK49" s="4">
        <f>Weights!E105</f>
        <v>0.01367917775</v>
      </c>
      <c r="AL49" s="5">
        <v>0.0450374557478825</v>
      </c>
      <c r="AM49" s="5">
        <v>0.0496029166130851</v>
      </c>
      <c r="AN49" s="5">
        <v>0.023189318415298</v>
      </c>
      <c r="AO49" s="5">
        <v>0.0202354814886032</v>
      </c>
      <c r="AP49" s="4">
        <f t="shared" si="3"/>
        <v>0.8570365409</v>
      </c>
      <c r="AQ49" s="4">
        <f t="shared" si="4"/>
        <v>0.8485183741</v>
      </c>
      <c r="AR49" s="5">
        <f t="shared" si="5"/>
        <v>0.880199323</v>
      </c>
      <c r="AS49" s="5">
        <f t="shared" ref="AS49:AU49" si="51">AS48*(1+AM49)</f>
        <v>0.8908017996</v>
      </c>
      <c r="AT49" s="5">
        <f t="shared" si="51"/>
        <v>0.9868734232</v>
      </c>
      <c r="AU49" s="5">
        <f t="shared" si="51"/>
        <v>0.9796515754</v>
      </c>
    </row>
    <row r="50" ht="15.75" customHeight="1">
      <c r="A50" s="3">
        <v>43902.0</v>
      </c>
      <c r="B50" s="4">
        <v>-0.136958</v>
      </c>
      <c r="C50" s="4">
        <v>-0.066205</v>
      </c>
      <c r="D50" s="4">
        <v>-0.132458</v>
      </c>
      <c r="E50" s="4">
        <v>-0.11106</v>
      </c>
      <c r="F50" s="4">
        <v>-0.096725</v>
      </c>
      <c r="G50" s="4">
        <v>-0.048483</v>
      </c>
      <c r="H50" s="4">
        <v>-0.087373</v>
      </c>
      <c r="I50" s="4">
        <v>-0.167682</v>
      </c>
      <c r="J50" s="4">
        <v>-0.120828</v>
      </c>
      <c r="K50" s="4">
        <v>-0.111823</v>
      </c>
      <c r="L50" s="4">
        <v>-0.105304</v>
      </c>
      <c r="M50" s="4">
        <v>-0.174129</v>
      </c>
      <c r="N50" s="4">
        <v>-0.15741</v>
      </c>
      <c r="O50" s="4">
        <v>-0.11386</v>
      </c>
      <c r="P50" s="4">
        <v>-0.034333</v>
      </c>
      <c r="Q50" s="4">
        <v>-0.197688</v>
      </c>
      <c r="R50" s="4">
        <v>-0.116995</v>
      </c>
      <c r="S50" s="4">
        <v>-0.04329</v>
      </c>
      <c r="T50" s="4">
        <v>-0.103302</v>
      </c>
      <c r="U50" s="4">
        <v>-0.104982</v>
      </c>
      <c r="V50" s="4">
        <v>0.0</v>
      </c>
      <c r="W50" s="4">
        <v>-0.0169316899012104</v>
      </c>
      <c r="X50" s="4">
        <v>-0.0299826052139121</v>
      </c>
      <c r="Y50" s="4">
        <v>-0.0290120996686517</v>
      </c>
      <c r="Z50" s="4">
        <v>-0.0305459843542552</v>
      </c>
      <c r="AA50" s="4">
        <v>-0.0442429838339432</v>
      </c>
      <c r="AB50" s="4">
        <v>-0.0758973392884532</v>
      </c>
      <c r="AC50" s="4">
        <v>-0.0357815390178436</v>
      </c>
      <c r="AD50" s="4">
        <v>-0.03063713766559</v>
      </c>
      <c r="AE50" s="4">
        <v>-0.025913252388129</v>
      </c>
      <c r="AF50" s="4">
        <v>-0.0385132765281677</v>
      </c>
      <c r="AG50" s="4">
        <v>-0.0206068751108117</v>
      </c>
      <c r="AH50" s="4">
        <v>0.0962566371921176</v>
      </c>
      <c r="AI50" s="4">
        <v>-0.0323739223886272</v>
      </c>
      <c r="AJ50" s="4">
        <v>-0.095113</v>
      </c>
      <c r="AK50" s="4">
        <f>Weights!E106</f>
        <v>-0.0694889502</v>
      </c>
      <c r="AL50" s="5">
        <v>-0.0497977654729882</v>
      </c>
      <c r="AM50" s="5">
        <v>-0.0506293039792632</v>
      </c>
      <c r="AN50" s="5">
        <v>-0.0135187564366893</v>
      </c>
      <c r="AO50" s="5">
        <v>-0.0133211430693745</v>
      </c>
      <c r="AP50" s="4">
        <f t="shared" si="3"/>
        <v>0.7974819714</v>
      </c>
      <c r="AQ50" s="4">
        <f t="shared" si="4"/>
        <v>0.767813246</v>
      </c>
      <c r="AR50" s="5">
        <f t="shared" si="5"/>
        <v>0.8363673636</v>
      </c>
      <c r="AS50" s="5">
        <f t="shared" ref="AS50:AU50" si="52">AS49*(1+AM50)</f>
        <v>0.8457011245</v>
      </c>
      <c r="AT50" s="5">
        <f t="shared" si="52"/>
        <v>0.9735321217</v>
      </c>
      <c r="AU50" s="5">
        <f t="shared" si="52"/>
        <v>0.9666014966</v>
      </c>
    </row>
    <row r="51" ht="15.75" customHeight="1">
      <c r="A51" s="3">
        <v>43903.0</v>
      </c>
      <c r="B51" s="4">
        <v>0.126348</v>
      </c>
      <c r="C51" s="4">
        <v>0.058008</v>
      </c>
      <c r="D51" s="4">
        <v>0.132236</v>
      </c>
      <c r="E51" s="4">
        <v>0.104994</v>
      </c>
      <c r="F51" s="4">
        <v>0.036472</v>
      </c>
      <c r="G51" s="4">
        <v>0.070808</v>
      </c>
      <c r="H51" s="4">
        <v>0.12009</v>
      </c>
      <c r="I51" s="4">
        <v>0.191448</v>
      </c>
      <c r="J51" s="4">
        <v>0.112419</v>
      </c>
      <c r="K51" s="4">
        <v>0.160652</v>
      </c>
      <c r="L51" s="4">
        <v>0.131864</v>
      </c>
      <c r="M51" s="4">
        <v>0.115318</v>
      </c>
      <c r="N51" s="4">
        <v>0.118971</v>
      </c>
      <c r="O51" s="4">
        <v>0.099985</v>
      </c>
      <c r="P51" s="4">
        <v>-0.111161</v>
      </c>
      <c r="Q51" s="4">
        <v>-0.14675</v>
      </c>
      <c r="R51" s="4">
        <v>0.050209</v>
      </c>
      <c r="S51" s="4">
        <v>-0.090875</v>
      </c>
      <c r="T51" s="4">
        <v>0.128108</v>
      </c>
      <c r="U51" s="4">
        <v>0.057695</v>
      </c>
      <c r="V51" s="4">
        <v>-0.164167370413884</v>
      </c>
      <c r="W51" s="4">
        <v>-0.188333868625229</v>
      </c>
      <c r="X51" s="4">
        <v>-0.0145452143757255</v>
      </c>
      <c r="Y51" s="4">
        <v>-0.0794887365867202</v>
      </c>
      <c r="Z51" s="4">
        <v>-0.0717227804591933</v>
      </c>
      <c r="AA51" s="4">
        <v>-0.110801118999217</v>
      </c>
      <c r="AB51" s="4">
        <v>-0.166851677800274</v>
      </c>
      <c r="AC51" s="4">
        <v>-0.0341796613686485</v>
      </c>
      <c r="AD51" s="4">
        <v>0.0075851804805116</v>
      </c>
      <c r="AE51" s="4">
        <v>-0.0544986471762098</v>
      </c>
      <c r="AF51" s="4">
        <v>-0.162925110815857</v>
      </c>
      <c r="AG51" s="4">
        <v>-0.109443853069565</v>
      </c>
      <c r="AH51" s="4">
        <v>0.0353658347772316</v>
      </c>
      <c r="AI51" s="4">
        <v>-0.0529742759827309</v>
      </c>
      <c r="AJ51" s="4">
        <v>0.092871</v>
      </c>
      <c r="AK51" s="4">
        <f>Weights!E107</f>
        <v>0.004740678993</v>
      </c>
      <c r="AL51" s="5">
        <v>-0.104328905718159</v>
      </c>
      <c r="AM51" s="5">
        <v>-0.0972393571698569</v>
      </c>
      <c r="AN51" s="5">
        <v>-0.0217655885213116</v>
      </c>
      <c r="AO51" s="5">
        <v>-0.0228026150493663</v>
      </c>
      <c r="AP51" s="4">
        <f t="shared" si="3"/>
        <v>0.8012625774</v>
      </c>
      <c r="AQ51" s="4">
        <f t="shared" si="4"/>
        <v>0.83912083</v>
      </c>
      <c r="AR51" s="5">
        <f t="shared" si="5"/>
        <v>0.7491100718</v>
      </c>
      <c r="AS51" s="5">
        <f t="shared" ref="AS51:AU51" si="53">AS50*(1+AM51)</f>
        <v>0.7634656908</v>
      </c>
      <c r="AT51" s="5">
        <f t="shared" si="53"/>
        <v>0.9523426222</v>
      </c>
      <c r="AU51" s="5">
        <f t="shared" si="53"/>
        <v>0.9445604548</v>
      </c>
    </row>
    <row r="52" ht="15.75" customHeight="1">
      <c r="A52" s="3">
        <v>43906.0</v>
      </c>
      <c r="B52" s="4">
        <v>-0.133413</v>
      </c>
      <c r="C52" s="4">
        <v>-0.058704</v>
      </c>
      <c r="D52" s="4">
        <v>-0.062148</v>
      </c>
      <c r="E52" s="4">
        <v>-0.112672</v>
      </c>
      <c r="F52" s="4">
        <v>-0.066227</v>
      </c>
      <c r="G52" s="4">
        <v>-0.053317</v>
      </c>
      <c r="H52" s="4">
        <v>-0.04883</v>
      </c>
      <c r="I52" s="4">
        <v>-0.117039</v>
      </c>
      <c r="J52" s="4">
        <v>-0.095238</v>
      </c>
      <c r="K52" s="4">
        <v>-0.096039</v>
      </c>
      <c r="L52" s="4">
        <v>-0.074629</v>
      </c>
      <c r="M52" s="4">
        <v>-0.191358</v>
      </c>
      <c r="N52" s="4">
        <v>-0.107184</v>
      </c>
      <c r="O52" s="4">
        <v>-0.078809</v>
      </c>
      <c r="P52" s="4">
        <v>0.031139</v>
      </c>
      <c r="Q52" s="4">
        <v>0.267813</v>
      </c>
      <c r="R52" s="4">
        <v>-0.171315</v>
      </c>
      <c r="S52" s="4">
        <v>0.016176</v>
      </c>
      <c r="T52" s="4">
        <v>-0.145089</v>
      </c>
      <c r="U52" s="4">
        <v>-0.085653</v>
      </c>
      <c r="V52" s="4">
        <v>-0.00849853088638541</v>
      </c>
      <c r="W52" s="4">
        <v>0.081983271158053</v>
      </c>
      <c r="X52" s="4">
        <v>0.0</v>
      </c>
      <c r="Y52" s="4">
        <v>0.0913543789469735</v>
      </c>
      <c r="Z52" s="4">
        <v>0.0906106572660254</v>
      </c>
      <c r="AA52" s="4">
        <v>0.0857200277414651</v>
      </c>
      <c r="AB52" s="4">
        <v>0.117673112780376</v>
      </c>
      <c r="AC52" s="4">
        <v>0.0</v>
      </c>
      <c r="AD52" s="4">
        <v>0.0</v>
      </c>
      <c r="AE52" s="4">
        <v>0.0261822244702982</v>
      </c>
      <c r="AF52" s="4">
        <v>-0.0097929359743882</v>
      </c>
      <c r="AG52" s="4">
        <v>0.0923077413688016</v>
      </c>
      <c r="AH52" s="4">
        <v>0.12014134374849</v>
      </c>
      <c r="AI52" s="4">
        <v>0.0235526366089586</v>
      </c>
      <c r="AJ52" s="4">
        <v>-0.119841</v>
      </c>
      <c r="AK52" s="4">
        <f>Weights!E108</f>
        <v>-0.01306226761</v>
      </c>
      <c r="AL52" s="5">
        <v>0.0810480189946531</v>
      </c>
      <c r="AM52" s="5">
        <v>0.0910184995112026</v>
      </c>
      <c r="AN52" s="5">
        <v>-0.106715914832137</v>
      </c>
      <c r="AO52" s="5">
        <v>-0.105311535131465</v>
      </c>
      <c r="AP52" s="4">
        <f t="shared" si="3"/>
        <v>0.7907962712</v>
      </c>
      <c r="AQ52" s="4">
        <f t="shared" si="4"/>
        <v>0.7385597506</v>
      </c>
      <c r="AR52" s="5">
        <f t="shared" si="5"/>
        <v>0.8098239591</v>
      </c>
      <c r="AS52" s="5">
        <f t="shared" ref="AS52:AU52" si="54">AS51*(1+AM52)</f>
        <v>0.8329551924</v>
      </c>
      <c r="AT52" s="5">
        <f t="shared" si="54"/>
        <v>0.850712508</v>
      </c>
      <c r="AU52" s="5">
        <f t="shared" si="54"/>
        <v>0.8450873432</v>
      </c>
    </row>
    <row r="53" ht="15.75" customHeight="1">
      <c r="A53" s="3">
        <v>43907.0</v>
      </c>
      <c r="B53" s="4">
        <v>0.072144</v>
      </c>
      <c r="C53" s="4">
        <v>0.065111</v>
      </c>
      <c r="D53" s="4">
        <v>0.022256</v>
      </c>
      <c r="E53" s="4">
        <v>0.129366</v>
      </c>
      <c r="F53" s="4">
        <v>0.042422</v>
      </c>
      <c r="G53" s="4">
        <v>0.074412</v>
      </c>
      <c r="H53" s="4">
        <v>0.08977</v>
      </c>
      <c r="I53" s="4">
        <v>-0.018308</v>
      </c>
      <c r="J53" s="4">
        <v>0.043567</v>
      </c>
      <c r="K53" s="4">
        <v>0.033376</v>
      </c>
      <c r="L53" s="4">
        <v>0.042411</v>
      </c>
      <c r="M53" s="4">
        <v>-0.038168</v>
      </c>
      <c r="N53" s="4">
        <v>-0.028967</v>
      </c>
      <c r="O53" s="4">
        <v>0.170376</v>
      </c>
      <c r="P53" s="4">
        <v>0.124478</v>
      </c>
      <c r="Q53" s="4">
        <v>0.093023</v>
      </c>
      <c r="R53" s="4">
        <v>0.038462</v>
      </c>
      <c r="S53" s="4">
        <v>0.090612</v>
      </c>
      <c r="T53" s="4">
        <v>0.011423</v>
      </c>
      <c r="U53" s="4">
        <v>0.068779</v>
      </c>
      <c r="V53" s="4">
        <v>-0.183809533129528</v>
      </c>
      <c r="W53" s="4">
        <v>-0.0341420486903687</v>
      </c>
      <c r="X53" s="4">
        <v>-0.0485075258471311</v>
      </c>
      <c r="Y53" s="4">
        <v>-0.103067610253698</v>
      </c>
      <c r="Z53" s="4">
        <v>-0.12852632828242</v>
      </c>
      <c r="AA53" s="4">
        <v>-0.0803004571950227</v>
      </c>
      <c r="AB53" s="4">
        <v>-0.123957172117757</v>
      </c>
      <c r="AC53" s="4">
        <v>-0.0922282217794977</v>
      </c>
      <c r="AD53" s="4">
        <v>-0.0123608619354623</v>
      </c>
      <c r="AE53" s="4">
        <v>-0.0592157103428253</v>
      </c>
      <c r="AF53" s="4">
        <v>-0.0937289028102315</v>
      </c>
      <c r="AG53" s="4">
        <v>-0.1230717854807</v>
      </c>
      <c r="AH53" s="4">
        <v>-0.234490006099604</v>
      </c>
      <c r="AI53" s="4">
        <v>-0.0388302471188469</v>
      </c>
      <c r="AJ53" s="4">
        <v>0.059955</v>
      </c>
      <c r="AK53" s="4">
        <f>Weights!E109</f>
        <v>-0.02847966961</v>
      </c>
      <c r="AL53" s="5">
        <v>-0.113776066857568</v>
      </c>
      <c r="AM53" s="5">
        <v>-0.113808471711179</v>
      </c>
      <c r="AN53" s="5">
        <v>0.0359775730385361</v>
      </c>
      <c r="AO53" s="5">
        <v>0.0312285759541861</v>
      </c>
      <c r="AP53" s="4">
        <f t="shared" si="3"/>
        <v>0.7682746547</v>
      </c>
      <c r="AQ53" s="4">
        <f t="shared" si="4"/>
        <v>0.7828401005</v>
      </c>
      <c r="AR53" s="5">
        <f t="shared" si="5"/>
        <v>0.7176853742</v>
      </c>
      <c r="AS53" s="5">
        <f t="shared" ref="AS53:AU53" si="55">AS52*(1+AM53)</f>
        <v>0.7381578349</v>
      </c>
      <c r="AT53" s="5">
        <f t="shared" si="55"/>
        <v>0.8813190794</v>
      </c>
      <c r="AU53" s="5">
        <f t="shared" si="55"/>
        <v>0.8714782175</v>
      </c>
    </row>
    <row r="54" ht="15.75" customHeight="1">
      <c r="A54" s="3">
        <v>43908.0</v>
      </c>
      <c r="B54" s="4">
        <v>-0.055377</v>
      </c>
      <c r="C54" s="4">
        <v>1.84E-4</v>
      </c>
      <c r="D54" s="4">
        <v>-0.072407</v>
      </c>
      <c r="E54" s="4">
        <v>-0.053241</v>
      </c>
      <c r="F54" s="4">
        <v>-0.049385</v>
      </c>
      <c r="G54" s="4">
        <v>-0.011933</v>
      </c>
      <c r="H54" s="4">
        <v>-0.006681</v>
      </c>
      <c r="I54" s="4">
        <v>-0.107796</v>
      </c>
      <c r="J54" s="4">
        <v>-0.097506</v>
      </c>
      <c r="K54" s="4">
        <v>-0.064596</v>
      </c>
      <c r="L54" s="4">
        <v>-0.104117</v>
      </c>
      <c r="M54" s="4">
        <v>-0.081349</v>
      </c>
      <c r="N54" s="4">
        <v>-0.078223</v>
      </c>
      <c r="O54" s="4">
        <v>-0.059964</v>
      </c>
      <c r="P54" s="4">
        <v>-0.092358</v>
      </c>
      <c r="Q54" s="4">
        <v>-0.237589</v>
      </c>
      <c r="R54" s="4">
        <v>-0.180556</v>
      </c>
      <c r="S54" s="4">
        <v>-0.039296</v>
      </c>
      <c r="T54" s="4">
        <v>-0.05292</v>
      </c>
      <c r="U54" s="4">
        <v>-0.027333</v>
      </c>
      <c r="V54" s="4">
        <v>-0.0320886318556005</v>
      </c>
      <c r="W54" s="4">
        <v>0.007441705308165</v>
      </c>
      <c r="X54" s="4">
        <v>0.0156863474217037</v>
      </c>
      <c r="Y54" s="4">
        <v>0.0565171145680054</v>
      </c>
      <c r="Z54" s="4">
        <v>0.0637593487886103</v>
      </c>
      <c r="AA54" s="4">
        <v>0.0646984571996724</v>
      </c>
      <c r="AB54" s="4">
        <v>0.0476190850071129</v>
      </c>
      <c r="AC54" s="4">
        <v>0.0159818872796884</v>
      </c>
      <c r="AD54" s="4">
        <v>0.0175218212356957</v>
      </c>
      <c r="AE54" s="4">
        <v>0.013054322371933</v>
      </c>
      <c r="AF54" s="4">
        <v>0.0300097812047126</v>
      </c>
      <c r="AG54" s="4">
        <v>0.108986589073794</v>
      </c>
      <c r="AH54" s="4">
        <v>0.369505493493309</v>
      </c>
      <c r="AI54" s="4">
        <v>-0.0319203375992251</v>
      </c>
      <c r="AJ54" s="4">
        <v>-0.051831</v>
      </c>
      <c r="AK54" s="4">
        <f>Weights!E110</f>
        <v>-0.00865324461</v>
      </c>
      <c r="AL54" s="5">
        <v>0.0566812366815276</v>
      </c>
      <c r="AM54" s="5">
        <v>0.0501410406428708</v>
      </c>
      <c r="AN54" s="5">
        <v>-0.0445235158079136</v>
      </c>
      <c r="AO54" s="5">
        <v>-0.0465890018977582</v>
      </c>
      <c r="AP54" s="4">
        <f t="shared" si="3"/>
        <v>0.7616265862</v>
      </c>
      <c r="AQ54" s="4">
        <f t="shared" si="4"/>
        <v>0.7422647152</v>
      </c>
      <c r="AR54" s="5">
        <f t="shared" si="5"/>
        <v>0.7583646687</v>
      </c>
      <c r="AS54" s="5">
        <f t="shared" ref="AS54:AU54" si="56">AS53*(1+AM54)</f>
        <v>0.7751698369</v>
      </c>
      <c r="AT54" s="5">
        <f t="shared" si="56"/>
        <v>0.8420796554</v>
      </c>
      <c r="AU54" s="5">
        <f t="shared" si="56"/>
        <v>0.8308769172</v>
      </c>
    </row>
    <row r="55" ht="15.75" customHeight="1">
      <c r="A55" s="3">
        <v>43909.0</v>
      </c>
      <c r="B55" s="4">
        <v>0.057941</v>
      </c>
      <c r="C55" s="4">
        <v>-0.012887</v>
      </c>
      <c r="D55" s="4">
        <v>0.033492</v>
      </c>
      <c r="E55" s="4">
        <v>-0.029606</v>
      </c>
      <c r="F55" s="4">
        <v>-0.067335</v>
      </c>
      <c r="G55" s="4">
        <v>-0.05861</v>
      </c>
      <c r="H55" s="4">
        <v>-0.056364</v>
      </c>
      <c r="I55" s="4">
        <v>0.038462</v>
      </c>
      <c r="J55" s="4">
        <v>0.062713</v>
      </c>
      <c r="K55" s="4">
        <v>-0.013442</v>
      </c>
      <c r="L55" s="4">
        <v>0.012516</v>
      </c>
      <c r="M55" s="4">
        <v>0.072354</v>
      </c>
      <c r="N55" s="4">
        <v>-0.035958</v>
      </c>
      <c r="O55" s="4">
        <v>-0.10313</v>
      </c>
      <c r="P55" s="4">
        <v>0.00409</v>
      </c>
      <c r="Q55" s="4">
        <v>0.051163</v>
      </c>
      <c r="R55" s="4">
        <v>0.080979</v>
      </c>
      <c r="S55" s="4">
        <v>-0.075185</v>
      </c>
      <c r="T55" s="4">
        <v>0.050085</v>
      </c>
      <c r="U55" s="4">
        <v>-0.017074</v>
      </c>
      <c r="V55" s="4">
        <v>-0.325497304056133</v>
      </c>
      <c r="W55" s="4">
        <v>-0.121421750131428</v>
      </c>
      <c r="X55" s="4">
        <v>0.0038607910667591</v>
      </c>
      <c r="Y55" s="4">
        <v>-0.0093763496580904</v>
      </c>
      <c r="Z55" s="4">
        <v>-0.0479861963806308</v>
      </c>
      <c r="AA55" s="4">
        <v>-0.0464109906043807</v>
      </c>
      <c r="AB55" s="4">
        <v>-0.0679652751286422</v>
      </c>
      <c r="AC55" s="4">
        <v>-0.0089887501565116</v>
      </c>
      <c r="AD55" s="4">
        <v>0.0123001198190813</v>
      </c>
      <c r="AE55" s="4">
        <v>-0.0742186958010542</v>
      </c>
      <c r="AF55" s="4">
        <v>-0.0907775882617687</v>
      </c>
      <c r="AG55" s="4">
        <v>-0.0141378020612263</v>
      </c>
      <c r="AH55" s="4">
        <v>0.269809487529177</v>
      </c>
      <c r="AI55" s="4">
        <v>-0.0510045951544845</v>
      </c>
      <c r="AJ55" s="4">
        <v>0.004708</v>
      </c>
      <c r="AK55" s="4">
        <f>Weights!E111</f>
        <v>-0.01188192623</v>
      </c>
      <c r="AL55" s="5">
        <v>-0.0556523521119146</v>
      </c>
      <c r="AM55" s="5">
        <v>-0.0576283529903307</v>
      </c>
      <c r="AN55" s="5">
        <v>-0.122553558401309</v>
      </c>
      <c r="AO55" s="5">
        <v>-0.119371831393081</v>
      </c>
      <c r="AP55" s="4">
        <f t="shared" si="3"/>
        <v>0.7525769953</v>
      </c>
      <c r="AQ55" s="4">
        <f t="shared" si="4"/>
        <v>0.7457592975</v>
      </c>
      <c r="AR55" s="5">
        <f t="shared" si="5"/>
        <v>0.7161598912</v>
      </c>
      <c r="AS55" s="5">
        <f t="shared" ref="AS55:AU55" si="57">AS54*(1+AM55)</f>
        <v>0.7304980759</v>
      </c>
      <c r="AT55" s="5">
        <f t="shared" si="57"/>
        <v>0.7388797972</v>
      </c>
      <c r="AU55" s="5">
        <f t="shared" si="57"/>
        <v>0.7316936179</v>
      </c>
    </row>
    <row r="56" ht="15.75" customHeight="1">
      <c r="A56" s="3">
        <v>43910.0</v>
      </c>
      <c r="B56" s="4">
        <v>-0.04768</v>
      </c>
      <c r="C56" s="4">
        <v>-0.033943</v>
      </c>
      <c r="D56" s="4">
        <v>-0.035979</v>
      </c>
      <c r="E56" s="4">
        <v>-0.114283</v>
      </c>
      <c r="F56" s="4">
        <v>-0.084389</v>
      </c>
      <c r="G56" s="4">
        <v>-0.056356</v>
      </c>
      <c r="H56" s="4">
        <v>-0.075792</v>
      </c>
      <c r="I56" s="4">
        <v>0.031804</v>
      </c>
      <c r="J56" s="4">
        <v>-0.06953</v>
      </c>
      <c r="K56" s="4">
        <v>-0.013893</v>
      </c>
      <c r="L56" s="4">
        <v>-0.037436</v>
      </c>
      <c r="M56" s="4">
        <v>-0.054381</v>
      </c>
      <c r="N56" s="4">
        <v>-0.053711</v>
      </c>
      <c r="O56" s="4">
        <v>-0.159883</v>
      </c>
      <c r="P56" s="4">
        <v>-0.02827</v>
      </c>
      <c r="Q56" s="4">
        <v>-0.115044</v>
      </c>
      <c r="R56" s="4">
        <v>-0.038327</v>
      </c>
      <c r="S56" s="4">
        <v>0.016849</v>
      </c>
      <c r="T56" s="4">
        <v>-0.006165</v>
      </c>
      <c r="U56" s="4">
        <v>-0.056815</v>
      </c>
      <c r="V56" s="4">
        <v>0.202859432879619</v>
      </c>
      <c r="W56" s="4">
        <v>-0.0406377607109121</v>
      </c>
      <c r="X56" s="4">
        <v>0.0134616849116031</v>
      </c>
      <c r="Y56" s="4">
        <v>0.0428415327779052</v>
      </c>
      <c r="Z56" s="4">
        <v>0.0472192423229298</v>
      </c>
      <c r="AA56" s="4">
        <v>0.0208291735603705</v>
      </c>
      <c r="AB56" s="4">
        <v>0.0854618764538641</v>
      </c>
      <c r="AC56" s="4">
        <v>0.0022677433943716</v>
      </c>
      <c r="AD56" s="4">
        <v>0.0145809442550219</v>
      </c>
      <c r="AE56" s="4">
        <v>0.0215801748910906</v>
      </c>
      <c r="AF56" s="4">
        <v>0.0039724871180448</v>
      </c>
      <c r="AG56" s="4">
        <v>-0.0314796793012112</v>
      </c>
      <c r="AH56" s="4">
        <v>-0.116113799859095</v>
      </c>
      <c r="AI56" s="4">
        <v>-0.0065147254561559</v>
      </c>
      <c r="AJ56" s="4">
        <v>-0.04336</v>
      </c>
      <c r="AK56" s="4">
        <f>Weights!E112</f>
        <v>-0.01586938163</v>
      </c>
      <c r="AL56" s="5">
        <v>0.00752619055064163</v>
      </c>
      <c r="AM56" s="5">
        <v>0.00738185634301213</v>
      </c>
      <c r="AN56" s="5">
        <v>0.105682246940749</v>
      </c>
      <c r="AO56" s="5">
        <v>0.0935394312987356</v>
      </c>
      <c r="AP56" s="4">
        <f t="shared" si="3"/>
        <v>0.7406340637</v>
      </c>
      <c r="AQ56" s="4">
        <f t="shared" si="4"/>
        <v>0.7134231744</v>
      </c>
      <c r="AR56" s="5">
        <f t="shared" si="5"/>
        <v>0.721549847</v>
      </c>
      <c r="AS56" s="5">
        <f t="shared" ref="AS56:AU56" si="58">AS55*(1+AM56)</f>
        <v>0.7358905078</v>
      </c>
      <c r="AT56" s="5">
        <f t="shared" si="58"/>
        <v>0.8169662744</v>
      </c>
      <c r="AU56" s="5">
        <f t="shared" si="58"/>
        <v>0.8001358228</v>
      </c>
    </row>
    <row r="57" ht="15.75" customHeight="1">
      <c r="A57" s="3">
        <v>43913.0</v>
      </c>
      <c r="B57" s="4">
        <v>-0.073748</v>
      </c>
      <c r="C57" s="4">
        <v>-0.028764</v>
      </c>
      <c r="D57" s="4">
        <v>-0.142139</v>
      </c>
      <c r="E57" s="4">
        <v>0.012027</v>
      </c>
      <c r="F57" s="4">
        <v>-0.019321</v>
      </c>
      <c r="G57" s="4">
        <v>-0.072984</v>
      </c>
      <c r="H57" s="4">
        <v>-0.046178</v>
      </c>
      <c r="I57" s="4">
        <v>-0.073742</v>
      </c>
      <c r="J57" s="4">
        <v>-0.08697</v>
      </c>
      <c r="K57" s="4">
        <v>-0.083446</v>
      </c>
      <c r="L57" s="4">
        <v>-0.089892</v>
      </c>
      <c r="M57" s="4">
        <v>-0.052183</v>
      </c>
      <c r="N57" s="4">
        <v>-0.037446</v>
      </c>
      <c r="O57" s="4">
        <v>0.061396</v>
      </c>
      <c r="P57" s="4">
        <v>0.02712</v>
      </c>
      <c r="Q57" s="4">
        <v>0.1525</v>
      </c>
      <c r="R57" s="4">
        <v>-0.023551</v>
      </c>
      <c r="S57" s="4">
        <v>0.052196</v>
      </c>
      <c r="T57" s="4">
        <v>-0.072151</v>
      </c>
      <c r="U57" s="4">
        <v>-0.070853</v>
      </c>
      <c r="V57" s="4">
        <v>0.0705797545446358</v>
      </c>
      <c r="W57" s="4">
        <v>0.0093118451215428</v>
      </c>
      <c r="X57" s="4">
        <v>0.0</v>
      </c>
      <c r="Y57" s="4">
        <v>-0.0510172622556047</v>
      </c>
      <c r="Z57" s="4">
        <v>-0.0403663310723498</v>
      </c>
      <c r="AA57" s="4">
        <v>-0.028282839225207</v>
      </c>
      <c r="AB57" s="4">
        <v>-0.0556269371314048</v>
      </c>
      <c r="AC57" s="4">
        <v>0.0</v>
      </c>
      <c r="AD57" s="4">
        <v>0.0</v>
      </c>
      <c r="AE57" s="4">
        <v>-0.007076862326739</v>
      </c>
      <c r="AF57" s="4">
        <v>-0.0211026869410596</v>
      </c>
      <c r="AG57" s="4">
        <v>-0.0122788327164129</v>
      </c>
      <c r="AH57" s="4">
        <v>-0.16175151158237</v>
      </c>
      <c r="AI57" s="4">
        <v>0.0163938313767741</v>
      </c>
      <c r="AJ57" s="4">
        <v>-0.029294</v>
      </c>
      <c r="AK57" s="4">
        <f>Weights!E113</f>
        <v>-0.0334512409</v>
      </c>
      <c r="AL57" s="5">
        <v>-0.0326990729013686</v>
      </c>
      <c r="AM57" s="5">
        <v>-0.0408026262595551</v>
      </c>
      <c r="AN57" s="5">
        <v>-0.0989429734073352</v>
      </c>
      <c r="AO57" s="5">
        <v>-0.0971366682351938</v>
      </c>
      <c r="AP57" s="4">
        <f t="shared" si="3"/>
        <v>0.7158589352</v>
      </c>
      <c r="AQ57" s="4">
        <f t="shared" si="4"/>
        <v>0.6925241559</v>
      </c>
      <c r="AR57" s="5">
        <f t="shared" si="5"/>
        <v>0.6979558359</v>
      </c>
      <c r="AS57" s="5">
        <f t="shared" ref="AS57:AU57" si="59">AS56*(1+AM57)</f>
        <v>0.7058642424</v>
      </c>
      <c r="AT57" s="5">
        <f t="shared" si="59"/>
        <v>0.736133202</v>
      </c>
      <c r="AU57" s="5">
        <f t="shared" si="59"/>
        <v>0.7224132949</v>
      </c>
    </row>
    <row r="58" ht="15.75" customHeight="1">
      <c r="A58" s="3">
        <v>43914.0</v>
      </c>
      <c r="B58" s="4">
        <v>0.037253</v>
      </c>
      <c r="C58" s="4">
        <v>-0.006361</v>
      </c>
      <c r="D58" s="4">
        <v>0.124961</v>
      </c>
      <c r="E58" s="4">
        <v>0.082335</v>
      </c>
      <c r="F58" s="4">
        <v>0.050319</v>
      </c>
      <c r="G58" s="4">
        <v>0.072341</v>
      </c>
      <c r="H58" s="4">
        <v>0.057011</v>
      </c>
      <c r="I58" s="4">
        <v>0.133951</v>
      </c>
      <c r="J58" s="4">
        <v>0.099725</v>
      </c>
      <c r="K58" s="4">
        <v>0.142773</v>
      </c>
      <c r="L58" s="4">
        <v>0.136061</v>
      </c>
      <c r="M58" s="4">
        <v>0.206742</v>
      </c>
      <c r="N58" s="4">
        <v>0.131859</v>
      </c>
      <c r="O58" s="4">
        <v>0.112887</v>
      </c>
      <c r="P58" s="4">
        <v>0.140182</v>
      </c>
      <c r="Q58" s="4">
        <v>0.169197</v>
      </c>
      <c r="R58" s="4">
        <v>0.296846</v>
      </c>
      <c r="S58" s="4">
        <v>0.098425</v>
      </c>
      <c r="T58" s="4">
        <v>0.125264</v>
      </c>
      <c r="U58" s="4">
        <v>0.037027</v>
      </c>
      <c r="V58" s="4">
        <v>-0.0666204644124505</v>
      </c>
      <c r="W58" s="4">
        <v>-0.0124820030422277</v>
      </c>
      <c r="X58" s="4">
        <v>-0.0114286560735954</v>
      </c>
      <c r="Y58" s="4">
        <v>-0.0077521731221217</v>
      </c>
      <c r="Z58" s="4">
        <v>-0.0143569253140261</v>
      </c>
      <c r="AA58" s="4">
        <v>-0.114968798809118</v>
      </c>
      <c r="AB58" s="4">
        <v>-0.131852822396736</v>
      </c>
      <c r="AC58" s="4">
        <v>-0.0574054195149739</v>
      </c>
      <c r="AD58" s="4">
        <v>-0.0169901429238842</v>
      </c>
      <c r="AE58" s="4">
        <v>-0.0568025337605593</v>
      </c>
      <c r="AF58" s="4">
        <v>-0.0433845439347924</v>
      </c>
      <c r="AG58" s="4">
        <v>-0.0294332113074357</v>
      </c>
      <c r="AH58" s="4">
        <v>-0.185501087911828</v>
      </c>
      <c r="AI58" s="4">
        <v>-0.0623659319574122</v>
      </c>
      <c r="AJ58" s="4">
        <v>0.093828</v>
      </c>
      <c r="AK58" s="4">
        <f>Weights!E114</f>
        <v>0.0287163977</v>
      </c>
      <c r="AL58" s="5">
        <v>-0.0180676289169633</v>
      </c>
      <c r="AM58" s="5">
        <v>-0.0284748546724897</v>
      </c>
      <c r="AN58" s="5">
        <v>0.031982612423741</v>
      </c>
      <c r="AO58" s="5">
        <v>0.0276998515322441</v>
      </c>
      <c r="AP58" s="4">
        <f t="shared" si="3"/>
        <v>0.7364158251</v>
      </c>
      <c r="AQ58" s="4">
        <f t="shared" si="4"/>
        <v>0.7575023124</v>
      </c>
      <c r="AR58" s="5">
        <f t="shared" si="5"/>
        <v>0.6853454289</v>
      </c>
      <c r="AS58" s="5">
        <f t="shared" ref="AS58:AU58" si="60">AS57*(1+AM58)</f>
        <v>0.6857648607</v>
      </c>
      <c r="AT58" s="5">
        <f t="shared" si="60"/>
        <v>0.7596766649</v>
      </c>
      <c r="AU58" s="5">
        <f t="shared" si="60"/>
        <v>0.7424240359</v>
      </c>
    </row>
    <row r="59" ht="15.75" customHeight="1">
      <c r="A59" s="3">
        <v>43915.0</v>
      </c>
      <c r="B59" s="4">
        <v>0.061268</v>
      </c>
      <c r="C59" s="4">
        <v>-0.001</v>
      </c>
      <c r="D59" s="4">
        <v>0.05842</v>
      </c>
      <c r="E59" s="4">
        <v>-0.011771</v>
      </c>
      <c r="F59" s="4">
        <v>0.054753</v>
      </c>
      <c r="G59" s="4">
        <v>0.001846</v>
      </c>
      <c r="H59" s="4">
        <v>-0.022756</v>
      </c>
      <c r="I59" s="4">
        <v>0.060178</v>
      </c>
      <c r="J59" s="4">
        <v>0.065041</v>
      </c>
      <c r="K59" s="4">
        <v>0.071133</v>
      </c>
      <c r="L59" s="4">
        <v>0.058907</v>
      </c>
      <c r="M59" s="4">
        <v>0.094041</v>
      </c>
      <c r="N59" s="4">
        <v>0.069826</v>
      </c>
      <c r="O59" s="4">
        <v>0.004813</v>
      </c>
      <c r="P59" s="4">
        <v>8.42E-4</v>
      </c>
      <c r="Q59" s="4">
        <v>0.163265</v>
      </c>
      <c r="R59" s="4">
        <v>0.037196</v>
      </c>
      <c r="S59" s="4">
        <v>0.041219</v>
      </c>
      <c r="T59" s="4">
        <v>-0.02439</v>
      </c>
      <c r="U59" s="4">
        <v>-0.051367</v>
      </c>
      <c r="V59" s="4">
        <v>0.185129929222447</v>
      </c>
      <c r="W59" s="4">
        <v>0.209012690869797</v>
      </c>
      <c r="X59" s="4">
        <v>0.0250482038729893</v>
      </c>
      <c r="Y59" s="4">
        <v>0.103896227754237</v>
      </c>
      <c r="Z59" s="4">
        <v>0.133328274425228</v>
      </c>
      <c r="AA59" s="4">
        <v>0.0796335316809111</v>
      </c>
      <c r="AB59" s="4">
        <v>0.162838941492859</v>
      </c>
      <c r="AC59" s="4">
        <v>0.0267965487980141</v>
      </c>
      <c r="AD59" s="4">
        <v>0.0209876109973812</v>
      </c>
      <c r="AE59" s="4">
        <v>0.0601107291576856</v>
      </c>
      <c r="AF59" s="4">
        <v>0.0422534932617248</v>
      </c>
      <c r="AG59" s="4">
        <v>0.0237334005414151</v>
      </c>
      <c r="AH59" s="4">
        <v>0.0680628092527317</v>
      </c>
      <c r="AI59" s="4">
        <v>0.103210972923894</v>
      </c>
      <c r="AJ59" s="4">
        <v>0.011535</v>
      </c>
      <c r="AK59" s="4">
        <f>Weights!E115</f>
        <v>0.06467893446</v>
      </c>
      <c r="AL59" s="5">
        <v>0.0909625597931178</v>
      </c>
      <c r="AM59" s="5">
        <v>0.0948976922363735</v>
      </c>
      <c r="AN59" s="5">
        <v>-0.06301630368467</v>
      </c>
      <c r="AO59" s="5">
        <v>-0.0707032700741003</v>
      </c>
      <c r="AP59" s="4">
        <f t="shared" si="3"/>
        <v>0.784046416</v>
      </c>
      <c r="AQ59" s="4">
        <f t="shared" si="4"/>
        <v>0.7662401016</v>
      </c>
      <c r="AR59" s="5">
        <f t="shared" si="5"/>
        <v>0.7476862034</v>
      </c>
      <c r="AS59" s="5">
        <f t="shared" ref="AS59:AU59" si="61">AS58*(1+AM59)</f>
        <v>0.7508423634</v>
      </c>
      <c r="AT59" s="5">
        <f t="shared" si="61"/>
        <v>0.7118046495</v>
      </c>
      <c r="AU59" s="5">
        <f t="shared" si="61"/>
        <v>0.6899322288</v>
      </c>
    </row>
    <row r="60" ht="15.75" customHeight="1">
      <c r="A60" s="3">
        <v>43916.0</v>
      </c>
      <c r="B60" s="4">
        <v>0.031851</v>
      </c>
      <c r="C60" s="4">
        <v>0.072087</v>
      </c>
      <c r="D60" s="4">
        <v>0.035242</v>
      </c>
      <c r="E60" s="4">
        <v>0.068978</v>
      </c>
      <c r="F60" s="4">
        <v>0.064408</v>
      </c>
      <c r="G60" s="4">
        <v>0.06005</v>
      </c>
      <c r="H60" s="4">
        <v>0.064011</v>
      </c>
      <c r="I60" s="4">
        <v>0.042046</v>
      </c>
      <c r="J60" s="4">
        <v>0.077804</v>
      </c>
      <c r="K60" s="4">
        <v>0.034774</v>
      </c>
      <c r="L60" s="4">
        <v>0.029826</v>
      </c>
      <c r="M60" s="4">
        <v>0.028085</v>
      </c>
      <c r="N60" s="4">
        <v>0.077782</v>
      </c>
      <c r="O60" s="4">
        <v>0.079655</v>
      </c>
      <c r="P60" s="4">
        <v>0.015566</v>
      </c>
      <c r="Q60" s="4">
        <v>-0.100478</v>
      </c>
      <c r="R60" s="4">
        <v>-0.035862</v>
      </c>
      <c r="S60" s="4">
        <v>0.018933</v>
      </c>
      <c r="T60" s="4">
        <v>0.075</v>
      </c>
      <c r="U60" s="4">
        <v>0.095844</v>
      </c>
      <c r="V60" s="4">
        <v>0.0771644095105983</v>
      </c>
      <c r="W60" s="4">
        <v>0.0533333358157692</v>
      </c>
      <c r="X60" s="4">
        <v>-0.0018798842384711</v>
      </c>
      <c r="Y60" s="4">
        <v>-0.0257355870723011</v>
      </c>
      <c r="Z60" s="4">
        <v>-5.007148096697E-4</v>
      </c>
      <c r="AA60" s="4">
        <v>0.0989990604544668</v>
      </c>
      <c r="AB60" s="4">
        <v>0.0596949746444939</v>
      </c>
      <c r="AC60" s="4">
        <v>0.0118626203093927</v>
      </c>
      <c r="AD60" s="4">
        <v>0.0</v>
      </c>
      <c r="AE60" s="4">
        <v>0.117127701010473</v>
      </c>
      <c r="AF60" s="4">
        <v>-0.0043243733075484</v>
      </c>
      <c r="AG60" s="4">
        <v>-0.0130637883409011</v>
      </c>
      <c r="AH60" s="4">
        <v>0.0514705839385347</v>
      </c>
      <c r="AI60" s="4">
        <v>0.0219937055633456</v>
      </c>
      <c r="AJ60" s="4">
        <v>0.062414</v>
      </c>
      <c r="AK60" s="4">
        <f>Weights!E116</f>
        <v>0.03931589774</v>
      </c>
      <c r="AL60" s="5">
        <v>0.0179543911444099</v>
      </c>
      <c r="AM60" s="5">
        <v>0.0137926440669922</v>
      </c>
      <c r="AN60" s="5">
        <v>0.0314221573708743</v>
      </c>
      <c r="AO60" s="5">
        <v>0.0294243562310125</v>
      </c>
      <c r="AP60" s="4">
        <f t="shared" si="3"/>
        <v>0.8148719047</v>
      </c>
      <c r="AQ60" s="4">
        <f t="shared" si="4"/>
        <v>0.8140642113</v>
      </c>
      <c r="AR60" s="5">
        <f t="shared" si="5"/>
        <v>0.761110454</v>
      </c>
      <c r="AS60" s="5">
        <f t="shared" ref="AS60:AU60" si="62">AS59*(1+AM60)</f>
        <v>0.7611984649</v>
      </c>
      <c r="AT60" s="5">
        <f t="shared" si="62"/>
        <v>0.7341710872</v>
      </c>
      <c r="AU60" s="5">
        <f t="shared" si="62"/>
        <v>0.7102330404</v>
      </c>
    </row>
    <row r="61" ht="15.75" customHeight="1">
      <c r="A61" s="3">
        <v>43917.0</v>
      </c>
      <c r="B61" s="4">
        <v>-0.024437</v>
      </c>
      <c r="C61" s="4">
        <v>-0.014382</v>
      </c>
      <c r="D61" s="4">
        <v>-0.036546</v>
      </c>
      <c r="E61" s="4">
        <v>0.001663</v>
      </c>
      <c r="F61" s="4">
        <v>-0.033416</v>
      </c>
      <c r="G61" s="4">
        <v>-0.026942</v>
      </c>
      <c r="H61" s="4">
        <v>0.025983</v>
      </c>
      <c r="I61" s="4">
        <v>-0.067249</v>
      </c>
      <c r="J61" s="4">
        <v>-0.032689</v>
      </c>
      <c r="K61" s="4">
        <v>-0.054842</v>
      </c>
      <c r="L61" s="4">
        <v>-0.040351</v>
      </c>
      <c r="M61" s="4">
        <v>-0.067053</v>
      </c>
      <c r="N61" s="4">
        <v>-0.050204</v>
      </c>
      <c r="O61" s="4">
        <v>-0.03119</v>
      </c>
      <c r="P61" s="4">
        <v>-0.039975</v>
      </c>
      <c r="Q61" s="4">
        <v>-0.109929</v>
      </c>
      <c r="R61" s="4">
        <v>-0.113019</v>
      </c>
      <c r="S61" s="4">
        <v>-0.049324</v>
      </c>
      <c r="T61" s="4">
        <v>-0.005367</v>
      </c>
      <c r="U61" s="4">
        <v>-0.043156</v>
      </c>
      <c r="V61" s="4">
        <v>0.0908561829019896</v>
      </c>
      <c r="W61" s="4">
        <v>0.0040275558634248</v>
      </c>
      <c r="X61" s="4">
        <v>0.0169492821004431</v>
      </c>
      <c r="Y61" s="4">
        <v>0.0316038685584496</v>
      </c>
      <c r="Z61" s="4">
        <v>0.0347656763513835</v>
      </c>
      <c r="AA61" s="4">
        <v>0.0277171980177328</v>
      </c>
      <c r="AB61" s="4">
        <v>0.021600922413691</v>
      </c>
      <c r="AC61" s="4">
        <v>0.0550996441002786</v>
      </c>
      <c r="AD61" s="4">
        <v>0.0012090805370879</v>
      </c>
      <c r="AE61" s="4">
        <v>-0.0067614717982212</v>
      </c>
      <c r="AF61" s="4">
        <v>0.0111293080925232</v>
      </c>
      <c r="AG61" s="4">
        <v>0.0870620345201182</v>
      </c>
      <c r="AH61" s="4">
        <v>-0.0547785454674035</v>
      </c>
      <c r="AI61" s="4">
        <v>0.005098806980422</v>
      </c>
      <c r="AJ61" s="4">
        <v>-0.033687</v>
      </c>
      <c r="AK61" s="4">
        <f>Weights!E117</f>
        <v>-0.01135682635</v>
      </c>
      <c r="AL61" s="5">
        <v>0.0558524376519944</v>
      </c>
      <c r="AM61" s="5">
        <v>0.0607090158995828</v>
      </c>
      <c r="AN61" s="5">
        <v>-0.0277926233463229</v>
      </c>
      <c r="AO61" s="5">
        <v>-0.0228664848411197</v>
      </c>
      <c r="AP61" s="4">
        <f t="shared" si="3"/>
        <v>0.805617546</v>
      </c>
      <c r="AQ61" s="4">
        <f t="shared" si="4"/>
        <v>0.7866408302</v>
      </c>
      <c r="AR61" s="5">
        <f t="shared" si="5"/>
        <v>0.8036203282</v>
      </c>
      <c r="AS61" s="5">
        <f t="shared" ref="AS61:AU61" si="63">AS60*(1+AM61)</f>
        <v>0.8074100746</v>
      </c>
      <c r="AT61" s="5">
        <f t="shared" si="63"/>
        <v>0.7137665467</v>
      </c>
      <c r="AU61" s="5">
        <f t="shared" si="63"/>
        <v>0.6939925074</v>
      </c>
    </row>
    <row r="62" ht="15.75" customHeight="1">
      <c r="A62" s="3">
        <v>43920.0</v>
      </c>
      <c r="B62" s="4">
        <v>-6.59E-4</v>
      </c>
      <c r="C62" s="4">
        <v>0.0379</v>
      </c>
      <c r="D62" s="4">
        <v>0.049883</v>
      </c>
      <c r="E62" s="4">
        <v>0.041674</v>
      </c>
      <c r="F62" s="4">
        <v>0.051156</v>
      </c>
      <c r="G62" s="4">
        <v>0.079977</v>
      </c>
      <c r="H62" s="4">
        <v>0.043841</v>
      </c>
      <c r="I62" s="4">
        <v>0.016583</v>
      </c>
      <c r="J62" s="4">
        <v>0.04365</v>
      </c>
      <c r="K62" s="4">
        <v>0.019753</v>
      </c>
      <c r="L62" s="4">
        <v>0.014581</v>
      </c>
      <c r="M62" s="4">
        <v>0.064774</v>
      </c>
      <c r="N62" s="4">
        <v>0.030393</v>
      </c>
      <c r="O62" s="4">
        <v>0.086369</v>
      </c>
      <c r="P62" s="4">
        <v>2.16E-4</v>
      </c>
      <c r="Q62" s="4">
        <v>-0.017928</v>
      </c>
      <c r="R62" s="4">
        <v>0.006452</v>
      </c>
      <c r="S62" s="4">
        <v>-0.008529</v>
      </c>
      <c r="T62" s="4">
        <v>0.058828</v>
      </c>
      <c r="U62" s="4">
        <v>0.032693</v>
      </c>
      <c r="V62" s="4">
        <v>-0.0576614124359206</v>
      </c>
      <c r="W62" s="4">
        <v>-0.0315186059778588</v>
      </c>
      <c r="X62" s="4">
        <v>0.0</v>
      </c>
      <c r="Y62" s="4">
        <v>-0.0557840748369137</v>
      </c>
      <c r="Z62" s="4">
        <v>-0.0482604364837215</v>
      </c>
      <c r="AA62" s="4">
        <v>-0.0250430297949347</v>
      </c>
      <c r="AB62" s="4">
        <v>-0.0659202435650384</v>
      </c>
      <c r="AC62" s="4">
        <v>0.0</v>
      </c>
      <c r="AD62" s="4">
        <v>0.0</v>
      </c>
      <c r="AE62" s="4">
        <v>-0.0220518164212413</v>
      </c>
      <c r="AF62" s="4">
        <v>-0.067114102762634</v>
      </c>
      <c r="AG62" s="4">
        <v>0.0049735717270693</v>
      </c>
      <c r="AH62" s="4">
        <v>-0.0764488007853996</v>
      </c>
      <c r="AI62" s="4">
        <v>0.0142061021909858</v>
      </c>
      <c r="AJ62" s="4">
        <v>0.033516</v>
      </c>
      <c r="AK62" s="4">
        <f>Weights!E118</f>
        <v>0.001343407595</v>
      </c>
      <c r="AL62" s="5">
        <v>-0.0303720040936279</v>
      </c>
      <c r="AM62" s="5">
        <v>-0.0318817921966584</v>
      </c>
      <c r="AN62" s="5">
        <v>-0.0489280639936824</v>
      </c>
      <c r="AO62" s="5">
        <v>-0.0518179485009775</v>
      </c>
      <c r="AP62" s="4">
        <f t="shared" si="3"/>
        <v>0.8066998187</v>
      </c>
      <c r="AQ62" s="4">
        <f t="shared" si="4"/>
        <v>0.8130058842</v>
      </c>
      <c r="AR62" s="5">
        <f t="shared" si="5"/>
        <v>0.7792127683</v>
      </c>
      <c r="AS62" s="5">
        <f t="shared" ref="AS62:AU62" si="64">AS61*(1+AM62)</f>
        <v>0.7816683944</v>
      </c>
      <c r="AT62" s="5">
        <f t="shared" si="64"/>
        <v>0.6788433314</v>
      </c>
      <c r="AU62" s="5">
        <f t="shared" si="64"/>
        <v>0.6580312394</v>
      </c>
    </row>
    <row r="63" ht="15.75" customHeight="1">
      <c r="A63" s="3">
        <v>43921.0</v>
      </c>
      <c r="B63" s="4">
        <v>0.040897</v>
      </c>
      <c r="C63" s="4">
        <v>-0.018989</v>
      </c>
      <c r="D63" s="4">
        <v>0.027716</v>
      </c>
      <c r="E63" s="4">
        <v>-0.042875</v>
      </c>
      <c r="F63" s="4">
        <v>-0.016667</v>
      </c>
      <c r="G63" s="4">
        <v>-0.014134</v>
      </c>
      <c r="H63" s="4">
        <v>-0.043478</v>
      </c>
      <c r="I63" s="4">
        <v>0.03156</v>
      </c>
      <c r="J63" s="4">
        <v>0.040205</v>
      </c>
      <c r="K63" s="4">
        <v>0.026392</v>
      </c>
      <c r="L63" s="4">
        <v>0.028576</v>
      </c>
      <c r="M63" s="4">
        <v>0.045</v>
      </c>
      <c r="N63" s="4">
        <v>0.028855</v>
      </c>
      <c r="O63" s="4">
        <v>-0.044874</v>
      </c>
      <c r="P63" s="4">
        <v>-0.023296</v>
      </c>
      <c r="Q63" s="4">
        <v>-0.036511</v>
      </c>
      <c r="R63" s="4">
        <v>0.081731</v>
      </c>
      <c r="S63" s="4">
        <v>-0.013262</v>
      </c>
      <c r="T63" s="4">
        <v>0.031501</v>
      </c>
      <c r="U63" s="4">
        <v>0.001421</v>
      </c>
      <c r="V63" s="4">
        <v>-0.0118981044051644</v>
      </c>
      <c r="W63" s="4">
        <v>-0.0105029269573095</v>
      </c>
      <c r="X63" s="4">
        <v>0.0037383658626128</v>
      </c>
      <c r="Y63" s="4">
        <v>0.0492010341017024</v>
      </c>
      <c r="Z63" s="4">
        <v>0.0471704612979131</v>
      </c>
      <c r="AA63" s="4">
        <v>0.0669825915289505</v>
      </c>
      <c r="AB63" s="4">
        <v>0.0430535671120806</v>
      </c>
      <c r="AC63" s="4">
        <v>0.026939693140483</v>
      </c>
      <c r="AD63" s="4">
        <v>0.0</v>
      </c>
      <c r="AE63" s="4">
        <v>0.0464709315247182</v>
      </c>
      <c r="AF63" s="4">
        <v>-0.0414388772430556</v>
      </c>
      <c r="AG63" s="4">
        <v>0.0184298734868491</v>
      </c>
      <c r="AH63" s="4">
        <v>-0.105473958380997</v>
      </c>
      <c r="AI63" s="4">
        <v>0.0080036277323773</v>
      </c>
      <c r="AJ63" s="4">
        <v>-0.016013</v>
      </c>
      <c r="AK63" s="4">
        <f>Weights!E119</f>
        <v>0.01081537463</v>
      </c>
      <c r="AL63" s="5">
        <v>0.0262332765643986</v>
      </c>
      <c r="AM63" s="5">
        <v>0.0303318369759202</v>
      </c>
      <c r="AN63" s="5">
        <v>0.122543215935949</v>
      </c>
      <c r="AO63" s="5">
        <v>0.122080195710497</v>
      </c>
      <c r="AP63" s="4">
        <f t="shared" si="3"/>
        <v>0.8154245795</v>
      </c>
      <c r="AQ63" s="4">
        <f t="shared" si="4"/>
        <v>0.799987221</v>
      </c>
      <c r="AR63" s="5">
        <f t="shared" si="5"/>
        <v>0.7996540723</v>
      </c>
      <c r="AS63" s="5">
        <f t="shared" ref="AS63:AU63" si="65">AS62*(1+AM63)</f>
        <v>0.8053778327</v>
      </c>
      <c r="AT63" s="5">
        <f t="shared" si="65"/>
        <v>0.7620309764</v>
      </c>
      <c r="AU63" s="5">
        <f t="shared" si="65"/>
        <v>0.7383638219</v>
      </c>
    </row>
    <row r="64" ht="15.75" customHeight="1">
      <c r="A64" s="3">
        <v>43922.0</v>
      </c>
      <c r="B64" s="4">
        <v>-0.021546</v>
      </c>
      <c r="C64" s="4">
        <v>-0.015075</v>
      </c>
      <c r="D64" s="4">
        <v>-0.016133</v>
      </c>
      <c r="E64" s="4">
        <v>-0.016486</v>
      </c>
      <c r="F64" s="4">
        <v>-0.048136</v>
      </c>
      <c r="G64" s="4">
        <v>-0.017692</v>
      </c>
      <c r="H64" s="4">
        <v>-0.006091</v>
      </c>
      <c r="I64" s="4">
        <v>-0.064627</v>
      </c>
      <c r="J64" s="4">
        <v>-0.068482</v>
      </c>
      <c r="K64" s="4">
        <v>-0.055909</v>
      </c>
      <c r="L64" s="4">
        <v>-0.049553</v>
      </c>
      <c r="M64" s="4">
        <v>-0.056619</v>
      </c>
      <c r="N64" s="4">
        <v>-0.052976</v>
      </c>
      <c r="O64" s="4">
        <v>-0.033947</v>
      </c>
      <c r="P64" s="4">
        <v>0.026281</v>
      </c>
      <c r="Q64" s="4">
        <v>0.031579</v>
      </c>
      <c r="R64" s="4">
        <v>-0.065185</v>
      </c>
      <c r="S64" s="4">
        <v>-0.003632</v>
      </c>
      <c r="T64" s="4">
        <v>-0.003331</v>
      </c>
      <c r="U64" s="4">
        <v>-0.03471</v>
      </c>
      <c r="V64" s="4">
        <v>0.0280963988874591</v>
      </c>
      <c r="W64" s="4">
        <v>0.0587531378039831</v>
      </c>
      <c r="X64" s="4">
        <v>0.0018621903745517</v>
      </c>
      <c r="Y64" s="4">
        <v>0.0156928867357997</v>
      </c>
      <c r="Z64" s="4">
        <v>0.0085739350111779</v>
      </c>
      <c r="AA64" s="4">
        <v>0.0277778288590999</v>
      </c>
      <c r="AB64" s="4">
        <v>0.0344681660766368</v>
      </c>
      <c r="AC64" s="4">
        <v>0.0283314566119292</v>
      </c>
      <c r="AD64" s="4">
        <v>0.0529482378838697</v>
      </c>
      <c r="AE64" s="4">
        <v>-0.0184563631718291</v>
      </c>
      <c r="AF64" s="4">
        <v>0.0822576287712533</v>
      </c>
      <c r="AG64" s="4">
        <v>-0.0058645991638672</v>
      </c>
      <c r="AH64" s="4">
        <v>0.0417910394649461</v>
      </c>
      <c r="AI64" s="4">
        <v>0.0114146447501879</v>
      </c>
      <c r="AJ64" s="4">
        <v>-0.044142</v>
      </c>
      <c r="AK64" s="4">
        <f>Weights!E120</f>
        <v>-0.007070799327</v>
      </c>
      <c r="AL64" s="5">
        <v>-0.00890239517900537</v>
      </c>
      <c r="AM64" s="5">
        <v>-0.0142987996065586</v>
      </c>
      <c r="AN64" s="5">
        <v>0.0350158011192591</v>
      </c>
      <c r="AO64" s="5">
        <v>0.0377063893960727</v>
      </c>
      <c r="AP64" s="4">
        <f t="shared" si="3"/>
        <v>0.8096588759</v>
      </c>
      <c r="AQ64" s="4">
        <f t="shared" si="4"/>
        <v>0.7646741851</v>
      </c>
      <c r="AR64" s="5">
        <f t="shared" si="5"/>
        <v>0.7925352358</v>
      </c>
      <c r="AS64" s="5">
        <f t="shared" ref="AS64:AU64" si="66">AS63*(1+AM64)</f>
        <v>0.7938618964</v>
      </c>
      <c r="AT64" s="5">
        <f t="shared" si="66"/>
        <v>0.7887141015</v>
      </c>
      <c r="AU64" s="5">
        <f t="shared" si="66"/>
        <v>0.7662048557</v>
      </c>
    </row>
    <row r="65" ht="15.75" customHeight="1">
      <c r="A65" s="3">
        <v>43923.0</v>
      </c>
      <c r="B65" s="4">
        <v>0.027202</v>
      </c>
      <c r="C65" s="4">
        <v>0.044029</v>
      </c>
      <c r="D65" s="4">
        <v>0.011992</v>
      </c>
      <c r="E65" s="4">
        <v>0.048595</v>
      </c>
      <c r="F65" s="4">
        <v>0.043447</v>
      </c>
      <c r="G65" s="4">
        <v>0.033693</v>
      </c>
      <c r="H65" s="4">
        <v>0.046373</v>
      </c>
      <c r="I65" s="4">
        <v>0.01029</v>
      </c>
      <c r="J65" s="4">
        <v>0.013088</v>
      </c>
      <c r="K65" s="4">
        <v>0.004248</v>
      </c>
      <c r="L65" s="4">
        <v>0.008376</v>
      </c>
      <c r="M65" s="4">
        <v>-0.021978</v>
      </c>
      <c r="N65" s="4">
        <v>0.015466</v>
      </c>
      <c r="O65" s="4">
        <v>0.055099</v>
      </c>
      <c r="P65" s="4">
        <v>0.037874</v>
      </c>
      <c r="Q65" s="4">
        <v>0.044898</v>
      </c>
      <c r="R65" s="4">
        <v>0.012678</v>
      </c>
      <c r="S65" s="4">
        <v>0.036456</v>
      </c>
      <c r="T65" s="4">
        <v>0.001114</v>
      </c>
      <c r="U65" s="4">
        <v>0.020986</v>
      </c>
      <c r="V65" s="4">
        <v>-0.0351366967198804</v>
      </c>
      <c r="W65" s="4">
        <v>-0.0715899987489847</v>
      </c>
      <c r="X65" s="4">
        <v>0.0018588524068599</v>
      </c>
      <c r="Y65" s="4">
        <v>-0.0325365080742885</v>
      </c>
      <c r="Z65" s="4">
        <v>-0.0394138261397011</v>
      </c>
      <c r="AA65" s="4">
        <v>-0.0630631758971831</v>
      </c>
      <c r="AB65" s="4">
        <v>-0.0781572139842029</v>
      </c>
      <c r="AC65" s="4">
        <v>0.0204082353870522</v>
      </c>
      <c r="AD65" s="4">
        <v>0.028571248043157</v>
      </c>
      <c r="AE65" s="4">
        <v>-0.0099262461522021</v>
      </c>
      <c r="AF65" s="4">
        <v>0.0105408753803077</v>
      </c>
      <c r="AG65" s="4">
        <v>-0.0166862315732442</v>
      </c>
      <c r="AH65" s="4">
        <v>-0.0902579113422769</v>
      </c>
      <c r="AI65" s="4">
        <v>0.0132481315522752</v>
      </c>
      <c r="AJ65" s="4">
        <v>0.022829</v>
      </c>
      <c r="AK65" s="4">
        <f>Weights!E121</f>
        <v>-0.003952517643</v>
      </c>
      <c r="AL65" s="5">
        <v>-0.0452968675243491</v>
      </c>
      <c r="AM65" s="5">
        <v>-0.0461563379271315</v>
      </c>
      <c r="AN65" s="5">
        <v>0.0208953300075196</v>
      </c>
      <c r="AO65" s="5">
        <v>0.0227100587475206</v>
      </c>
      <c r="AP65" s="4">
        <f t="shared" si="3"/>
        <v>0.8064586849</v>
      </c>
      <c r="AQ65" s="4">
        <f t="shared" si="4"/>
        <v>0.7821309321</v>
      </c>
      <c r="AR65" s="5">
        <f t="shared" si="5"/>
        <v>0.7566358722</v>
      </c>
      <c r="AS65" s="5">
        <f t="shared" ref="AS65:AU65" si="67">AS64*(1+AM65)</f>
        <v>0.7572201385</v>
      </c>
      <c r="AT65" s="5">
        <f t="shared" si="67"/>
        <v>0.8051945429</v>
      </c>
      <c r="AU65" s="5">
        <f t="shared" si="67"/>
        <v>0.7836054129</v>
      </c>
    </row>
    <row r="66" ht="15.75" customHeight="1">
      <c r="A66" s="3">
        <v>43924.0</v>
      </c>
      <c r="B66" s="4">
        <v>-0.005044</v>
      </c>
      <c r="C66" s="4">
        <v>-0.009955</v>
      </c>
      <c r="D66" s="4">
        <v>-0.00266</v>
      </c>
      <c r="E66" s="4">
        <v>0.005894</v>
      </c>
      <c r="F66" s="4">
        <v>-0.00273</v>
      </c>
      <c r="G66" s="4">
        <v>0.007661</v>
      </c>
      <c r="H66" s="4">
        <v>0.005944</v>
      </c>
      <c r="I66" s="4">
        <v>0.016733</v>
      </c>
      <c r="J66" s="4">
        <v>-0.008796</v>
      </c>
      <c r="K66" s="4">
        <v>-0.018661</v>
      </c>
      <c r="L66" s="4">
        <v>-0.017291</v>
      </c>
      <c r="M66" s="4">
        <v>-0.019879</v>
      </c>
      <c r="N66" s="4">
        <v>-0.027868</v>
      </c>
      <c r="O66" s="4">
        <v>0.018917</v>
      </c>
      <c r="P66" s="4">
        <v>-0.022393</v>
      </c>
      <c r="Q66" s="4">
        <v>0.017578</v>
      </c>
      <c r="R66" s="4">
        <v>-0.010955</v>
      </c>
      <c r="S66" s="4">
        <v>-0.021456</v>
      </c>
      <c r="T66" s="4">
        <v>-0.008069</v>
      </c>
      <c r="U66" s="4">
        <v>-0.014402</v>
      </c>
      <c r="V66" s="4">
        <v>-0.0549133489527595</v>
      </c>
      <c r="W66" s="4">
        <v>-0.0129276922015959</v>
      </c>
      <c r="X66" s="4">
        <v>0.0111318053595443</v>
      </c>
      <c r="Y66" s="4">
        <v>0.0212304636915487</v>
      </c>
      <c r="Z66" s="4">
        <v>0.0197446837776327</v>
      </c>
      <c r="AA66" s="4">
        <v>0.0128845425973533</v>
      </c>
      <c r="AB66" s="4">
        <v>-0.0066932559001644</v>
      </c>
      <c r="AC66" s="4">
        <v>0.0260000085563536</v>
      </c>
      <c r="AD66" s="4">
        <v>-0.0033333662739344</v>
      </c>
      <c r="AE66" s="4">
        <v>0.0265109663346074</v>
      </c>
      <c r="AF66" s="4">
        <v>0.0837221637841452</v>
      </c>
      <c r="AG66" s="4">
        <v>-0.0502228645353248</v>
      </c>
      <c r="AH66" s="4">
        <v>-0.0125984509174985</v>
      </c>
      <c r="AI66" s="4">
        <v>0.0111385900331495</v>
      </c>
      <c r="AJ66" s="4">
        <v>-0.015137</v>
      </c>
      <c r="AK66" s="4">
        <f>Weights!E122</f>
        <v>-0.003286504766</v>
      </c>
      <c r="AL66" s="5">
        <v>0.0205642830089338</v>
      </c>
      <c r="AM66" s="5">
        <v>0.0208198878312539</v>
      </c>
      <c r="AN66" s="5">
        <v>-0.0526317837619073</v>
      </c>
      <c r="AO66" s="5">
        <v>-0.0514435235062391</v>
      </c>
      <c r="AP66" s="4">
        <f t="shared" si="3"/>
        <v>0.8038082546</v>
      </c>
      <c r="AQ66" s="4">
        <f t="shared" si="4"/>
        <v>0.7702918162</v>
      </c>
      <c r="AR66" s="5">
        <f t="shared" si="5"/>
        <v>0.7721955464</v>
      </c>
      <c r="AS66" s="5">
        <f t="shared" ref="AS66:AU66" si="68">AS65*(1+AM66)</f>
        <v>0.7729853768</v>
      </c>
      <c r="AT66" s="5">
        <f t="shared" si="68"/>
        <v>0.7628157179</v>
      </c>
      <c r="AU66" s="5">
        <f t="shared" si="68"/>
        <v>0.7432939895</v>
      </c>
    </row>
    <row r="67" ht="15.75" customHeight="1">
      <c r="A67" s="3">
        <v>43927.0</v>
      </c>
      <c r="B67" s="4">
        <v>0.040558</v>
      </c>
      <c r="C67" s="4">
        <v>0.036563</v>
      </c>
      <c r="D67" s="4">
        <v>0.060136</v>
      </c>
      <c r="E67" s="4">
        <v>0.052733</v>
      </c>
      <c r="F67" s="4">
        <v>0.064796</v>
      </c>
      <c r="G67" s="4">
        <v>0.041664</v>
      </c>
      <c r="H67" s="4">
        <v>0.023723</v>
      </c>
      <c r="I67" s="4">
        <v>0.025045</v>
      </c>
      <c r="J67" s="4">
        <v>0.074598</v>
      </c>
      <c r="K67" s="4">
        <v>0.058063</v>
      </c>
      <c r="L67" s="4">
        <v>0.048473</v>
      </c>
      <c r="M67" s="4">
        <v>0.032628</v>
      </c>
      <c r="N67" s="4">
        <v>0.068667</v>
      </c>
      <c r="O67" s="4">
        <v>0.034843</v>
      </c>
      <c r="P67" s="4">
        <v>0.062778</v>
      </c>
      <c r="Q67" s="4">
        <v>0.117083</v>
      </c>
      <c r="R67" s="4">
        <v>0.137658</v>
      </c>
      <c r="S67" s="4">
        <v>0.054637</v>
      </c>
      <c r="T67" s="4">
        <v>0.052174</v>
      </c>
      <c r="U67" s="4">
        <v>0.04822</v>
      </c>
      <c r="V67" s="4">
        <v>0.00672802871459543</v>
      </c>
      <c r="W67" s="4">
        <v>-0.0619413749806992</v>
      </c>
      <c r="X67" s="4">
        <v>0.0</v>
      </c>
      <c r="Y67" s="4">
        <v>-0.0090147970703704</v>
      </c>
      <c r="Z67" s="4">
        <v>-0.0104538844021097</v>
      </c>
      <c r="AA67" s="4">
        <v>-0.0121510745677355</v>
      </c>
      <c r="AB67" s="4">
        <v>-0.0265052281489749</v>
      </c>
      <c r="AC67" s="4">
        <v>0.0</v>
      </c>
      <c r="AD67" s="4">
        <v>0.0</v>
      </c>
      <c r="AE67" s="4">
        <v>-0.0228214815227144</v>
      </c>
      <c r="AF67" s="4">
        <v>-0.0407800777998722</v>
      </c>
      <c r="AG67" s="4">
        <v>0.0055945194110904</v>
      </c>
      <c r="AH67" s="4">
        <v>-0.0637957950489926</v>
      </c>
      <c r="AI67" s="4">
        <v>-0.014846853873193</v>
      </c>
      <c r="AJ67" s="4">
        <v>0.070331</v>
      </c>
      <c r="AK67" s="4">
        <f>Weights!E123</f>
        <v>0.02028837092</v>
      </c>
      <c r="AL67" s="5">
        <v>-0.0152770892612832</v>
      </c>
      <c r="AM67" s="5">
        <v>-0.0170491505254529</v>
      </c>
      <c r="AN67" s="5">
        <v>0.0365231218476482</v>
      </c>
      <c r="AO67" s="5">
        <v>0.0292625104754813</v>
      </c>
      <c r="AP67" s="4">
        <f t="shared" si="3"/>
        <v>0.8201162146</v>
      </c>
      <c r="AQ67" s="4">
        <f t="shared" si="4"/>
        <v>0.8244672099</v>
      </c>
      <c r="AR67" s="5">
        <f t="shared" si="5"/>
        <v>0.7603986461</v>
      </c>
      <c r="AS67" s="5">
        <f t="shared" ref="AS67:AU67" si="69">AS66*(1+AM67)</f>
        <v>0.7598066328</v>
      </c>
      <c r="AT67" s="5">
        <f t="shared" si="69"/>
        <v>0.7906761293</v>
      </c>
      <c r="AU67" s="5">
        <f t="shared" si="69"/>
        <v>0.7650446376</v>
      </c>
    </row>
    <row r="68" ht="15.75" customHeight="1">
      <c r="A68" s="3">
        <v>43928.0</v>
      </c>
      <c r="B68" s="4">
        <v>0.001218</v>
      </c>
      <c r="C68" s="4">
        <v>0.004938</v>
      </c>
      <c r="D68" s="4">
        <v>0.028134</v>
      </c>
      <c r="E68" s="4">
        <v>-0.005185</v>
      </c>
      <c r="F68" s="4">
        <v>-0.003428</v>
      </c>
      <c r="G68" s="4">
        <v>-0.016314</v>
      </c>
      <c r="H68" s="4">
        <v>-0.042781</v>
      </c>
      <c r="I68" s="4">
        <v>-0.017103</v>
      </c>
      <c r="J68" s="4">
        <v>0.011097</v>
      </c>
      <c r="K68" s="4">
        <v>0.024682</v>
      </c>
      <c r="L68" s="4">
        <v>0.007733</v>
      </c>
      <c r="M68" s="4">
        <v>0.019641</v>
      </c>
      <c r="N68" s="4">
        <v>0.024329</v>
      </c>
      <c r="O68" s="4">
        <v>-0.029185</v>
      </c>
      <c r="P68" s="4">
        <v>-0.002993</v>
      </c>
      <c r="Q68" s="4">
        <v>-0.025773</v>
      </c>
      <c r="R68" s="4">
        <v>0.055633</v>
      </c>
      <c r="S68" s="4">
        <v>0.003749</v>
      </c>
      <c r="T68" s="4">
        <v>-0.005065</v>
      </c>
      <c r="U68" s="4">
        <v>0.040299</v>
      </c>
      <c r="V68" s="4">
        <v>0.159173650441083</v>
      </c>
      <c r="W68" s="4">
        <v>0.0655384583090115</v>
      </c>
      <c r="X68" s="4">
        <v>0.0130352708371781</v>
      </c>
      <c r="Y68" s="4">
        <v>0.0495684571247656</v>
      </c>
      <c r="Z68" s="4">
        <v>0.0436517094461295</v>
      </c>
      <c r="AA68" s="4">
        <v>0.0718817986295432</v>
      </c>
      <c r="AB68" s="4">
        <v>0.0526073531232826</v>
      </c>
      <c r="AC68" s="4">
        <v>0.0019306467558477</v>
      </c>
      <c r="AD68" s="4">
        <v>-0.004449387762987</v>
      </c>
      <c r="AE68" s="4">
        <v>0.0250845046453354</v>
      </c>
      <c r="AF68" s="4">
        <v>0.0422497142500044</v>
      </c>
      <c r="AG68" s="4">
        <v>0.0089735923430689</v>
      </c>
      <c r="AH68" s="4">
        <v>0.15161837268966</v>
      </c>
      <c r="AI68" s="4">
        <v>-0.0126403467480552</v>
      </c>
      <c r="AJ68" s="4">
        <v>-0.001603</v>
      </c>
      <c r="AK68" s="4">
        <f>Weights!E124</f>
        <v>0.02794955294</v>
      </c>
      <c r="AL68" s="5">
        <v>0.0631270156421972</v>
      </c>
      <c r="AM68" s="5">
        <v>0.0699466322585322</v>
      </c>
      <c r="AN68" s="5">
        <v>0.0248135660836459</v>
      </c>
      <c r="AO68" s="5">
        <v>0.0254748391250347</v>
      </c>
      <c r="AP68" s="4">
        <f t="shared" si="3"/>
        <v>0.8430380962</v>
      </c>
      <c r="AQ68" s="4">
        <f t="shared" si="4"/>
        <v>0.8231455889</v>
      </c>
      <c r="AR68" s="5">
        <f t="shared" si="5"/>
        <v>0.8084003433</v>
      </c>
      <c r="AS68" s="5">
        <f t="shared" ref="AS68:AU68" si="70">AS67*(1+AM68)</f>
        <v>0.8129525479</v>
      </c>
      <c r="AT68" s="5">
        <f t="shared" si="70"/>
        <v>0.8102956237</v>
      </c>
      <c r="AU68" s="5">
        <f t="shared" si="70"/>
        <v>0.7845340267</v>
      </c>
    </row>
    <row r="69" ht="15.75" customHeight="1">
      <c r="A69" s="3">
        <v>43929.0</v>
      </c>
      <c r="B69" s="4">
        <v>-0.027372</v>
      </c>
      <c r="C69" s="4">
        <v>0.014391</v>
      </c>
      <c r="D69" s="4">
        <v>-0.03515</v>
      </c>
      <c r="E69" s="4">
        <v>0.016324</v>
      </c>
      <c r="F69" s="4">
        <v>0.028166</v>
      </c>
      <c r="G69" s="4">
        <v>0.042042</v>
      </c>
      <c r="H69" s="4">
        <v>0.020662</v>
      </c>
      <c r="I69" s="4">
        <v>0.007102</v>
      </c>
      <c r="J69" s="4">
        <v>0.005105</v>
      </c>
      <c r="K69" s="4">
        <v>0.015266</v>
      </c>
      <c r="L69" s="4">
        <v>0.018776</v>
      </c>
      <c r="M69" s="4">
        <v>0.024288</v>
      </c>
      <c r="N69" s="4">
        <v>0.011876</v>
      </c>
      <c r="O69" s="4">
        <v>0.00963</v>
      </c>
      <c r="P69" s="4">
        <v>0.011409</v>
      </c>
      <c r="Q69" s="4">
        <v>0.005291</v>
      </c>
      <c r="R69" s="4">
        <v>0.057971</v>
      </c>
      <c r="S69" s="4">
        <v>-0.002037</v>
      </c>
      <c r="T69" s="4">
        <v>0.046356</v>
      </c>
      <c r="U69" s="4">
        <v>0.028993</v>
      </c>
      <c r="V69" s="4">
        <v>0.0723268720526664</v>
      </c>
      <c r="W69" s="4">
        <v>0.0998921598118469</v>
      </c>
      <c r="X69" s="4">
        <v>0.0110294323935637</v>
      </c>
      <c r="Y69" s="4">
        <v>-0.0092863692686947</v>
      </c>
      <c r="Z69" s="4">
        <v>-0.0146103208446124</v>
      </c>
      <c r="AA69" s="4">
        <v>-0.0193651521986454</v>
      </c>
      <c r="AB69" s="4">
        <v>0.0219202577787445</v>
      </c>
      <c r="AC69" s="4">
        <v>0.0038536568180727</v>
      </c>
      <c r="AD69" s="4">
        <v>0.0279328573637624</v>
      </c>
      <c r="AE69" s="4">
        <v>0.0138758190739523</v>
      </c>
      <c r="AF69" s="4">
        <v>0.131745696001203</v>
      </c>
      <c r="AG69" s="4">
        <v>0.0115617195753918</v>
      </c>
      <c r="AH69" s="4">
        <v>0.0887574001018216</v>
      </c>
      <c r="AI69" s="4">
        <v>-0.0039389315163068</v>
      </c>
      <c r="AJ69" s="4">
        <v>0.034056</v>
      </c>
      <c r="AK69" s="4">
        <f>Weights!E125</f>
        <v>0.0218877292</v>
      </c>
      <c r="AL69" s="5">
        <v>0.00176102816551582</v>
      </c>
      <c r="AM69" s="5">
        <v>0.00113590072718317</v>
      </c>
      <c r="AN69" s="5">
        <v>-0.0377724272645587</v>
      </c>
      <c r="AO69" s="5">
        <v>-0.035700792635447</v>
      </c>
      <c r="AP69" s="4">
        <f t="shared" si="3"/>
        <v>0.8614902858</v>
      </c>
      <c r="AQ69" s="4">
        <f t="shared" si="4"/>
        <v>0.8511786351</v>
      </c>
      <c r="AR69" s="5">
        <f t="shared" si="5"/>
        <v>0.8098239591</v>
      </c>
      <c r="AS69" s="5">
        <f t="shared" ref="AS69:AU69" si="71">AS68*(1+AM69)</f>
        <v>0.8138759813</v>
      </c>
      <c r="AT69" s="5">
        <f t="shared" si="71"/>
        <v>0.7796887912</v>
      </c>
      <c r="AU69" s="5">
        <f t="shared" si="71"/>
        <v>0.7565255401</v>
      </c>
    </row>
    <row r="70" ht="15.75" customHeight="1">
      <c r="A70" s="3">
        <v>43930.0</v>
      </c>
      <c r="B70" s="4">
        <v>-0.002502</v>
      </c>
      <c r="C70" s="4">
        <v>-0.006228</v>
      </c>
      <c r="D70" s="4">
        <v>-0.008531</v>
      </c>
      <c r="E70" s="4">
        <v>0.007692</v>
      </c>
      <c r="F70" s="4">
        <v>0.024676</v>
      </c>
      <c r="G70" s="4">
        <v>-0.01417</v>
      </c>
      <c r="H70" s="4">
        <v>-0.003823</v>
      </c>
      <c r="I70" s="4">
        <v>0.011989</v>
      </c>
      <c r="J70" s="4">
        <v>0.006348</v>
      </c>
      <c r="K70" s="4">
        <v>0.005838</v>
      </c>
      <c r="L70" s="4">
        <v>0.011378</v>
      </c>
      <c r="M70" s="4">
        <v>0.046607</v>
      </c>
      <c r="N70" s="4">
        <v>0.04845</v>
      </c>
      <c r="O70" s="4">
        <v>0.030034</v>
      </c>
      <c r="P70" s="4">
        <v>0.134178</v>
      </c>
      <c r="Q70" s="4">
        <v>0.085965</v>
      </c>
      <c r="R70" s="4">
        <v>0.019925</v>
      </c>
      <c r="S70" s="4">
        <v>0.088125</v>
      </c>
      <c r="T70" s="4">
        <v>0.009731</v>
      </c>
      <c r="U70" s="4">
        <v>0.035397</v>
      </c>
      <c r="V70" s="4">
        <v>0.0303028998577299</v>
      </c>
      <c r="W70" s="4">
        <v>5.607557596083E-4</v>
      </c>
      <c r="X70" s="4">
        <v>0.0054546460316458</v>
      </c>
      <c r="Y70" s="4">
        <v>0.0088378055672286</v>
      </c>
      <c r="Z70" s="4">
        <v>0.0282649797714329</v>
      </c>
      <c r="AA70" s="4">
        <v>0.0237701268720591</v>
      </c>
      <c r="AB70" s="4">
        <v>0.0163020337807304</v>
      </c>
      <c r="AC70" s="4">
        <v>-0.0115164917150646</v>
      </c>
      <c r="AD70" s="4">
        <v>0.0</v>
      </c>
      <c r="AE70" s="4">
        <v>0.025984806456756</v>
      </c>
      <c r="AF70" s="4">
        <v>0.0132079181199449</v>
      </c>
      <c r="AG70" s="4">
        <v>0.0446631933581904</v>
      </c>
      <c r="AH70" s="4">
        <v>0.0380434742996675</v>
      </c>
      <c r="AI70" s="4">
        <v>0.0088981765554823</v>
      </c>
      <c r="AJ70" s="4">
        <v>0.014487</v>
      </c>
      <c r="AK70" s="4">
        <f>Weights!E126</f>
        <v>0.02312070351</v>
      </c>
      <c r="AL70" s="5">
        <v>0.0238604756813287</v>
      </c>
      <c r="AM70" s="5">
        <v>0.0351093412110554</v>
      </c>
      <c r="AN70" s="5">
        <v>0.0156018972646527</v>
      </c>
      <c r="AO70" s="5">
        <v>0.0146545987194635</v>
      </c>
      <c r="AP70" s="4">
        <f t="shared" si="3"/>
        <v>0.8814085472</v>
      </c>
      <c r="AQ70" s="4">
        <f t="shared" si="4"/>
        <v>0.86350966</v>
      </c>
      <c r="AR70" s="5">
        <f t="shared" si="5"/>
        <v>0.829146744</v>
      </c>
      <c r="AS70" s="5">
        <f t="shared" ref="AS70:AU70" si="72">AS69*(1+AM70)</f>
        <v>0.8424506308</v>
      </c>
      <c r="AT70" s="5">
        <f t="shared" si="72"/>
        <v>0.7918534156</v>
      </c>
      <c r="AU70" s="5">
        <f t="shared" si="72"/>
        <v>0.7676121183</v>
      </c>
    </row>
    <row r="71" ht="15.75" customHeight="1">
      <c r="A71" s="3">
        <v>43934.0</v>
      </c>
      <c r="B71" s="4">
        <v>0.016928</v>
      </c>
      <c r="C71" s="4">
        <v>-0.013405</v>
      </c>
      <c r="D71" s="4">
        <v>0.012326</v>
      </c>
      <c r="E71" s="4">
        <v>-0.020504</v>
      </c>
      <c r="F71" s="4">
        <v>-0.042245</v>
      </c>
      <c r="G71" s="4">
        <v>-0.010338</v>
      </c>
      <c r="H71" s="4">
        <v>0.011251</v>
      </c>
      <c r="I71" s="4">
        <v>0.0</v>
      </c>
      <c r="J71" s="4">
        <v>-0.003785</v>
      </c>
      <c r="K71" s="4">
        <v>-0.020896</v>
      </c>
      <c r="L71" s="4">
        <v>-0.01537</v>
      </c>
      <c r="M71" s="4">
        <v>-0.007813</v>
      </c>
      <c r="N71" s="4">
        <v>-0.024971</v>
      </c>
      <c r="O71" s="4">
        <v>-0.016456</v>
      </c>
      <c r="P71" s="4">
        <v>0.042924</v>
      </c>
      <c r="Q71" s="4">
        <v>0.051696</v>
      </c>
      <c r="R71" s="4">
        <v>0.013431</v>
      </c>
      <c r="S71" s="4">
        <v>0.060663</v>
      </c>
      <c r="T71" s="4">
        <v>-0.016231</v>
      </c>
      <c r="U71" s="4">
        <v>-0.045964</v>
      </c>
      <c r="V71" s="4">
        <v>0.0398485025737014</v>
      </c>
      <c r="W71" s="4">
        <v>0.0243730082359596</v>
      </c>
      <c r="X71" s="4">
        <v>0.0</v>
      </c>
      <c r="Y71" s="4">
        <v>-0.0161048400146955</v>
      </c>
      <c r="Z71" s="4">
        <v>-0.008042392913462</v>
      </c>
      <c r="AA71" s="4">
        <v>0.0037507423492029</v>
      </c>
      <c r="AB71" s="4">
        <v>-0.0037990918301777</v>
      </c>
      <c r="AC71" s="4">
        <v>0.007767078048162</v>
      </c>
      <c r="AD71" s="4">
        <v>0.0076090549118637</v>
      </c>
      <c r="AE71" s="4">
        <v>0.0260480398171985</v>
      </c>
      <c r="AF71" s="4">
        <v>0.0296067241713513</v>
      </c>
      <c r="AG71" s="4">
        <v>0.0178420125499181</v>
      </c>
      <c r="AH71" s="4">
        <v>-0.0458115527376671</v>
      </c>
      <c r="AI71" s="4">
        <v>0.0230281213145282</v>
      </c>
      <c r="AJ71" s="4">
        <v>-0.010105</v>
      </c>
      <c r="AK71" s="4">
        <f>Weights!E127</f>
        <v>0.001485668737</v>
      </c>
      <c r="AL71" s="5">
        <v>0.0182754708072832</v>
      </c>
      <c r="AM71" s="5">
        <v>0.0187131851315776</v>
      </c>
      <c r="AN71" s="5">
        <v>-0.00842464752118943</v>
      </c>
      <c r="AO71" s="5">
        <v>-0.0106422749708</v>
      </c>
      <c r="AP71" s="4">
        <f t="shared" si="3"/>
        <v>0.8827180284</v>
      </c>
      <c r="AQ71" s="4">
        <f t="shared" si="4"/>
        <v>0.8547838949</v>
      </c>
      <c r="AR71" s="5">
        <f t="shared" si="5"/>
        <v>0.8442997911</v>
      </c>
      <c r="AS71" s="5">
        <f t="shared" ref="AS71:AU71" si="73">AS70*(1+AM71)</f>
        <v>0.8582155655</v>
      </c>
      <c r="AT71" s="5">
        <f t="shared" si="73"/>
        <v>0.7851823297</v>
      </c>
      <c r="AU71" s="5">
        <f t="shared" si="73"/>
        <v>0.7594429791</v>
      </c>
    </row>
    <row r="72" ht="15.75" customHeight="1">
      <c r="A72" s="3">
        <v>43935.0</v>
      </c>
      <c r="B72" s="4">
        <v>0.033292</v>
      </c>
      <c r="C72" s="4">
        <v>0.02594</v>
      </c>
      <c r="D72" s="4">
        <v>6.89E-4</v>
      </c>
      <c r="E72" s="4">
        <v>0.057376</v>
      </c>
      <c r="F72" s="4">
        <v>0.042404</v>
      </c>
      <c r="G72" s="4">
        <v>0.044788</v>
      </c>
      <c r="H72" s="4">
        <v>0.043208</v>
      </c>
      <c r="I72" s="4">
        <v>0.028223</v>
      </c>
      <c r="J72" s="4">
        <v>5.07E-4</v>
      </c>
      <c r="K72" s="4">
        <v>0.001897</v>
      </c>
      <c r="L72" s="4">
        <v>0.008046</v>
      </c>
      <c r="M72" s="4">
        <v>-0.008661</v>
      </c>
      <c r="N72" s="4">
        <v>-0.005593</v>
      </c>
      <c r="O72" s="4">
        <v>0.041224</v>
      </c>
      <c r="P72" s="4">
        <v>0.002008</v>
      </c>
      <c r="Q72" s="4">
        <v>0.072197</v>
      </c>
      <c r="R72" s="4">
        <v>0.00241</v>
      </c>
      <c r="S72" s="4">
        <v>-0.004717</v>
      </c>
      <c r="T72" s="4">
        <v>-0.01057</v>
      </c>
      <c r="U72" s="4">
        <v>0.019295</v>
      </c>
      <c r="V72" s="4">
        <v>-0.0775548135692421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0.030573</v>
      </c>
      <c r="AK72" s="4">
        <f>Weights!E128</f>
        <v>0.005217627191</v>
      </c>
      <c r="AL72" s="5">
        <v>-0.00843164552847275</v>
      </c>
      <c r="AM72" s="5">
        <v>-0.0119115928532684</v>
      </c>
      <c r="AN72" s="5">
        <v>0.0479763752949347</v>
      </c>
      <c r="AO72" s="5">
        <v>0.052247357131288</v>
      </c>
      <c r="AP72" s="4">
        <f t="shared" si="3"/>
        <v>0.8873237219</v>
      </c>
      <c r="AQ72" s="4">
        <f t="shared" si="4"/>
        <v>0.8809172029</v>
      </c>
      <c r="AR72" s="5">
        <f t="shared" si="5"/>
        <v>0.8371809545</v>
      </c>
      <c r="AS72" s="5">
        <f t="shared" ref="AS72:AU72" si="74">AS71*(1+AM72)</f>
        <v>0.8479928511</v>
      </c>
      <c r="AT72" s="5">
        <f t="shared" si="74"/>
        <v>0.8228525318</v>
      </c>
      <c r="AU72" s="5">
        <f t="shared" si="74"/>
        <v>0.7991218676</v>
      </c>
    </row>
    <row r="73" ht="15.75" customHeight="1">
      <c r="A73" s="3">
        <v>43936.0</v>
      </c>
      <c r="B73" s="4">
        <v>-0.035203</v>
      </c>
      <c r="C73" s="4">
        <v>-0.020812</v>
      </c>
      <c r="D73" s="4">
        <v>-0.033287</v>
      </c>
      <c r="E73" s="4">
        <v>-0.02435</v>
      </c>
      <c r="F73" s="4">
        <v>-0.026778</v>
      </c>
      <c r="G73" s="4">
        <v>0.011162</v>
      </c>
      <c r="H73" s="4">
        <v>0.002149</v>
      </c>
      <c r="I73" s="4">
        <v>-0.038292</v>
      </c>
      <c r="J73" s="4">
        <v>-0.048354</v>
      </c>
      <c r="K73" s="4">
        <v>-0.047101</v>
      </c>
      <c r="L73" s="4">
        <v>-0.033206</v>
      </c>
      <c r="M73" s="4">
        <v>-0.059571</v>
      </c>
      <c r="N73" s="4">
        <v>-0.055062</v>
      </c>
      <c r="O73" s="4">
        <v>-0.021384</v>
      </c>
      <c r="P73" s="4">
        <v>-0.027884</v>
      </c>
      <c r="Q73" s="4">
        <v>-0.032951</v>
      </c>
      <c r="R73" s="4">
        <v>-0.078125</v>
      </c>
      <c r="S73" s="4">
        <v>-0.015699</v>
      </c>
      <c r="T73" s="4">
        <v>-0.074257</v>
      </c>
      <c r="U73" s="4">
        <v>-0.01117</v>
      </c>
      <c r="V73" s="4">
        <v>-0.0722057297135035</v>
      </c>
      <c r="W73" s="4">
        <v>0.0</v>
      </c>
      <c r="X73" s="4">
        <v>-0.0165439961161779</v>
      </c>
      <c r="Y73" s="4">
        <v>-0.0126811756922557</v>
      </c>
      <c r="Z73" s="4">
        <v>-0.0231820527677747</v>
      </c>
      <c r="AA73" s="4">
        <v>-0.0122777663073857</v>
      </c>
      <c r="AB73" s="4">
        <v>-0.0288135406716365</v>
      </c>
      <c r="AC73" s="4">
        <v>0.0</v>
      </c>
      <c r="AD73" s="4">
        <v>-0.018338882604663</v>
      </c>
      <c r="AE73" s="4">
        <v>-0.0075545933443871</v>
      </c>
      <c r="AF73" s="4">
        <v>0.0</v>
      </c>
      <c r="AG73" s="4">
        <v>-0.0249709788730329</v>
      </c>
      <c r="AH73" s="4">
        <v>0.0274348988887698</v>
      </c>
      <c r="AI73" s="4">
        <v>0.001436353574737</v>
      </c>
      <c r="AJ73" s="4">
        <v>-0.02203</v>
      </c>
      <c r="AK73" s="4">
        <f>Weights!E129</f>
        <v>-0.02512788913</v>
      </c>
      <c r="AL73" s="5">
        <v>0.025145795939284</v>
      </c>
      <c r="AM73" s="5">
        <v>0.0303560108829505</v>
      </c>
      <c r="AN73" s="5">
        <v>-4.77159442653252E-4</v>
      </c>
      <c r="AO73" s="5">
        <v>0.00109550860872831</v>
      </c>
      <c r="AP73" s="4">
        <f t="shared" si="3"/>
        <v>0.8650271498</v>
      </c>
      <c r="AQ73" s="4">
        <f t="shared" si="4"/>
        <v>0.8615105969</v>
      </c>
      <c r="AR73" s="5">
        <f t="shared" si="5"/>
        <v>0.858232536</v>
      </c>
      <c r="AS73" s="5">
        <f t="shared" ref="AS73:AU73" si="75">AS72*(1+AM73)</f>
        <v>0.8737345313</v>
      </c>
      <c r="AT73" s="5">
        <f t="shared" si="75"/>
        <v>0.8224598999</v>
      </c>
      <c r="AU73" s="5">
        <f t="shared" si="75"/>
        <v>0.7999973125</v>
      </c>
    </row>
    <row r="74" ht="15.75" customHeight="1">
      <c r="A74" s="3">
        <v>43937.0</v>
      </c>
      <c r="B74" s="4">
        <v>-0.017316</v>
      </c>
      <c r="C74" s="4">
        <v>0.012823</v>
      </c>
      <c r="D74" s="4">
        <v>-0.00285</v>
      </c>
      <c r="E74" s="4">
        <v>0.004518</v>
      </c>
      <c r="F74" s="4">
        <v>-0.010712</v>
      </c>
      <c r="G74" s="4">
        <v>0.013612</v>
      </c>
      <c r="H74" s="4">
        <v>0.00231</v>
      </c>
      <c r="I74" s="4">
        <v>0.004228</v>
      </c>
      <c r="J74" s="4">
        <v>0.007715</v>
      </c>
      <c r="K74" s="4">
        <v>-0.039245</v>
      </c>
      <c r="L74" s="4">
        <v>-0.026255</v>
      </c>
      <c r="M74" s="4">
        <v>-0.023649</v>
      </c>
      <c r="N74" s="4">
        <v>-0.024436</v>
      </c>
      <c r="O74" s="4">
        <v>0.00718</v>
      </c>
      <c r="P74" s="4">
        <v>0.028856</v>
      </c>
      <c r="Q74" s="4">
        <v>-0.008889</v>
      </c>
      <c r="R74" s="4">
        <v>-0.011734</v>
      </c>
      <c r="S74" s="4">
        <v>0.025278</v>
      </c>
      <c r="T74" s="4">
        <v>-5.63E-4</v>
      </c>
      <c r="U74" s="4">
        <v>0.019857</v>
      </c>
      <c r="V74" s="4">
        <v>-0.0111940478551837</v>
      </c>
      <c r="W74" s="4">
        <v>-0.0162723120162457</v>
      </c>
      <c r="X74" s="4">
        <v>0.0130843107155422</v>
      </c>
      <c r="Y74" s="4">
        <v>0.0012754836807811</v>
      </c>
      <c r="Z74" s="4">
        <v>0.0270393768075509</v>
      </c>
      <c r="AA74" s="4">
        <v>0.0086472078550807</v>
      </c>
      <c r="AB74" s="4">
        <v>0.0061080555546564</v>
      </c>
      <c r="AC74" s="4">
        <v>-0.001915754418919</v>
      </c>
      <c r="AD74" s="4">
        <v>0.0274728191996516</v>
      </c>
      <c r="AE74" s="4">
        <v>0.0289431345400537</v>
      </c>
      <c r="AF74" s="4">
        <v>-0.0457081450989692</v>
      </c>
      <c r="AG74" s="4">
        <v>0.0440976887793445</v>
      </c>
      <c r="AH74" s="4">
        <v>0.004005288817922</v>
      </c>
      <c r="AI74" s="4">
        <v>0.0124342733219358</v>
      </c>
      <c r="AJ74" s="4">
        <v>0.005817</v>
      </c>
      <c r="AK74" s="4">
        <f>Weights!E130</f>
        <v>0.002049673114</v>
      </c>
      <c r="AL74" s="5">
        <v>-0.0226329282100067</v>
      </c>
      <c r="AM74" s="5">
        <v>-0.0234703817830385</v>
      </c>
      <c r="AN74" s="5">
        <v>0.0200381994447873</v>
      </c>
      <c r="AO74" s="5">
        <v>0.024069889175192</v>
      </c>
      <c r="AP74" s="4">
        <f t="shared" si="3"/>
        <v>0.8668001727</v>
      </c>
      <c r="AQ74" s="4">
        <f t="shared" si="4"/>
        <v>0.8665220041</v>
      </c>
      <c r="AR74" s="5">
        <f t="shared" si="5"/>
        <v>0.8388082206</v>
      </c>
      <c r="AS74" s="5">
        <f t="shared" ref="AS74:AU74" si="76">AS73*(1+AM74)</f>
        <v>0.8532276482</v>
      </c>
      <c r="AT74" s="5">
        <f t="shared" si="76"/>
        <v>0.8389405154</v>
      </c>
      <c r="AU74" s="5">
        <f t="shared" si="76"/>
        <v>0.8192531591</v>
      </c>
    </row>
    <row r="75" ht="15.75" customHeight="1">
      <c r="A75" s="3">
        <v>43938.0</v>
      </c>
      <c r="B75" s="4">
        <v>0.021397</v>
      </c>
      <c r="C75" s="4">
        <v>0.013874</v>
      </c>
      <c r="D75" s="4">
        <v>0.023101</v>
      </c>
      <c r="E75" s="4">
        <v>0.014081</v>
      </c>
      <c r="F75" s="4">
        <v>0.020382</v>
      </c>
      <c r="G75" s="4">
        <v>0.015701</v>
      </c>
      <c r="H75" s="4">
        <v>0.026255</v>
      </c>
      <c r="I75" s="4">
        <v>0.031579</v>
      </c>
      <c r="J75" s="4">
        <v>0.024815</v>
      </c>
      <c r="K75" s="4">
        <v>0.048087</v>
      </c>
      <c r="L75" s="4">
        <v>0.056978</v>
      </c>
      <c r="M75" s="4">
        <v>0.070069</v>
      </c>
      <c r="N75" s="4">
        <v>0.060373</v>
      </c>
      <c r="O75" s="4">
        <v>0.023804</v>
      </c>
      <c r="P75" s="4">
        <v>-0.011185</v>
      </c>
      <c r="Q75" s="4">
        <v>-0.050822</v>
      </c>
      <c r="R75" s="4">
        <v>0.100264</v>
      </c>
      <c r="S75" s="4">
        <v>0.007631</v>
      </c>
      <c r="T75" s="4">
        <v>0.051253</v>
      </c>
      <c r="U75" s="4">
        <v>0.026466</v>
      </c>
      <c r="V75" s="4">
        <v>0.037196712957199</v>
      </c>
      <c r="W75" s="4">
        <v>-0.0585209850124622</v>
      </c>
      <c r="X75" s="4">
        <v>-0.0092253004034966</v>
      </c>
      <c r="Y75" s="4">
        <v>-0.0110080679766044</v>
      </c>
      <c r="Z75" s="4">
        <v>-0.0319465010663939</v>
      </c>
      <c r="AA75" s="4">
        <v>-0.0260761547193631</v>
      </c>
      <c r="AB75" s="4">
        <v>-0.0641803970988457</v>
      </c>
      <c r="AC75" s="4">
        <v>-0.0115164917150646</v>
      </c>
      <c r="AD75" s="4">
        <v>-0.0053478159571304</v>
      </c>
      <c r="AE75" s="4">
        <v>-0.0187526622016167</v>
      </c>
      <c r="AF75" s="4">
        <v>-0.0836518705100883</v>
      </c>
      <c r="AG75" s="4">
        <v>-0.0162440841481315</v>
      </c>
      <c r="AH75" s="4">
        <v>-0.15159570041246</v>
      </c>
      <c r="AI75" s="4">
        <v>0.030703741614062</v>
      </c>
      <c r="AJ75" s="4">
        <v>0.026794</v>
      </c>
      <c r="AK75" s="4">
        <f>Weights!E131</f>
        <v>0.001849874132</v>
      </c>
      <c r="AL75" s="5">
        <v>0.00266702504010618</v>
      </c>
      <c r="AM75" s="5">
        <v>0.00469127537404356</v>
      </c>
      <c r="AN75" s="5">
        <v>0.0154349652961498</v>
      </c>
      <c r="AO75" s="5">
        <v>0.0167378362741281</v>
      </c>
      <c r="AP75" s="4">
        <f t="shared" si="3"/>
        <v>0.8684036439</v>
      </c>
      <c r="AQ75" s="4">
        <f t="shared" si="4"/>
        <v>0.8897395946</v>
      </c>
      <c r="AR75" s="5">
        <f t="shared" si="5"/>
        <v>0.8410453431</v>
      </c>
      <c r="AS75" s="5">
        <f t="shared" ref="AS75:AU75" si="77">AS74*(1+AM75)</f>
        <v>0.8572303741</v>
      </c>
      <c r="AT75" s="5">
        <f t="shared" si="77"/>
        <v>0.8518895332</v>
      </c>
      <c r="AU75" s="5">
        <f t="shared" si="77"/>
        <v>0.8329656844</v>
      </c>
    </row>
    <row r="76" ht="15.75" customHeight="1">
      <c r="A76" s="3">
        <v>43941.0</v>
      </c>
      <c r="B76" s="4">
        <v>-0.016636</v>
      </c>
      <c r="C76" s="4">
        <v>-0.005645</v>
      </c>
      <c r="D76" s="4">
        <v>-0.010242</v>
      </c>
      <c r="E76" s="4">
        <v>-0.02181</v>
      </c>
      <c r="F76" s="4">
        <v>-0.031835</v>
      </c>
      <c r="G76" s="4">
        <v>-0.002302</v>
      </c>
      <c r="H76" s="4">
        <v>-0.032801</v>
      </c>
      <c r="I76" s="4">
        <v>-0.002721</v>
      </c>
      <c r="J76" s="4">
        <v>-0.017774</v>
      </c>
      <c r="K76" s="4">
        <v>-0.00592</v>
      </c>
      <c r="L76" s="4">
        <v>-0.015562</v>
      </c>
      <c r="M76" s="4">
        <v>-0.02021</v>
      </c>
      <c r="N76" s="4">
        <v>-0.030285</v>
      </c>
      <c r="O76" s="4">
        <v>-0.005328</v>
      </c>
      <c r="P76" s="4">
        <v>0.005234</v>
      </c>
      <c r="Q76" s="4">
        <v>0.053543</v>
      </c>
      <c r="R76" s="4">
        <v>-0.038369</v>
      </c>
      <c r="S76" s="4">
        <v>0.018934</v>
      </c>
      <c r="T76" s="4">
        <v>-0.021431</v>
      </c>
      <c r="U76" s="4">
        <v>-0.019423</v>
      </c>
      <c r="V76" s="4">
        <v>0.0327444012435449</v>
      </c>
      <c r="W76" s="4">
        <v>-0.008120405925047</v>
      </c>
      <c r="X76" s="4">
        <v>-0.0130352708371781</v>
      </c>
      <c r="Y76" s="4">
        <v>0.0112226190660924</v>
      </c>
      <c r="Z76" s="4">
        <v>0.0060001029356617</v>
      </c>
      <c r="AA76" s="4">
        <v>0.0058683479612564</v>
      </c>
      <c r="AB76" s="4">
        <v>0.0064876771610453</v>
      </c>
      <c r="AC76" s="4">
        <v>-0.0233008385663378</v>
      </c>
      <c r="AD76" s="4">
        <v>-0.032258185413503</v>
      </c>
      <c r="AE76" s="4">
        <v>0.012273295809881</v>
      </c>
      <c r="AF76" s="4">
        <v>-0.0056441840999167</v>
      </c>
      <c r="AG76" s="4">
        <v>0.0330249179371666</v>
      </c>
      <c r="AH76" s="4">
        <v>-0.0454545199752164</v>
      </c>
      <c r="AI76" s="4">
        <v>-9.16248246634E-4</v>
      </c>
      <c r="AJ76" s="4">
        <v>-0.017881</v>
      </c>
      <c r="AK76" s="4">
        <f>Weights!E132</f>
        <v>-0.006117030701</v>
      </c>
      <c r="AL76" s="5">
        <v>0.0262395535424087</v>
      </c>
      <c r="AM76" s="5">
        <v>0.0283045129409791</v>
      </c>
      <c r="AN76" s="5">
        <v>-0.00783041751430624</v>
      </c>
      <c r="AO76" s="5">
        <v>-0.00630458918529652</v>
      </c>
      <c r="AP76" s="4">
        <f t="shared" si="3"/>
        <v>0.8630915922</v>
      </c>
      <c r="AQ76" s="4">
        <f t="shared" si="4"/>
        <v>0.8738301609</v>
      </c>
      <c r="AR76" s="5">
        <f t="shared" si="5"/>
        <v>0.8631139974</v>
      </c>
      <c r="AS76" s="5">
        <f t="shared" ref="AS76:AU76" si="78">AS75*(1+AM76)</f>
        <v>0.8814938623</v>
      </c>
      <c r="AT76" s="5">
        <f t="shared" si="78"/>
        <v>0.8452188825</v>
      </c>
      <c r="AU76" s="5">
        <f t="shared" si="78"/>
        <v>0.8277141779</v>
      </c>
    </row>
    <row r="77" ht="15.75" customHeight="1">
      <c r="A77" s="3">
        <v>43942.0</v>
      </c>
      <c r="B77" s="4">
        <v>-0.036967</v>
      </c>
      <c r="C77" s="4">
        <v>-0.022536</v>
      </c>
      <c r="D77" s="4">
        <v>-0.040452</v>
      </c>
      <c r="E77" s="4">
        <v>-0.02683</v>
      </c>
      <c r="F77" s="4">
        <v>-0.024715</v>
      </c>
      <c r="G77" s="4">
        <v>-0.013121</v>
      </c>
      <c r="H77" s="4">
        <v>-0.007629</v>
      </c>
      <c r="I77" s="4">
        <v>-0.040587</v>
      </c>
      <c r="J77" s="4">
        <v>-0.024128</v>
      </c>
      <c r="K77" s="4">
        <v>-0.045409</v>
      </c>
      <c r="L77" s="4">
        <v>-0.036506</v>
      </c>
      <c r="M77" s="4">
        <v>-0.054455</v>
      </c>
      <c r="N77" s="4">
        <v>-0.052467</v>
      </c>
      <c r="O77" s="4">
        <v>-0.042184</v>
      </c>
      <c r="P77" s="4">
        <v>-0.004535</v>
      </c>
      <c r="Q77" s="4">
        <v>-0.022422</v>
      </c>
      <c r="R77" s="4">
        <v>-0.07606</v>
      </c>
      <c r="S77" s="4">
        <v>8.58E-4</v>
      </c>
      <c r="T77" s="4">
        <v>-0.01314</v>
      </c>
      <c r="U77" s="4">
        <v>-0.026758</v>
      </c>
      <c r="V77" s="4">
        <v>-0.0704580664206006</v>
      </c>
      <c r="W77" s="4">
        <v>0.0586484983391093</v>
      </c>
      <c r="X77" s="4">
        <v>0.0</v>
      </c>
      <c r="Y77" s="4">
        <v>0.0176475698871405</v>
      </c>
      <c r="Z77" s="4">
        <v>0.0176660954666791</v>
      </c>
      <c r="AA77" s="4">
        <v>0.0304467290866794</v>
      </c>
      <c r="AB77" s="4">
        <v>0.0616940897667328</v>
      </c>
      <c r="AC77" s="4">
        <v>0.0</v>
      </c>
      <c r="AD77" s="4">
        <v>0.0</v>
      </c>
      <c r="AE77" s="4">
        <v>0.0340346455669084</v>
      </c>
      <c r="AF77" s="4">
        <v>0.0074036560836632</v>
      </c>
      <c r="AG77" s="4">
        <v>0.0127876558885389</v>
      </c>
      <c r="AH77" s="4">
        <v>0.0738915518494323</v>
      </c>
      <c r="AI77" s="4">
        <v>-0.0068811861789757</v>
      </c>
      <c r="AJ77" s="4">
        <v>-0.030675</v>
      </c>
      <c r="AK77" s="4">
        <f>Weights!E133</f>
        <v>-0.008057540247</v>
      </c>
      <c r="AL77" s="5">
        <v>-0.0142569749357336</v>
      </c>
      <c r="AM77" s="5">
        <v>-0.0162078809641069</v>
      </c>
      <c r="AN77" s="5">
        <v>0.0134633146301661</v>
      </c>
      <c r="AO77" s="5">
        <v>0.0123366231983839</v>
      </c>
      <c r="AP77" s="4">
        <f t="shared" si="3"/>
        <v>0.856137197</v>
      </c>
      <c r="AQ77" s="4">
        <f t="shared" si="4"/>
        <v>0.8470254208</v>
      </c>
      <c r="AR77" s="5">
        <f t="shared" si="5"/>
        <v>0.8508086028</v>
      </c>
      <c r="AS77" s="5">
        <f t="shared" ref="AS77:AU77" si="79">AS76*(1+AM77)</f>
        <v>0.8672067147</v>
      </c>
      <c r="AT77" s="5">
        <f t="shared" si="79"/>
        <v>0.8565983302</v>
      </c>
      <c r="AU77" s="5">
        <f t="shared" si="79"/>
        <v>0.8379253759</v>
      </c>
    </row>
    <row r="78" ht="15.75" customHeight="1">
      <c r="A78" s="3">
        <v>43943.0</v>
      </c>
      <c r="B78" s="4">
        <v>0.029278</v>
      </c>
      <c r="C78" s="4">
        <v>0.020591</v>
      </c>
      <c r="D78" s="4">
        <v>0.003431</v>
      </c>
      <c r="E78" s="4">
        <v>0.01283</v>
      </c>
      <c r="F78" s="4">
        <v>0.006611</v>
      </c>
      <c r="G78" s="4">
        <v>0.022114</v>
      </c>
      <c r="H78" s="4">
        <v>-0.00234</v>
      </c>
      <c r="I78" s="4">
        <v>0.018486</v>
      </c>
      <c r="J78" s="4">
        <v>0.026874</v>
      </c>
      <c r="K78" s="4">
        <v>0.005199</v>
      </c>
      <c r="L78" s="4">
        <v>0.0012</v>
      </c>
      <c r="M78" s="4">
        <v>0.009599</v>
      </c>
      <c r="N78" s="4">
        <v>0.018128</v>
      </c>
      <c r="O78" s="4">
        <v>0.022688</v>
      </c>
      <c r="P78" s="4">
        <v>0.041505</v>
      </c>
      <c r="Q78" s="4">
        <v>0.11315</v>
      </c>
      <c r="R78" s="4">
        <v>0.031039</v>
      </c>
      <c r="S78" s="4">
        <v>0.052556</v>
      </c>
      <c r="T78" s="4">
        <v>0.009709</v>
      </c>
      <c r="U78" s="4">
        <v>0.023447</v>
      </c>
      <c r="V78" s="4">
        <v>0.0617217754262635</v>
      </c>
      <c r="W78" s="4">
        <v>-0.0116705442640024</v>
      </c>
      <c r="X78" s="4">
        <v>-0.0206378825698437</v>
      </c>
      <c r="Y78" s="4">
        <v>-0.0118887654122692</v>
      </c>
      <c r="Z78" s="4">
        <v>-0.0168815474011675</v>
      </c>
      <c r="AA78" s="4">
        <v>-0.0180466442235504</v>
      </c>
      <c r="AB78" s="4">
        <v>-0.0177795176361759</v>
      </c>
      <c r="AC78" s="4">
        <v>-0.0157171680220166</v>
      </c>
      <c r="AD78" s="4">
        <v>-0.0076671292329072</v>
      </c>
      <c r="AE78" s="4">
        <v>-5.027196234709E-4</v>
      </c>
      <c r="AF78" s="4">
        <v>0.0240079918417861</v>
      </c>
      <c r="AG78" s="4">
        <v>-0.0160984920549693</v>
      </c>
      <c r="AH78" s="4">
        <v>-0.0428134523129565</v>
      </c>
      <c r="AI78" s="4">
        <v>-0.0023094467685009</v>
      </c>
      <c r="AJ78" s="4">
        <v>0.02293</v>
      </c>
      <c r="AK78" s="4">
        <f>Weights!E134</f>
        <v>0.007266416402</v>
      </c>
      <c r="AL78" s="5">
        <v>-0.0274923637545283</v>
      </c>
      <c r="AM78" s="5">
        <v>-0.0310323789225642</v>
      </c>
      <c r="AN78" s="5">
        <v>-0.0196977657941469</v>
      </c>
      <c r="AO78" s="5">
        <v>-0.0205430340666121</v>
      </c>
      <c r="AP78" s="4">
        <f t="shared" si="3"/>
        <v>0.8623582463</v>
      </c>
      <c r="AQ78" s="4">
        <f t="shared" si="4"/>
        <v>0.8664477137</v>
      </c>
      <c r="AR78" s="5">
        <f t="shared" si="5"/>
        <v>0.8274178632</v>
      </c>
      <c r="AS78" s="5">
        <f t="shared" ref="AS78:AU78" si="80">AS77*(1+AM78)</f>
        <v>0.8402952274</v>
      </c>
      <c r="AT78" s="5">
        <f t="shared" si="80"/>
        <v>0.8397252569</v>
      </c>
      <c r="AU78" s="5">
        <f t="shared" si="80"/>
        <v>0.8207118463</v>
      </c>
    </row>
    <row r="79" ht="15.75" customHeight="1">
      <c r="A79" s="3">
        <v>43944.0</v>
      </c>
      <c r="B79" s="4">
        <v>0.001264</v>
      </c>
      <c r="C79" s="4">
        <v>-0.006898</v>
      </c>
      <c r="D79" s="4">
        <v>-0.006106</v>
      </c>
      <c r="E79" s="4">
        <v>-0.017795</v>
      </c>
      <c r="F79" s="4">
        <v>-0.013354</v>
      </c>
      <c r="G79" s="4">
        <v>0.016472</v>
      </c>
      <c r="H79" s="4">
        <v>0.006622</v>
      </c>
      <c r="I79" s="4">
        <v>0.007679</v>
      </c>
      <c r="J79" s="4">
        <v>-0.010468</v>
      </c>
      <c r="K79" s="4">
        <v>-2.59E-4</v>
      </c>
      <c r="L79" s="4">
        <v>-1.71E-4</v>
      </c>
      <c r="M79" s="4">
        <v>-0.011236</v>
      </c>
      <c r="N79" s="4">
        <v>-0.008417</v>
      </c>
      <c r="O79" s="4">
        <v>-0.013609</v>
      </c>
      <c r="P79" s="4">
        <v>0.011502</v>
      </c>
      <c r="Q79" s="4">
        <v>0.096154</v>
      </c>
      <c r="R79" s="4">
        <v>0.022251</v>
      </c>
      <c r="S79" s="4">
        <v>0.052646</v>
      </c>
      <c r="T79" s="4">
        <v>0.036264</v>
      </c>
      <c r="U79" s="4">
        <v>-0.005582</v>
      </c>
      <c r="V79" s="4">
        <v>0.0311065596676849</v>
      </c>
      <c r="W79" s="4">
        <v>-0.0544886859040897</v>
      </c>
      <c r="X79" s="4">
        <v>-0.0057471045195046</v>
      </c>
      <c r="Y79" s="4">
        <v>-0.0256923365550617</v>
      </c>
      <c r="Z79" s="4">
        <v>-0.0102058329549462</v>
      </c>
      <c r="AA79" s="4">
        <v>-0.0425226737524819</v>
      </c>
      <c r="AB79" s="4">
        <v>-0.0759383413657481</v>
      </c>
      <c r="AC79" s="4">
        <v>-0.0079839185092781</v>
      </c>
      <c r="AD79" s="4">
        <v>-0.0011160567709808</v>
      </c>
      <c r="AE79" s="4">
        <v>-0.0155017876802218</v>
      </c>
      <c r="AF79" s="4">
        <v>-0.061004947049953</v>
      </c>
      <c r="AG79" s="4">
        <v>-0.0335258189003773</v>
      </c>
      <c r="AH79" s="4">
        <v>-0.0878594381528958</v>
      </c>
      <c r="AI79" s="4">
        <v>-0.0078699584656272</v>
      </c>
      <c r="AJ79" s="4">
        <v>-5.39E-4</v>
      </c>
      <c r="AK79" s="4">
        <f>Weights!E135</f>
        <v>-0.01149721434</v>
      </c>
      <c r="AL79" s="5">
        <v>0.0197885908146921</v>
      </c>
      <c r="AM79" s="5">
        <v>0.0225725322784031</v>
      </c>
      <c r="AN79" s="5">
        <v>-0.00654206653678446</v>
      </c>
      <c r="AO79" s="5">
        <v>-0.00497686201942282</v>
      </c>
      <c r="AP79" s="4">
        <f t="shared" si="3"/>
        <v>0.8524435287</v>
      </c>
      <c r="AQ79" s="4">
        <f t="shared" si="4"/>
        <v>0.8659806983</v>
      </c>
      <c r="AR79" s="5">
        <f t="shared" si="5"/>
        <v>0.8437912967</v>
      </c>
      <c r="AS79" s="5">
        <f t="shared" ref="AS79:AU79" si="81">AS78*(1+AM79)</f>
        <v>0.8592628185</v>
      </c>
      <c r="AT79" s="5">
        <f t="shared" si="81"/>
        <v>0.8342317184</v>
      </c>
      <c r="AU79" s="5">
        <f t="shared" si="81"/>
        <v>0.8166272767</v>
      </c>
    </row>
    <row r="80" ht="15.75" customHeight="1">
      <c r="A80" s="3">
        <v>43945.0</v>
      </c>
      <c r="B80" s="4">
        <v>0.011364</v>
      </c>
      <c r="C80" s="4">
        <v>0.005904</v>
      </c>
      <c r="D80" s="4">
        <v>0.017695</v>
      </c>
      <c r="E80" s="4">
        <v>0.031476</v>
      </c>
      <c r="F80" s="4">
        <v>0.007988</v>
      </c>
      <c r="G80" s="4">
        <v>-0.00418</v>
      </c>
      <c r="H80" s="4">
        <v>-0.005193</v>
      </c>
      <c r="I80" s="4">
        <v>0.011777</v>
      </c>
      <c r="J80" s="4">
        <v>0.00529</v>
      </c>
      <c r="K80" s="4">
        <v>0.006208</v>
      </c>
      <c r="L80" s="4">
        <v>0.007874</v>
      </c>
      <c r="M80" s="4">
        <v>-0.006993</v>
      </c>
      <c r="N80" s="4">
        <v>0.014365</v>
      </c>
      <c r="O80" s="4">
        <v>0.014301</v>
      </c>
      <c r="P80" s="4">
        <v>0.01073</v>
      </c>
      <c r="Q80" s="4">
        <v>0.022556</v>
      </c>
      <c r="R80" s="4">
        <v>0.085787</v>
      </c>
      <c r="S80" s="4">
        <v>0.021397</v>
      </c>
      <c r="T80" s="4">
        <v>0.003977</v>
      </c>
      <c r="U80" s="4">
        <v>0.00269</v>
      </c>
      <c r="V80" s="4">
        <v>0.0187934743265874</v>
      </c>
      <c r="W80" s="4">
        <v>0.0225701127595034</v>
      </c>
      <c r="X80" s="4">
        <v>0.0096338744157027</v>
      </c>
      <c r="Y80" s="4">
        <v>0.012813602384722</v>
      </c>
      <c r="Z80" s="4">
        <v>0.047495777484724</v>
      </c>
      <c r="AA80" s="4">
        <v>0.0391420141508298</v>
      </c>
      <c r="AB80" s="4">
        <v>-0.0047776996567269</v>
      </c>
      <c r="AC80" s="4">
        <v>-0.0073376044053294</v>
      </c>
      <c r="AD80" s="4">
        <v>0.0</v>
      </c>
      <c r="AE80" s="4">
        <v>0.0063834904470554</v>
      </c>
      <c r="AF80" s="4">
        <v>0.0295543810195704</v>
      </c>
      <c r="AG80" s="4">
        <v>0.0100419653939813</v>
      </c>
      <c r="AH80" s="4">
        <v>0.0840631162060963</v>
      </c>
      <c r="AI80" s="4">
        <v>0.0055996555819566</v>
      </c>
      <c r="AJ80" s="4">
        <v>0.013918</v>
      </c>
      <c r="AK80" s="4">
        <f>Weights!E136</f>
        <v>0.01653454811</v>
      </c>
      <c r="AL80" s="5">
        <v>-4.82104369609603E-4</v>
      </c>
      <c r="AM80" s="5">
        <v>1.43275084627747E-4</v>
      </c>
      <c r="AN80" s="5">
        <v>0.0352774242013229</v>
      </c>
      <c r="AO80" s="5">
        <v>0.0325115265831117</v>
      </c>
      <c r="AP80" s="4">
        <f t="shared" si="3"/>
        <v>0.8665382973</v>
      </c>
      <c r="AQ80" s="4">
        <f t="shared" si="4"/>
        <v>0.8780334177</v>
      </c>
      <c r="AR80" s="5">
        <f t="shared" si="5"/>
        <v>0.8433845013</v>
      </c>
      <c r="AS80" s="5">
        <f t="shared" ref="AS80:AU80" si="82">AS79*(1+AM80)</f>
        <v>0.8593859295</v>
      </c>
      <c r="AT80" s="5">
        <f t="shared" si="82"/>
        <v>0.8636612646</v>
      </c>
      <c r="AU80" s="5">
        <f t="shared" si="82"/>
        <v>0.8431770761</v>
      </c>
    </row>
    <row r="81" ht="15.75" customHeight="1">
      <c r="A81" s="3">
        <v>43948.0</v>
      </c>
      <c r="B81" s="4">
        <v>0.009988</v>
      </c>
      <c r="C81" s="4">
        <v>-0.002071</v>
      </c>
      <c r="D81" s="4">
        <v>7.24E-4</v>
      </c>
      <c r="E81" s="4">
        <v>7.44E-4</v>
      </c>
      <c r="F81" s="4">
        <v>0.029716</v>
      </c>
      <c r="G81" s="4">
        <v>-0.003681</v>
      </c>
      <c r="H81" s="4">
        <v>-0.011197</v>
      </c>
      <c r="I81" s="4">
        <v>0.015406</v>
      </c>
      <c r="J81" s="4">
        <v>0.02473</v>
      </c>
      <c r="K81" s="4">
        <v>0.039332</v>
      </c>
      <c r="L81" s="4">
        <v>0.027174</v>
      </c>
      <c r="M81" s="4">
        <v>0.022887</v>
      </c>
      <c r="N81" s="4">
        <v>0.041197</v>
      </c>
      <c r="O81" s="4">
        <v>0.010994</v>
      </c>
      <c r="P81" s="4">
        <v>-0.007923</v>
      </c>
      <c r="Q81" s="4">
        <v>-0.018382</v>
      </c>
      <c r="R81" s="4">
        <v>0.043632</v>
      </c>
      <c r="S81" s="4">
        <v>0.002524</v>
      </c>
      <c r="T81" s="4">
        <v>0.069448</v>
      </c>
      <c r="U81" s="4">
        <v>0.025892</v>
      </c>
      <c r="V81" s="4">
        <v>0.0135920939541855</v>
      </c>
      <c r="W81" s="4">
        <v>0.0351677877832719</v>
      </c>
      <c r="X81" s="4">
        <v>0.003816842710445</v>
      </c>
      <c r="Y81" s="4">
        <v>-0.0033002685824957</v>
      </c>
      <c r="Z81" s="4">
        <v>-0.0023123811808176</v>
      </c>
      <c r="AA81" s="4">
        <v>-0.0108658640437152</v>
      </c>
      <c r="AB81" s="4">
        <v>-0.0014404756561751</v>
      </c>
      <c r="AC81" s="4">
        <v>0.0052798877312834</v>
      </c>
      <c r="AD81" s="4">
        <v>0.0022345410873743</v>
      </c>
      <c r="AE81" s="4">
        <v>0.0218200526070926</v>
      </c>
      <c r="AF81" s="4">
        <v>0.0601335155091646</v>
      </c>
      <c r="AG81" s="4">
        <v>0.0154099372115195</v>
      </c>
      <c r="AH81" s="4">
        <v>-0.0096931208249667</v>
      </c>
      <c r="AI81" s="4">
        <v>0.0037119646181562</v>
      </c>
      <c r="AJ81" s="4">
        <v>0.014714</v>
      </c>
      <c r="AK81" s="4">
        <f>Weights!E137</f>
        <v>0.01358073017</v>
      </c>
      <c r="AL81" s="5">
        <v>0.0110935492030559</v>
      </c>
      <c r="AM81" s="5">
        <v>0.0149049536625691</v>
      </c>
      <c r="AN81" s="5">
        <v>9.09024944773184E-4</v>
      </c>
      <c r="AO81" s="5">
        <v>0.00311427160975119</v>
      </c>
      <c r="AP81" s="4">
        <f t="shared" si="3"/>
        <v>0.8783065201</v>
      </c>
      <c r="AQ81" s="4">
        <f t="shared" si="4"/>
        <v>0.8909528014</v>
      </c>
      <c r="AR81" s="5">
        <f t="shared" si="5"/>
        <v>0.8527406287</v>
      </c>
      <c r="AS81" s="5">
        <f t="shared" ref="AS81:AU81" si="83">AS80*(1+AM81)</f>
        <v>0.8721950369</v>
      </c>
      <c r="AT81" s="5">
        <f t="shared" si="83"/>
        <v>0.8644463543</v>
      </c>
      <c r="AU81" s="5">
        <f t="shared" si="83"/>
        <v>0.8458029586</v>
      </c>
    </row>
    <row r="82" ht="15.75" customHeight="1">
      <c r="A82" s="3">
        <v>43949.0</v>
      </c>
      <c r="B82" s="4">
        <v>0.006799</v>
      </c>
      <c r="C82" s="4">
        <v>3.46E-4</v>
      </c>
      <c r="D82" s="4">
        <v>0.019546</v>
      </c>
      <c r="E82" s="4">
        <v>0.013833</v>
      </c>
      <c r="F82" s="4">
        <v>-8.55E-4</v>
      </c>
      <c r="G82" s="4">
        <v>-0.018796</v>
      </c>
      <c r="H82" s="4">
        <v>-0.004768</v>
      </c>
      <c r="I82" s="4">
        <v>0.024612</v>
      </c>
      <c r="J82" s="4">
        <v>0.01258</v>
      </c>
      <c r="K82" s="4">
        <v>0.024239</v>
      </c>
      <c r="L82" s="4">
        <v>0.016865</v>
      </c>
      <c r="M82" s="4">
        <v>0.028399</v>
      </c>
      <c r="N82" s="4">
        <v>0.03524</v>
      </c>
      <c r="O82" s="4">
        <v>-0.027954</v>
      </c>
      <c r="P82" s="4">
        <v>9.58E-4</v>
      </c>
      <c r="Q82" s="4">
        <v>-0.019975</v>
      </c>
      <c r="R82" s="4">
        <v>0.00791</v>
      </c>
      <c r="S82" s="4">
        <v>-0.001259</v>
      </c>
      <c r="T82" s="4">
        <v>-2.47E-4</v>
      </c>
      <c r="U82" s="4">
        <v>-0.011369</v>
      </c>
      <c r="V82" s="4">
        <v>0.0229884411018301</v>
      </c>
      <c r="W82" s="4">
        <v>-0.0065386967723803</v>
      </c>
      <c r="X82" s="4">
        <v>0.0</v>
      </c>
      <c r="Y82" s="4">
        <v>0.0249265297898835</v>
      </c>
      <c r="Z82" s="4">
        <v>0.012309388205034</v>
      </c>
      <c r="AA82" s="4">
        <v>-0.0040276260586414</v>
      </c>
      <c r="AB82" s="4">
        <v>0.0091347460656168</v>
      </c>
      <c r="AC82" s="4">
        <v>0.0</v>
      </c>
      <c r="AD82" s="4">
        <v>0.0</v>
      </c>
      <c r="AE82" s="4">
        <v>0.0147329396346767</v>
      </c>
      <c r="AF82" s="4">
        <v>-0.0161064778178103</v>
      </c>
      <c r="AG82" s="4">
        <v>0.016808358343449</v>
      </c>
      <c r="AH82" s="4">
        <v>-0.0277323990539877</v>
      </c>
      <c r="AI82" s="4">
        <v>0.0010198773143261</v>
      </c>
      <c r="AJ82" s="4">
        <v>-0.005242</v>
      </c>
      <c r="AK82" s="4">
        <f>Weights!E138</f>
        <v>0.006443344971</v>
      </c>
      <c r="AL82" s="5">
        <v>0.0150270095018001</v>
      </c>
      <c r="AM82" s="5">
        <v>0.0177223080231296</v>
      </c>
      <c r="AN82" s="5">
        <v>-0.0313209971263847</v>
      </c>
      <c r="AO82" s="5">
        <v>-0.0300102206104364</v>
      </c>
      <c r="AP82" s="4">
        <f t="shared" si="3"/>
        <v>0.883965752</v>
      </c>
      <c r="AQ82" s="4">
        <f t="shared" si="4"/>
        <v>0.8862824268</v>
      </c>
      <c r="AR82" s="5">
        <f t="shared" si="5"/>
        <v>0.8655547703</v>
      </c>
      <c r="AS82" s="5">
        <f t="shared" ref="AS82:AU82" si="84">AS81*(1+AM82)</f>
        <v>0.887652346</v>
      </c>
      <c r="AT82" s="5">
        <f t="shared" si="84"/>
        <v>0.8373710325</v>
      </c>
      <c r="AU82" s="5">
        <f t="shared" si="84"/>
        <v>0.8204202252</v>
      </c>
    </row>
    <row r="83" ht="15.75" customHeight="1">
      <c r="A83" s="3">
        <v>43950.0</v>
      </c>
      <c r="B83" s="4">
        <v>0.023941</v>
      </c>
      <c r="C83" s="4">
        <v>0.005015</v>
      </c>
      <c r="D83" s="4">
        <v>0.011361</v>
      </c>
      <c r="E83" s="4">
        <v>-0.021714</v>
      </c>
      <c r="F83" s="4">
        <v>0.00813</v>
      </c>
      <c r="G83" s="4">
        <v>-0.007596</v>
      </c>
      <c r="H83" s="4">
        <v>0.001625</v>
      </c>
      <c r="I83" s="4">
        <v>0.051991</v>
      </c>
      <c r="J83" s="4">
        <v>0.014199</v>
      </c>
      <c r="K83" s="4">
        <v>0.049263</v>
      </c>
      <c r="L83" s="4">
        <v>0.034959</v>
      </c>
      <c r="M83" s="4">
        <v>0.09205</v>
      </c>
      <c r="N83" s="4">
        <v>0.057032</v>
      </c>
      <c r="O83" s="4">
        <v>-0.012072</v>
      </c>
      <c r="P83" s="4">
        <v>-0.005106</v>
      </c>
      <c r="Q83" s="4">
        <v>0.021656</v>
      </c>
      <c r="R83" s="4">
        <v>0.038117</v>
      </c>
      <c r="S83" s="4">
        <v>0.017898</v>
      </c>
      <c r="T83" s="4">
        <v>0.049642</v>
      </c>
      <c r="U83" s="4">
        <v>0.00161</v>
      </c>
      <c r="V83" s="4">
        <v>0.0917602955501966</v>
      </c>
      <c r="W83" s="4">
        <v>-0.008871260397114</v>
      </c>
      <c r="X83" s="4">
        <v>0.0036897161443676</v>
      </c>
      <c r="Y83" s="4">
        <v>0.0222559326432949</v>
      </c>
      <c r="Z83" s="4">
        <v>0.0030011727495646</v>
      </c>
      <c r="AA83" s="4">
        <v>0.0319854047828926</v>
      </c>
      <c r="AB83" s="4">
        <v>0.0219152789413343</v>
      </c>
      <c r="AC83" s="4">
        <v>0.0020325419322302</v>
      </c>
      <c r="AD83" s="4">
        <v>-0.0055249199289824</v>
      </c>
      <c r="AE83" s="4">
        <v>0.0192493903592878</v>
      </c>
      <c r="AF83" s="4">
        <v>0.0303677167678342</v>
      </c>
      <c r="AG83" s="4">
        <v>0.0190979802780755</v>
      </c>
      <c r="AH83" s="4">
        <v>0.100671142281983</v>
      </c>
      <c r="AI83" s="4">
        <v>-0.0046297855623596</v>
      </c>
      <c r="AJ83" s="4">
        <v>0.026584</v>
      </c>
      <c r="AK83" s="4">
        <f>Weights!E139</f>
        <v>0.02796533476</v>
      </c>
      <c r="AL83" s="5">
        <v>5.87477946476733E-4</v>
      </c>
      <c r="AM83" s="5">
        <v>-0.00312195575951912</v>
      </c>
      <c r="AN83" s="5">
        <v>0.0253045838397083</v>
      </c>
      <c r="AO83" s="5">
        <v>0.0248931553095081</v>
      </c>
      <c r="AP83" s="4">
        <f t="shared" si="3"/>
        <v>0.9086861501</v>
      </c>
      <c r="AQ83" s="4">
        <f t="shared" si="4"/>
        <v>0.9098433589</v>
      </c>
      <c r="AR83" s="5">
        <f t="shared" si="5"/>
        <v>0.8660632646</v>
      </c>
      <c r="AS83" s="5">
        <f t="shared" ref="AS83:AU83" si="85">AS82*(1+AM83)</f>
        <v>0.8848811347</v>
      </c>
      <c r="AT83" s="5">
        <f t="shared" si="85"/>
        <v>0.858560358</v>
      </c>
      <c r="AU83" s="5">
        <f t="shared" si="85"/>
        <v>0.8408430733</v>
      </c>
    </row>
    <row r="84" ht="15.75" customHeight="1">
      <c r="A84" s="3">
        <v>43951.0</v>
      </c>
      <c r="B84" s="4">
        <v>-0.019784</v>
      </c>
      <c r="C84" s="4">
        <v>-0.011528</v>
      </c>
      <c r="D84" s="4">
        <v>-0.021297</v>
      </c>
      <c r="E84" s="4">
        <v>-0.008023</v>
      </c>
      <c r="F84" s="4">
        <v>-0.026104</v>
      </c>
      <c r="G84" s="4">
        <v>-0.001331</v>
      </c>
      <c r="H84" s="4">
        <v>0.006748</v>
      </c>
      <c r="I84" s="4">
        <v>-0.04035</v>
      </c>
      <c r="J84" s="4">
        <v>-0.03125</v>
      </c>
      <c r="K84" s="4">
        <v>-0.038665</v>
      </c>
      <c r="L84" s="4">
        <v>-0.032365</v>
      </c>
      <c r="M84" s="4">
        <v>-0.034483</v>
      </c>
      <c r="N84" s="4">
        <v>-0.029661</v>
      </c>
      <c r="O84" s="4">
        <v>-0.006334</v>
      </c>
      <c r="P84" s="4">
        <v>-0.04603</v>
      </c>
      <c r="Q84" s="4">
        <v>-0.084788</v>
      </c>
      <c r="R84" s="4">
        <v>-0.046436</v>
      </c>
      <c r="S84" s="4">
        <v>-0.064884</v>
      </c>
      <c r="T84" s="4">
        <v>-0.030824</v>
      </c>
      <c r="U84" s="4">
        <v>-0.013662</v>
      </c>
      <c r="V84" s="4">
        <v>-0.0325900843885619</v>
      </c>
      <c r="W84" s="4">
        <v>0.0470623651420005</v>
      </c>
      <c r="X84" s="4">
        <v>0.0110294323935637</v>
      </c>
      <c r="Y84" s="4">
        <v>0.0126413976245869</v>
      </c>
      <c r="Z84" s="4">
        <v>-9.561014956931E-4</v>
      </c>
      <c r="AA84" s="4">
        <v>0.0179906752621161</v>
      </c>
      <c r="AB84" s="4">
        <v>0.0363637181229861</v>
      </c>
      <c r="AC84" s="4">
        <v>0.0131844266037604</v>
      </c>
      <c r="AD84" s="4">
        <v>0.0</v>
      </c>
      <c r="AE84" s="4">
        <v>-0.0208066612813445</v>
      </c>
      <c r="AF84" s="4">
        <v>0.0448998263226418</v>
      </c>
      <c r="AG84" s="4">
        <v>-0.0040946452504387</v>
      </c>
      <c r="AH84" s="4">
        <v>-0.0701219550977143</v>
      </c>
      <c r="AI84" s="4">
        <v>0.0041858086665467</v>
      </c>
      <c r="AJ84" s="4">
        <v>-0.009212</v>
      </c>
      <c r="AK84" s="4">
        <f>Weights!E140</f>
        <v>-0.0161173535</v>
      </c>
      <c r="AL84" s="5">
        <v>0.0264207914300353</v>
      </c>
      <c r="AM84" s="5">
        <v>0.0283244942998501</v>
      </c>
      <c r="AN84" s="5">
        <v>-0.00365658753978437</v>
      </c>
      <c r="AO84" s="5">
        <v>-0.00312299300236584</v>
      </c>
      <c r="AP84" s="4">
        <f t="shared" si="3"/>
        <v>0.8940405342</v>
      </c>
      <c r="AQ84" s="4">
        <f t="shared" si="4"/>
        <v>0.9014618818</v>
      </c>
      <c r="AR84" s="5">
        <f t="shared" si="5"/>
        <v>0.8889453415</v>
      </c>
      <c r="AS84" s="5">
        <f t="shared" ref="AS84:AU84" si="86">AS83*(1+AM84)</f>
        <v>0.9099449453</v>
      </c>
      <c r="AT84" s="5">
        <f t="shared" si="86"/>
        <v>0.8554209569</v>
      </c>
      <c r="AU84" s="5">
        <f t="shared" si="86"/>
        <v>0.8382171262</v>
      </c>
    </row>
    <row r="85" ht="15.75" customHeight="1">
      <c r="A85" s="3">
        <v>43952.0</v>
      </c>
      <c r="B85" s="4">
        <v>-0.021407</v>
      </c>
      <c r="C85" s="4">
        <v>-0.010792</v>
      </c>
      <c r="D85" s="4">
        <v>-0.015065</v>
      </c>
      <c r="E85" s="4">
        <v>-0.016252</v>
      </c>
      <c r="F85" s="4">
        <v>-0.006319</v>
      </c>
      <c r="G85" s="4">
        <v>-0.011664</v>
      </c>
      <c r="H85" s="4">
        <v>-0.008908</v>
      </c>
      <c r="I85" s="4">
        <v>-0.026727</v>
      </c>
      <c r="J85" s="4">
        <v>-0.030968</v>
      </c>
      <c r="K85" s="4">
        <v>-0.028968</v>
      </c>
      <c r="L85" s="4">
        <v>-0.025004</v>
      </c>
      <c r="M85" s="4">
        <v>-0.049206</v>
      </c>
      <c r="N85" s="4">
        <v>-0.037846</v>
      </c>
      <c r="O85" s="4">
        <v>0.024144</v>
      </c>
      <c r="P85" s="4">
        <v>0.025387</v>
      </c>
      <c r="Q85" s="4">
        <v>0.055858</v>
      </c>
      <c r="R85" s="4">
        <v>-0.041903</v>
      </c>
      <c r="S85" s="4">
        <v>0.088453</v>
      </c>
      <c r="T85" s="4">
        <v>-0.004613</v>
      </c>
      <c r="U85" s="4">
        <v>-0.022815</v>
      </c>
      <c r="V85" s="4">
        <v>-0.0381205272861369</v>
      </c>
      <c r="W85" s="4">
        <v>0.046739348563489</v>
      </c>
      <c r="X85" s="4">
        <v>0.0272728078879604</v>
      </c>
      <c r="Y85" s="4">
        <v>0.0213265138779208</v>
      </c>
      <c r="Z85" s="4">
        <v>0.0100043108851379</v>
      </c>
      <c r="AA85" s="4">
        <v>0.0036746985230313</v>
      </c>
      <c r="AB85" s="4">
        <v>0.0445342057581192</v>
      </c>
      <c r="AC85" s="4">
        <v>0.0330330950405342</v>
      </c>
      <c r="AD85" s="4">
        <v>0.0123596106606092</v>
      </c>
      <c r="AE85" s="4">
        <v>-0.0049035040218248</v>
      </c>
      <c r="AF85" s="4">
        <v>0.0689731396352719</v>
      </c>
      <c r="AG85" s="4">
        <v>-0.0099618298698771</v>
      </c>
      <c r="AH85" s="4">
        <v>0.0278687861426434</v>
      </c>
      <c r="AI85" s="4">
        <v>0.0055584441269289</v>
      </c>
      <c r="AJ85" s="4">
        <v>-0.028059</v>
      </c>
      <c r="AK85" s="6">
        <f>Weights!E141</f>
        <v>-0.00005616133535</v>
      </c>
      <c r="AL85" s="5">
        <v>-0.0120123211550253</v>
      </c>
      <c r="AM85" s="5">
        <v>-0.0129941005394996</v>
      </c>
      <c r="AN85" s="5">
        <v>0.0137616368502955</v>
      </c>
      <c r="AO85" s="5">
        <v>0.014271101289643</v>
      </c>
      <c r="AP85" s="6">
        <f t="shared" si="3"/>
        <v>0.8939903237</v>
      </c>
      <c r="AQ85" s="4">
        <f t="shared" si="4"/>
        <v>0.8761677629</v>
      </c>
      <c r="AR85" s="5">
        <f t="shared" si="5"/>
        <v>0.8782670446</v>
      </c>
      <c r="AS85" s="5">
        <f t="shared" ref="AS85:AU85" si="87">AS84*(1+AM85)</f>
        <v>0.8981210292</v>
      </c>
      <c r="AT85" s="5">
        <f t="shared" si="87"/>
        <v>0.8671929494</v>
      </c>
      <c r="AU85" s="5">
        <f t="shared" si="87"/>
        <v>0.8501794077</v>
      </c>
    </row>
    <row r="86" ht="15.75" customHeight="1">
      <c r="A86" s="3">
        <v>43955.0</v>
      </c>
      <c r="B86" s="4">
        <v>0.006875</v>
      </c>
      <c r="C86" s="4">
        <v>-0.010382</v>
      </c>
      <c r="D86" s="4">
        <v>-0.01578</v>
      </c>
      <c r="E86" s="4">
        <v>0.005994</v>
      </c>
      <c r="F86" s="4">
        <v>-0.010088</v>
      </c>
      <c r="G86" s="4">
        <v>-1.35E-4</v>
      </c>
      <c r="H86" s="4">
        <v>-0.008988</v>
      </c>
      <c r="I86" s="4">
        <v>0.008372</v>
      </c>
      <c r="J86" s="4">
        <v>0.012783</v>
      </c>
      <c r="K86" s="4">
        <v>0.005177</v>
      </c>
      <c r="L86" s="4">
        <v>0.004663</v>
      </c>
      <c r="M86" s="4">
        <v>-0.009182</v>
      </c>
      <c r="N86" s="4">
        <v>0.002723</v>
      </c>
      <c r="O86" s="4">
        <v>-0.026969</v>
      </c>
      <c r="P86" s="4">
        <v>0.028693</v>
      </c>
      <c r="Q86" s="4">
        <v>0.049032</v>
      </c>
      <c r="R86" s="4">
        <v>0.028369</v>
      </c>
      <c r="S86" s="4">
        <v>0.009003</v>
      </c>
      <c r="T86" s="4">
        <v>0.001463</v>
      </c>
      <c r="U86" s="4">
        <v>0.018761</v>
      </c>
      <c r="V86" s="4">
        <v>-0.0119814304907805</v>
      </c>
      <c r="W86" s="4">
        <v>-0.067966375847687</v>
      </c>
      <c r="X86" s="4">
        <v>0.0123894514140565</v>
      </c>
      <c r="Y86" s="4">
        <v>-0.0229183315735012</v>
      </c>
      <c r="Z86" s="4">
        <v>-0.0328340868748169</v>
      </c>
      <c r="AA86" s="4">
        <v>-0.0235607843028629</v>
      </c>
      <c r="AB86" s="4">
        <v>-0.012919755174591</v>
      </c>
      <c r="AC86" s="4">
        <v>0.0213177734633105</v>
      </c>
      <c r="AD86" s="4">
        <v>0.0055494280815269</v>
      </c>
      <c r="AE86" s="4">
        <v>-0.0096091506597612</v>
      </c>
      <c r="AF86" s="4">
        <v>-0.016079192065182</v>
      </c>
      <c r="AG86" s="4">
        <v>-0.0169302582657639</v>
      </c>
      <c r="AH86" s="4">
        <v>-0.007974474381124</v>
      </c>
      <c r="AI86" s="4">
        <v>0.0041457367613748</v>
      </c>
      <c r="AJ86" s="4">
        <v>0.00425</v>
      </c>
      <c r="AK86" s="4">
        <f>Weights!E142</f>
        <v>-0.002382499429</v>
      </c>
      <c r="AL86" s="5">
        <v>-0.025822076877862</v>
      </c>
      <c r="AM86" s="5">
        <v>-0.0276327888352395</v>
      </c>
      <c r="AN86" s="5">
        <v>0.0113121200052672</v>
      </c>
      <c r="AO86" s="5">
        <v>0.0137267593501355</v>
      </c>
      <c r="AP86" s="6">
        <f t="shared" si="3"/>
        <v>0.8918603923</v>
      </c>
      <c r="AQ86" s="4">
        <f t="shared" si="4"/>
        <v>0.8798914759</v>
      </c>
      <c r="AR86" s="5">
        <f t="shared" si="5"/>
        <v>0.8555883654</v>
      </c>
      <c r="AS86" s="5">
        <f t="shared" ref="AS86:AU86" si="88">AS85*(1+AM86)</f>
        <v>0.8733034405</v>
      </c>
      <c r="AT86" s="5">
        <f t="shared" si="88"/>
        <v>0.8770027402</v>
      </c>
      <c r="AU86" s="5">
        <f t="shared" si="88"/>
        <v>0.8618496159</v>
      </c>
    </row>
    <row r="87" ht="15.75" customHeight="1">
      <c r="A87" s="3">
        <v>43956.0</v>
      </c>
      <c r="B87" s="4">
        <v>0.003724</v>
      </c>
      <c r="C87" s="4">
        <v>0.004801</v>
      </c>
      <c r="D87" s="4">
        <v>0.00518</v>
      </c>
      <c r="E87" s="4">
        <v>0.005729</v>
      </c>
      <c r="F87" s="4">
        <v>0.00576</v>
      </c>
      <c r="G87" s="4">
        <v>0.008296</v>
      </c>
      <c r="H87" s="4">
        <v>0.002073</v>
      </c>
      <c r="I87" s="4">
        <v>0.016606</v>
      </c>
      <c r="J87" s="4">
        <v>0.017881</v>
      </c>
      <c r="K87" s="4">
        <v>-0.006623</v>
      </c>
      <c r="L87" s="4">
        <v>-0.001658</v>
      </c>
      <c r="M87" s="4">
        <v>-0.015164</v>
      </c>
      <c r="N87" s="4">
        <v>-0.035607</v>
      </c>
      <c r="O87" s="4">
        <v>0.029913</v>
      </c>
      <c r="P87" s="4">
        <v>0.034587</v>
      </c>
      <c r="Q87" s="4">
        <v>-0.00984</v>
      </c>
      <c r="R87" s="4">
        <v>0.011494</v>
      </c>
      <c r="S87" s="4">
        <v>0.026525</v>
      </c>
      <c r="T87" s="4">
        <v>-0.00755</v>
      </c>
      <c r="U87" s="4">
        <v>0.02285</v>
      </c>
      <c r="V87" s="4">
        <v>0.0214549241310813</v>
      </c>
      <c r="W87" s="4">
        <v>-0.0375917176122128</v>
      </c>
      <c r="X87" s="4">
        <v>0.0</v>
      </c>
      <c r="Y87" s="4">
        <v>-0.0164189562112073</v>
      </c>
      <c r="Z87" s="4">
        <v>-0.0140978957349009</v>
      </c>
      <c r="AA87" s="4">
        <v>-0.0234616734808219</v>
      </c>
      <c r="AB87" s="4">
        <v>-0.0279233258554029</v>
      </c>
      <c r="AC87" s="4">
        <v>0.0</v>
      </c>
      <c r="AD87" s="4">
        <v>0.0</v>
      </c>
      <c r="AE87" s="4">
        <v>-0.0024878264096127</v>
      </c>
      <c r="AF87" s="4">
        <v>0.0037712800267066</v>
      </c>
      <c r="AG87" s="4">
        <v>-0.0300570044652034</v>
      </c>
      <c r="AH87" s="4">
        <v>0.0321544070832553</v>
      </c>
      <c r="AI87" s="4">
        <v>0.001834341802003</v>
      </c>
      <c r="AJ87" s="4">
        <v>0.009041</v>
      </c>
      <c r="AK87" s="4">
        <f>Weights!E143</f>
        <v>-0.0006051746661</v>
      </c>
      <c r="AL87" s="5">
        <v>0.00202069221893763</v>
      </c>
      <c r="AM87" s="5">
        <v>0.0038080871538153</v>
      </c>
      <c r="AN87" s="5">
        <v>0.0102910856905347</v>
      </c>
      <c r="AO87" s="5">
        <v>0.0108329043782948</v>
      </c>
      <c r="AP87" s="6">
        <f t="shared" si="3"/>
        <v>0.891320661</v>
      </c>
      <c r="AQ87" s="4">
        <f t="shared" si="4"/>
        <v>0.8878465747</v>
      </c>
      <c r="AR87" s="5">
        <f t="shared" si="5"/>
        <v>0.8573172462</v>
      </c>
      <c r="AS87" s="5">
        <f t="shared" ref="AS87:AU87" si="89">AS86*(1+AM87)</f>
        <v>0.8766290561</v>
      </c>
      <c r="AT87" s="5">
        <f t="shared" si="89"/>
        <v>0.8860280505</v>
      </c>
      <c r="AU87" s="5">
        <f t="shared" si="89"/>
        <v>0.8711859503</v>
      </c>
    </row>
    <row r="88" ht="15.75" customHeight="1">
      <c r="A88" s="3">
        <v>43957.0</v>
      </c>
      <c r="B88" s="4">
        <v>-0.003092</v>
      </c>
      <c r="C88" s="4">
        <v>-0.015395</v>
      </c>
      <c r="D88" s="4">
        <v>-0.00638</v>
      </c>
      <c r="E88" s="4">
        <v>-0.006759</v>
      </c>
      <c r="F88" s="4">
        <v>-0.014317</v>
      </c>
      <c r="G88" s="4">
        <v>-0.009498</v>
      </c>
      <c r="H88" s="4">
        <v>-0.025084</v>
      </c>
      <c r="I88" s="4">
        <v>-9.8E-4</v>
      </c>
      <c r="J88" s="4">
        <v>-0.010075</v>
      </c>
      <c r="K88" s="4">
        <v>-0.008642</v>
      </c>
      <c r="L88" s="4">
        <v>-0.007305</v>
      </c>
      <c r="M88" s="4">
        <v>0.007699</v>
      </c>
      <c r="N88" s="4">
        <v>0.056946</v>
      </c>
      <c r="O88" s="4">
        <v>0.003262</v>
      </c>
      <c r="P88" s="4">
        <v>-0.038207</v>
      </c>
      <c r="Q88" s="4">
        <v>-0.028571</v>
      </c>
      <c r="R88" s="4">
        <v>-0.023864</v>
      </c>
      <c r="S88" s="4">
        <v>-0.01292</v>
      </c>
      <c r="T88" s="4">
        <v>-0.006135</v>
      </c>
      <c r="U88" s="4">
        <v>-0.011456</v>
      </c>
      <c r="V88" s="4">
        <v>0.0392697047005341</v>
      </c>
      <c r="W88" s="4">
        <v>-0.0055800589916954</v>
      </c>
      <c r="X88" s="4">
        <v>0.0019011333694258</v>
      </c>
      <c r="Y88" s="4">
        <v>-0.01245373196108</v>
      </c>
      <c r="Z88" s="4">
        <v>-0.0146841232548258</v>
      </c>
      <c r="AA88" s="4">
        <v>0.0073924847096649</v>
      </c>
      <c r="AB88" s="4">
        <v>-0.0157092798054991</v>
      </c>
      <c r="AC88" s="4">
        <v>-0.0453109269113899</v>
      </c>
      <c r="AD88" s="4">
        <v>0.0022676690378617</v>
      </c>
      <c r="AE88" s="4">
        <v>0.016543428350507</v>
      </c>
      <c r="AF88" s="4">
        <v>-0.0670005683437321</v>
      </c>
      <c r="AG88" s="4">
        <v>0.0041876689147346</v>
      </c>
      <c r="AH88" s="4">
        <v>-0.0077881543292328</v>
      </c>
      <c r="AI88" s="4">
        <v>-0.0036635229116245</v>
      </c>
      <c r="AJ88" s="4">
        <v>-0.006979</v>
      </c>
      <c r="AK88" s="4">
        <f>Weights!E144</f>
        <v>-0.005026267509</v>
      </c>
      <c r="AL88" s="5">
        <v>0.00545653264777246</v>
      </c>
      <c r="AM88" s="5">
        <v>0.0092728689903947</v>
      </c>
      <c r="AN88" s="5">
        <v>0.0301151458860013</v>
      </c>
      <c r="AO88" s="5">
        <v>0.029805690379498</v>
      </c>
      <c r="AP88" s="6">
        <f t="shared" si="3"/>
        <v>0.8868406449</v>
      </c>
      <c r="AQ88" s="4">
        <f t="shared" si="4"/>
        <v>0.8816502935</v>
      </c>
      <c r="AR88" s="5">
        <f t="shared" si="5"/>
        <v>0.8619952257</v>
      </c>
      <c r="AS88" s="5">
        <f t="shared" ref="AS88:AU88" si="90">AS87*(1+AM88)</f>
        <v>0.8847579225</v>
      </c>
      <c r="AT88" s="5">
        <f t="shared" si="90"/>
        <v>0.9127109145</v>
      </c>
      <c r="AU88" s="5">
        <f t="shared" si="90"/>
        <v>0.897152249</v>
      </c>
    </row>
    <row r="89" ht="15.75" customHeight="1">
      <c r="A89" s="3">
        <v>43958.0</v>
      </c>
      <c r="B89" s="4">
        <v>0.006824</v>
      </c>
      <c r="C89" s="4">
        <v>-0.001078</v>
      </c>
      <c r="D89" s="4">
        <v>-2.47E-4</v>
      </c>
      <c r="E89" s="4">
        <v>0.005888</v>
      </c>
      <c r="F89" s="4">
        <v>-0.003352</v>
      </c>
      <c r="G89" s="4">
        <v>-0.003309</v>
      </c>
      <c r="H89" s="4">
        <v>-0.008223</v>
      </c>
      <c r="I89" s="4">
        <v>0.042184</v>
      </c>
      <c r="J89" s="4">
        <v>-0.011482</v>
      </c>
      <c r="K89" s="4">
        <v>7.47E-4</v>
      </c>
      <c r="L89" s="4">
        <v>0.006356</v>
      </c>
      <c r="M89" s="4">
        <v>-0.005942</v>
      </c>
      <c r="N89" s="4">
        <v>0.010953</v>
      </c>
      <c r="O89" s="4">
        <v>0.004815</v>
      </c>
      <c r="P89" s="4">
        <v>0.034118</v>
      </c>
      <c r="Q89" s="4">
        <v>0.035806</v>
      </c>
      <c r="R89" s="4">
        <v>0.044237</v>
      </c>
      <c r="S89" s="4">
        <v>0.040695</v>
      </c>
      <c r="T89" s="4">
        <v>0.010123</v>
      </c>
      <c r="U89" s="4">
        <v>0.065477</v>
      </c>
      <c r="V89" s="4">
        <v>0.016695972367007</v>
      </c>
      <c r="W89" s="4">
        <v>0.0206733136855064</v>
      </c>
      <c r="X89" s="4">
        <v>0.0227704369490981</v>
      </c>
      <c r="Y89" s="4">
        <v>0.0092120733729217</v>
      </c>
      <c r="Z89" s="4">
        <v>-0.0075490718344266</v>
      </c>
      <c r="AA89" s="4">
        <v>0.0137587661626124</v>
      </c>
      <c r="AB89" s="4">
        <v>-0.0150476261365199</v>
      </c>
      <c r="AC89" s="4">
        <v>0.0331125084624834</v>
      </c>
      <c r="AD89" s="4">
        <v>0.0056558140128588</v>
      </c>
      <c r="AE89" s="4">
        <v>0.0181549042061273</v>
      </c>
      <c r="AF89" s="4">
        <v>0.0655479443679285</v>
      </c>
      <c r="AG89" s="4">
        <v>0.0210174929137672</v>
      </c>
      <c r="AH89" s="4">
        <v>0.0313971431129922</v>
      </c>
      <c r="AI89" s="4">
        <v>0.0027577192077949</v>
      </c>
      <c r="AJ89" s="4">
        <v>0.011505</v>
      </c>
      <c r="AK89" s="4">
        <f>Weights!E145</f>
        <v>0.01513139725</v>
      </c>
      <c r="AL89" s="5">
        <v>-0.00660692359650727</v>
      </c>
      <c r="AM89" s="5">
        <v>-0.00549857466398873</v>
      </c>
      <c r="AN89" s="5">
        <v>-0.0296646334660085</v>
      </c>
      <c r="AO89" s="5">
        <v>-0.0276425274616389</v>
      </c>
      <c r="AP89" s="6">
        <f t="shared" si="3"/>
        <v>0.900259783</v>
      </c>
      <c r="AQ89" s="4">
        <f t="shared" si="4"/>
        <v>0.8917936801</v>
      </c>
      <c r="AR89" s="5">
        <f t="shared" si="5"/>
        <v>0.8563000891</v>
      </c>
      <c r="AS89" s="5">
        <f t="shared" ref="AS89:AU89" si="91">AS88*(1+AM89)</f>
        <v>0.879893015</v>
      </c>
      <c r="AT89" s="5">
        <f t="shared" si="91"/>
        <v>0.8856356798</v>
      </c>
      <c r="AU89" s="5">
        <f t="shared" si="91"/>
        <v>0.8723526934</v>
      </c>
    </row>
    <row r="90" ht="15.75" customHeight="1">
      <c r="A90" s="3">
        <v>43959.0</v>
      </c>
      <c r="B90" s="4">
        <v>0.010474</v>
      </c>
      <c r="C90" s="4">
        <v>0.025549</v>
      </c>
      <c r="D90" s="4">
        <v>0.011117</v>
      </c>
      <c r="E90" s="4">
        <v>0.020372</v>
      </c>
      <c r="F90" s="4">
        <v>0.033857</v>
      </c>
      <c r="G90" s="4">
        <v>0.007521</v>
      </c>
      <c r="H90" s="4">
        <v>0.033699</v>
      </c>
      <c r="I90" s="4">
        <v>0.005334</v>
      </c>
      <c r="J90" s="4">
        <v>0.008976</v>
      </c>
      <c r="K90" s="4">
        <v>0.019413</v>
      </c>
      <c r="L90" s="4">
        <v>0.019279</v>
      </c>
      <c r="M90" s="4">
        <v>0.047822</v>
      </c>
      <c r="N90" s="4">
        <v>0.019034</v>
      </c>
      <c r="O90" s="4">
        <v>0.012757</v>
      </c>
      <c r="P90" s="4">
        <v>-1.55E-4</v>
      </c>
      <c r="Q90" s="4">
        <v>0.001234</v>
      </c>
      <c r="R90" s="4">
        <v>0.026756</v>
      </c>
      <c r="S90" s="4">
        <v>-0.008004</v>
      </c>
      <c r="T90" s="4">
        <v>0.031533</v>
      </c>
      <c r="U90" s="4">
        <v>0.00794</v>
      </c>
      <c r="V90" s="4">
        <v>-0.027657725836679</v>
      </c>
      <c r="W90" s="4">
        <v>-0.0083912395320617</v>
      </c>
      <c r="X90" s="4">
        <v>-0.0074212446099765</v>
      </c>
      <c r="Y90" s="4">
        <v>0.0094825377357685</v>
      </c>
      <c r="Z90" s="4">
        <v>0.0256065336685977</v>
      </c>
      <c r="AA90" s="4">
        <v>-0.0037999448883991</v>
      </c>
      <c r="AB90" s="4">
        <v>0.0162037145706908</v>
      </c>
      <c r="AC90" s="4">
        <v>-0.0213674401310182</v>
      </c>
      <c r="AD90" s="4">
        <v>-0.0078738195038734</v>
      </c>
      <c r="AE90" s="4">
        <v>0.0265058783902039</v>
      </c>
      <c r="AF90" s="4">
        <v>-0.0083980680808274</v>
      </c>
      <c r="AG90" s="4">
        <v>-0.013069728267584</v>
      </c>
      <c r="AH90" s="4">
        <v>0.082191810648474</v>
      </c>
      <c r="AI90" s="4">
        <v>-0.0027501351073853</v>
      </c>
      <c r="AJ90" s="4">
        <v>0.016872</v>
      </c>
      <c r="AK90" s="4">
        <f>Weights!E146</f>
        <v>0.01201548912</v>
      </c>
      <c r="AL90" s="5">
        <v>0.0131830635745175</v>
      </c>
      <c r="AM90" s="5">
        <v>0.013087882323431</v>
      </c>
      <c r="AN90" s="5">
        <v>-0.0101904761062376</v>
      </c>
      <c r="AO90" s="5">
        <v>-0.0130432663938213</v>
      </c>
      <c r="AP90" s="6">
        <f t="shared" si="3"/>
        <v>0.9110768446</v>
      </c>
      <c r="AQ90" s="4">
        <f t="shared" si="4"/>
        <v>0.9068400231</v>
      </c>
      <c r="AR90" s="5">
        <f t="shared" si="5"/>
        <v>0.8675887476</v>
      </c>
      <c r="AS90" s="5">
        <f t="shared" ref="AS90:AU90" si="92">AS89*(1+AM90)</f>
        <v>0.8914089512</v>
      </c>
      <c r="AT90" s="5">
        <f t="shared" si="92"/>
        <v>0.8766106305</v>
      </c>
      <c r="AU90" s="5">
        <f t="shared" si="92"/>
        <v>0.8609743648</v>
      </c>
    </row>
    <row r="91" ht="15.75" customHeight="1">
      <c r="A91" s="3">
        <v>43962.0</v>
      </c>
      <c r="B91" s="4">
        <v>0.007927</v>
      </c>
      <c r="C91" s="4">
        <v>-0.010526</v>
      </c>
      <c r="D91" s="4">
        <v>0.010994</v>
      </c>
      <c r="E91" s="4">
        <v>0.001118</v>
      </c>
      <c r="F91" s="4">
        <v>-0.012362</v>
      </c>
      <c r="G91" s="4">
        <v>0.002757</v>
      </c>
      <c r="H91" s="4">
        <v>-0.00552</v>
      </c>
      <c r="I91" s="4">
        <v>0.02809</v>
      </c>
      <c r="J91" s="4">
        <v>0.010204</v>
      </c>
      <c r="K91" s="4">
        <v>0.007324</v>
      </c>
      <c r="L91" s="4">
        <v>0.006359</v>
      </c>
      <c r="M91" s="4">
        <v>-0.004075</v>
      </c>
      <c r="N91" s="4">
        <v>-0.012069</v>
      </c>
      <c r="O91" s="4">
        <v>0.040123</v>
      </c>
      <c r="P91" s="4">
        <v>-0.024787</v>
      </c>
      <c r="Q91" s="4">
        <v>-0.029593</v>
      </c>
      <c r="R91" s="4">
        <v>-0.024973</v>
      </c>
      <c r="S91" s="4">
        <v>-0.017289</v>
      </c>
      <c r="T91" s="4">
        <v>-0.037204</v>
      </c>
      <c r="U91" s="4">
        <v>0.00982</v>
      </c>
      <c r="V91" s="4">
        <v>-0.00444447682282811</v>
      </c>
      <c r="W91" s="4">
        <v>0.070178008319808</v>
      </c>
      <c r="X91" s="4">
        <v>0.0018693378545224</v>
      </c>
      <c r="Y91" s="4">
        <v>-0.0081642988989091</v>
      </c>
      <c r="Z91" s="4">
        <v>0.0039640520695229</v>
      </c>
      <c r="AA91" s="4">
        <v>-0.009991031619008</v>
      </c>
      <c r="AB91" s="4">
        <v>-0.040091293938109</v>
      </c>
      <c r="AC91" s="4">
        <v>-0.0283843719886189</v>
      </c>
      <c r="AD91" s="4">
        <v>0.0022676690378617</v>
      </c>
      <c r="AE91" s="4">
        <v>0.0061818839521579</v>
      </c>
      <c r="AF91" s="4">
        <v>0.0190557002780737</v>
      </c>
      <c r="AG91" s="4">
        <v>0.0172156945980705</v>
      </c>
      <c r="AH91" s="4">
        <v>-0.112517637231725</v>
      </c>
      <c r="AI91" s="4">
        <v>0.0045963722717827</v>
      </c>
      <c r="AJ91" s="4">
        <v>1.77E-4</v>
      </c>
      <c r="AK91" s="4">
        <f>Weights!E147</f>
        <v>-0.005943086267</v>
      </c>
      <c r="AL91" s="5">
        <v>0.0199271313856224</v>
      </c>
      <c r="AM91" s="5">
        <v>0.018791130086865</v>
      </c>
      <c r="AN91" s="5">
        <v>0.0107429908384026</v>
      </c>
      <c r="AO91" s="5">
        <v>0.00813280637346203</v>
      </c>
      <c r="AP91" s="6">
        <f t="shared" si="3"/>
        <v>0.9056622363</v>
      </c>
      <c r="AQ91" s="4">
        <f t="shared" si="4"/>
        <v>0.9070005338</v>
      </c>
      <c r="AR91" s="5">
        <f t="shared" si="5"/>
        <v>0.8848773026</v>
      </c>
      <c r="AS91" s="5">
        <f t="shared" ref="AS91:AU91" si="93">AS90*(1+AM91)</f>
        <v>0.9081595328</v>
      </c>
      <c r="AT91" s="5">
        <f t="shared" si="93"/>
        <v>0.8860280505</v>
      </c>
      <c r="AU91" s="5">
        <f t="shared" si="93"/>
        <v>0.8679765026</v>
      </c>
    </row>
    <row r="92" ht="15.75" customHeight="1">
      <c r="A92" s="3">
        <v>43963.0</v>
      </c>
      <c r="B92" s="4">
        <v>-0.017544</v>
      </c>
      <c r="C92" s="4">
        <v>-0.016667</v>
      </c>
      <c r="D92" s="4">
        <v>-0.022958</v>
      </c>
      <c r="E92" s="4">
        <v>-0.010716</v>
      </c>
      <c r="F92" s="4">
        <v>-0.01581</v>
      </c>
      <c r="G92" s="4">
        <v>-0.013212</v>
      </c>
      <c r="H92" s="4">
        <v>-0.006591</v>
      </c>
      <c r="I92" s="4">
        <v>-0.021554</v>
      </c>
      <c r="J92" s="4">
        <v>-0.020979</v>
      </c>
      <c r="K92" s="4">
        <v>-0.022782</v>
      </c>
      <c r="L92" s="4">
        <v>-0.022359</v>
      </c>
      <c r="M92" s="4">
        <v>-0.01473</v>
      </c>
      <c r="N92" s="4">
        <v>-0.019779</v>
      </c>
      <c r="O92" s="4">
        <v>-0.012583</v>
      </c>
      <c r="P92" s="4">
        <v>-0.007466</v>
      </c>
      <c r="Q92" s="4">
        <v>0.012706</v>
      </c>
      <c r="R92" s="4">
        <v>-0.034521</v>
      </c>
      <c r="S92" s="4">
        <v>-0.006803</v>
      </c>
      <c r="T92" s="4">
        <v>-0.039872</v>
      </c>
      <c r="U92" s="4">
        <v>-0.009831</v>
      </c>
      <c r="V92" s="4">
        <v>-0.0258929373991705</v>
      </c>
      <c r="W92" s="4">
        <v>0.0</v>
      </c>
      <c r="X92" s="4">
        <v>0.0</v>
      </c>
      <c r="Y92" s="4">
        <v>0.0102672610787044</v>
      </c>
      <c r="Z92" s="4">
        <v>0.0162711981543863</v>
      </c>
      <c r="AA92" s="4">
        <v>-0.00165152796079</v>
      </c>
      <c r="AB92" s="4">
        <v>0.0227813320787637</v>
      </c>
      <c r="AC92" s="4">
        <v>0.0</v>
      </c>
      <c r="AD92" s="4">
        <v>0.0</v>
      </c>
      <c r="AE92" s="4">
        <v>0.0107317519647542</v>
      </c>
      <c r="AF92" s="4">
        <v>0.0</v>
      </c>
      <c r="AG92" s="4">
        <v>0.0271764853289446</v>
      </c>
      <c r="AH92" s="4">
        <v>0.0808240894965184</v>
      </c>
      <c r="AI92" s="4">
        <v>9.147574228784E-4</v>
      </c>
      <c r="AJ92" s="4">
        <v>-0.020544</v>
      </c>
      <c r="AK92" s="4">
        <f>Weights!E148</f>
        <v>-0.002432750409</v>
      </c>
      <c r="AL92" s="5">
        <v>5.74839825953521E-4</v>
      </c>
      <c r="AM92" s="5">
        <v>1.35449451379665E-4</v>
      </c>
      <c r="AN92" s="5">
        <v>0.00442861991444742</v>
      </c>
      <c r="AO92" s="5">
        <v>0.00571430825601959</v>
      </c>
      <c r="AP92" s="6">
        <f t="shared" si="3"/>
        <v>0.9034589861</v>
      </c>
      <c r="AQ92" s="4">
        <f t="shared" si="4"/>
        <v>0.8883671148</v>
      </c>
      <c r="AR92" s="5">
        <f t="shared" si="5"/>
        <v>0.8853859653</v>
      </c>
      <c r="AS92" s="5">
        <f t="shared" ref="AS92:AU92" si="94">AS91*(1+AM92)</f>
        <v>0.9082825425</v>
      </c>
      <c r="AT92" s="5">
        <f t="shared" si="94"/>
        <v>0.889951932</v>
      </c>
      <c r="AU92" s="5">
        <f t="shared" si="94"/>
        <v>0.8729363879</v>
      </c>
    </row>
    <row r="93" ht="15.75" customHeight="1">
      <c r="A93" s="3">
        <v>43964.0</v>
      </c>
      <c r="B93" s="4">
        <v>-0.025862</v>
      </c>
      <c r="C93" s="4">
        <v>-0.010999</v>
      </c>
      <c r="D93" s="4">
        <v>-0.020777</v>
      </c>
      <c r="E93" s="4">
        <v>1.5E-4</v>
      </c>
      <c r="F93" s="4">
        <v>-0.019634</v>
      </c>
      <c r="G93" s="4">
        <v>-6.8E-5</v>
      </c>
      <c r="H93" s="4">
        <v>-0.0055</v>
      </c>
      <c r="I93" s="4">
        <v>-0.030717</v>
      </c>
      <c r="J93" s="4">
        <v>-0.028836</v>
      </c>
      <c r="K93" s="4">
        <v>-0.036458</v>
      </c>
      <c r="L93" s="4">
        <v>-0.030162</v>
      </c>
      <c r="M93" s="4">
        <v>-0.043189</v>
      </c>
      <c r="N93" s="4">
        <v>-0.039169</v>
      </c>
      <c r="O93" s="4">
        <v>-0.014299</v>
      </c>
      <c r="P93" s="4">
        <v>0.022567</v>
      </c>
      <c r="Q93" s="4">
        <v>0.013802</v>
      </c>
      <c r="R93" s="4">
        <v>-0.031142</v>
      </c>
      <c r="S93" s="4">
        <v>0.022674</v>
      </c>
      <c r="T93" s="4">
        <v>-0.043322</v>
      </c>
      <c r="U93" s="4">
        <v>-0.017483</v>
      </c>
      <c r="V93" s="4">
        <v>-0.0274977998867343</v>
      </c>
      <c r="W93" s="4">
        <v>-0.0269938568085224</v>
      </c>
      <c r="X93" s="4">
        <v>-0.0148424276645326</v>
      </c>
      <c r="Y93" s="4">
        <v>0.0191870843852302</v>
      </c>
      <c r="Z93" s="4">
        <v>0.0096817494892846</v>
      </c>
      <c r="AA93" s="4">
        <v>0.0222386207783142</v>
      </c>
      <c r="AB93" s="4">
        <v>-0.0106728352952302</v>
      </c>
      <c r="AC93" s="4">
        <v>-0.0328797287394945</v>
      </c>
      <c r="AD93" s="4">
        <v>0.0089987925232297</v>
      </c>
      <c r="AE93" s="4">
        <v>0.0432407794694875</v>
      </c>
      <c r="AF93" s="4">
        <v>-0.0319967150320087</v>
      </c>
      <c r="AG93" s="4">
        <v>0.0114069433220376</v>
      </c>
      <c r="AH93" s="4">
        <v>0.0645161741403057</v>
      </c>
      <c r="AI93" s="4">
        <v>-0.00319981255444</v>
      </c>
      <c r="AJ93" s="4">
        <v>-0.017463</v>
      </c>
      <c r="AK93" s="4">
        <f>Weights!E149</f>
        <v>-0.007728672697</v>
      </c>
      <c r="AL93" s="5">
        <v>-0.0187227174512085</v>
      </c>
      <c r="AM93" s="5">
        <v>-0.0212896586032582</v>
      </c>
      <c r="AN93" s="5">
        <v>0.0022043512538219</v>
      </c>
      <c r="AO93" s="5">
        <v>0.00200530321885361</v>
      </c>
      <c r="AP93" s="6">
        <f t="shared" si="3"/>
        <v>0.8964764473</v>
      </c>
      <c r="AQ93" s="4">
        <f t="shared" si="4"/>
        <v>0.8728535599</v>
      </c>
      <c r="AR93" s="5">
        <f t="shared" si="5"/>
        <v>0.868809134</v>
      </c>
      <c r="AS93" s="5">
        <f t="shared" ref="AS93:AU93" si="95">AS92*(1+AM93)</f>
        <v>0.8889455172</v>
      </c>
      <c r="AT93" s="5">
        <f t="shared" si="95"/>
        <v>0.8919136986</v>
      </c>
      <c r="AU93" s="5">
        <f t="shared" si="95"/>
        <v>0.87468689</v>
      </c>
    </row>
    <row r="94" ht="15.75" customHeight="1">
      <c r="A94" s="3">
        <v>43965.0</v>
      </c>
      <c r="B94" s="4">
        <v>0.010746</v>
      </c>
      <c r="C94" s="4">
        <v>0.001094</v>
      </c>
      <c r="D94" s="4">
        <v>-0.00101</v>
      </c>
      <c r="E94" s="4">
        <v>9.02E-4</v>
      </c>
      <c r="F94" s="4">
        <v>-0.005462</v>
      </c>
      <c r="G94" s="4">
        <v>0.003466</v>
      </c>
      <c r="H94" s="4">
        <v>-9.66E-4</v>
      </c>
      <c r="I94" s="4">
        <v>-7.75E-4</v>
      </c>
      <c r="J94" s="4">
        <v>0.012243</v>
      </c>
      <c r="K94" s="4">
        <v>0.013127</v>
      </c>
      <c r="L94" s="4">
        <v>0.017259</v>
      </c>
      <c r="M94" s="4">
        <v>-0.007813</v>
      </c>
      <c r="N94" s="4">
        <v>-0.004941</v>
      </c>
      <c r="O94" s="4">
        <v>-0.008578</v>
      </c>
      <c r="P94" s="4">
        <v>0.043043</v>
      </c>
      <c r="Q94" s="4">
        <v>0.024752</v>
      </c>
      <c r="R94" s="4">
        <v>-0.013095</v>
      </c>
      <c r="S94" s="4">
        <v>0.016166</v>
      </c>
      <c r="T94" s="4">
        <v>0.004555</v>
      </c>
      <c r="U94" s="4">
        <v>0.003954</v>
      </c>
      <c r="V94" s="4">
        <v>0.00942525661172233</v>
      </c>
      <c r="W94" s="4">
        <v>0.0077062498127606</v>
      </c>
      <c r="X94" s="4">
        <v>0.003766526705156</v>
      </c>
      <c r="Y94" s="4">
        <v>-0.0151295951029144</v>
      </c>
      <c r="Z94" s="4">
        <v>-0.0018308635551592</v>
      </c>
      <c r="AA94" s="4">
        <v>-0.0249909257020325</v>
      </c>
      <c r="AB94" s="4">
        <v>-0.018292781955236</v>
      </c>
      <c r="AC94" s="4">
        <v>0.0293082921234064</v>
      </c>
      <c r="AD94" s="4">
        <v>0.0167225916557653</v>
      </c>
      <c r="AE94" s="4">
        <v>-0.024043123489167</v>
      </c>
      <c r="AF94" s="4">
        <v>0.0113760232315585</v>
      </c>
      <c r="AG94" s="4">
        <v>-0.0076755306112002</v>
      </c>
      <c r="AH94" s="4">
        <v>-0.066115753367806</v>
      </c>
      <c r="AI94" s="4">
        <v>-4.575442954418E-4</v>
      </c>
      <c r="AJ94" s="4">
        <v>0.011525</v>
      </c>
      <c r="AK94" s="4">
        <f>Weights!E150</f>
        <v>-0.001840883952</v>
      </c>
      <c r="AL94" s="5">
        <v>-0.0155684753708201</v>
      </c>
      <c r="AM94" s="5">
        <v>-0.0200901922633187</v>
      </c>
      <c r="AN94" s="5">
        <v>-8.7974255892953E-4</v>
      </c>
      <c r="AO94" s="5">
        <v>-3.33474478345086E-4</v>
      </c>
      <c r="AP94" s="6">
        <f t="shared" si="3"/>
        <v>0.8948261382</v>
      </c>
      <c r="AQ94" s="4">
        <f t="shared" si="4"/>
        <v>0.8829131971</v>
      </c>
      <c r="AR94" s="5">
        <f t="shared" si="5"/>
        <v>0.8552831004</v>
      </c>
      <c r="AS94" s="5">
        <f t="shared" ref="AS94:AU94" si="96">AS93*(1+AM94)</f>
        <v>0.8710864309</v>
      </c>
      <c r="AT94" s="5">
        <f t="shared" si="96"/>
        <v>0.8911290442</v>
      </c>
      <c r="AU94" s="5">
        <f t="shared" si="96"/>
        <v>0.8743952043</v>
      </c>
    </row>
    <row r="95" ht="15.75" customHeight="1">
      <c r="A95" s="3">
        <v>43966.0</v>
      </c>
      <c r="B95" s="4">
        <v>-0.001876</v>
      </c>
      <c r="C95" s="4">
        <v>-0.003642</v>
      </c>
      <c r="D95" s="4">
        <v>-0.011631</v>
      </c>
      <c r="E95" s="4">
        <v>0.021566</v>
      </c>
      <c r="F95" s="4">
        <v>-0.010069</v>
      </c>
      <c r="G95" s="4">
        <v>0.018965</v>
      </c>
      <c r="H95" s="4">
        <v>0.007029</v>
      </c>
      <c r="I95" s="4">
        <v>0.017624</v>
      </c>
      <c r="J95" s="4">
        <v>-0.021456</v>
      </c>
      <c r="K95" s="4">
        <v>-0.010417</v>
      </c>
      <c r="L95" s="4">
        <v>-0.013271</v>
      </c>
      <c r="M95" s="4">
        <v>-0.005249</v>
      </c>
      <c r="N95" s="4">
        <v>-9.31E-4</v>
      </c>
      <c r="O95" s="4">
        <v>0.007118</v>
      </c>
      <c r="P95" s="4">
        <v>0.018908</v>
      </c>
      <c r="Q95" s="4">
        <v>0.022947</v>
      </c>
      <c r="R95" s="4">
        <v>0.022919</v>
      </c>
      <c r="S95" s="4">
        <v>0.037273</v>
      </c>
      <c r="T95" s="4">
        <v>0.015471</v>
      </c>
      <c r="U95" s="4">
        <v>-0.012035</v>
      </c>
      <c r="V95" s="4">
        <v>0.053221106474079</v>
      </c>
      <c r="W95" s="4">
        <v>-0.0422691629947291</v>
      </c>
      <c r="X95" s="4">
        <v>0.0112571173993432</v>
      </c>
      <c r="Y95" s="4">
        <v>-0.0247883200300513</v>
      </c>
      <c r="Z95" s="4">
        <v>-0.0031400881716862</v>
      </c>
      <c r="AA95" s="4">
        <v>-0.0193619452813093</v>
      </c>
      <c r="AB95" s="4">
        <v>-0.0444338357370327</v>
      </c>
      <c r="AC95" s="4">
        <v>0.0136672380231703</v>
      </c>
      <c r="AD95" s="4">
        <v>0.0285088779192184</v>
      </c>
      <c r="AE95" s="4">
        <v>-0.0399757439648571</v>
      </c>
      <c r="AF95" s="4">
        <v>-0.0797964168024831</v>
      </c>
      <c r="AG95" s="4">
        <v>-0.034727690603997</v>
      </c>
      <c r="AH95" s="4">
        <v>-0.0427728398326427</v>
      </c>
      <c r="AI95" s="4">
        <v>-0.0041286205872326</v>
      </c>
      <c r="AJ95" s="4">
        <v>0.003926</v>
      </c>
      <c r="AK95" s="4">
        <f>Weights!E151</f>
        <v>-0.007061048144</v>
      </c>
      <c r="AL95" s="5">
        <v>0.00475626691319464</v>
      </c>
      <c r="AM95" s="5">
        <v>0.0107456396506024</v>
      </c>
      <c r="AN95" s="5">
        <v>0.00880673463302161</v>
      </c>
      <c r="AO95" s="5">
        <v>0.00867529748605666</v>
      </c>
      <c r="AP95" s="6">
        <f t="shared" si="3"/>
        <v>0.8885077278</v>
      </c>
      <c r="AQ95" s="4">
        <f t="shared" si="4"/>
        <v>0.8863795144</v>
      </c>
      <c r="AR95" s="5">
        <f t="shared" si="5"/>
        <v>0.8593510551</v>
      </c>
      <c r="AS95" s="5">
        <f t="shared" ref="AS95:AU95" si="97">AS94*(1+AM95)</f>
        <v>0.8804468118</v>
      </c>
      <c r="AT95" s="5">
        <f t="shared" si="97"/>
        <v>0.8989769812</v>
      </c>
      <c r="AU95" s="5">
        <f t="shared" si="97"/>
        <v>0.8819808428</v>
      </c>
    </row>
    <row r="96" ht="15.75" customHeight="1">
      <c r="A96" s="3">
        <v>43969.0</v>
      </c>
      <c r="B96" s="4">
        <v>0.016291</v>
      </c>
      <c r="C96" s="4">
        <v>0.018461</v>
      </c>
      <c r="D96" s="4">
        <v>0.022768</v>
      </c>
      <c r="E96" s="4">
        <v>-0.003163</v>
      </c>
      <c r="F96" s="4">
        <v>0.039529</v>
      </c>
      <c r="G96" s="4">
        <v>5.32E-4</v>
      </c>
      <c r="H96" s="4">
        <v>0.01396</v>
      </c>
      <c r="I96" s="4">
        <v>0.026299</v>
      </c>
      <c r="J96" s="4">
        <v>0.034693</v>
      </c>
      <c r="K96" s="4">
        <v>0.067266</v>
      </c>
      <c r="L96" s="4">
        <v>0.04937</v>
      </c>
      <c r="M96" s="4">
        <v>0.064063</v>
      </c>
      <c r="N96" s="4">
        <v>0.049084</v>
      </c>
      <c r="O96" s="4">
        <v>0.018584</v>
      </c>
      <c r="P96" s="4">
        <v>-0.024153</v>
      </c>
      <c r="Q96" s="4">
        <v>-0.063754</v>
      </c>
      <c r="R96" s="4">
        <v>0.082547</v>
      </c>
      <c r="S96" s="4">
        <v>-0.008764</v>
      </c>
      <c r="T96" s="4">
        <v>0.073286</v>
      </c>
      <c r="U96" s="4">
        <v>0.014286</v>
      </c>
      <c r="V96" s="4">
        <v>0.009751846018758</v>
      </c>
      <c r="W96" s="4">
        <v>-0.0097269760350744</v>
      </c>
      <c r="X96" s="4">
        <v>0.0018552188193632</v>
      </c>
      <c r="Y96" s="4">
        <v>-0.0136937352980678</v>
      </c>
      <c r="Z96" s="4">
        <v>-0.0280055672445623</v>
      </c>
      <c r="AA96" s="4">
        <v>0.0050771014292492</v>
      </c>
      <c r="AB96" s="4">
        <v>0.0</v>
      </c>
      <c r="AC96" s="4">
        <v>-0.0056178189312029</v>
      </c>
      <c r="AD96" s="4">
        <v>0.0063966694437591</v>
      </c>
      <c r="AE96" s="4">
        <v>-0.0225126046548582</v>
      </c>
      <c r="AF96" s="4">
        <v>0.0207566151446272</v>
      </c>
      <c r="AG96" s="4">
        <v>0.0189699473738018</v>
      </c>
      <c r="AH96" s="4">
        <v>-0.046224918176781</v>
      </c>
      <c r="AI96" s="4">
        <v>-0.0041455279712481</v>
      </c>
      <c r="AJ96" s="4">
        <v>0.031501</v>
      </c>
      <c r="AK96" s="4">
        <f>Weights!E152</f>
        <v>0.01256268108</v>
      </c>
      <c r="AL96" s="5">
        <v>0.00437881849784105</v>
      </c>
      <c r="AM96" s="5">
        <v>0.00601581572165987</v>
      </c>
      <c r="AN96" s="5">
        <v>0.0122217556584147</v>
      </c>
      <c r="AO96" s="5">
        <v>0.00959312695344394</v>
      </c>
      <c r="AP96" s="6">
        <f t="shared" si="3"/>
        <v>0.899669767</v>
      </c>
      <c r="AQ96" s="4">
        <f t="shared" si="4"/>
        <v>0.9143013554</v>
      </c>
      <c r="AR96" s="5">
        <f t="shared" si="5"/>
        <v>0.8631139974</v>
      </c>
      <c r="AS96" s="5">
        <f t="shared" ref="AS96:AU96" si="98">AS95*(1+AM96)</f>
        <v>0.8857434175</v>
      </c>
      <c r="AT96" s="5">
        <f t="shared" si="98"/>
        <v>0.9099640582</v>
      </c>
      <c r="AU96" s="5">
        <f t="shared" si="98"/>
        <v>0.890441797</v>
      </c>
    </row>
    <row r="97" ht="15.75" customHeight="1">
      <c r="A97" s="3">
        <v>43970.0</v>
      </c>
      <c r="B97" s="4">
        <v>0.002466</v>
      </c>
      <c r="C97" s="4">
        <v>-0.024049</v>
      </c>
      <c r="D97" s="4">
        <v>-0.004502</v>
      </c>
      <c r="E97" s="4">
        <v>-0.027966</v>
      </c>
      <c r="F97" s="4">
        <v>-0.009562</v>
      </c>
      <c r="G97" s="4">
        <v>-0.009965</v>
      </c>
      <c r="H97" s="4">
        <v>-0.032441</v>
      </c>
      <c r="I97" s="4">
        <v>0.0025</v>
      </c>
      <c r="J97" s="4">
        <v>-0.006706</v>
      </c>
      <c r="K97" s="4">
        <v>-0.031513</v>
      </c>
      <c r="L97" s="4">
        <v>-0.026119</v>
      </c>
      <c r="M97" s="4">
        <v>-0.042017</v>
      </c>
      <c r="N97" s="4">
        <v>-0.022209</v>
      </c>
      <c r="O97" s="4">
        <v>-0.027517</v>
      </c>
      <c r="P97" s="4">
        <v>0.016903</v>
      </c>
      <c r="Q97" s="4">
        <v>0.079445</v>
      </c>
      <c r="R97" s="4">
        <v>-0.004357</v>
      </c>
      <c r="S97" s="4">
        <v>0.032272</v>
      </c>
      <c r="T97" s="4">
        <v>-0.011013</v>
      </c>
      <c r="U97" s="4">
        <v>-2.18E-4</v>
      </c>
      <c r="V97" s="4">
        <v>-0.00175583186629169</v>
      </c>
      <c r="W97" s="4">
        <v>0.0510188585023234</v>
      </c>
      <c r="X97" s="4">
        <v>0.0</v>
      </c>
      <c r="Y97" s="4">
        <v>-0.0019055527888995</v>
      </c>
      <c r="Z97" s="4">
        <v>-0.0042672090347233</v>
      </c>
      <c r="AA97" s="4">
        <v>-0.0250701654747266</v>
      </c>
      <c r="AB97" s="4">
        <v>-0.006999894393481</v>
      </c>
      <c r="AC97" s="4">
        <v>0.0</v>
      </c>
      <c r="AD97" s="4">
        <v>0.0</v>
      </c>
      <c r="AE97" s="4">
        <v>0.0296342297070979</v>
      </c>
      <c r="AF97" s="4">
        <v>0.0201083788453513</v>
      </c>
      <c r="AG97" s="4">
        <v>0.0141227692892103</v>
      </c>
      <c r="AH97" s="4">
        <v>0.0339256340118923</v>
      </c>
      <c r="AI97" s="4">
        <v>-0.0032381875081435</v>
      </c>
      <c r="AJ97" s="4">
        <v>-0.010484</v>
      </c>
      <c r="AK97" s="4">
        <f>Weights!E153</f>
        <v>-0.00123325981</v>
      </c>
      <c r="AL97" s="5">
        <v>0.0322845386547043</v>
      </c>
      <c r="AM97" s="5">
        <v>0.0331636857755059</v>
      </c>
      <c r="AN97" s="5">
        <v>-0.0150926392046294</v>
      </c>
      <c r="AO97" s="5">
        <v>-0.0153996873135628</v>
      </c>
      <c r="AP97" s="6">
        <f t="shared" si="3"/>
        <v>0.8985602405</v>
      </c>
      <c r="AQ97" s="4">
        <f t="shared" si="4"/>
        <v>0.90471582</v>
      </c>
      <c r="AR97" s="5">
        <f t="shared" si="5"/>
        <v>0.8909792347</v>
      </c>
      <c r="AS97" s="5">
        <f t="shared" ref="AS97:AU97" si="99">AS96*(1+AM97)</f>
        <v>0.9151179339</v>
      </c>
      <c r="AT97" s="5">
        <f t="shared" si="99"/>
        <v>0.896230299</v>
      </c>
      <c r="AU97" s="5">
        <f t="shared" si="99"/>
        <v>0.8767292718</v>
      </c>
    </row>
    <row r="98" ht="15.75" customHeight="1">
      <c r="A98" s="3">
        <v>43971.0</v>
      </c>
      <c r="B98" s="4">
        <v>-0.004305</v>
      </c>
      <c r="C98" s="4">
        <v>-0.002207</v>
      </c>
      <c r="D98" s="4">
        <v>0.012814</v>
      </c>
      <c r="E98" s="4">
        <v>-0.003568</v>
      </c>
      <c r="F98" s="4">
        <v>0.03031</v>
      </c>
      <c r="G98" s="4">
        <v>-0.008992</v>
      </c>
      <c r="H98" s="4">
        <v>0.007471</v>
      </c>
      <c r="I98" s="4">
        <v>-0.001559</v>
      </c>
      <c r="J98" s="4">
        <v>-0.008102</v>
      </c>
      <c r="K98" s="4">
        <v>0.015897</v>
      </c>
      <c r="L98" s="4">
        <v>0.030651</v>
      </c>
      <c r="M98" s="4">
        <v>0.020175</v>
      </c>
      <c r="N98" s="4">
        <v>0.021502</v>
      </c>
      <c r="O98" s="4">
        <v>-0.004983</v>
      </c>
      <c r="P98" s="4">
        <v>-0.024636</v>
      </c>
      <c r="Q98" s="4">
        <v>-0.03271</v>
      </c>
      <c r="R98" s="4">
        <v>-0.002188</v>
      </c>
      <c r="S98" s="4">
        <v>-0.010707</v>
      </c>
      <c r="T98" s="4">
        <v>0.006682</v>
      </c>
      <c r="U98" s="4">
        <v>0.005788</v>
      </c>
      <c r="V98" s="4">
        <v>-0.00879513910144558</v>
      </c>
      <c r="W98" s="4">
        <v>0.116055301918309</v>
      </c>
      <c r="X98" s="4">
        <v>0.0163338141487383</v>
      </c>
      <c r="Y98" s="4">
        <v>0.0</v>
      </c>
      <c r="Z98" s="4">
        <v>0.0</v>
      </c>
      <c r="AA98" s="4">
        <v>0.0</v>
      </c>
      <c r="AB98" s="4">
        <v>0.0</v>
      </c>
      <c r="AC98" s="4">
        <v>0.0232558377463738</v>
      </c>
      <c r="AD98" s="4">
        <v>0.0198120343005103</v>
      </c>
      <c r="AE98" s="4">
        <v>0.0</v>
      </c>
      <c r="AF98" s="4">
        <v>0.0976743538024906</v>
      </c>
      <c r="AG98" s="4">
        <v>0.0085456072142851</v>
      </c>
      <c r="AH98" s="4">
        <v>0.162500053551049</v>
      </c>
      <c r="AI98" s="4">
        <v>0.0</v>
      </c>
      <c r="AJ98" s="4">
        <v>0.016651</v>
      </c>
      <c r="AK98" s="4">
        <f>Weights!E154</f>
        <v>0.01705461365</v>
      </c>
      <c r="AL98" s="5">
        <v>-0.0107293290500805</v>
      </c>
      <c r="AM98" s="5">
        <v>-0.0106321965609402</v>
      </c>
      <c r="AN98" s="5">
        <v>-0.0236428210016402</v>
      </c>
      <c r="AO98" s="5">
        <v>-0.0246255935778966</v>
      </c>
      <c r="AP98" s="6">
        <f t="shared" si="3"/>
        <v>0.9138848382</v>
      </c>
      <c r="AQ98" s="4">
        <f t="shared" si="4"/>
        <v>0.9197802431</v>
      </c>
      <c r="AR98" s="5">
        <f t="shared" si="5"/>
        <v>0.8814196253</v>
      </c>
      <c r="AS98" s="5">
        <f t="shared" ref="AS98:AU98" si="100">AS97*(1+AM98)</f>
        <v>0.9053882202</v>
      </c>
      <c r="AT98" s="5">
        <f t="shared" si="100"/>
        <v>0.8750408865</v>
      </c>
      <c r="AU98" s="5">
        <f t="shared" si="100"/>
        <v>0.855139293</v>
      </c>
    </row>
    <row r="99" ht="15.75" customHeight="1">
      <c r="A99" s="3">
        <v>43972.0</v>
      </c>
      <c r="B99" s="4">
        <v>-0.001235</v>
      </c>
      <c r="C99" s="4">
        <v>-0.005345</v>
      </c>
      <c r="D99" s="4">
        <v>-0.017614</v>
      </c>
      <c r="E99" s="4">
        <v>-0.007999</v>
      </c>
      <c r="F99" s="4">
        <v>-0.01569</v>
      </c>
      <c r="G99" s="4">
        <v>-0.006568</v>
      </c>
      <c r="H99" s="4">
        <v>-0.014654</v>
      </c>
      <c r="I99" s="4">
        <v>-0.015923</v>
      </c>
      <c r="J99" s="4">
        <v>-0.020147</v>
      </c>
      <c r="K99" s="4">
        <v>-0.014914</v>
      </c>
      <c r="L99" s="4">
        <v>-0.030548</v>
      </c>
      <c r="M99" s="4">
        <v>-0.00258</v>
      </c>
      <c r="N99" s="4">
        <v>0.0</v>
      </c>
      <c r="O99" s="4">
        <v>-0.006677</v>
      </c>
      <c r="P99" s="4">
        <v>-0.034084</v>
      </c>
      <c r="Q99" s="4">
        <v>-0.013285</v>
      </c>
      <c r="R99" s="4">
        <v>-0.024123</v>
      </c>
      <c r="S99" s="4">
        <v>-0.034416</v>
      </c>
      <c r="T99" s="4">
        <v>-0.016716</v>
      </c>
      <c r="U99" s="4">
        <v>-0.010532</v>
      </c>
      <c r="V99" s="4">
        <v>0.00709832688187117</v>
      </c>
      <c r="W99" s="4">
        <v>0.0059990477945692</v>
      </c>
      <c r="X99" s="4">
        <v>0.0125000710965168</v>
      </c>
      <c r="Y99" s="4">
        <v>0.0308210596547173</v>
      </c>
      <c r="Z99" s="4">
        <v>0.040632608886947</v>
      </c>
      <c r="AA99" s="4">
        <v>0.0243714051053383</v>
      </c>
      <c r="AB99" s="4">
        <v>0.024672801108192</v>
      </c>
      <c r="AC99" s="4">
        <v>0.0170455271349874</v>
      </c>
      <c r="AD99" s="4">
        <v>0.0163600093840832</v>
      </c>
      <c r="AE99" s="4">
        <v>0.0283905597497424</v>
      </c>
      <c r="AF99" s="4">
        <v>-0.0080709628580437</v>
      </c>
      <c r="AG99" s="4">
        <v>-0.0018827168813426</v>
      </c>
      <c r="AH99" s="4">
        <v>-0.0443548274032988</v>
      </c>
      <c r="AI99" s="4">
        <v>0.0051047510952686</v>
      </c>
      <c r="AJ99" s="4">
        <v>-0.007774</v>
      </c>
      <c r="AK99" s="4">
        <f>Weights!E155</f>
        <v>-0.003459477912</v>
      </c>
      <c r="AL99" s="5">
        <v>0.018345541120968</v>
      </c>
      <c r="AM99" s="5">
        <v>0.018500658018109</v>
      </c>
      <c r="AN99" s="5">
        <v>0.00179390940155732</v>
      </c>
      <c r="AO99" s="5">
        <v>0.0</v>
      </c>
      <c r="AP99" s="6">
        <f t="shared" si="3"/>
        <v>0.9107232738</v>
      </c>
      <c r="AQ99" s="4">
        <f t="shared" si="4"/>
        <v>0.9126298715</v>
      </c>
      <c r="AR99" s="5">
        <f t="shared" si="5"/>
        <v>0.8975897453</v>
      </c>
      <c r="AS99" s="5">
        <f t="shared" ref="AS99:AU99" si="101">AS98*(1+AM99)</f>
        <v>0.922138498</v>
      </c>
      <c r="AT99" s="5">
        <f t="shared" si="101"/>
        <v>0.8766106305</v>
      </c>
      <c r="AU99" s="5">
        <f t="shared" si="101"/>
        <v>0.855139293</v>
      </c>
    </row>
    <row r="100" ht="15.75" customHeight="1">
      <c r="A100" s="3">
        <v>43973.0</v>
      </c>
      <c r="B100" s="4">
        <v>0.0</v>
      </c>
      <c r="C100" s="4">
        <v>0.002409</v>
      </c>
      <c r="D100" s="4">
        <v>-0.009091</v>
      </c>
      <c r="E100" s="4">
        <v>0.002073</v>
      </c>
      <c r="F100" s="4">
        <v>-0.003099</v>
      </c>
      <c r="G100" s="4">
        <v>-0.009066</v>
      </c>
      <c r="H100" s="4">
        <v>0.00878</v>
      </c>
      <c r="I100" s="4">
        <v>-0.001586</v>
      </c>
      <c r="J100" s="4">
        <v>0.005835</v>
      </c>
      <c r="K100" s="4">
        <v>-0.014892</v>
      </c>
      <c r="L100" s="4">
        <v>-0.018506</v>
      </c>
      <c r="M100" s="4">
        <v>-0.02069</v>
      </c>
      <c r="N100" s="4">
        <v>-0.010969</v>
      </c>
      <c r="O100" s="4">
        <v>0.00417</v>
      </c>
      <c r="P100" s="4">
        <v>-0.006774</v>
      </c>
      <c r="Q100" s="4">
        <v>-0.031824</v>
      </c>
      <c r="R100" s="4">
        <v>-0.017978</v>
      </c>
      <c r="S100" s="4">
        <v>0.004259</v>
      </c>
      <c r="T100" s="4">
        <v>-0.013</v>
      </c>
      <c r="U100" s="4">
        <v>0.006365</v>
      </c>
      <c r="V100" s="4">
        <v>0.0740090455895341</v>
      </c>
      <c r="W100" s="4">
        <v>0.0180147783424202</v>
      </c>
      <c r="X100" s="4">
        <v>0.0035272062066844</v>
      </c>
      <c r="Y100" s="4">
        <v>0.024783857319738</v>
      </c>
      <c r="Z100" s="4">
        <v>0.0511845908209189</v>
      </c>
      <c r="AA100" s="4">
        <v>-0.0166728811038902</v>
      </c>
      <c r="AB100" s="4">
        <v>0.0334151481024356</v>
      </c>
      <c r="AC100" s="4">
        <v>0.0089386431705051</v>
      </c>
      <c r="AD100" s="4">
        <v>0.006036353875289</v>
      </c>
      <c r="AE100" s="4">
        <v>-0.0065403744158119</v>
      </c>
      <c r="AF100" s="4">
        <v>0.0124084434637223</v>
      </c>
      <c r="AG100" s="4">
        <v>-0.0061312764703981</v>
      </c>
      <c r="AH100" s="4">
        <v>-0.0436005865230968</v>
      </c>
      <c r="AI100" s="4">
        <v>0.0046160196757643</v>
      </c>
      <c r="AJ100" s="4">
        <v>0.002354</v>
      </c>
      <c r="AK100" s="4">
        <f>Weights!E156</f>
        <v>0.0003580307471</v>
      </c>
      <c r="AL100" s="5">
        <v>-0.0092906843197954</v>
      </c>
      <c r="AM100" s="5">
        <v>-0.00601040160470611</v>
      </c>
      <c r="AN100" s="5">
        <v>0.00671399693610585</v>
      </c>
      <c r="AO100" s="5">
        <v>0.0112588570103251</v>
      </c>
      <c r="AP100" s="6">
        <f t="shared" si="3"/>
        <v>0.9110493407</v>
      </c>
      <c r="AQ100" s="4">
        <f t="shared" si="4"/>
        <v>0.9147782023</v>
      </c>
      <c r="AR100" s="5">
        <f t="shared" si="5"/>
        <v>0.8892505223</v>
      </c>
      <c r="AS100" s="5">
        <f t="shared" ref="AS100:AU100" si="102">AS99*(1+AM100)</f>
        <v>0.9165960753</v>
      </c>
      <c r="AT100" s="5">
        <f t="shared" si="102"/>
        <v>0.8824961916</v>
      </c>
      <c r="AU100" s="5">
        <f t="shared" si="102"/>
        <v>0.8647671841</v>
      </c>
    </row>
    <row r="101" ht="15.75" customHeight="1">
      <c r="A101" s="3">
        <v>43977.0</v>
      </c>
      <c r="B101" s="4">
        <v>0.042672</v>
      </c>
      <c r="C101" s="4">
        <v>0.003697</v>
      </c>
      <c r="D101" s="4">
        <v>0.043833</v>
      </c>
      <c r="E101" s="4">
        <v>-0.005595</v>
      </c>
      <c r="F101" s="4">
        <v>0.02354</v>
      </c>
      <c r="G101" s="4">
        <v>0.001316</v>
      </c>
      <c r="H101" s="4">
        <v>-0.005062</v>
      </c>
      <c r="I101" s="4">
        <v>0.007626</v>
      </c>
      <c r="J101" s="4">
        <v>0.037845</v>
      </c>
      <c r="K101" s="4">
        <v>0.092467</v>
      </c>
      <c r="L101" s="4">
        <v>0.083404</v>
      </c>
      <c r="M101" s="4">
        <v>0.101232</v>
      </c>
      <c r="N101" s="4">
        <v>0.062146</v>
      </c>
      <c r="O101" s="4">
        <v>-0.005392</v>
      </c>
      <c r="P101" s="4">
        <v>-0.060904</v>
      </c>
      <c r="Q101" s="4">
        <v>-0.045512</v>
      </c>
      <c r="R101" s="4">
        <v>0.059497</v>
      </c>
      <c r="S101" s="4">
        <v>-0.038839</v>
      </c>
      <c r="T101" s="4">
        <v>0.051418</v>
      </c>
      <c r="U101" s="4">
        <v>0.003053</v>
      </c>
      <c r="V101" s="4">
        <v>0.0205085631552519</v>
      </c>
      <c r="W101" s="4">
        <v>-0.022821537094558</v>
      </c>
      <c r="X101" s="4">
        <v>-0.0123021221799254</v>
      </c>
      <c r="Y101" s="4">
        <v>-0.0147172525060138</v>
      </c>
      <c r="Z101" s="4">
        <v>-0.011547297767121</v>
      </c>
      <c r="AA101" s="4">
        <v>-0.0152409965917027</v>
      </c>
      <c r="AB101" s="4">
        <v>-0.0038040315725447</v>
      </c>
      <c r="AC101" s="4">
        <v>0.0188259017922978</v>
      </c>
      <c r="AD101" s="4">
        <v>0.0</v>
      </c>
      <c r="AE101" s="4">
        <v>-0.0127842309960376</v>
      </c>
      <c r="AF101" s="4">
        <v>-0.0196905161604182</v>
      </c>
      <c r="AG101" s="4">
        <v>0.001898254936093</v>
      </c>
      <c r="AH101" s="4">
        <v>-0.0044117955136461</v>
      </c>
      <c r="AI101" s="4">
        <v>0.0</v>
      </c>
      <c r="AJ101" s="4">
        <v>0.012289</v>
      </c>
      <c r="AK101" s="4">
        <f>Weights!E157</f>
        <v>0.01351814973</v>
      </c>
      <c r="AL101" s="5">
        <v>2.28729396839932E-4</v>
      </c>
      <c r="AM101" s="5">
        <v>0.00282168177358821</v>
      </c>
      <c r="AN101" s="5">
        <v>0.0124502952278782</v>
      </c>
      <c r="AO101" s="5">
        <v>0.0158569729532667</v>
      </c>
      <c r="AP101" s="6">
        <f t="shared" si="3"/>
        <v>0.9233650421</v>
      </c>
      <c r="AQ101" s="4">
        <f t="shared" si="4"/>
        <v>0.9260199116</v>
      </c>
      <c r="AR101" s="5">
        <f t="shared" si="5"/>
        <v>0.88945392</v>
      </c>
      <c r="AS101" s="5">
        <f t="shared" ref="AS101:AU101" si="103">AS100*(1+AM101)</f>
        <v>0.9191824177</v>
      </c>
      <c r="AT101" s="5">
        <f t="shared" si="103"/>
        <v>0.8934835297</v>
      </c>
      <c r="AU101" s="5">
        <f t="shared" si="103"/>
        <v>0.8784797739</v>
      </c>
    </row>
    <row r="102" ht="15.75" customHeight="1">
      <c r="A102" s="3">
        <v>43978.0</v>
      </c>
      <c r="B102" s="4">
        <v>0.006524</v>
      </c>
      <c r="C102" s="4">
        <v>0.01547</v>
      </c>
      <c r="D102" s="4">
        <v>0.020508</v>
      </c>
      <c r="E102" s="4">
        <v>0.00817</v>
      </c>
      <c r="F102" s="4">
        <v>0.013886</v>
      </c>
      <c r="G102" s="4">
        <v>0.002283</v>
      </c>
      <c r="H102" s="4">
        <v>0.016603</v>
      </c>
      <c r="I102" s="4">
        <v>0.014191</v>
      </c>
      <c r="J102" s="4">
        <v>0.007719</v>
      </c>
      <c r="K102" s="4">
        <v>0.04774</v>
      </c>
      <c r="L102" s="4">
        <v>0.050016</v>
      </c>
      <c r="M102" s="4">
        <v>0.027978</v>
      </c>
      <c r="N102" s="4">
        <v>0.003425</v>
      </c>
      <c r="O102" s="4">
        <v>-0.042186</v>
      </c>
      <c r="P102" s="4">
        <v>-0.008107</v>
      </c>
      <c r="Q102" s="4">
        <v>-0.009272</v>
      </c>
      <c r="R102" s="4">
        <v>0.00324</v>
      </c>
      <c r="S102" s="4">
        <v>-0.01974</v>
      </c>
      <c r="T102" s="4">
        <v>0.038304</v>
      </c>
      <c r="U102" s="4">
        <v>-0.00924</v>
      </c>
      <c r="V102" s="4">
        <v>0.0442122497142225</v>
      </c>
      <c r="W102" s="4">
        <v>-0.0198576368546592</v>
      </c>
      <c r="X102" s="4">
        <v>0.0</v>
      </c>
      <c r="Y102" s="4">
        <v>0.0067259770979841</v>
      </c>
      <c r="Z102" s="4">
        <v>0.0047087123098821</v>
      </c>
      <c r="AA102" s="4">
        <v>0.0185722555942557</v>
      </c>
      <c r="AB102" s="4">
        <v>-0.0233890482741881</v>
      </c>
      <c r="AC102" s="4">
        <v>0.0</v>
      </c>
      <c r="AD102" s="4">
        <v>0.0</v>
      </c>
      <c r="AE102" s="4">
        <v>0.0223324164338103</v>
      </c>
      <c r="AF102" s="4">
        <v>-0.0252100593141787</v>
      </c>
      <c r="AG102" s="4">
        <v>-1.579056744616E-4</v>
      </c>
      <c r="AH102" s="4">
        <v>-0.0295420699188029</v>
      </c>
      <c r="AI102" s="4">
        <v>0.0051600606183699</v>
      </c>
      <c r="AJ102" s="4">
        <v>0.014827</v>
      </c>
      <c r="AK102" s="4">
        <f>Weights!E158</f>
        <v>0.007194233615</v>
      </c>
      <c r="AL102" s="5">
        <v>0.0186369936685977</v>
      </c>
      <c r="AM102" s="5">
        <v>0.013935326883586</v>
      </c>
      <c r="AN102" s="5">
        <v>0.00790513564464223</v>
      </c>
      <c r="AO102" s="5">
        <v>0.00896699560530223</v>
      </c>
      <c r="AP102" s="6">
        <f t="shared" si="3"/>
        <v>0.9300079459</v>
      </c>
      <c r="AQ102" s="4">
        <f t="shared" si="4"/>
        <v>0.9397500088</v>
      </c>
      <c r="AR102" s="5">
        <f t="shared" si="5"/>
        <v>0.9060306671</v>
      </c>
      <c r="AS102" s="5">
        <f t="shared" ref="AS102:AU102" si="104">AS101*(1+AM102)</f>
        <v>0.9319915252</v>
      </c>
      <c r="AT102" s="5">
        <f t="shared" si="104"/>
        <v>0.9005466382</v>
      </c>
      <c r="AU102" s="5">
        <f t="shared" si="104"/>
        <v>0.8863570982</v>
      </c>
    </row>
    <row r="103" ht="15.75" customHeight="1">
      <c r="A103" s="3">
        <v>43979.0</v>
      </c>
      <c r="B103" s="4">
        <v>0.012375</v>
      </c>
      <c r="C103" s="4">
        <v>0.010519</v>
      </c>
      <c r="D103" s="4">
        <v>-2.39E-4</v>
      </c>
      <c r="E103" s="4">
        <v>0.011314</v>
      </c>
      <c r="F103" s="4">
        <v>0.007704</v>
      </c>
      <c r="G103" s="4">
        <v>0.014356</v>
      </c>
      <c r="H103" s="4">
        <v>0.019053</v>
      </c>
      <c r="I103" s="4">
        <v>0.005597</v>
      </c>
      <c r="J103" s="4">
        <v>0.021923</v>
      </c>
      <c r="K103" s="4">
        <v>-0.038301</v>
      </c>
      <c r="L103" s="4">
        <v>-0.010751</v>
      </c>
      <c r="M103" s="4">
        <v>-0.022551</v>
      </c>
      <c r="N103" s="4">
        <v>-0.006826</v>
      </c>
      <c r="O103" s="4">
        <v>0.033244</v>
      </c>
      <c r="P103" s="4">
        <v>-1.7E-4</v>
      </c>
      <c r="Q103" s="4">
        <v>0.0</v>
      </c>
      <c r="R103" s="4">
        <v>-0.021529</v>
      </c>
      <c r="S103" s="4">
        <v>0.023454</v>
      </c>
      <c r="T103" s="4">
        <v>-0.012761</v>
      </c>
      <c r="U103" s="4">
        <v>0.033465</v>
      </c>
      <c r="V103" s="4">
        <v>-0.0223251234291848</v>
      </c>
      <c r="W103" s="4">
        <v>0.0</v>
      </c>
      <c r="X103" s="4">
        <v>0.0</v>
      </c>
      <c r="Y103" s="4">
        <v>0.0157048801467374</v>
      </c>
      <c r="Z103" s="4">
        <v>0.0090469362240923</v>
      </c>
      <c r="AA103" s="4">
        <v>0.0028490783364993</v>
      </c>
      <c r="AB103" s="4">
        <v>0.022971513664572</v>
      </c>
      <c r="AC103" s="4">
        <v>0.0</v>
      </c>
      <c r="AD103" s="4">
        <v>0.0</v>
      </c>
      <c r="AE103" s="4">
        <v>0.0383042276085372</v>
      </c>
      <c r="AF103" s="4">
        <v>0.0</v>
      </c>
      <c r="AG103" s="4">
        <v>0.0</v>
      </c>
      <c r="AH103" s="4">
        <v>0.0</v>
      </c>
      <c r="AI103" s="4">
        <v>0.0018330481694801</v>
      </c>
      <c r="AJ103" s="4">
        <v>-0.002108</v>
      </c>
      <c r="AK103" s="4">
        <f>Weights!E159</f>
        <v>0.002981668595</v>
      </c>
      <c r="AL103" s="5">
        <v>0.0144798122433915</v>
      </c>
      <c r="AM103" s="5">
        <v>0.015792353531806</v>
      </c>
      <c r="AN103" s="5">
        <v>-0.0082791274074202</v>
      </c>
      <c r="AO103" s="5">
        <v>-0.00789983316217091</v>
      </c>
      <c r="AP103" s="6">
        <f t="shared" si="3"/>
        <v>0.9327809214</v>
      </c>
      <c r="AQ103" s="4">
        <f t="shared" si="4"/>
        <v>0.9377690158</v>
      </c>
      <c r="AR103" s="5">
        <f t="shared" si="5"/>
        <v>0.919149821</v>
      </c>
      <c r="AS103" s="5">
        <f t="shared" ref="AS103:AU103" si="105">AS102*(1+AM103)</f>
        <v>0.9467098648</v>
      </c>
      <c r="AT103" s="5">
        <f t="shared" si="105"/>
        <v>0.8930908979</v>
      </c>
      <c r="AU103" s="5">
        <f t="shared" si="105"/>
        <v>0.879355025</v>
      </c>
    </row>
    <row r="104" ht="15.75" customHeight="1">
      <c r="A104" s="3">
        <v>43980.0</v>
      </c>
      <c r="B104" s="4">
        <v>0.010477</v>
      </c>
      <c r="C104" s="4">
        <v>0.029792</v>
      </c>
      <c r="D104" s="4">
        <v>0.002632</v>
      </c>
      <c r="E104" s="4">
        <v>-0.005594</v>
      </c>
      <c r="F104" s="4">
        <v>-0.008707</v>
      </c>
      <c r="G104" s="4">
        <v>0.012111</v>
      </c>
      <c r="H104" s="4">
        <v>-0.001206</v>
      </c>
      <c r="I104" s="4">
        <v>0.003401</v>
      </c>
      <c r="J104" s="4">
        <v>-0.008529</v>
      </c>
      <c r="K104" s="4">
        <v>-0.020371</v>
      </c>
      <c r="L104" s="4">
        <v>-0.021132</v>
      </c>
      <c r="M104" s="4">
        <v>-0.012729</v>
      </c>
      <c r="N104" s="4">
        <v>-0.014891</v>
      </c>
      <c r="O104" s="4">
        <v>0.012593</v>
      </c>
      <c r="P104" s="4">
        <v>-0.004257</v>
      </c>
      <c r="Q104" s="4">
        <v>0.032086</v>
      </c>
      <c r="R104" s="4">
        <v>-0.0022</v>
      </c>
      <c r="S104" s="4">
        <v>-0.00463</v>
      </c>
      <c r="T104" s="4">
        <v>-0.006816</v>
      </c>
      <c r="U104" s="4">
        <v>-0.001593</v>
      </c>
      <c r="V104" s="4">
        <v>0.00551185296408629</v>
      </c>
      <c r="W104" s="4">
        <v>0.0323649728650456</v>
      </c>
      <c r="X104" s="4">
        <v>0.0</v>
      </c>
      <c r="Y104" s="4">
        <v>0.00615093709788</v>
      </c>
      <c r="Z104" s="4">
        <v>0.0117874784440705</v>
      </c>
      <c r="AA104" s="4">
        <v>0.0134468102049922</v>
      </c>
      <c r="AB104" s="4">
        <v>0.0568560675438545</v>
      </c>
      <c r="AC104" s="4">
        <v>0.0</v>
      </c>
      <c r="AD104" s="4">
        <v>0.0</v>
      </c>
      <c r="AE104" s="4">
        <v>-0.0277595622828179</v>
      </c>
      <c r="AF104" s="4">
        <v>0.046046978481246</v>
      </c>
      <c r="AG104" s="4">
        <v>0.0206852049287773</v>
      </c>
      <c r="AH104" s="4">
        <v>0.0624048831898664</v>
      </c>
      <c r="AI104" s="4">
        <v>0.0018301079757498</v>
      </c>
      <c r="AJ104" s="4">
        <v>0.004812</v>
      </c>
      <c r="AK104" s="4">
        <f>Weights!E160</f>
        <v>0.006745775479</v>
      </c>
      <c r="AL104" s="5">
        <v>0.0018810480085365</v>
      </c>
      <c r="AM104" s="5">
        <v>-0.00344757963611663</v>
      </c>
      <c r="AN104" s="5">
        <v>0.00297090657578658</v>
      </c>
      <c r="AO104" s="5">
        <v>0.00132703719825655</v>
      </c>
      <c r="AP104" s="6">
        <f t="shared" si="3"/>
        <v>0.9390732521</v>
      </c>
      <c r="AQ104" s="4">
        <f t="shared" si="4"/>
        <v>0.9422815603</v>
      </c>
      <c r="AR104" s="5">
        <f t="shared" si="5"/>
        <v>0.920878786</v>
      </c>
      <c r="AS104" s="5">
        <f t="shared" ref="AS104:AU104" si="106">AS103*(1+AM104)</f>
        <v>0.9434460072</v>
      </c>
      <c r="AT104" s="5">
        <f t="shared" si="106"/>
        <v>0.8957441875</v>
      </c>
      <c r="AU104" s="5">
        <f t="shared" si="106"/>
        <v>0.8805219618</v>
      </c>
    </row>
    <row r="105" ht="15.75" customHeight="1">
      <c r="A105" s="3">
        <v>43983.0</v>
      </c>
      <c r="B105" s="4">
        <v>0.013825</v>
      </c>
      <c r="C105" s="4">
        <v>-0.027884</v>
      </c>
      <c r="D105" s="4">
        <v>-0.007876</v>
      </c>
      <c r="E105" s="4">
        <v>0.010946</v>
      </c>
      <c r="F105" s="4">
        <v>0.006641</v>
      </c>
      <c r="G105" s="4">
        <v>-0.010487</v>
      </c>
      <c r="H105" s="4">
        <v>0.011473</v>
      </c>
      <c r="I105" s="4">
        <v>0.016641</v>
      </c>
      <c r="J105" s="4">
        <v>0.021376</v>
      </c>
      <c r="K105" s="4">
        <v>0.033879</v>
      </c>
      <c r="L105" s="4">
        <v>0.038396</v>
      </c>
      <c r="M105" s="4">
        <v>0.02498</v>
      </c>
      <c r="N105" s="4">
        <v>0.026453</v>
      </c>
      <c r="O105" s="4">
        <v>0.001865</v>
      </c>
      <c r="P105" s="4">
        <v>0.034548</v>
      </c>
      <c r="Q105" s="4">
        <v>0.024611</v>
      </c>
      <c r="R105" s="4">
        <v>0.029769</v>
      </c>
      <c r="S105" s="4">
        <v>0.017442</v>
      </c>
      <c r="T105" s="4">
        <v>0.004733</v>
      </c>
      <c r="U105" s="4">
        <v>0.003509</v>
      </c>
      <c r="V105" s="4">
        <v>0.0242758297510699</v>
      </c>
      <c r="W105" s="4">
        <v>0.0307329601972035</v>
      </c>
      <c r="X105" s="4">
        <v>0.0</v>
      </c>
      <c r="Y105" s="4">
        <v>0.0070470121704471</v>
      </c>
      <c r="Z105" s="4">
        <v>0.0127538826745894</v>
      </c>
      <c r="AA105" s="4">
        <v>0.0071014876304351</v>
      </c>
      <c r="AB105" s="4">
        <v>0.0149189332546793</v>
      </c>
      <c r="AC105" s="4">
        <v>0.0</v>
      </c>
      <c r="AD105" s="4">
        <v>0.0</v>
      </c>
      <c r="AE105" s="4">
        <v>0.0337365640548728</v>
      </c>
      <c r="AF105" s="4">
        <v>0.0216080191961616</v>
      </c>
      <c r="AG105" s="4">
        <v>0.0205756640615313</v>
      </c>
      <c r="AH105" s="4">
        <v>-0.025787974669222</v>
      </c>
      <c r="AI105" s="4">
        <v>-0.0013696090099746</v>
      </c>
      <c r="AJ105" s="4">
        <v>0.003751</v>
      </c>
      <c r="AK105" s="4">
        <f>Weights!E161</f>
        <v>0.0132522361</v>
      </c>
      <c r="AL105" s="5">
        <v>0.00165636853038741</v>
      </c>
      <c r="AM105" s="5">
        <v>0.00332901583595091</v>
      </c>
      <c r="AN105" s="5">
        <v>0.0110523183360742</v>
      </c>
      <c r="AO105" s="5">
        <v>0.0115974158573244</v>
      </c>
      <c r="AP105" s="6">
        <f t="shared" si="3"/>
        <v>0.9515180726</v>
      </c>
      <c r="AQ105" s="4">
        <f t="shared" si="4"/>
        <v>0.9458160584</v>
      </c>
      <c r="AR105" s="5">
        <f t="shared" si="5"/>
        <v>0.9224041006</v>
      </c>
      <c r="AS105" s="5">
        <f t="shared" ref="AS105:AU105" si="107">AS104*(1+AM105)</f>
        <v>0.9465867539</v>
      </c>
      <c r="AT105" s="5">
        <f t="shared" si="107"/>
        <v>0.9056442374</v>
      </c>
      <c r="AU105" s="5">
        <f t="shared" si="107"/>
        <v>0.8907337412</v>
      </c>
    </row>
    <row r="106" ht="15.75" customHeight="1">
      <c r="A106" s="3">
        <v>43984.0</v>
      </c>
      <c r="B106" s="4">
        <v>0.021023</v>
      </c>
      <c r="C106" s="4">
        <v>0.011115</v>
      </c>
      <c r="D106" s="4">
        <v>0.016117</v>
      </c>
      <c r="E106" s="4">
        <v>-0.002707</v>
      </c>
      <c r="F106" s="4">
        <v>-0.001915</v>
      </c>
      <c r="G106" s="4">
        <v>0.007202</v>
      </c>
      <c r="H106" s="4">
        <v>0.006908</v>
      </c>
      <c r="I106" s="4">
        <v>0.010003</v>
      </c>
      <c r="J106" s="4">
        <v>-0.003829</v>
      </c>
      <c r="K106" s="4">
        <v>0.016497</v>
      </c>
      <c r="L106" s="4">
        <v>0.029552</v>
      </c>
      <c r="M106" s="4">
        <v>0.03066</v>
      </c>
      <c r="N106" s="4">
        <v>0.030869</v>
      </c>
      <c r="O106" s="4">
        <v>-0.008441</v>
      </c>
      <c r="P106" s="4">
        <v>-0.033394</v>
      </c>
      <c r="Q106" s="4">
        <v>-0.017699</v>
      </c>
      <c r="R106" s="4">
        <v>0.043897</v>
      </c>
      <c r="S106" s="4">
        <v>-0.047086</v>
      </c>
      <c r="T106" s="4">
        <v>0.018135</v>
      </c>
      <c r="U106" s="4">
        <v>0.004133</v>
      </c>
      <c r="V106" s="4">
        <v>0.0596331875376947</v>
      </c>
      <c r="W106" s="4">
        <v>0.0250270452093488</v>
      </c>
      <c r="X106" s="4">
        <v>0.0</v>
      </c>
      <c r="Y106" s="4">
        <v>0.0035408799980471</v>
      </c>
      <c r="Z106" s="4">
        <v>-0.0077737915287714</v>
      </c>
      <c r="AA106" s="4">
        <v>0.0204119152740398</v>
      </c>
      <c r="AB106" s="4">
        <v>8.905795652531E-4</v>
      </c>
      <c r="AC106" s="4">
        <v>0.0</v>
      </c>
      <c r="AD106" s="4">
        <v>0.0</v>
      </c>
      <c r="AE106" s="4">
        <v>0.021691551843622</v>
      </c>
      <c r="AF106" s="4">
        <v>-0.0174126541955396</v>
      </c>
      <c r="AG106" s="4">
        <v>0.0089433418995392</v>
      </c>
      <c r="AH106" s="4">
        <v>0.0367646704340891</v>
      </c>
      <c r="AI106" s="4">
        <v>-0.0027441120430575</v>
      </c>
      <c r="AJ106" s="4">
        <v>0.008211</v>
      </c>
      <c r="AK106" s="4">
        <f>Weights!E162</f>
        <v>0.01065716887</v>
      </c>
      <c r="AL106" s="5">
        <v>0.0105843058530068</v>
      </c>
      <c r="AM106" s="5">
        <v>0.00676621219180262</v>
      </c>
      <c r="AN106" s="5">
        <v>0.00612163226612261</v>
      </c>
      <c r="AO106" s="5">
        <v>0.00393025471479702</v>
      </c>
      <c r="AP106" s="6">
        <f t="shared" si="3"/>
        <v>0.9616585613</v>
      </c>
      <c r="AQ106" s="4">
        <f t="shared" si="4"/>
        <v>0.9535821541</v>
      </c>
      <c r="AR106" s="5">
        <f t="shared" si="5"/>
        <v>0.9321671077</v>
      </c>
      <c r="AS106" s="5">
        <f t="shared" ref="AS106:AU106" si="108">AS105*(1+AM106)</f>
        <v>0.9529915607</v>
      </c>
      <c r="AT106" s="5">
        <f t="shared" si="108"/>
        <v>0.9111882584</v>
      </c>
      <c r="AU106" s="5">
        <f t="shared" si="108"/>
        <v>0.8942345517</v>
      </c>
    </row>
    <row r="107" ht="15.75" customHeight="1">
      <c r="A107" s="3">
        <v>43985.0</v>
      </c>
      <c r="B107" s="4">
        <v>0.012243</v>
      </c>
      <c r="C107" s="4">
        <v>0.007624</v>
      </c>
      <c r="D107" s="4">
        <v>0.013968</v>
      </c>
      <c r="E107" s="4">
        <v>0.001433</v>
      </c>
      <c r="F107" s="4">
        <v>0.021322</v>
      </c>
      <c r="G107" s="4">
        <v>0.002698</v>
      </c>
      <c r="H107" s="4">
        <v>0.003981</v>
      </c>
      <c r="I107" s="4">
        <v>-0.001201</v>
      </c>
      <c r="J107" s="4">
        <v>0.026134</v>
      </c>
      <c r="K107" s="4">
        <v>0.028902</v>
      </c>
      <c r="L107" s="4">
        <v>0.008799</v>
      </c>
      <c r="M107" s="4">
        <v>0.04119</v>
      </c>
      <c r="N107" s="4">
        <v>0.043681</v>
      </c>
      <c r="O107" s="4">
        <v>0.012832</v>
      </c>
      <c r="P107" s="4">
        <v>-0.037626</v>
      </c>
      <c r="Q107" s="4">
        <v>-0.032175</v>
      </c>
      <c r="R107" s="4">
        <v>0.04</v>
      </c>
      <c r="S107" s="4">
        <v>-0.058287</v>
      </c>
      <c r="T107" s="4">
        <v>0.020125</v>
      </c>
      <c r="U107" s="4">
        <v>0.002744</v>
      </c>
      <c r="V107" s="4">
        <v>-0.0757576827364941</v>
      </c>
      <c r="W107" s="4">
        <v>-0.0066588789658507</v>
      </c>
      <c r="X107" s="4">
        <v>0.0</v>
      </c>
      <c r="Y107" s="4">
        <v>-0.0036126440638507</v>
      </c>
      <c r="Z107" s="4">
        <v>-0.0022554811960405</v>
      </c>
      <c r="AA107" s="4">
        <v>-0.0045461638761036</v>
      </c>
      <c r="AB107" s="4">
        <v>-0.0022251282536144</v>
      </c>
      <c r="AC107" s="4">
        <v>0.0</v>
      </c>
      <c r="AD107" s="4">
        <v>0.0</v>
      </c>
      <c r="AE107" s="4">
        <v>-0.0134393842005259</v>
      </c>
      <c r="AF107" s="4">
        <v>-0.0328393978609079</v>
      </c>
      <c r="AG107" s="4">
        <v>-0.0148738675042217</v>
      </c>
      <c r="AH107" s="4">
        <v>-0.0808510393655292</v>
      </c>
      <c r="AI107" s="4">
        <v>0.0059611242475898</v>
      </c>
      <c r="AJ107" s="4">
        <v>0.013649</v>
      </c>
      <c r="AK107" s="4">
        <f>Weights!E163</f>
        <v>-0.003687530133</v>
      </c>
      <c r="AL107" s="5">
        <v>0.0089462407310672</v>
      </c>
      <c r="AM107" s="5">
        <v>0.00756043214489299</v>
      </c>
      <c r="AN107" s="5">
        <v>0.00869195255523958</v>
      </c>
      <c r="AO107" s="5">
        <v>0.00880915802770521</v>
      </c>
      <c r="AP107" s="6">
        <f t="shared" si="3"/>
        <v>0.9581124164</v>
      </c>
      <c r="AQ107" s="4">
        <f t="shared" si="4"/>
        <v>0.9665975969</v>
      </c>
      <c r="AR107" s="5">
        <f t="shared" si="5"/>
        <v>0.9405064991</v>
      </c>
      <c r="AS107" s="5">
        <f t="shared" ref="AS107:AU107" si="109">AS106*(1+AM107)</f>
        <v>0.9601965888</v>
      </c>
      <c r="AT107" s="5">
        <f t="shared" si="109"/>
        <v>0.9191082635</v>
      </c>
      <c r="AU107" s="5">
        <f t="shared" si="109"/>
        <v>0.9021120051</v>
      </c>
    </row>
    <row r="108" ht="15.75" customHeight="1">
      <c r="A108" s="3">
        <v>43986.0</v>
      </c>
      <c r="B108" s="4">
        <v>0.001649</v>
      </c>
      <c r="C108" s="4">
        <v>0.006863</v>
      </c>
      <c r="D108" s="4">
        <v>0.002101</v>
      </c>
      <c r="E108" s="4">
        <v>-0.009242</v>
      </c>
      <c r="F108" s="4">
        <v>4.17E-4</v>
      </c>
      <c r="G108" s="4">
        <v>-0.012916</v>
      </c>
      <c r="H108" s="4">
        <v>-0.020923</v>
      </c>
      <c r="I108" s="4">
        <v>-0.016827</v>
      </c>
      <c r="J108" s="4">
        <v>-0.014732</v>
      </c>
      <c r="K108" s="4">
        <v>-6.48E-4</v>
      </c>
      <c r="L108" s="4">
        <v>0.007149</v>
      </c>
      <c r="M108" s="4">
        <v>0.003663</v>
      </c>
      <c r="N108" s="4">
        <v>-0.004475</v>
      </c>
      <c r="O108" s="4">
        <v>-0.00618</v>
      </c>
      <c r="P108" s="4">
        <v>-0.002142</v>
      </c>
      <c r="Q108" s="4">
        <v>-0.00266</v>
      </c>
      <c r="R108" s="4">
        <v>0.005917</v>
      </c>
      <c r="S108" s="4">
        <v>-0.007387</v>
      </c>
      <c r="T108" s="4">
        <v>0.012245</v>
      </c>
      <c r="U108" s="4">
        <v>-0.014313</v>
      </c>
      <c r="V108" s="4">
        <v>0.106947719549606</v>
      </c>
      <c r="W108" s="4">
        <v>-9.409332103612E-4</v>
      </c>
      <c r="X108" s="4">
        <v>0.0069322669026834</v>
      </c>
      <c r="Y108" s="4">
        <v>-0.008094427677273</v>
      </c>
      <c r="Z108" s="4">
        <v>-0.0195883258728573</v>
      </c>
      <c r="AA108" s="4">
        <v>-9.133133866455E-4</v>
      </c>
      <c r="AB108" s="4">
        <v>0.0199255320099507</v>
      </c>
      <c r="AC108" s="4">
        <v>-0.0020877050419128</v>
      </c>
      <c r="AD108" s="4">
        <v>0.0050251006957504</v>
      </c>
      <c r="AE108" s="4">
        <v>-0.0240561313043728</v>
      </c>
      <c r="AF108" s="4">
        <v>0.0393374539621986</v>
      </c>
      <c r="AG108" s="4">
        <v>0.0010675452994379</v>
      </c>
      <c r="AH108" s="4">
        <v>0.0216049360004326</v>
      </c>
      <c r="AI108" s="4">
        <v>9.113047858495E-4</v>
      </c>
      <c r="AJ108" s="4">
        <v>-0.003369</v>
      </c>
      <c r="AK108" s="4">
        <f>Weights!E164</f>
        <v>0.003443630938</v>
      </c>
      <c r="AL108" s="5">
        <v>0.0158953174628111</v>
      </c>
      <c r="AM108" s="5">
        <v>0.0155848934851099</v>
      </c>
      <c r="AN108" s="5">
        <v>-8.61762172958857E-4</v>
      </c>
      <c r="AO108" s="5">
        <v>-3.23336517762395E-4</v>
      </c>
      <c r="AP108" s="6">
        <f t="shared" si="3"/>
        <v>0.961411802</v>
      </c>
      <c r="AQ108" s="4">
        <f t="shared" si="4"/>
        <v>0.9633411296</v>
      </c>
      <c r="AR108" s="5">
        <f t="shared" si="5"/>
        <v>0.9554561485</v>
      </c>
      <c r="AS108" s="5">
        <f t="shared" ref="AS108:AU108" si="110">AS107*(1+AM108)</f>
        <v>0.9751611503</v>
      </c>
      <c r="AT108" s="5">
        <f t="shared" si="110"/>
        <v>0.9183162108</v>
      </c>
      <c r="AU108" s="5">
        <f t="shared" si="110"/>
        <v>0.9018203194</v>
      </c>
    </row>
    <row r="109" ht="15.75" customHeight="1">
      <c r="A109" s="3">
        <v>43987.0</v>
      </c>
      <c r="B109" s="4">
        <v>0.018112</v>
      </c>
      <c r="C109" s="4">
        <v>0.009088</v>
      </c>
      <c r="D109" s="4">
        <v>0.01794</v>
      </c>
      <c r="E109" s="4">
        <v>0.014322</v>
      </c>
      <c r="F109" s="4">
        <v>0.024416</v>
      </c>
      <c r="G109" s="4">
        <v>0.003885</v>
      </c>
      <c r="H109" s="4">
        <v>0.019647</v>
      </c>
      <c r="I109" s="4">
        <v>0.018949</v>
      </c>
      <c r="J109" s="4">
        <v>0.014952</v>
      </c>
      <c r="K109" s="4">
        <v>0.045838</v>
      </c>
      <c r="L109" s="4">
        <v>0.021011</v>
      </c>
      <c r="M109" s="4">
        <v>0.061314</v>
      </c>
      <c r="N109" s="4">
        <v>0.038075</v>
      </c>
      <c r="O109" s="4">
        <v>1.87E-4</v>
      </c>
      <c r="P109" s="4">
        <v>-0.020394</v>
      </c>
      <c r="Q109" s="4">
        <v>-0.024</v>
      </c>
      <c r="R109" s="4">
        <v>0.064706</v>
      </c>
      <c r="S109" s="4">
        <v>-0.031306</v>
      </c>
      <c r="T109" s="4">
        <v>0.018593</v>
      </c>
      <c r="U109" s="4">
        <v>0.049221</v>
      </c>
      <c r="V109" s="4">
        <v>-0.0493652338905966</v>
      </c>
      <c r="W109" s="4">
        <v>0.0357859548704908</v>
      </c>
      <c r="X109" s="4">
        <v>0.0051636059377528</v>
      </c>
      <c r="Y109" s="4">
        <v>0.0066303471254751</v>
      </c>
      <c r="Z109" s="4">
        <v>0.0099306145818127</v>
      </c>
      <c r="AA109" s="4">
        <v>7.313725220747E-4</v>
      </c>
      <c r="AB109" s="4">
        <v>0.0276538466946363</v>
      </c>
      <c r="AC109" s="4">
        <v>0.0</v>
      </c>
      <c r="AD109" s="4">
        <v>-0.00299989115668</v>
      </c>
      <c r="AE109" s="4">
        <v>-0.0257627723098382</v>
      </c>
      <c r="AF109" s="4">
        <v>0.0258963663575468</v>
      </c>
      <c r="AG109" s="4">
        <v>0.0182814917500848</v>
      </c>
      <c r="AH109" s="4">
        <v>0.0271903423908683</v>
      </c>
      <c r="AI109" s="4">
        <v>0.0022768569037545</v>
      </c>
      <c r="AJ109" s="4">
        <v>0.026212</v>
      </c>
      <c r="AK109" s="4">
        <f>Weights!E165</f>
        <v>0.01383310658</v>
      </c>
      <c r="AL109" s="5">
        <v>-0.00383202057184428</v>
      </c>
      <c r="AM109" s="5">
        <v>-0.00315751912207828</v>
      </c>
      <c r="AN109" s="5">
        <v>-0.00819332784741955</v>
      </c>
      <c r="AO109" s="5">
        <v>-0.00614681360372482</v>
      </c>
      <c r="AP109" s="6">
        <f t="shared" si="3"/>
        <v>0.9747111139</v>
      </c>
      <c r="AQ109" s="4">
        <f t="shared" si="4"/>
        <v>0.9885922273</v>
      </c>
      <c r="AR109" s="5">
        <f t="shared" si="5"/>
        <v>0.9517948209</v>
      </c>
      <c r="AS109" s="5">
        <f t="shared" ref="AS109:AU109" si="111">AS108*(1+AM109)</f>
        <v>0.9720820603</v>
      </c>
      <c r="AT109" s="5">
        <f t="shared" si="111"/>
        <v>0.910792145</v>
      </c>
      <c r="AU109" s="5">
        <f t="shared" si="111"/>
        <v>0.896276998</v>
      </c>
    </row>
    <row r="110" ht="15.75" customHeight="1">
      <c r="A110" s="3">
        <v>43990.0</v>
      </c>
      <c r="B110" s="4">
        <v>0.025337</v>
      </c>
      <c r="C110" s="4">
        <v>0.006062</v>
      </c>
      <c r="D110" s="4">
        <v>0.017166</v>
      </c>
      <c r="E110" s="4">
        <v>-0.001737</v>
      </c>
      <c r="F110" s="4">
        <v>0.015482</v>
      </c>
      <c r="G110" s="4">
        <v>-0.003598</v>
      </c>
      <c r="H110" s="4">
        <v>0.006085</v>
      </c>
      <c r="I110" s="4">
        <v>0.016797</v>
      </c>
      <c r="J110" s="4">
        <v>0.006242</v>
      </c>
      <c r="K110" s="4">
        <v>0.016539</v>
      </c>
      <c r="L110" s="4">
        <v>-4.17E-4</v>
      </c>
      <c r="M110" s="4">
        <v>0.034388</v>
      </c>
      <c r="N110" s="4">
        <v>0.0</v>
      </c>
      <c r="O110" s="4">
        <v>0.012373</v>
      </c>
      <c r="P110" s="4">
        <v>0.014244</v>
      </c>
      <c r="Q110" s="4">
        <v>-0.008197</v>
      </c>
      <c r="R110" s="4">
        <v>0.035912</v>
      </c>
      <c r="S110" s="4">
        <v>0.004238</v>
      </c>
      <c r="T110" s="4">
        <v>4.4E-4</v>
      </c>
      <c r="U110" s="4">
        <v>-0.019843</v>
      </c>
      <c r="V110" s="4">
        <v>-0.0452521910521224</v>
      </c>
      <c r="W110" s="4">
        <v>0.0257982174984787</v>
      </c>
      <c r="X110" s="4">
        <v>-0.0102741601610923</v>
      </c>
      <c r="Y110" s="4">
        <v>0.0202669709047524</v>
      </c>
      <c r="Z110" s="4">
        <v>0.0291191813622773</v>
      </c>
      <c r="AA110" s="4">
        <v>0.0193677905698113</v>
      </c>
      <c r="AB110" s="4">
        <v>0.0338542384761839</v>
      </c>
      <c r="AC110" s="4">
        <v>-0.0094142247647696</v>
      </c>
      <c r="AD110" s="4">
        <v>-0.0020061022480228</v>
      </c>
      <c r="AE110" s="4">
        <v>-6.860384540192E-4</v>
      </c>
      <c r="AF110" s="4">
        <v>0.0383496277399495</v>
      </c>
      <c r="AG110" s="4">
        <v>1.495709142995E-4</v>
      </c>
      <c r="AH110" s="4">
        <v>0.119117602329559</v>
      </c>
      <c r="AI110" s="4">
        <v>9.086122055432E-4</v>
      </c>
      <c r="AJ110" s="4">
        <v>0.012042</v>
      </c>
      <c r="AK110" s="4">
        <f>Weights!E166</f>
        <v>0.01325521328</v>
      </c>
      <c r="AL110" s="5">
        <v>0.0228658965360042</v>
      </c>
      <c r="AM110" s="5">
        <v>0.0256574066012076</v>
      </c>
      <c r="AN110" s="5">
        <v>0.00521749700622486</v>
      </c>
      <c r="AO110" s="5">
        <v>0.00455726257184574</v>
      </c>
      <c r="AP110" s="6">
        <f t="shared" si="3"/>
        <v>0.9876311176</v>
      </c>
      <c r="AQ110" s="4">
        <f t="shared" si="4"/>
        <v>1.000496855</v>
      </c>
      <c r="AR110" s="5">
        <f t="shared" si="5"/>
        <v>0.9735584627</v>
      </c>
      <c r="AS110" s="5">
        <f t="shared" ref="AS110:AU110" si="112">AS109*(1+AM110)</f>
        <v>0.997023165</v>
      </c>
      <c r="AT110" s="5">
        <f t="shared" si="112"/>
        <v>0.9155442003</v>
      </c>
      <c r="AU110" s="5">
        <f t="shared" si="112"/>
        <v>0.9003615676</v>
      </c>
    </row>
    <row r="111" ht="15.75" customHeight="1">
      <c r="A111" s="3">
        <v>43991.0</v>
      </c>
      <c r="B111" s="4">
        <v>-0.038601</v>
      </c>
      <c r="C111" s="4">
        <v>-0.003959</v>
      </c>
      <c r="D111" s="4">
        <v>-0.010576</v>
      </c>
      <c r="E111" s="4">
        <v>0.005748</v>
      </c>
      <c r="F111" s="4">
        <v>-0.017051</v>
      </c>
      <c r="G111" s="4">
        <v>-0.005519</v>
      </c>
      <c r="H111" s="4">
        <v>-0.005964</v>
      </c>
      <c r="I111" s="4">
        <v>-0.025959</v>
      </c>
      <c r="J111" s="4">
        <v>-0.018362</v>
      </c>
      <c r="K111" s="4">
        <v>-0.015457</v>
      </c>
      <c r="L111" s="4">
        <v>-0.017249</v>
      </c>
      <c r="M111" s="4">
        <v>-0.009973</v>
      </c>
      <c r="N111" s="4">
        <v>-0.017575</v>
      </c>
      <c r="O111" s="4">
        <v>-0.008229</v>
      </c>
      <c r="P111" s="4">
        <v>0.029348</v>
      </c>
      <c r="Q111" s="4">
        <v>0.061983</v>
      </c>
      <c r="R111" s="4">
        <v>0.001778</v>
      </c>
      <c r="S111" s="4">
        <v>0.007122</v>
      </c>
      <c r="T111" s="4">
        <v>-0.027259</v>
      </c>
      <c r="U111" s="4">
        <v>-0.015885</v>
      </c>
      <c r="V111" s="4">
        <v>-0.0147631214043256</v>
      </c>
      <c r="W111" s="4">
        <v>-0.0137378899444028</v>
      </c>
      <c r="X111" s="4">
        <v>0.0051904071549575</v>
      </c>
      <c r="Y111" s="4">
        <v>-0.0050487049534488</v>
      </c>
      <c r="Z111" s="4">
        <v>-0.0067113965455702</v>
      </c>
      <c r="AA111" s="4">
        <v>-0.0089622109915652</v>
      </c>
      <c r="AB111" s="4">
        <v>-0.003358724912255</v>
      </c>
      <c r="AC111" s="4">
        <v>-0.0052798877312835</v>
      </c>
      <c r="AD111" s="4">
        <v>0.004019915171745</v>
      </c>
      <c r="AE111" s="4">
        <v>0.0025165306255143</v>
      </c>
      <c r="AF111" s="4">
        <v>-0.0280505865110175</v>
      </c>
      <c r="AG111" s="4">
        <v>-0.0047866793970584</v>
      </c>
      <c r="AH111" s="4">
        <v>0.0775295886942595</v>
      </c>
      <c r="AI111" s="4">
        <v>9.080952773403E-4</v>
      </c>
      <c r="AJ111" s="4">
        <v>-0.007799</v>
      </c>
      <c r="AK111" s="4">
        <f>Weights!E167</f>
        <v>-0.002968243554</v>
      </c>
      <c r="AL111" s="5">
        <v>0.0122218477884237</v>
      </c>
      <c r="AM111" s="5">
        <v>0.0135886292522664</v>
      </c>
      <c r="AN111" s="5">
        <v>0.0125430538245294</v>
      </c>
      <c r="AO111" s="5">
        <v>0.00972132182079166</v>
      </c>
      <c r="AP111" s="6">
        <f t="shared" si="3"/>
        <v>0.9846995879</v>
      </c>
      <c r="AQ111" s="4">
        <f t="shared" si="4"/>
        <v>0.9926939799</v>
      </c>
      <c r="AR111" s="5">
        <f t="shared" si="5"/>
        <v>0.9854571461</v>
      </c>
      <c r="AS111" s="5">
        <f t="shared" ref="AS111:AU111" si="113">AS110*(1+AM111)</f>
        <v>1.010571343</v>
      </c>
      <c r="AT111" s="5">
        <f t="shared" si="113"/>
        <v>0.9270279205</v>
      </c>
      <c r="AU111" s="5">
        <f t="shared" si="113"/>
        <v>0.9091142721</v>
      </c>
    </row>
    <row r="112" ht="15.75" customHeight="1">
      <c r="A112" s="3">
        <v>43992.0</v>
      </c>
      <c r="B112" s="4">
        <v>-0.011062</v>
      </c>
      <c r="C112" s="4">
        <v>0.003284</v>
      </c>
      <c r="D112" s="4">
        <v>4.55E-4</v>
      </c>
      <c r="E112" s="4">
        <v>0.008724</v>
      </c>
      <c r="F112" s="4">
        <v>-0.007755</v>
      </c>
      <c r="G112" s="4">
        <v>0.012606</v>
      </c>
      <c r="H112" s="4">
        <v>0.007521</v>
      </c>
      <c r="I112" s="4">
        <v>-0.022714</v>
      </c>
      <c r="J112" s="4">
        <v>-0.008342</v>
      </c>
      <c r="K112" s="4">
        <v>-0.018385</v>
      </c>
      <c r="L112" s="4">
        <v>-0.01288</v>
      </c>
      <c r="M112" s="4">
        <v>-0.010746</v>
      </c>
      <c r="N112" s="4">
        <v>-0.009074</v>
      </c>
      <c r="O112" s="4">
        <v>0.031024</v>
      </c>
      <c r="P112" s="4">
        <v>0.027287</v>
      </c>
      <c r="Q112" s="4">
        <v>0.038911</v>
      </c>
      <c r="R112" s="4">
        <v>0.017746</v>
      </c>
      <c r="S112" s="4">
        <v>0.055788</v>
      </c>
      <c r="T112" s="4">
        <v>-0.00339</v>
      </c>
      <c r="U112" s="4">
        <v>6.33E-4</v>
      </c>
      <c r="V112" s="4">
        <v>-0.0244479358322117</v>
      </c>
      <c r="W112" s="4">
        <v>0.0479666281658364</v>
      </c>
      <c r="X112" s="4">
        <v>0.0</v>
      </c>
      <c r="Y112" s="4">
        <v>0.0172197193828678</v>
      </c>
      <c r="Z112" s="4">
        <v>0.0234193264324318</v>
      </c>
      <c r="AA112" s="4">
        <v>0.0019895151114395</v>
      </c>
      <c r="AB112" s="4">
        <v>0.0244316696084201</v>
      </c>
      <c r="AC112" s="4">
        <v>0.0</v>
      </c>
      <c r="AD112" s="4">
        <v>0.0</v>
      </c>
      <c r="AE112" s="4">
        <v>-0.0044881546687145</v>
      </c>
      <c r="AF112" s="4">
        <v>0.0644540829359923</v>
      </c>
      <c r="AG112" s="4">
        <v>0.0273560654797728</v>
      </c>
      <c r="AH112" s="4">
        <v>0.102439014816624</v>
      </c>
      <c r="AI112" s="4">
        <v>-0.0031748346213859</v>
      </c>
      <c r="AJ112" s="4">
        <v>-0.005313</v>
      </c>
      <c r="AK112" s="4">
        <f>Weights!E168</f>
        <v>0.01033186402</v>
      </c>
      <c r="AL112" s="5">
        <v>-0.00928788628761512</v>
      </c>
      <c r="AM112" s="5">
        <v>-0.00914094163460377</v>
      </c>
      <c r="AN112" s="5">
        <v>0.0106791560555183</v>
      </c>
      <c r="AO112" s="5">
        <v>0.0121952068792812</v>
      </c>
      <c r="AP112" s="6">
        <f t="shared" si="3"/>
        <v>0.9948733701</v>
      </c>
      <c r="AQ112" s="4">
        <f t="shared" si="4"/>
        <v>0.9874197968</v>
      </c>
      <c r="AR112" s="5">
        <f t="shared" si="5"/>
        <v>0.9763043322</v>
      </c>
      <c r="AS112" s="5">
        <f t="shared" ref="AS112:AU112" si="114">AS111*(1+AM112)</f>
        <v>1.001333769</v>
      </c>
      <c r="AT112" s="5">
        <f t="shared" si="114"/>
        <v>0.9369277963</v>
      </c>
      <c r="AU112" s="5">
        <f t="shared" si="114"/>
        <v>0.9202011088</v>
      </c>
    </row>
    <row r="113" ht="15.75" customHeight="1">
      <c r="A113" s="3">
        <v>43993.0</v>
      </c>
      <c r="B113" s="4">
        <v>-0.054251</v>
      </c>
      <c r="C113" s="4">
        <v>-0.027562</v>
      </c>
      <c r="D113" s="4">
        <v>-0.025915</v>
      </c>
      <c r="E113" s="4">
        <v>-0.046895</v>
      </c>
      <c r="F113" s="4">
        <v>-0.063348</v>
      </c>
      <c r="G113" s="4">
        <v>-0.046888</v>
      </c>
      <c r="H113" s="4">
        <v>-0.02491</v>
      </c>
      <c r="I113" s="4">
        <v>-0.056709</v>
      </c>
      <c r="J113" s="4">
        <v>-0.055825</v>
      </c>
      <c r="K113" s="4">
        <v>-0.0625</v>
      </c>
      <c r="L113" s="4">
        <v>-0.053771</v>
      </c>
      <c r="M113" s="4">
        <v>-0.06721</v>
      </c>
      <c r="N113" s="4">
        <v>-0.053375</v>
      </c>
      <c r="O113" s="4">
        <v>-0.04985</v>
      </c>
      <c r="P113" s="4">
        <v>-0.045803</v>
      </c>
      <c r="Q113" s="4">
        <v>-0.02372</v>
      </c>
      <c r="R113" s="4">
        <v>-0.136007</v>
      </c>
      <c r="S113" s="4">
        <v>-0.049367</v>
      </c>
      <c r="T113" s="4">
        <v>-0.10068</v>
      </c>
      <c r="U113" s="4">
        <v>-0.057248</v>
      </c>
      <c r="V113" s="4">
        <v>-0.0105093735899119</v>
      </c>
      <c r="W113" s="4">
        <v>5.360960236229E-4</v>
      </c>
      <c r="X113" s="4">
        <v>0.0034070288863234</v>
      </c>
      <c r="Y113" s="4">
        <v>-4.09747994003506E-5</v>
      </c>
      <c r="Z113" s="4">
        <v>-0.0185470690682711</v>
      </c>
      <c r="AA113" s="4">
        <v>-0.0061373937427132</v>
      </c>
      <c r="AB113" s="4">
        <v>0.057976713754184</v>
      </c>
      <c r="AC113" s="4">
        <v>0.0302400610673077</v>
      </c>
      <c r="AD113" s="4">
        <v>-0.0020102529159712</v>
      </c>
      <c r="AE113" s="4">
        <v>-0.0161990119167155</v>
      </c>
      <c r="AF113" s="4">
        <v>-4.519338940154E-4</v>
      </c>
      <c r="AG113" s="4">
        <v>0.0332112523675196</v>
      </c>
      <c r="AH113" s="4">
        <v>-0.0221238730914232</v>
      </c>
      <c r="AI113" s="4">
        <v>0.0063695839994355</v>
      </c>
      <c r="AJ113" s="4">
        <v>-0.058944</v>
      </c>
      <c r="AK113" s="4">
        <f>Weights!E169</f>
        <v>-0.02679716978</v>
      </c>
      <c r="AL113" s="5">
        <v>-0.00364576502212732</v>
      </c>
      <c r="AM113" s="5">
        <v>-0.00744152713887535</v>
      </c>
      <c r="AN113" s="5">
        <v>-0.00464898984057671</v>
      </c>
      <c r="AO113" s="5">
        <v>-0.00317071710102812</v>
      </c>
      <c r="AP113" s="6">
        <f t="shared" si="3"/>
        <v>0.9682135795</v>
      </c>
      <c r="AQ113" s="4">
        <f t="shared" si="4"/>
        <v>0.9292173243</v>
      </c>
      <c r="AR113" s="5">
        <f t="shared" si="5"/>
        <v>0.972744956</v>
      </c>
      <c r="AS113" s="5">
        <f t="shared" ref="AS113:AU113" si="115">AS112*(1+AM113)</f>
        <v>0.9938823171</v>
      </c>
      <c r="AT113" s="5">
        <f t="shared" si="115"/>
        <v>0.9325720285</v>
      </c>
      <c r="AU113" s="5">
        <f t="shared" si="115"/>
        <v>0.9172834114</v>
      </c>
    </row>
    <row r="114" ht="15.75" customHeight="1">
      <c r="A114" s="3">
        <v>43994.0</v>
      </c>
      <c r="B114" s="4">
        <v>0.016558</v>
      </c>
      <c r="C114" s="4">
        <v>0.001417</v>
      </c>
      <c r="D114" s="4">
        <v>0.023104</v>
      </c>
      <c r="E114" s="4">
        <v>0.009074</v>
      </c>
      <c r="F114" s="4">
        <v>0.010321</v>
      </c>
      <c r="G114" s="4">
        <v>0.009086</v>
      </c>
      <c r="H114" s="4">
        <v>-0.005505</v>
      </c>
      <c r="I114" s="4">
        <v>0.018725</v>
      </c>
      <c r="J114" s="4">
        <v>0.019978</v>
      </c>
      <c r="K114" s="4">
        <v>0.030303</v>
      </c>
      <c r="L114" s="4">
        <v>0.019852</v>
      </c>
      <c r="M114" s="4">
        <v>0.005822</v>
      </c>
      <c r="N114" s="4">
        <v>0.018795</v>
      </c>
      <c r="O114" s="4">
        <v>0.01574</v>
      </c>
      <c r="P114" s="4">
        <v>-0.010528</v>
      </c>
      <c r="Q114" s="4">
        <v>-0.043478</v>
      </c>
      <c r="R114" s="4">
        <v>0.058527</v>
      </c>
      <c r="S114" s="4">
        <v>-0.005219</v>
      </c>
      <c r="T114" s="4">
        <v>0.03883</v>
      </c>
      <c r="U114" s="4">
        <v>0.008835</v>
      </c>
      <c r="V114" s="4">
        <v>0.0</v>
      </c>
      <c r="W114" s="4">
        <v>-7.500006417855E-4</v>
      </c>
      <c r="X114" s="4">
        <v>0.0067912588890166</v>
      </c>
      <c r="Y114" s="4">
        <v>0.0106820256849078</v>
      </c>
      <c r="Z114" s="4">
        <v>0.008294255512335</v>
      </c>
      <c r="AA114" s="4">
        <v>-0.0098073160193746</v>
      </c>
      <c r="AB114" s="4">
        <v>-0.006218326878862</v>
      </c>
      <c r="AC114" s="4">
        <v>0.0070848980580526</v>
      </c>
      <c r="AD114" s="4">
        <v>-0.001006855161411</v>
      </c>
      <c r="AE114" s="4">
        <v>0.0043495290708019</v>
      </c>
      <c r="AF114" s="4">
        <v>-0.0307414238687681</v>
      </c>
      <c r="AG114" s="4">
        <v>-0.0177003273298821</v>
      </c>
      <c r="AH114" s="4">
        <v>-0.0622172024263405</v>
      </c>
      <c r="AI114" s="4">
        <v>0.0036165792283526</v>
      </c>
      <c r="AJ114" s="4">
        <v>0.013061</v>
      </c>
      <c r="AK114" s="4">
        <f>Weights!E170</f>
        <v>0.002656121841</v>
      </c>
      <c r="AL114" s="5">
        <v>-0.0567696606264037</v>
      </c>
      <c r="AM114" s="5">
        <v>-0.0589878029016048</v>
      </c>
      <c r="AN114" s="5">
        <v>0.0216559047155497</v>
      </c>
      <c r="AO114" s="5">
        <v>0.0203563473571863</v>
      </c>
      <c r="AP114" s="6">
        <f t="shared" si="3"/>
        <v>0.9707852728</v>
      </c>
      <c r="AQ114" s="4">
        <f t="shared" si="4"/>
        <v>0.9413538318</v>
      </c>
      <c r="AR114" s="5">
        <f t="shared" si="5"/>
        <v>0.917522555</v>
      </c>
      <c r="AS114" s="5">
        <f t="shared" ref="AS114:AU114" si="116">AS113*(1+AM114)</f>
        <v>0.9352553828</v>
      </c>
      <c r="AT114" s="5">
        <f t="shared" si="116"/>
        <v>0.9527677195</v>
      </c>
      <c r="AU114" s="5">
        <f t="shared" si="116"/>
        <v>0.9359559511</v>
      </c>
    </row>
    <row r="115" ht="15.75" customHeight="1">
      <c r="A115" s="3">
        <v>43997.0</v>
      </c>
      <c r="B115" s="4">
        <v>-0.002909</v>
      </c>
      <c r="C115" s="4">
        <v>-0.006722</v>
      </c>
      <c r="D115" s="4">
        <v>-0.032619</v>
      </c>
      <c r="E115" s="4">
        <v>0.011473</v>
      </c>
      <c r="F115" s="4">
        <v>0.015351</v>
      </c>
      <c r="G115" s="4">
        <v>-0.006331</v>
      </c>
      <c r="H115" s="4">
        <v>0.009254</v>
      </c>
      <c r="I115" s="4">
        <v>0.003547</v>
      </c>
      <c r="J115" s="4">
        <v>0.018264</v>
      </c>
      <c r="K115" s="4">
        <v>-0.006754</v>
      </c>
      <c r="L115" s="4">
        <v>0.00104</v>
      </c>
      <c r="M115" s="4">
        <v>-0.007959</v>
      </c>
      <c r="N115" s="4">
        <v>-0.00217</v>
      </c>
      <c r="O115" s="4">
        <v>0.019043</v>
      </c>
      <c r="P115" s="4">
        <v>0.025248</v>
      </c>
      <c r="Q115" s="4">
        <v>0.037433</v>
      </c>
      <c r="R115" s="4">
        <v>-0.001907</v>
      </c>
      <c r="S115" s="4">
        <v>0.050105</v>
      </c>
      <c r="T115" s="4">
        <v>0.017476</v>
      </c>
      <c r="U115" s="4">
        <v>0.012748</v>
      </c>
      <c r="V115" s="4">
        <v>0.0539214677088815</v>
      </c>
      <c r="W115" s="4">
        <v>0.0015009295091437</v>
      </c>
      <c r="X115" s="4">
        <v>0.0016864461250345</v>
      </c>
      <c r="Y115" s="4">
        <v>-0.0088618213260146</v>
      </c>
      <c r="Z115" s="4">
        <v>-0.0159149747342344</v>
      </c>
      <c r="AA115" s="4">
        <v>-0.0058694050616568</v>
      </c>
      <c r="AB115" s="4">
        <v>-0.0426281284403964</v>
      </c>
      <c r="AC115" s="4">
        <v>0.0</v>
      </c>
      <c r="AD115" s="4">
        <v>0.0030242022678614</v>
      </c>
      <c r="AE115" s="4">
        <v>2.318396364988E-4</v>
      </c>
      <c r="AF115" s="4">
        <v>-0.034514733096053</v>
      </c>
      <c r="AG115" s="4">
        <v>-0.0268125781651645</v>
      </c>
      <c r="AH115" s="4">
        <v>-0.0977080468140202</v>
      </c>
      <c r="AI115" s="4">
        <v>0.0027025072667756</v>
      </c>
      <c r="AJ115" s="4">
        <v>0.008312</v>
      </c>
      <c r="AK115" s="4">
        <f>Weights!E171</f>
        <v>-0.003793710927</v>
      </c>
      <c r="AL115" s="5">
        <v>0.0145201353468054</v>
      </c>
      <c r="AM115" s="5">
        <v>0.0138276893479367</v>
      </c>
      <c r="AN115" s="5">
        <v>0.00457197366531469</v>
      </c>
      <c r="AO115" s="5">
        <v>0.00685777196439718</v>
      </c>
      <c r="AP115" s="6">
        <f t="shared" si="3"/>
        <v>0.9671023941</v>
      </c>
      <c r="AQ115" s="4">
        <f t="shared" si="4"/>
        <v>0.9491783648</v>
      </c>
      <c r="AR115" s="5">
        <f t="shared" si="5"/>
        <v>0.9308451066</v>
      </c>
      <c r="AS115" s="5">
        <f t="shared" ref="AS115:AU115" si="117">AS114*(1+AM115)</f>
        <v>0.9481878037</v>
      </c>
      <c r="AT115" s="5">
        <f t="shared" si="117"/>
        <v>0.9571237484</v>
      </c>
      <c r="AU115" s="5">
        <f t="shared" si="117"/>
        <v>0.9423745236</v>
      </c>
    </row>
    <row r="116" ht="15.75" customHeight="1">
      <c r="A116" s="3">
        <v>43998.0</v>
      </c>
      <c r="B116" s="4">
        <v>0.012836</v>
      </c>
      <c r="C116" s="4">
        <v>0.013713</v>
      </c>
      <c r="D116" s="4">
        <v>0.007545</v>
      </c>
      <c r="E116" s="4">
        <v>0.00912</v>
      </c>
      <c r="F116" s="4">
        <v>0.010151</v>
      </c>
      <c r="G116" s="4">
        <v>0.022726</v>
      </c>
      <c r="H116" s="4">
        <v>0.01234</v>
      </c>
      <c r="I116" s="4">
        <v>0.031491</v>
      </c>
      <c r="J116" s="4">
        <v>0.003119</v>
      </c>
      <c r="K116" s="4">
        <v>0.012722</v>
      </c>
      <c r="L116" s="4">
        <v>0.016476</v>
      </c>
      <c r="M116" s="4">
        <v>0.017505</v>
      </c>
      <c r="N116" s="4">
        <v>0.017401</v>
      </c>
      <c r="O116" s="4">
        <v>0.032</v>
      </c>
      <c r="P116" s="4">
        <v>-0.015831</v>
      </c>
      <c r="Q116" s="4">
        <v>-0.041237</v>
      </c>
      <c r="R116" s="4">
        <v>0.029608</v>
      </c>
      <c r="S116" s="4">
        <v>-0.030727</v>
      </c>
      <c r="T116" s="4">
        <v>0.063693</v>
      </c>
      <c r="U116" s="4">
        <v>0.009632</v>
      </c>
      <c r="V116" s="4">
        <v>0.0124031936896191</v>
      </c>
      <c r="W116" s="4">
        <v>-0.0488169142410325</v>
      </c>
      <c r="X116" s="4">
        <v>-0.0033671019140121</v>
      </c>
      <c r="Y116" s="4">
        <v>-0.0315805831714114</v>
      </c>
      <c r="Z116" s="4">
        <v>-0.0325751032140152</v>
      </c>
      <c r="AA116" s="4">
        <v>-0.0313653893995027</v>
      </c>
      <c r="AB116" s="4">
        <v>-0.0469768548528971</v>
      </c>
      <c r="AC116" s="4">
        <v>0.0412059842332459</v>
      </c>
      <c r="AD116" s="4">
        <v>-0.0030150840438581</v>
      </c>
      <c r="AE116" s="4">
        <v>2.32275415495E-4</v>
      </c>
      <c r="AF116" s="4">
        <v>-0.0494686835943004</v>
      </c>
      <c r="AG116" s="4">
        <v>-0.0644349985935719</v>
      </c>
      <c r="AH116" s="4">
        <v>-0.12700538147051</v>
      </c>
      <c r="AI116" s="4">
        <v>4.493562595764E-4</v>
      </c>
      <c r="AJ116" s="4">
        <v>0.018962</v>
      </c>
      <c r="AK116" s="4">
        <f>Weights!E172</f>
        <v>-0.009042589086</v>
      </c>
      <c r="AL116" s="5">
        <v>0.00804529786233221</v>
      </c>
      <c r="AM116" s="5">
        <v>0.0107165592547802</v>
      </c>
      <c r="AN116" s="5">
        <v>-0.00786103025474505</v>
      </c>
      <c r="AO116" s="5">
        <v>-0.00774004091176239</v>
      </c>
      <c r="AP116" s="6">
        <f t="shared" si="3"/>
        <v>0.9583572845</v>
      </c>
      <c r="AQ116" s="4">
        <f t="shared" si="4"/>
        <v>0.967176685</v>
      </c>
      <c r="AR116" s="5">
        <f t="shared" si="5"/>
        <v>0.9383340328</v>
      </c>
      <c r="AS116" s="5">
        <f t="shared" ref="AS116:AU116" si="118">AS115*(1+AM116)</f>
        <v>0.9583491145</v>
      </c>
      <c r="AT116" s="5">
        <f t="shared" si="118"/>
        <v>0.9495997697</v>
      </c>
      <c r="AU116" s="5">
        <f t="shared" si="118"/>
        <v>0.9350805062</v>
      </c>
    </row>
    <row r="117" ht="15.75" customHeight="1">
      <c r="A117" s="3">
        <v>43999.0</v>
      </c>
      <c r="B117" s="4">
        <v>-0.015553</v>
      </c>
      <c r="C117" s="4">
        <v>-0.004743</v>
      </c>
      <c r="D117" s="4">
        <v>-0.014978</v>
      </c>
      <c r="E117" s="4">
        <v>6.83E-4</v>
      </c>
      <c r="F117" s="4">
        <v>-0.004062</v>
      </c>
      <c r="G117" s="4">
        <v>-0.003046</v>
      </c>
      <c r="H117" s="4">
        <v>-0.001693</v>
      </c>
      <c r="I117" s="4">
        <v>-0.017445</v>
      </c>
      <c r="J117" s="4">
        <v>-0.007256</v>
      </c>
      <c r="K117" s="4">
        <v>-0.012129</v>
      </c>
      <c r="L117" s="4">
        <v>-0.007301</v>
      </c>
      <c r="M117" s="4">
        <v>-0.017204</v>
      </c>
      <c r="N117" s="4">
        <v>-0.016569</v>
      </c>
      <c r="O117" s="4">
        <v>0.020179</v>
      </c>
      <c r="P117" s="4">
        <v>-0.006613</v>
      </c>
      <c r="Q117" s="4">
        <v>0.030914</v>
      </c>
      <c r="R117" s="4">
        <v>-0.007421</v>
      </c>
      <c r="S117" s="4">
        <v>0.018041</v>
      </c>
      <c r="T117" s="4">
        <v>-0.013232</v>
      </c>
      <c r="U117" s="4">
        <v>-0.005204</v>
      </c>
      <c r="V117" s="4">
        <v>-0.0564028132516821</v>
      </c>
      <c r="W117" s="4">
        <v>0.027124174238424</v>
      </c>
      <c r="X117" s="4">
        <v>0.0</v>
      </c>
      <c r="Y117" s="4">
        <v>0.0123663713603325</v>
      </c>
      <c r="Z117" s="4">
        <v>0.0166577582400007</v>
      </c>
      <c r="AA117" s="4">
        <v>0.0156193628452652</v>
      </c>
      <c r="AB117" s="4">
        <v>0.0201456084889257</v>
      </c>
      <c r="AC117" s="4">
        <v>0.0</v>
      </c>
      <c r="AD117" s="4">
        <v>0.0</v>
      </c>
      <c r="AE117" s="4">
        <v>-0.0034014287942232</v>
      </c>
      <c r="AF117" s="4">
        <v>0.0113844016433437</v>
      </c>
      <c r="AG117" s="4">
        <v>0.0156746920791017</v>
      </c>
      <c r="AH117" s="4">
        <v>0.070444110285206</v>
      </c>
      <c r="AI117" s="4">
        <v>-0.0044903259709843</v>
      </c>
      <c r="AJ117" s="4">
        <v>-0.0036</v>
      </c>
      <c r="AK117" s="4">
        <f>Weights!E173</f>
        <v>0.001594324248</v>
      </c>
      <c r="AL117" s="5">
        <v>0.0166411800615196</v>
      </c>
      <c r="AM117" s="5">
        <v>0.0192135494754206</v>
      </c>
      <c r="AN117" s="5">
        <v>-0.00750617846121925</v>
      </c>
      <c r="AO117" s="5">
        <v>-0.00686433055349422</v>
      </c>
      <c r="AP117" s="6">
        <f t="shared" si="3"/>
        <v>0.9598852168</v>
      </c>
      <c r="AQ117" s="4">
        <f t="shared" si="4"/>
        <v>0.9636948489</v>
      </c>
      <c r="AR117" s="5">
        <f t="shared" si="5"/>
        <v>0.9539490184</v>
      </c>
      <c r="AS117" s="5">
        <f t="shared" ref="AS117:AU117" si="119">AS116*(1+AM117)</f>
        <v>0.9767624026</v>
      </c>
      <c r="AT117" s="5">
        <f t="shared" si="119"/>
        <v>0.9424719043</v>
      </c>
      <c r="AU117" s="5">
        <f t="shared" si="119"/>
        <v>0.9286618045</v>
      </c>
    </row>
    <row r="118" ht="15.75" customHeight="1">
      <c r="A118" s="3">
        <v>44000.0</v>
      </c>
      <c r="B118" s="4">
        <v>0.007607</v>
      </c>
      <c r="C118" s="4">
        <v>0.004237</v>
      </c>
      <c r="D118" s="4">
        <v>-0.001663</v>
      </c>
      <c r="E118" s="4">
        <v>0.007741</v>
      </c>
      <c r="F118" s="4">
        <v>0.008802</v>
      </c>
      <c r="G118" s="4">
        <v>-0.004236</v>
      </c>
      <c r="H118" s="4">
        <v>0.011447</v>
      </c>
      <c r="I118" s="4">
        <v>0.008243</v>
      </c>
      <c r="J118" s="4">
        <v>0.007831</v>
      </c>
      <c r="K118" s="4">
        <v>-0.004166</v>
      </c>
      <c r="L118" s="4">
        <v>0.006914</v>
      </c>
      <c r="M118" s="4">
        <v>-0.001459</v>
      </c>
      <c r="N118" s="4">
        <v>0.001087</v>
      </c>
      <c r="O118" s="4">
        <v>0.007773</v>
      </c>
      <c r="P118" s="4">
        <v>-9.0E-4</v>
      </c>
      <c r="Q118" s="4">
        <v>-0.016949</v>
      </c>
      <c r="R118" s="4">
        <v>-0.013084</v>
      </c>
      <c r="S118" s="4">
        <v>-0.006835</v>
      </c>
      <c r="T118" s="4">
        <v>-0.010909</v>
      </c>
      <c r="U118" s="4">
        <v>-0.007302</v>
      </c>
      <c r="V118" s="4">
        <v>0.0308441648680284</v>
      </c>
      <c r="W118" s="4">
        <v>-0.0285994951743178</v>
      </c>
      <c r="X118" s="4">
        <v>-0.0084459137581973</v>
      </c>
      <c r="Y118" s="4">
        <v>-0.0043506055518757</v>
      </c>
      <c r="Z118" s="4">
        <v>-8.762463664694E-4</v>
      </c>
      <c r="AA118" s="4">
        <v>0.0236307728930453</v>
      </c>
      <c r="AB118" s="4">
        <v>-0.0063026079117447</v>
      </c>
      <c r="AC118" s="4">
        <v>-0.009523633063925</v>
      </c>
      <c r="AD118" s="4">
        <v>0.0050762972021982</v>
      </c>
      <c r="AE118" s="4">
        <v>-0.0065926527156695</v>
      </c>
      <c r="AF118" s="4">
        <v>0.0060301348998927</v>
      </c>
      <c r="AG118" s="4">
        <v>-0.012938612489498</v>
      </c>
      <c r="AH118" s="4">
        <v>0.0042918755032073</v>
      </c>
      <c r="AI118" s="4">
        <v>0.0072169483093535</v>
      </c>
      <c r="AJ118" s="4">
        <v>5.94E-4</v>
      </c>
      <c r="AK118" s="4">
        <f>Weights!E174</f>
        <v>0.0008276717786</v>
      </c>
      <c r="AL118" s="5">
        <v>-9.69270515166931E-4</v>
      </c>
      <c r="AM118" s="5">
        <v>-0.00485502052552178</v>
      </c>
      <c r="AN118" s="5">
        <v>-0.0394959044848324</v>
      </c>
      <c r="AO118" s="5">
        <v>-0.0417843962995096</v>
      </c>
      <c r="AP118" s="6">
        <f t="shared" si="3"/>
        <v>0.9606796867</v>
      </c>
      <c r="AQ118" s="4">
        <f t="shared" si="4"/>
        <v>0.9642672837</v>
      </c>
      <c r="AR118" s="5">
        <f t="shared" si="5"/>
        <v>0.9530243837</v>
      </c>
      <c r="AS118" s="5">
        <f t="shared" ref="AS118:AU118" si="120">AS117*(1+AM118)</f>
        <v>0.9720202011</v>
      </c>
      <c r="AT118" s="5">
        <f t="shared" si="120"/>
        <v>0.905248124</v>
      </c>
      <c r="AU118" s="5">
        <f t="shared" si="120"/>
        <v>0.8898582317</v>
      </c>
    </row>
    <row r="119" ht="15.75" customHeight="1">
      <c r="A119" s="3">
        <v>44001.0</v>
      </c>
      <c r="B119" s="4">
        <v>0.012195</v>
      </c>
      <c r="C119" s="4">
        <v>-0.012832</v>
      </c>
      <c r="D119" s="4">
        <v>-0.009519</v>
      </c>
      <c r="E119" s="4">
        <v>-0.011297</v>
      </c>
      <c r="F119" s="4">
        <v>-0.020643</v>
      </c>
      <c r="G119" s="4">
        <v>0.002929</v>
      </c>
      <c r="H119" s="4">
        <v>-0.003018</v>
      </c>
      <c r="I119" s="4">
        <v>-0.022013</v>
      </c>
      <c r="J119" s="4">
        <v>-0.013468</v>
      </c>
      <c r="K119" s="4">
        <v>-0.003963</v>
      </c>
      <c r="L119" s="4">
        <v>-0.00672</v>
      </c>
      <c r="M119" s="4">
        <v>0.002922</v>
      </c>
      <c r="N119" s="4">
        <v>-0.005157</v>
      </c>
      <c r="O119" s="4">
        <v>-0.005871</v>
      </c>
      <c r="P119" s="4">
        <v>0.025032</v>
      </c>
      <c r="Q119" s="4">
        <v>0.078249</v>
      </c>
      <c r="R119" s="4">
        <v>-0.005682</v>
      </c>
      <c r="S119" s="4">
        <v>0.06857</v>
      </c>
      <c r="T119" s="4">
        <v>-0.018842</v>
      </c>
      <c r="U119" s="4">
        <v>-0.009551</v>
      </c>
      <c r="V119" s="4">
        <v>0.00157467182781823</v>
      </c>
      <c r="W119" s="4">
        <v>0.0274110323472551</v>
      </c>
      <c r="X119" s="4">
        <v>0.0017035709650916</v>
      </c>
      <c r="Y119" s="4">
        <v>0.0154619828313748</v>
      </c>
      <c r="Z119" s="4">
        <v>0.0177730098014947</v>
      </c>
      <c r="AA119" s="4">
        <v>0.0043973491529065</v>
      </c>
      <c r="AB119" s="4">
        <v>0.0194503887893806</v>
      </c>
      <c r="AC119" s="4">
        <v>0.0178217862733636</v>
      </c>
      <c r="AD119" s="4">
        <v>-0.0080809112188507</v>
      </c>
      <c r="AE119" s="4">
        <v>0.0138196217916939</v>
      </c>
      <c r="AF119" s="4">
        <v>0.0444555757233722</v>
      </c>
      <c r="AG119" s="4">
        <v>0.0356919453847117</v>
      </c>
      <c r="AH119" s="4">
        <v>0.0769230181413778</v>
      </c>
      <c r="AI119" s="4">
        <v>4.476437998752E-4</v>
      </c>
      <c r="AJ119" s="4">
        <v>-0.005649</v>
      </c>
      <c r="AK119" s="4">
        <f>Weights!E175</f>
        <v>0.01019290956</v>
      </c>
      <c r="AL119" s="5">
        <v>-7.54579041271186E-4</v>
      </c>
      <c r="AM119" s="5">
        <v>8.23880665416387E-4</v>
      </c>
      <c r="AN119" s="5">
        <v>0.013123482226893</v>
      </c>
      <c r="AO119" s="5">
        <v>0.0140984850992849</v>
      </c>
      <c r="AP119" s="6">
        <f t="shared" si="3"/>
        <v>0.9704718078</v>
      </c>
      <c r="AQ119" s="4">
        <f t="shared" si="4"/>
        <v>0.9588201378</v>
      </c>
      <c r="AR119" s="5">
        <f t="shared" si="5"/>
        <v>0.9523052515</v>
      </c>
      <c r="AS119" s="5">
        <f t="shared" ref="AS119:AU119" si="121">AS118*(1+AM119)</f>
        <v>0.9728210298</v>
      </c>
      <c r="AT119" s="5">
        <f t="shared" si="121"/>
        <v>0.9171281317</v>
      </c>
      <c r="AU119" s="5">
        <f t="shared" si="121"/>
        <v>0.9024038847</v>
      </c>
    </row>
    <row r="120" ht="15.75" customHeight="1">
      <c r="A120" s="3">
        <v>44004.0</v>
      </c>
      <c r="B120" s="4">
        <v>-0.005164</v>
      </c>
      <c r="C120" s="4">
        <v>-0.008903</v>
      </c>
      <c r="D120" s="4">
        <v>-0.004565</v>
      </c>
      <c r="E120" s="4">
        <v>-0.001752</v>
      </c>
      <c r="F120" s="4">
        <v>-0.006084</v>
      </c>
      <c r="G120" s="4">
        <v>-0.003059</v>
      </c>
      <c r="H120" s="4">
        <v>-0.009839</v>
      </c>
      <c r="I120" s="4">
        <v>-0.002251</v>
      </c>
      <c r="J120" s="4">
        <v>-7.88E-4</v>
      </c>
      <c r="K120" s="4">
        <v>0.003316</v>
      </c>
      <c r="L120" s="4">
        <v>7.35E-4</v>
      </c>
      <c r="M120" s="4">
        <v>-0.001457</v>
      </c>
      <c r="N120" s="4">
        <v>0.005184</v>
      </c>
      <c r="O120" s="4">
        <v>0.036996</v>
      </c>
      <c r="P120" s="4">
        <v>0.022839</v>
      </c>
      <c r="Q120" s="4">
        <v>0.068881</v>
      </c>
      <c r="R120" s="4">
        <v>0.027619</v>
      </c>
      <c r="S120" s="4">
        <v>0.012882</v>
      </c>
      <c r="T120" s="4">
        <v>-0.009368</v>
      </c>
      <c r="U120" s="4">
        <v>0.009865</v>
      </c>
      <c r="V120" s="4">
        <v>0.013364868910588</v>
      </c>
      <c r="W120" s="4">
        <v>-0.004501304526999</v>
      </c>
      <c r="X120" s="4">
        <v>0.0017005608950666</v>
      </c>
      <c r="Y120" s="4">
        <v>0.0105100268374056</v>
      </c>
      <c r="Z120" s="4">
        <v>0.0032457929708953</v>
      </c>
      <c r="AA120" s="4">
        <v>-0.0102157391789918</v>
      </c>
      <c r="AB120" s="4">
        <v>-0.0020738904434687</v>
      </c>
      <c r="AC120" s="4">
        <v>-0.0116732775279848</v>
      </c>
      <c r="AD120" s="4">
        <v>0.0081467443365572</v>
      </c>
      <c r="AE120" s="4">
        <v>0.0127067660252051</v>
      </c>
      <c r="AF120" s="4">
        <v>0.0019130915512737</v>
      </c>
      <c r="AG120" s="4">
        <v>-0.0088442849274686</v>
      </c>
      <c r="AH120" s="4">
        <v>-0.0304232836562247</v>
      </c>
      <c r="AI120" s="4">
        <v>0.0022384320267934</v>
      </c>
      <c r="AJ120" s="4">
        <v>0.006495</v>
      </c>
      <c r="AK120" s="4">
        <f>Weights!E176</f>
        <v>0.001527592345</v>
      </c>
      <c r="AL120" s="5">
        <v>-0.00507007051209118</v>
      </c>
      <c r="AM120" s="5">
        <v>-0.00563399336962988</v>
      </c>
      <c r="AN120" s="5">
        <v>0.0064766962310363</v>
      </c>
      <c r="AO120" s="5">
        <v>0.00614269540927603</v>
      </c>
      <c r="AP120" s="6">
        <f t="shared" si="3"/>
        <v>0.9719542932</v>
      </c>
      <c r="AQ120" s="4">
        <f t="shared" si="4"/>
        <v>0.9650476746</v>
      </c>
      <c r="AR120" s="5">
        <f t="shared" si="5"/>
        <v>0.9474769967</v>
      </c>
      <c r="AS120" s="5">
        <f t="shared" ref="AS120:AU120" si="122">AS119*(1+AM120)</f>
        <v>0.9673401625</v>
      </c>
      <c r="AT120" s="5">
        <f t="shared" si="122"/>
        <v>0.923068092</v>
      </c>
      <c r="AU120" s="5">
        <f t="shared" si="122"/>
        <v>0.9079470769</v>
      </c>
    </row>
    <row r="121" ht="15.75" customHeight="1">
      <c r="A121" s="3">
        <v>44005.0</v>
      </c>
      <c r="B121" s="4">
        <v>-0.012111</v>
      </c>
      <c r="C121" s="4">
        <v>-0.012936</v>
      </c>
      <c r="D121" s="4">
        <v>-0.008931</v>
      </c>
      <c r="E121" s="4">
        <v>0.002365</v>
      </c>
      <c r="F121" s="4">
        <v>-0.002186</v>
      </c>
      <c r="G121" s="4">
        <v>-0.003696</v>
      </c>
      <c r="H121" s="4">
        <v>-1.7E-4</v>
      </c>
      <c r="I121" s="4">
        <v>-0.003223</v>
      </c>
      <c r="J121" s="4">
        <v>-5.25E-4</v>
      </c>
      <c r="K121" s="4">
        <v>0.002644</v>
      </c>
      <c r="L121" s="4">
        <v>0.004115</v>
      </c>
      <c r="M121" s="4">
        <v>0.008753</v>
      </c>
      <c r="N121" s="4">
        <v>0.001629</v>
      </c>
      <c r="O121" s="4">
        <v>0.015856</v>
      </c>
      <c r="P121" s="4">
        <v>0.011852</v>
      </c>
      <c r="Q121" s="4">
        <v>0.042578</v>
      </c>
      <c r="R121" s="4">
        <v>0.026877</v>
      </c>
      <c r="S121" s="4">
        <v>0.007772</v>
      </c>
      <c r="T121" s="4">
        <v>-0.001891</v>
      </c>
      <c r="U121" s="4">
        <v>0.005488</v>
      </c>
      <c r="V121" s="4">
        <v>-0.0224980354136902</v>
      </c>
      <c r="W121" s="4">
        <v>-0.0091541752660135</v>
      </c>
      <c r="X121" s="4">
        <v>0.0</v>
      </c>
      <c r="Y121" s="4">
        <v>-0.0100729093941629</v>
      </c>
      <c r="Z121" s="4">
        <v>-0.001002120690572</v>
      </c>
      <c r="AA121" s="4">
        <v>0.0114267950123103</v>
      </c>
      <c r="AB121" s="4">
        <v>4.155392950206E-4</v>
      </c>
      <c r="AC121" s="4">
        <v>-0.0137795220405255</v>
      </c>
      <c r="AD121" s="4">
        <v>0.0</v>
      </c>
      <c r="AE121" s="4">
        <v>-0.0124713371656103</v>
      </c>
      <c r="AF121" s="4">
        <v>-0.0095466100672133</v>
      </c>
      <c r="AG121" s="4">
        <v>-0.0078460932023616</v>
      </c>
      <c r="AH121" s="4">
        <v>-0.0532059696696105</v>
      </c>
      <c r="AI121" s="4">
        <v>4.463431870154E-4</v>
      </c>
      <c r="AJ121" s="4">
        <v>0.004307</v>
      </c>
      <c r="AK121" s="4">
        <f>Weights!E177</f>
        <v>-0.002922093711</v>
      </c>
      <c r="AL121" s="5">
        <v>0.0082404757068526</v>
      </c>
      <c r="AM121" s="5">
        <v>0.00693890396527185</v>
      </c>
      <c r="AN121" s="5">
        <v>0.0124410987649232</v>
      </c>
      <c r="AO121" s="5">
        <v>0.00964024664402218</v>
      </c>
      <c r="AP121" s="6">
        <f t="shared" si="3"/>
        <v>0.9691141516</v>
      </c>
      <c r="AQ121" s="4">
        <f t="shared" si="4"/>
        <v>0.9692041349</v>
      </c>
      <c r="AR121" s="5">
        <f t="shared" si="5"/>
        <v>0.9552846579</v>
      </c>
      <c r="AS121" s="5">
        <f t="shared" ref="AS121:AU121" si="123">AS120*(1+AM121)</f>
        <v>0.974052443</v>
      </c>
      <c r="AT121" s="5">
        <f t="shared" si="123"/>
        <v>0.9345520733</v>
      </c>
      <c r="AU121" s="5">
        <f t="shared" si="123"/>
        <v>0.9166999107</v>
      </c>
    </row>
    <row r="122" ht="15.75" customHeight="1">
      <c r="A122" s="3">
        <v>44006.0</v>
      </c>
      <c r="B122" s="4">
        <v>-0.022767</v>
      </c>
      <c r="C122" s="4">
        <v>-0.018384</v>
      </c>
      <c r="D122" s="4">
        <v>-0.01096</v>
      </c>
      <c r="E122" s="4">
        <v>-0.013703</v>
      </c>
      <c r="F122" s="4">
        <v>-0.021691</v>
      </c>
      <c r="G122" s="4">
        <v>-0.02128</v>
      </c>
      <c r="H122" s="4">
        <v>-0.011127</v>
      </c>
      <c r="I122" s="4">
        <v>-0.026835</v>
      </c>
      <c r="J122" s="4">
        <v>-0.015247</v>
      </c>
      <c r="K122" s="4">
        <v>-0.027906</v>
      </c>
      <c r="L122" s="4">
        <v>-0.015222</v>
      </c>
      <c r="M122" s="4">
        <v>-0.036153</v>
      </c>
      <c r="N122" s="4">
        <v>-0.029268</v>
      </c>
      <c r="O122" s="4">
        <v>-4.95E-4</v>
      </c>
      <c r="P122" s="4">
        <v>-0.008488</v>
      </c>
      <c r="Q122" s="4">
        <v>-0.033113</v>
      </c>
      <c r="R122" s="4">
        <v>-0.046029</v>
      </c>
      <c r="S122" s="4">
        <v>-0.029212</v>
      </c>
      <c r="T122" s="4">
        <v>-0.036713</v>
      </c>
      <c r="U122" s="4">
        <v>-0.025216</v>
      </c>
      <c r="V122" s="4">
        <v>0.015872954249674</v>
      </c>
      <c r="W122" s="4">
        <v>0.0190338377742476</v>
      </c>
      <c r="X122" s="4">
        <v>0.0</v>
      </c>
      <c r="Y122" s="4">
        <v>-0.015718081636534</v>
      </c>
      <c r="Z122" s="4">
        <v>-0.0067915871352446</v>
      </c>
      <c r="AA122" s="4">
        <v>-0.0348034525001966</v>
      </c>
      <c r="AB122" s="4">
        <v>0.0074782123898955</v>
      </c>
      <c r="AC122" s="4">
        <v>0.0</v>
      </c>
      <c r="AD122" s="4">
        <v>0.0</v>
      </c>
      <c r="AE122" s="4">
        <v>0.0033112359452867</v>
      </c>
      <c r="AF122" s="4">
        <v>0.0149395763972681</v>
      </c>
      <c r="AG122" s="4">
        <v>0.0</v>
      </c>
      <c r="AH122" s="4">
        <v>0.0043227967667143</v>
      </c>
      <c r="AI122" s="4">
        <v>0.0017857874654518</v>
      </c>
      <c r="AJ122" s="4">
        <v>-0.025855</v>
      </c>
      <c r="AK122" s="4">
        <f>Weights!E178</f>
        <v>-0.01213038619</v>
      </c>
      <c r="AL122" s="5">
        <v>0.00440889262397048</v>
      </c>
      <c r="AM122" s="5">
        <v>0.00392007964263085</v>
      </c>
      <c r="AN122" s="5">
        <v>-0.00677989053750915</v>
      </c>
      <c r="AO122" s="5">
        <v>-0.00572884931244643</v>
      </c>
      <c r="AP122" s="6">
        <f t="shared" si="3"/>
        <v>0.9573584227</v>
      </c>
      <c r="AQ122" s="4">
        <f t="shared" si="4"/>
        <v>0.944145362</v>
      </c>
      <c r="AR122" s="5">
        <f t="shared" si="5"/>
        <v>0.9594964054</v>
      </c>
      <c r="AS122" s="5">
        <f t="shared" ref="AS122:AU122" si="124">AS121*(1+AM122)</f>
        <v>0.9778708062</v>
      </c>
      <c r="AT122" s="5">
        <f t="shared" si="124"/>
        <v>0.9282159125</v>
      </c>
      <c r="AU122" s="5">
        <f t="shared" si="124"/>
        <v>0.911448275</v>
      </c>
    </row>
    <row r="123" ht="15.75" customHeight="1">
      <c r="A123" s="3">
        <v>44007.0</v>
      </c>
      <c r="B123" s="4">
        <v>0.008961</v>
      </c>
      <c r="C123" s="4">
        <v>0.00649</v>
      </c>
      <c r="D123" s="4">
        <v>-9.85E-4</v>
      </c>
      <c r="E123" s="4">
        <v>0.014279</v>
      </c>
      <c r="F123" s="4">
        <v>0.006271</v>
      </c>
      <c r="G123" s="4">
        <v>-0.001073</v>
      </c>
      <c r="H123" s="4">
        <v>0.012627</v>
      </c>
      <c r="I123" s="4">
        <v>0.006977</v>
      </c>
      <c r="J123" s="4">
        <v>0.00614</v>
      </c>
      <c r="K123" s="4">
        <v>0.011302</v>
      </c>
      <c r="L123" s="4">
        <v>0.014863</v>
      </c>
      <c r="M123" s="4">
        <v>0.019505</v>
      </c>
      <c r="N123" s="4">
        <v>0.010329</v>
      </c>
      <c r="O123" s="4">
        <v>0.024414</v>
      </c>
      <c r="P123" s="4">
        <v>0.003082</v>
      </c>
      <c r="Q123" s="4">
        <v>0.023973</v>
      </c>
      <c r="R123" s="4">
        <v>0.04825</v>
      </c>
      <c r="S123" s="4">
        <v>0.016129</v>
      </c>
      <c r="T123" s="4">
        <v>0.018441</v>
      </c>
      <c r="U123" s="4">
        <v>0.021948</v>
      </c>
      <c r="V123" s="4">
        <v>0.0187500621011671</v>
      </c>
      <c r="W123" s="4">
        <v>0.001529128334436</v>
      </c>
      <c r="X123" s="4">
        <v>-0.0017006737466757</v>
      </c>
      <c r="Y123" s="4">
        <v>-6.725074206443E-4</v>
      </c>
      <c r="Z123" s="4">
        <v>-0.012522995508205</v>
      </c>
      <c r="AA123" s="4">
        <v>0.0094394334856187</v>
      </c>
      <c r="AB123" s="4">
        <v>0.0041237354629553</v>
      </c>
      <c r="AC123" s="4">
        <v>0.0</v>
      </c>
      <c r="AD123" s="4">
        <v>-0.0060420779284114</v>
      </c>
      <c r="AE123" s="4">
        <v>0.0040676178805754</v>
      </c>
      <c r="AF123" s="4">
        <v>-9.496748868584E-4</v>
      </c>
      <c r="AG123" s="4">
        <v>-0.0029462954496881</v>
      </c>
      <c r="AH123" s="4">
        <v>0.010042997437941</v>
      </c>
      <c r="AI123" s="4">
        <v>0.0</v>
      </c>
      <c r="AJ123" s="4">
        <v>0.010959</v>
      </c>
      <c r="AK123" s="4">
        <f>Weights!E179</f>
        <v>0.008022706968</v>
      </c>
      <c r="AL123" s="5">
        <v>-0.0258030664831696</v>
      </c>
      <c r="AM123" s="5">
        <v>-0.0271429063953062</v>
      </c>
      <c r="AN123" s="5">
        <v>0.00383969201446654</v>
      </c>
      <c r="AO123" s="5">
        <v>0.0035209780118024</v>
      </c>
      <c r="AP123" s="6">
        <f t="shared" si="3"/>
        <v>0.9650390288</v>
      </c>
      <c r="AQ123" s="4">
        <f t="shared" si="4"/>
        <v>0.954492251</v>
      </c>
      <c r="AR123" s="5">
        <f t="shared" si="5"/>
        <v>0.9347384559</v>
      </c>
      <c r="AS123" s="5">
        <f t="shared" ref="AS123:AU123" si="125">AS122*(1+AM123)</f>
        <v>0.9513285504</v>
      </c>
      <c r="AT123" s="5">
        <f t="shared" si="125"/>
        <v>0.9317799758</v>
      </c>
      <c r="AU123" s="5">
        <f t="shared" si="125"/>
        <v>0.9146574643</v>
      </c>
    </row>
    <row r="124" ht="15.75" customHeight="1">
      <c r="A124" s="3">
        <v>44008.0</v>
      </c>
      <c r="B124" s="4">
        <v>-0.031379</v>
      </c>
      <c r="C124" s="4">
        <v>-0.020634</v>
      </c>
      <c r="D124" s="4">
        <v>-0.023416</v>
      </c>
      <c r="E124" s="4">
        <v>-0.018872</v>
      </c>
      <c r="F124" s="4">
        <v>-0.030269</v>
      </c>
      <c r="G124" s="4">
        <v>-0.013317</v>
      </c>
      <c r="H124" s="4">
        <v>-0.022563</v>
      </c>
      <c r="I124" s="4">
        <v>-0.022435</v>
      </c>
      <c r="J124" s="4">
        <v>-0.026532</v>
      </c>
      <c r="K124" s="4">
        <v>-0.027716</v>
      </c>
      <c r="L124" s="4">
        <v>-0.023433</v>
      </c>
      <c r="M124" s="4">
        <v>-0.038999</v>
      </c>
      <c r="N124" s="4">
        <v>-0.022934</v>
      </c>
      <c r="O124" s="4">
        <v>-0.003596</v>
      </c>
      <c r="P124" s="4">
        <v>0.012801</v>
      </c>
      <c r="Q124" s="4">
        <v>-0.005574</v>
      </c>
      <c r="R124" s="4">
        <v>-0.026173</v>
      </c>
      <c r="S124" s="4">
        <v>2.37E-4</v>
      </c>
      <c r="T124" s="4">
        <v>-0.019797</v>
      </c>
      <c r="U124" s="4">
        <v>-0.007123</v>
      </c>
      <c r="V124" s="4">
        <v>-0.00460121850747141</v>
      </c>
      <c r="W124" s="4">
        <v>0.0282473246266223</v>
      </c>
      <c r="X124" s="4">
        <v>-0.0017036840089512</v>
      </c>
      <c r="Y124" s="4">
        <v>-0.0016818730754882</v>
      </c>
      <c r="Z124" s="4">
        <v>-0.0063694894062495</v>
      </c>
      <c r="AA124" s="4">
        <v>-5.610220578035E-4</v>
      </c>
      <c r="AB124" s="4">
        <v>-0.00205325067484</v>
      </c>
      <c r="AC124" s="4">
        <v>0.0</v>
      </c>
      <c r="AD124" s="4">
        <v>0.0</v>
      </c>
      <c r="AE124" s="4">
        <v>-0.0012227708831948</v>
      </c>
      <c r="AF124" s="4">
        <v>0.0365971805684144</v>
      </c>
      <c r="AG124" s="4">
        <v>0.0020217816990815</v>
      </c>
      <c r="AH124" s="4">
        <v>0.0071022659925019</v>
      </c>
      <c r="AI124" s="4">
        <v>-0.0013365500544796</v>
      </c>
      <c r="AJ124" s="4">
        <v>-0.024227</v>
      </c>
      <c r="AK124" s="4">
        <f>Weights!E180</f>
        <v>-0.009073562544</v>
      </c>
      <c r="AL124" s="5">
        <v>0.0126388192756652</v>
      </c>
      <c r="AM124" s="5">
        <v>0.0120954250335869</v>
      </c>
      <c r="AN124" s="5">
        <v>-0.00170008533120602</v>
      </c>
      <c r="AO124" s="5">
        <v>0.0</v>
      </c>
      <c r="AP124" s="6">
        <f t="shared" si="3"/>
        <v>0.9562826868</v>
      </c>
      <c r="AQ124" s="4">
        <f t="shared" si="4"/>
        <v>0.9313677672</v>
      </c>
      <c r="AR124" s="5">
        <f t="shared" si="5"/>
        <v>0.9465524463</v>
      </c>
      <c r="AS124" s="5">
        <f t="shared" ref="AS124:AU124" si="126">AS123*(1+AM124)</f>
        <v>0.9628352736</v>
      </c>
      <c r="AT124" s="5">
        <f t="shared" si="126"/>
        <v>0.9301958703</v>
      </c>
      <c r="AU124" s="5">
        <f t="shared" si="126"/>
        <v>0.9146574643</v>
      </c>
    </row>
    <row r="125" ht="15.75" customHeight="1">
      <c r="A125" s="3">
        <v>44011.0</v>
      </c>
      <c r="B125" s="4">
        <v>0.015892</v>
      </c>
      <c r="C125" s="4">
        <v>0.028781</v>
      </c>
      <c r="D125" s="4">
        <v>0.018677</v>
      </c>
      <c r="E125" s="4">
        <v>0.016676</v>
      </c>
      <c r="F125" s="4">
        <v>0.018132</v>
      </c>
      <c r="G125" s="4">
        <v>0.008925</v>
      </c>
      <c r="H125" s="4">
        <v>0.021088</v>
      </c>
      <c r="I125" s="4">
        <v>0.022275</v>
      </c>
      <c r="J125" s="4">
        <v>0.021532</v>
      </c>
      <c r="K125" s="4">
        <v>0.013793</v>
      </c>
      <c r="L125" s="4">
        <v>0.010948</v>
      </c>
      <c r="M125" s="4">
        <v>0.018377</v>
      </c>
      <c r="N125" s="4">
        <v>0.00707</v>
      </c>
      <c r="O125" s="4">
        <v>0.014491</v>
      </c>
      <c r="P125" s="4">
        <v>0.00337</v>
      </c>
      <c r="Q125" s="4">
        <v>0.029148</v>
      </c>
      <c r="R125" s="4">
        <v>0.02317</v>
      </c>
      <c r="S125" s="4">
        <v>0.004263</v>
      </c>
      <c r="T125" s="4">
        <v>0.017303</v>
      </c>
      <c r="U125" s="4">
        <v>0.015009</v>
      </c>
      <c r="V125" s="4">
        <v>-0.00693377848200604</v>
      </c>
      <c r="W125" s="4">
        <v>-0.0305471927036975</v>
      </c>
      <c r="X125" s="4">
        <v>-0.0187713741498324</v>
      </c>
      <c r="Y125" s="4">
        <v>-0.0187868705485289</v>
      </c>
      <c r="Z125" s="4">
        <v>-0.0159974395524621</v>
      </c>
      <c r="AA125" s="4">
        <v>-0.0112273830234673</v>
      </c>
      <c r="AB125" s="4">
        <v>-0.0057614893493875</v>
      </c>
      <c r="AC125" s="4">
        <v>-0.0058480165306847</v>
      </c>
      <c r="AD125" s="4">
        <v>0.0030394032756531</v>
      </c>
      <c r="AE125" s="4">
        <v>-0.0087250993248799</v>
      </c>
      <c r="AF125" s="4">
        <v>-0.0412655579048812</v>
      </c>
      <c r="AG125" s="4">
        <v>-0.0194009206582979</v>
      </c>
      <c r="AH125" s="4">
        <v>-0.0352608976879954</v>
      </c>
      <c r="AI125" s="4">
        <v>9.839035120775E-4</v>
      </c>
      <c r="AJ125" s="4">
        <v>0.014686</v>
      </c>
      <c r="AK125" s="4">
        <f>Weights!E181</f>
        <v>0.0009780631714</v>
      </c>
      <c r="AL125" s="5">
        <v>-0.0214889805025978</v>
      </c>
      <c r="AM125" s="5">
        <v>-0.0232588584257527</v>
      </c>
      <c r="AN125" s="5">
        <v>0.00255447081517101</v>
      </c>
      <c r="AO125" s="5">
        <v>0.00238205036583272</v>
      </c>
      <c r="AP125" s="6">
        <f t="shared" si="3"/>
        <v>0.9572179917</v>
      </c>
      <c r="AQ125" s="4">
        <f t="shared" si="4"/>
        <v>0.9450458343</v>
      </c>
      <c r="AR125" s="5">
        <f t="shared" si="5"/>
        <v>0.9262119992</v>
      </c>
      <c r="AS125" s="5">
        <f t="shared" ref="AS125:AU125" si="127">AS124*(1+AM125)</f>
        <v>0.9404408243</v>
      </c>
      <c r="AT125" s="5">
        <f t="shared" si="127"/>
        <v>0.9325720285</v>
      </c>
      <c r="AU125" s="5">
        <f t="shared" si="127"/>
        <v>0.9168362245</v>
      </c>
    </row>
    <row r="126" ht="15.75" customHeight="1">
      <c r="A126" s="3">
        <v>44012.0</v>
      </c>
      <c r="B126" s="4">
        <v>0.009025</v>
      </c>
      <c r="C126" s="4">
        <v>0.008045</v>
      </c>
      <c r="D126" s="4">
        <v>-0.004212</v>
      </c>
      <c r="E126" s="4">
        <v>0.009002</v>
      </c>
      <c r="F126" s="4">
        <v>0.007214</v>
      </c>
      <c r="G126" s="4">
        <v>0.011436</v>
      </c>
      <c r="H126" s="4">
        <v>0.016233</v>
      </c>
      <c r="I126" s="4">
        <v>0.004292</v>
      </c>
      <c r="J126" s="4">
        <v>0.016009</v>
      </c>
      <c r="K126" s="4">
        <v>0.011565</v>
      </c>
      <c r="L126" s="4">
        <v>0.005785</v>
      </c>
      <c r="M126" s="4">
        <v>0.02406</v>
      </c>
      <c r="N126" s="4">
        <v>0.032013</v>
      </c>
      <c r="O126" s="4">
        <v>0.019541</v>
      </c>
      <c r="P126" s="4">
        <v>0.03695</v>
      </c>
      <c r="Q126" s="4">
        <v>0.023965</v>
      </c>
      <c r="R126" s="4">
        <v>0.048007</v>
      </c>
      <c r="S126" s="4">
        <v>0.038915</v>
      </c>
      <c r="T126" s="4">
        <v>0.012469</v>
      </c>
      <c r="U126" s="4">
        <v>0.019789</v>
      </c>
      <c r="V126" s="4">
        <v>-0.00698219145084522</v>
      </c>
      <c r="W126" s="4">
        <v>0.007549156264839</v>
      </c>
      <c r="X126" s="4">
        <v>0.0052173720370554</v>
      </c>
      <c r="Y126" s="4">
        <v>0.0183735111496801</v>
      </c>
      <c r="Z126" s="4">
        <v>0.0235483914876291</v>
      </c>
      <c r="AA126" s="4">
        <v>0.0088945710589598</v>
      </c>
      <c r="AB126" s="4">
        <v>-0.0120031708420637</v>
      </c>
      <c r="AC126" s="4">
        <v>0.0039214872275217</v>
      </c>
      <c r="AD126" s="4">
        <v>-0.0010097873984944</v>
      </c>
      <c r="AE126" s="4">
        <v>0.0035516368301635</v>
      </c>
      <c r="AF126" s="4">
        <v>-0.0119559167628178</v>
      </c>
      <c r="AG126" s="4">
        <v>0.0132953558792057</v>
      </c>
      <c r="AH126" s="4">
        <v>-0.0146198687721861</v>
      </c>
      <c r="AI126" s="4">
        <v>4.467159673642E-4</v>
      </c>
      <c r="AJ126" s="4">
        <v>0.01541</v>
      </c>
      <c r="AK126" s="4">
        <f>Weights!E182</f>
        <v>0.009908621924</v>
      </c>
      <c r="AL126" s="5">
        <v>0.0120894557004458</v>
      </c>
      <c r="AM126" s="5">
        <v>0.0146688761648605</v>
      </c>
      <c r="AN126" s="5">
        <v>0.00212320843496782</v>
      </c>
      <c r="AO126" s="5">
        <v>0.00224800474869257</v>
      </c>
      <c r="AP126" s="6">
        <f t="shared" si="3"/>
        <v>0.9667027029</v>
      </c>
      <c r="AQ126" s="4">
        <f t="shared" si="4"/>
        <v>0.9596089906</v>
      </c>
      <c r="AR126" s="5">
        <f t="shared" si="5"/>
        <v>0.9374093981</v>
      </c>
      <c r="AS126" s="5">
        <f t="shared" ref="AS126:AU126" si="128">AS125*(1+AM126)</f>
        <v>0.9542360343</v>
      </c>
      <c r="AT126" s="5">
        <f t="shared" si="128"/>
        <v>0.9345520733</v>
      </c>
      <c r="AU126" s="5">
        <f t="shared" si="128"/>
        <v>0.9188972767</v>
      </c>
    </row>
    <row r="127" ht="15.75" customHeight="1">
      <c r="A127" s="3">
        <v>44013.0</v>
      </c>
      <c r="B127" s="4">
        <v>0.0</v>
      </c>
      <c r="C127" s="4">
        <v>-0.008344</v>
      </c>
      <c r="D127" s="4">
        <v>-0.005225</v>
      </c>
      <c r="E127" s="4">
        <v>7.56E-4</v>
      </c>
      <c r="F127" s="4">
        <v>0.003133</v>
      </c>
      <c r="G127" s="4">
        <v>-0.001778</v>
      </c>
      <c r="H127" s="4">
        <v>0.003429</v>
      </c>
      <c r="I127" s="4">
        <v>-0.006575</v>
      </c>
      <c r="J127" s="4">
        <v>0.007615</v>
      </c>
      <c r="K127" s="4">
        <v>-0.012329</v>
      </c>
      <c r="L127" s="4">
        <v>-0.005605</v>
      </c>
      <c r="M127" s="4">
        <v>-0.022026</v>
      </c>
      <c r="N127" s="4">
        <v>-0.019864</v>
      </c>
      <c r="O127" s="4">
        <v>-0.005937</v>
      </c>
      <c r="P127" s="4">
        <v>-0.006155</v>
      </c>
      <c r="Q127" s="4">
        <v>0.002128</v>
      </c>
      <c r="R127" s="4">
        <v>-0.006914</v>
      </c>
      <c r="S127" s="4">
        <v>-0.007491</v>
      </c>
      <c r="T127" s="4">
        <v>-0.024873</v>
      </c>
      <c r="U127" s="4">
        <v>-0.013221</v>
      </c>
      <c r="V127" s="4">
        <v>-0.00546872432355582</v>
      </c>
      <c r="W127" s="4">
        <v>-0.0011944462884464</v>
      </c>
      <c r="X127" s="4">
        <v>0.0</v>
      </c>
      <c r="Y127" s="4">
        <v>-0.0036250799416962</v>
      </c>
      <c r="Z127" s="4">
        <v>-0.0056783404684561</v>
      </c>
      <c r="AA127" s="4">
        <v>-0.0288873489035251</v>
      </c>
      <c r="AB127" s="4">
        <v>-0.0247172478865401</v>
      </c>
      <c r="AC127" s="4">
        <v>0.0</v>
      </c>
      <c r="AD127" s="4">
        <v>0.0</v>
      </c>
      <c r="AE127" s="4">
        <v>-0.0086168208031857</v>
      </c>
      <c r="AF127" s="4">
        <v>0.0537268768472627</v>
      </c>
      <c r="AG127" s="4">
        <v>-0.0089033626326827</v>
      </c>
      <c r="AH127" s="4">
        <v>-0.0563798899241977</v>
      </c>
      <c r="AI127" s="4">
        <v>-8.930330026269E-4</v>
      </c>
      <c r="AJ127" s="4">
        <v>0.005022</v>
      </c>
      <c r="AK127" s="4">
        <f>Weights!E183</f>
        <v>-0.008550761396</v>
      </c>
      <c r="AL127" s="5">
        <v>0.0097535272710878</v>
      </c>
      <c r="AM127" s="5">
        <v>0.0147814709557714</v>
      </c>
      <c r="AN127" s="5">
        <v>-0.0169493072398617</v>
      </c>
      <c r="AO127" s="5">
        <v>-0.016340941557759</v>
      </c>
      <c r="AP127" s="6">
        <f t="shared" si="3"/>
        <v>0.9584366587</v>
      </c>
      <c r="AQ127" s="4">
        <f t="shared" si="4"/>
        <v>0.9644281469</v>
      </c>
      <c r="AR127" s="5">
        <f t="shared" si="5"/>
        <v>0.9465524463</v>
      </c>
      <c r="AS127" s="5">
        <f t="shared" ref="AS127:AU127" si="129">AS126*(1+AM127)</f>
        <v>0.9683410465</v>
      </c>
      <c r="AT127" s="5">
        <f t="shared" si="129"/>
        <v>0.9187120631</v>
      </c>
      <c r="AU127" s="5">
        <f t="shared" si="129"/>
        <v>0.90388163</v>
      </c>
    </row>
    <row r="128" ht="15.75" customHeight="1">
      <c r="A128" s="3">
        <v>44014.0</v>
      </c>
      <c r="B128" s="4">
        <v>-0.004174</v>
      </c>
      <c r="C128" s="4">
        <v>0.002195</v>
      </c>
      <c r="D128" s="4">
        <v>0.015008</v>
      </c>
      <c r="E128" s="4">
        <v>0.003702</v>
      </c>
      <c r="F128" s="4">
        <v>0.001339</v>
      </c>
      <c r="G128" s="4">
        <v>0.004203</v>
      </c>
      <c r="H128" s="4">
        <v>0.007501</v>
      </c>
      <c r="I128" s="4">
        <v>0.013567</v>
      </c>
      <c r="J128" s="4">
        <v>0.006255</v>
      </c>
      <c r="K128" s="4">
        <v>0.013391</v>
      </c>
      <c r="L128" s="4">
        <v>0.010976</v>
      </c>
      <c r="M128" s="4">
        <v>0.015766</v>
      </c>
      <c r="N128" s="4">
        <v>0.006108</v>
      </c>
      <c r="O128" s="4">
        <v>0.008488</v>
      </c>
      <c r="P128" s="4">
        <v>-0.006519</v>
      </c>
      <c r="Q128" s="4">
        <v>-0.015924</v>
      </c>
      <c r="R128" s="4">
        <v>8.7E-4</v>
      </c>
      <c r="S128" s="4">
        <v>-0.009835</v>
      </c>
      <c r="T128" s="4">
        <v>0.02526</v>
      </c>
      <c r="U128" s="4">
        <v>-0.001729</v>
      </c>
      <c r="V128" s="4">
        <v>0.0</v>
      </c>
      <c r="W128" s="4">
        <v>0.0138072995181499</v>
      </c>
      <c r="X128" s="4">
        <v>-0.010380469897682</v>
      </c>
      <c r="Y128" s="4">
        <v>0.0061769429705547</v>
      </c>
      <c r="Z128" s="4">
        <v>0.0072119614448717</v>
      </c>
      <c r="AA128" s="4">
        <v>0.0293604809759184</v>
      </c>
      <c r="AB128" s="4">
        <v>-4.297744756875E-4</v>
      </c>
      <c r="AC128" s="4">
        <v>0.0440612944938321</v>
      </c>
      <c r="AD128" s="4">
        <v>0.002028602375576</v>
      </c>
      <c r="AE128" s="4">
        <v>0.0055875959023261</v>
      </c>
      <c r="AF128" s="4">
        <v>-0.008268209485246</v>
      </c>
      <c r="AG128" s="4">
        <v>0.0152874350684195</v>
      </c>
      <c r="AH128" s="4">
        <v>0.0</v>
      </c>
      <c r="AI128" s="4">
        <v>0.0013407468351125</v>
      </c>
      <c r="AJ128" s="4">
        <v>0.004541</v>
      </c>
      <c r="AK128" s="4">
        <f>Weights!E184</f>
        <v>0.00657972324</v>
      </c>
      <c r="AL128" s="5">
        <v>0.00564351673310015</v>
      </c>
      <c r="AM128" s="5">
        <v>0.00581375106970361</v>
      </c>
      <c r="AN128" s="5">
        <v>0.0116378590811017</v>
      </c>
      <c r="AO128" s="5">
        <v>0.00814349219636501</v>
      </c>
      <c r="AP128" s="6">
        <f t="shared" si="3"/>
        <v>0.9647429067</v>
      </c>
      <c r="AQ128" s="4">
        <f t="shared" si="4"/>
        <v>0.9688076151</v>
      </c>
      <c r="AR128" s="5">
        <f t="shared" si="5"/>
        <v>0.9518943308</v>
      </c>
      <c r="AS128" s="5">
        <f t="shared" ref="AS128:AU128" si="130">AS127*(1+AM128)</f>
        <v>0.9739707403</v>
      </c>
      <c r="AT128" s="5">
        <f t="shared" si="130"/>
        <v>0.9294039046</v>
      </c>
      <c r="AU128" s="5">
        <f t="shared" si="130"/>
        <v>0.911242383</v>
      </c>
    </row>
    <row r="129" ht="15.75" customHeight="1">
      <c r="A129" s="3">
        <v>44018.0</v>
      </c>
      <c r="B129" s="4">
        <v>0.002994</v>
      </c>
      <c r="C129" s="4">
        <v>0.008213</v>
      </c>
      <c r="D129" s="4">
        <v>-0.001232</v>
      </c>
      <c r="E129" s="4">
        <v>0.003387</v>
      </c>
      <c r="F129" s="4">
        <v>0.007799</v>
      </c>
      <c r="G129" s="4">
        <v>0.014258</v>
      </c>
      <c r="H129" s="4">
        <v>0.006205</v>
      </c>
      <c r="I129" s="4">
        <v>-0.004571</v>
      </c>
      <c r="J129" s="4">
        <v>0.007511</v>
      </c>
      <c r="K129" s="4">
        <v>0.01299</v>
      </c>
      <c r="L129" s="4">
        <v>0.012617</v>
      </c>
      <c r="M129" s="4">
        <v>0.028086</v>
      </c>
      <c r="N129" s="4">
        <v>0.022903</v>
      </c>
      <c r="O129" s="4">
        <v>0.005923</v>
      </c>
      <c r="P129" s="4">
        <v>0.003609</v>
      </c>
      <c r="Q129" s="4">
        <v>0.032362</v>
      </c>
      <c r="R129" s="4">
        <v>0.108696</v>
      </c>
      <c r="S129" s="4">
        <v>0.024717</v>
      </c>
      <c r="T129" s="4">
        <v>0.006039</v>
      </c>
      <c r="U129" s="4">
        <v>0.001299</v>
      </c>
      <c r="V129" s="4">
        <v>0.0369206090713605</v>
      </c>
      <c r="W129" s="4">
        <v>0.00235930732508</v>
      </c>
      <c r="X129" s="4">
        <v>-0.0104894703327917</v>
      </c>
      <c r="Y129" s="4">
        <v>0.01009179416168</v>
      </c>
      <c r="Z129" s="4">
        <v>0.0092352582210852</v>
      </c>
      <c r="AA129" s="4">
        <v>0.0024396140898659</v>
      </c>
      <c r="AB129" s="4">
        <v>0.0227763780423575</v>
      </c>
      <c r="AC129" s="4">
        <v>-0.0275229725388705</v>
      </c>
      <c r="AD129" s="4">
        <v>0.0020241385722363</v>
      </c>
      <c r="AE129" s="4">
        <v>0.0358851070698038</v>
      </c>
      <c r="AF129" s="4">
        <v>-0.0148215619271764</v>
      </c>
      <c r="AG129" s="4">
        <v>0.0085378382420375</v>
      </c>
      <c r="AH129" s="4">
        <v>0.0267295914298264</v>
      </c>
      <c r="AI129" s="4">
        <v>0.0026787089066162</v>
      </c>
      <c r="AJ129" s="4">
        <v>0.015882</v>
      </c>
      <c r="AK129" s="4">
        <f>Weights!E185</f>
        <v>0.01237337454</v>
      </c>
      <c r="AL129" s="5">
        <v>0.00755457160454642</v>
      </c>
      <c r="AM129" s="5">
        <v>0.00400169601974842</v>
      </c>
      <c r="AN129" s="5">
        <v>-0.0170431931085518</v>
      </c>
      <c r="AO129" s="5">
        <v>-0.0151859868647594</v>
      </c>
      <c r="AP129" s="6">
        <f t="shared" si="3"/>
        <v>0.976680032</v>
      </c>
      <c r="AQ129" s="4">
        <f t="shared" si="4"/>
        <v>0.9841942177</v>
      </c>
      <c r="AR129" s="5">
        <f t="shared" si="5"/>
        <v>0.9590854847</v>
      </c>
      <c r="AS129" s="5">
        <f t="shared" ref="AS129:AU129" si="131">AS128*(1+AM129)</f>
        <v>0.9778682751</v>
      </c>
      <c r="AT129" s="5">
        <f t="shared" si="131"/>
        <v>0.9135638944</v>
      </c>
      <c r="AU129" s="5">
        <f t="shared" si="131"/>
        <v>0.8974042681</v>
      </c>
    </row>
    <row r="130" ht="15.75" customHeight="1">
      <c r="A130" s="3">
        <v>44019.0</v>
      </c>
      <c r="B130" s="4">
        <v>-0.014925</v>
      </c>
      <c r="C130" s="4">
        <v>-0.003621</v>
      </c>
      <c r="D130" s="4">
        <v>-0.008882</v>
      </c>
      <c r="E130" s="4">
        <v>0.002026</v>
      </c>
      <c r="F130" s="4">
        <v>-4.42E-4</v>
      </c>
      <c r="G130" s="4">
        <v>-9.09E-4</v>
      </c>
      <c r="H130" s="4">
        <v>0.004851</v>
      </c>
      <c r="I130" s="4">
        <v>-0.018039</v>
      </c>
      <c r="J130" s="4">
        <v>-0.013368</v>
      </c>
      <c r="K130" s="4">
        <v>-0.021004</v>
      </c>
      <c r="L130" s="4">
        <v>-0.015792</v>
      </c>
      <c r="M130" s="4">
        <v>-0.030194</v>
      </c>
      <c r="N130" s="4">
        <v>-0.025088</v>
      </c>
      <c r="O130" s="4">
        <v>-0.011104</v>
      </c>
      <c r="P130" s="4">
        <v>0.021085</v>
      </c>
      <c r="Q130" s="4">
        <v>0.032393</v>
      </c>
      <c r="R130" s="4">
        <v>-0.001569</v>
      </c>
      <c r="S130" s="4">
        <v>0.017358</v>
      </c>
      <c r="T130" s="4">
        <v>-0.011285</v>
      </c>
      <c r="U130" s="4">
        <v>-0.008215</v>
      </c>
      <c r="V130" s="4">
        <v>-0.00984845207177143</v>
      </c>
      <c r="W130" s="4">
        <v>-0.0238578560749835</v>
      </c>
      <c r="X130" s="4">
        <v>0.0088338880843101</v>
      </c>
      <c r="Y130" s="4">
        <v>0.0</v>
      </c>
      <c r="Z130" s="4">
        <v>0.0</v>
      </c>
      <c r="AA130" s="4">
        <v>0.0</v>
      </c>
      <c r="AB130" s="4">
        <v>0.0</v>
      </c>
      <c r="AC130" s="4">
        <v>0.0056603493050673</v>
      </c>
      <c r="AD130" s="4">
        <v>-0.0060603272281068</v>
      </c>
      <c r="AE130" s="4">
        <v>0.0</v>
      </c>
      <c r="AF130" s="4">
        <v>-0.0075226173535427</v>
      </c>
      <c r="AG130" s="4">
        <v>-0.0063106844745672</v>
      </c>
      <c r="AH130" s="4">
        <v>0.0444103895734042</v>
      </c>
      <c r="AI130" s="4">
        <v>0.0</v>
      </c>
      <c r="AJ130" s="4">
        <v>-0.010819</v>
      </c>
      <c r="AK130" s="4">
        <f>Weights!E186</f>
        <v>-0.003050304982</v>
      </c>
      <c r="AL130" s="5">
        <v>0.0154243064605352</v>
      </c>
      <c r="AM130" s="5">
        <v>0.0157519649707391</v>
      </c>
      <c r="AN130" s="5">
        <v>0.0156048108728057</v>
      </c>
      <c r="AO130" s="5">
        <v>0.0144356283667252</v>
      </c>
      <c r="AP130" s="6">
        <f t="shared" si="3"/>
        <v>0.97370086</v>
      </c>
      <c r="AQ130" s="4">
        <f t="shared" si="4"/>
        <v>0.9735462205</v>
      </c>
      <c r="AR130" s="5">
        <f t="shared" si="5"/>
        <v>0.9738787132</v>
      </c>
      <c r="AS130" s="5">
        <f t="shared" ref="AS130:AU130" si="132">AS129*(1+AM130)</f>
        <v>0.9932716219</v>
      </c>
      <c r="AT130" s="5">
        <f t="shared" si="132"/>
        <v>0.9278198862</v>
      </c>
      <c r="AU130" s="5">
        <f t="shared" si="132"/>
        <v>0.9103588626</v>
      </c>
    </row>
    <row r="131" ht="15.75" customHeight="1">
      <c r="A131" s="3">
        <v>44020.0</v>
      </c>
      <c r="B131" s="4">
        <v>0.007273</v>
      </c>
      <c r="C131" s="4">
        <v>0.006177</v>
      </c>
      <c r="D131" s="4">
        <v>-0.016928</v>
      </c>
      <c r="E131" s="4">
        <v>0.004866</v>
      </c>
      <c r="F131" s="4">
        <v>-0.003097</v>
      </c>
      <c r="G131" s="4">
        <v>0.00294</v>
      </c>
      <c r="H131" s="4">
        <v>0.005482</v>
      </c>
      <c r="I131" s="4">
        <v>0.005344</v>
      </c>
      <c r="J131" s="4">
        <v>0.001303</v>
      </c>
      <c r="K131" s="4">
        <v>0.007904</v>
      </c>
      <c r="L131" s="4">
        <v>0.001914</v>
      </c>
      <c r="M131" s="4">
        <v>7.41E-4</v>
      </c>
      <c r="N131" s="4">
        <v>0.012452</v>
      </c>
      <c r="O131" s="4">
        <v>0.006528</v>
      </c>
      <c r="P131" s="4">
        <v>0.015367</v>
      </c>
      <c r="Q131" s="4">
        <v>0.032389</v>
      </c>
      <c r="R131" s="4">
        <v>0.00707</v>
      </c>
      <c r="S131" s="4">
        <v>0.039663</v>
      </c>
      <c r="T131" s="4">
        <v>-0.036911</v>
      </c>
      <c r="U131" s="4">
        <v>0.003815</v>
      </c>
      <c r="V131" s="4">
        <v>-0.00918150196078138</v>
      </c>
      <c r="W131" s="4">
        <v>0.0261945452418759</v>
      </c>
      <c r="X131" s="4">
        <v>0.0070051108639939</v>
      </c>
      <c r="Y131" s="4">
        <v>0.0019145992749975</v>
      </c>
      <c r="Z131" s="4">
        <v>-0.0019689978373058</v>
      </c>
      <c r="AA131" s="4">
        <v>0.0189065805364332</v>
      </c>
      <c r="AB131" s="4">
        <v>4.199768798756E-4</v>
      </c>
      <c r="AC131" s="4">
        <v>0.0018760446096761</v>
      </c>
      <c r="AD131" s="4">
        <v>0.0010158249011245</v>
      </c>
      <c r="AE131" s="4">
        <v>-0.0060343985875921</v>
      </c>
      <c r="AF131" s="4">
        <v>0.0246329492558536</v>
      </c>
      <c r="AG131" s="4">
        <v>0.0021685612860136</v>
      </c>
      <c r="AH131" s="4">
        <v>-0.0190615134808318</v>
      </c>
      <c r="AI131" s="4">
        <v>-0.0026715525948858</v>
      </c>
      <c r="AJ131" s="4">
        <v>0.007828</v>
      </c>
      <c r="AK131" s="4">
        <f>Weights!E187</f>
        <v>0.003527787308</v>
      </c>
      <c r="AL131" s="5">
        <v>-0.0104430947937016</v>
      </c>
      <c r="AM131" s="5">
        <v>-0.0101519639915599</v>
      </c>
      <c r="AN131" s="5">
        <v>0.00512183711454761</v>
      </c>
      <c r="AO131" s="5">
        <v>0.00743884599955158</v>
      </c>
      <c r="AP131" s="6">
        <f t="shared" si="3"/>
        <v>0.9771358696</v>
      </c>
      <c r="AQ131" s="4">
        <f t="shared" si="4"/>
        <v>0.9811671403</v>
      </c>
      <c r="AR131" s="5">
        <f t="shared" si="5"/>
        <v>0.9637084054</v>
      </c>
      <c r="AS131" s="5">
        <f t="shared" ref="AS131:AU131" si="133">AS130*(1+AM131)</f>
        <v>0.9831879642</v>
      </c>
      <c r="AT131" s="5">
        <f t="shared" si="133"/>
        <v>0.9325720285</v>
      </c>
      <c r="AU131" s="5">
        <f t="shared" si="133"/>
        <v>0.917130882</v>
      </c>
    </row>
    <row r="132" ht="15.75" customHeight="1">
      <c r="A132" s="3">
        <v>44021.0</v>
      </c>
      <c r="B132" s="4">
        <v>-0.01083</v>
      </c>
      <c r="C132" s="4">
        <v>-0.026002</v>
      </c>
      <c r="D132" s="4">
        <v>-0.013421</v>
      </c>
      <c r="E132" s="4">
        <v>-0.01125</v>
      </c>
      <c r="F132" s="4">
        <v>-0.025738</v>
      </c>
      <c r="G132" s="4">
        <v>-0.005444</v>
      </c>
      <c r="H132" s="4">
        <v>-0.003336</v>
      </c>
      <c r="I132" s="4">
        <v>-0.016944</v>
      </c>
      <c r="J132" s="4">
        <v>-0.018475</v>
      </c>
      <c r="K132" s="4">
        <v>-0.018495</v>
      </c>
      <c r="L132" s="4">
        <v>-0.013224</v>
      </c>
      <c r="M132" s="4">
        <v>-0.022222</v>
      </c>
      <c r="N132" s="4">
        <v>-0.016125</v>
      </c>
      <c r="O132" s="4">
        <v>0.005033</v>
      </c>
      <c r="P132" s="4">
        <v>-0.011036</v>
      </c>
      <c r="Q132" s="4">
        <v>0.031373</v>
      </c>
      <c r="R132" s="4">
        <v>0.00546</v>
      </c>
      <c r="S132" s="4">
        <v>-0.004263</v>
      </c>
      <c r="T132" s="4">
        <v>-0.021684</v>
      </c>
      <c r="U132" s="4">
        <v>0.04202</v>
      </c>
      <c r="V132" s="4">
        <v>-0.0247101643069591</v>
      </c>
      <c r="W132" s="4">
        <v>-0.0200789609155608</v>
      </c>
      <c r="X132" s="4">
        <v>0.0</v>
      </c>
      <c r="Y132" s="4">
        <v>-0.0078109783363334</v>
      </c>
      <c r="Z132" s="4">
        <v>-0.0069643552531921</v>
      </c>
      <c r="AA132" s="4">
        <v>-0.0102884875446814</v>
      </c>
      <c r="AB132" s="4">
        <v>-0.0025199237229894</v>
      </c>
      <c r="AC132" s="4">
        <v>0.0</v>
      </c>
      <c r="AD132" s="4">
        <v>0.0</v>
      </c>
      <c r="AE132" s="4">
        <v>-0.0100433846376274</v>
      </c>
      <c r="AF132" s="4">
        <v>0.0115581658501591</v>
      </c>
      <c r="AG132" s="4">
        <v>0.0</v>
      </c>
      <c r="AH132" s="4">
        <v>0.0</v>
      </c>
      <c r="AI132" s="4">
        <v>0.0026787089066162</v>
      </c>
      <c r="AJ132" s="4">
        <v>-0.005644</v>
      </c>
      <c r="AK132" s="4">
        <f>Weights!E188</f>
        <v>-0.007049220307</v>
      </c>
      <c r="AL132" s="5">
        <v>0.00852781737529584</v>
      </c>
      <c r="AM132" s="5">
        <v>0.00817982348650203</v>
      </c>
      <c r="AN132" s="5">
        <v>0.00636934530906629</v>
      </c>
      <c r="AO132" s="5">
        <v>0.00674142486994977</v>
      </c>
      <c r="AP132" s="6">
        <f t="shared" si="3"/>
        <v>0.9702478235</v>
      </c>
      <c r="AQ132" s="4">
        <f t="shared" si="4"/>
        <v>0.9756294329</v>
      </c>
      <c r="AR132" s="5">
        <f t="shared" si="5"/>
        <v>0.9719267347</v>
      </c>
      <c r="AS132" s="5">
        <f t="shared" ref="AS132:AU132" si="134">AS131*(1+AM132)</f>
        <v>0.9912302682</v>
      </c>
      <c r="AT132" s="5">
        <f t="shared" si="134"/>
        <v>0.9385119018</v>
      </c>
      <c r="AU132" s="5">
        <f t="shared" si="134"/>
        <v>0.923313651</v>
      </c>
    </row>
    <row r="133" ht="15.75" customHeight="1">
      <c r="A133" s="3">
        <v>44022.0</v>
      </c>
      <c r="B133" s="4">
        <v>0.014599</v>
      </c>
      <c r="C133" s="4">
        <v>0.010197</v>
      </c>
      <c r="D133" s="4">
        <v>0.012834</v>
      </c>
      <c r="E133" s="4">
        <v>0.013187</v>
      </c>
      <c r="F133" s="4">
        <v>0.02824</v>
      </c>
      <c r="G133" s="4">
        <v>-8.42E-4</v>
      </c>
      <c r="H133" s="4">
        <v>0.011512</v>
      </c>
      <c r="I133" s="4">
        <v>3.38E-4</v>
      </c>
      <c r="J133" s="4">
        <v>0.012195</v>
      </c>
      <c r="K133" s="4">
        <v>0.020125</v>
      </c>
      <c r="L133" s="4">
        <v>0.019655</v>
      </c>
      <c r="M133" s="4">
        <v>0.02197</v>
      </c>
      <c r="N133" s="4">
        <v>0.018611</v>
      </c>
      <c r="O133" s="4">
        <v>-0.008261</v>
      </c>
      <c r="P133" s="4">
        <v>-0.01355</v>
      </c>
      <c r="Q133" s="4">
        <v>-0.004753</v>
      </c>
      <c r="R133" s="4">
        <v>0.006206</v>
      </c>
      <c r="S133" s="4">
        <v>-0.001712</v>
      </c>
      <c r="T133" s="4">
        <v>0.042526</v>
      </c>
      <c r="U133" s="4">
        <v>0.02532</v>
      </c>
      <c r="V133" s="4">
        <v>0.0308787531416476</v>
      </c>
      <c r="W133" s="4">
        <v>0.0137328923114794</v>
      </c>
      <c r="X133" s="4">
        <v>0.0</v>
      </c>
      <c r="Y133" s="4">
        <v>0.0065327460375126</v>
      </c>
      <c r="Z133" s="4">
        <v>0.0070421730384615</v>
      </c>
      <c r="AA133" s="4">
        <v>0.0098384934406852</v>
      </c>
      <c r="AB133" s="4">
        <v>0.0117893182754496</v>
      </c>
      <c r="AC133" s="4">
        <v>0.0036430845855033</v>
      </c>
      <c r="AD133" s="4">
        <v>-0.0030301932962226</v>
      </c>
      <c r="AE133" s="4">
        <v>0.0217291975871201</v>
      </c>
      <c r="AF133" s="4">
        <v>0.0214806859501428</v>
      </c>
      <c r="AG133" s="4">
        <v>0.0035548735531722</v>
      </c>
      <c r="AH133" s="4">
        <v>0.022421502290012</v>
      </c>
      <c r="AI133" s="4">
        <v>4.450244190954E-4</v>
      </c>
      <c r="AJ133" s="4">
        <v>0.010466</v>
      </c>
      <c r="AK133" s="4">
        <f>Weights!E189</f>
        <v>0.01186022049</v>
      </c>
      <c r="AL133" s="5">
        <v>-0.00665887379929142</v>
      </c>
      <c r="AM133" s="5">
        <v>-0.00617834488585433</v>
      </c>
      <c r="AN133" s="5">
        <v>-0.00168789065510466</v>
      </c>
      <c r="AO133" s="5">
        <v>-0.00159439293141039</v>
      </c>
      <c r="AP133" s="6">
        <f t="shared" si="3"/>
        <v>0.9817551767</v>
      </c>
      <c r="AQ133" s="4">
        <f t="shared" si="4"/>
        <v>0.9858403706</v>
      </c>
      <c r="AR133" s="5">
        <f t="shared" si="5"/>
        <v>0.9654547973</v>
      </c>
      <c r="AS133" s="5">
        <f t="shared" ref="AS133:AU133" si="135">AS132*(1+AM133)</f>
        <v>0.9851061057</v>
      </c>
      <c r="AT133" s="5">
        <f t="shared" si="135"/>
        <v>0.9369277963</v>
      </c>
      <c r="AU133" s="5">
        <f t="shared" si="135"/>
        <v>0.9218415262</v>
      </c>
    </row>
    <row r="134" ht="15.75" customHeight="1">
      <c r="A134" s="3">
        <v>44025.0</v>
      </c>
      <c r="B134" s="4">
        <v>6.0E-4</v>
      </c>
      <c r="C134" s="4">
        <v>-7.34E-4</v>
      </c>
      <c r="D134" s="4">
        <v>0.006589</v>
      </c>
      <c r="E134" s="4">
        <v>0.003347</v>
      </c>
      <c r="F134" s="4">
        <v>0.002215</v>
      </c>
      <c r="G134" s="4">
        <v>0.019948</v>
      </c>
      <c r="H134" s="4">
        <v>0.001291</v>
      </c>
      <c r="I134" s="4">
        <v>0.003378</v>
      </c>
      <c r="J134" s="4">
        <v>0.011</v>
      </c>
      <c r="K134" s="4">
        <v>0.012245</v>
      </c>
      <c r="L134" s="4">
        <v>0.00219</v>
      </c>
      <c r="M134" s="4">
        <v>0.01705</v>
      </c>
      <c r="N134" s="4">
        <v>0.007908</v>
      </c>
      <c r="O134" s="4">
        <v>-0.020824</v>
      </c>
      <c r="P134" s="4">
        <v>-0.037815</v>
      </c>
      <c r="Q134" s="4">
        <v>-0.025788</v>
      </c>
      <c r="R134" s="4">
        <v>0.003855</v>
      </c>
      <c r="S134" s="4">
        <v>-0.030446</v>
      </c>
      <c r="T134" s="4">
        <v>-0.012608</v>
      </c>
      <c r="U134" s="4">
        <v>-0.025203</v>
      </c>
      <c r="V134" s="4">
        <v>0.0261135620554369</v>
      </c>
      <c r="W134" s="4">
        <v>-0.0098914182686876</v>
      </c>
      <c r="X134" s="4">
        <v>-0.00344849126505</v>
      </c>
      <c r="Y134" s="4">
        <v>-5.824553872534E-4</v>
      </c>
      <c r="Z134" s="4">
        <v>0.0078342156980524</v>
      </c>
      <c r="AA134" s="4">
        <v>-0.0093750499443737</v>
      </c>
      <c r="AB134" s="4">
        <v>-0.0216392631360553</v>
      </c>
      <c r="AC134" s="4">
        <v>-0.0072597213919085</v>
      </c>
      <c r="AD134" s="4">
        <v>0.0</v>
      </c>
      <c r="AE134" s="4">
        <v>-0.0030382437910903</v>
      </c>
      <c r="AF134" s="4">
        <v>-0.0098433659204825</v>
      </c>
      <c r="AG134" s="4">
        <v>-0.0155551339961211</v>
      </c>
      <c r="AH134" s="4">
        <v>-0.0497076583949829</v>
      </c>
      <c r="AI134" s="4">
        <v>0.0013354832776972</v>
      </c>
      <c r="AJ134" s="4">
        <v>-0.009363</v>
      </c>
      <c r="AK134" s="4">
        <f>Weights!E190</f>
        <v>-0.00449684041</v>
      </c>
      <c r="AL134" s="5">
        <v>0.0101085031483614</v>
      </c>
      <c r="AM134" s="5">
        <v>0.0107378523555321</v>
      </c>
      <c r="AN134" s="5">
        <v>0.00507204754447698</v>
      </c>
      <c r="AO134" s="5">
        <v>0.00479088732051957</v>
      </c>
      <c r="AP134" s="6">
        <f t="shared" si="3"/>
        <v>0.9773403803</v>
      </c>
      <c r="AQ134" s="4">
        <f t="shared" si="4"/>
        <v>0.9766099472</v>
      </c>
      <c r="AR134" s="5">
        <f t="shared" si="5"/>
        <v>0.9752141001</v>
      </c>
      <c r="AS134" s="5">
        <f t="shared" ref="AS134:AU134" si="136">AS133*(1+AM134)</f>
        <v>0.9956840297</v>
      </c>
      <c r="AT134" s="5">
        <f t="shared" si="136"/>
        <v>0.9416799386</v>
      </c>
      <c r="AU134" s="5">
        <f t="shared" si="136"/>
        <v>0.9262579651</v>
      </c>
    </row>
    <row r="135" ht="15.75" customHeight="1">
      <c r="A135" s="3">
        <v>44026.0</v>
      </c>
      <c r="B135" s="4">
        <v>0.019173</v>
      </c>
      <c r="C135" s="4">
        <v>0.018182</v>
      </c>
      <c r="D135" s="4">
        <v>0.015609</v>
      </c>
      <c r="E135" s="4">
        <v>0.004522</v>
      </c>
      <c r="F135" s="4">
        <v>0.013702</v>
      </c>
      <c r="G135" s="4">
        <v>0.018663</v>
      </c>
      <c r="H135" s="4">
        <v>0.008384</v>
      </c>
      <c r="I135" s="4">
        <v>0.029966</v>
      </c>
      <c r="J135" s="4">
        <v>0.011658</v>
      </c>
      <c r="K135" s="4">
        <v>0.00224</v>
      </c>
      <c r="L135" s="4">
        <v>0.014425</v>
      </c>
      <c r="M135" s="4">
        <v>0.004373</v>
      </c>
      <c r="N135" s="4">
        <v>0.016504</v>
      </c>
      <c r="O135" s="4">
        <v>0.03695</v>
      </c>
      <c r="P135" s="4">
        <v>0.037454</v>
      </c>
      <c r="Q135" s="4">
        <v>0.064706</v>
      </c>
      <c r="R135" s="4">
        <v>0.036866</v>
      </c>
      <c r="S135" s="4">
        <v>0.041353</v>
      </c>
      <c r="T135" s="4">
        <v>0.028042</v>
      </c>
      <c r="U135" s="4">
        <v>0.023353</v>
      </c>
      <c r="V135" s="4">
        <v>-0.0291915220106926</v>
      </c>
      <c r="W135" s="4">
        <v>0.0174828293759197</v>
      </c>
      <c r="X135" s="4">
        <v>0.0</v>
      </c>
      <c r="Y135" s="4">
        <v>0.0099906891917567</v>
      </c>
      <c r="Z135" s="4">
        <v>0.0084350655776301</v>
      </c>
      <c r="AA135" s="4">
        <v>-0.0035255693330977</v>
      </c>
      <c r="AB135" s="4">
        <v>0.0051040542188047</v>
      </c>
      <c r="AC135" s="4">
        <v>-0.0146251000083053</v>
      </c>
      <c r="AD135" s="4">
        <v>-0.0070921990038635</v>
      </c>
      <c r="AE135" s="4">
        <v>0.0048313763457779</v>
      </c>
      <c r="AF135" s="4">
        <v>-0.0375055456836835</v>
      </c>
      <c r="AG135" s="4">
        <v>-0.0122028747230727</v>
      </c>
      <c r="AH135" s="4">
        <v>0.0046154170628847</v>
      </c>
      <c r="AI135" s="4">
        <v>-0.0031112364530677</v>
      </c>
      <c r="AJ135" s="4">
        <v>0.013406</v>
      </c>
      <c r="AK135" s="4">
        <f>Weights!E191</f>
        <v>0.008504646381</v>
      </c>
      <c r="AL135" s="5">
        <v>-0.00895388928306983</v>
      </c>
      <c r="AM135" s="5">
        <v>-0.0108100561698298</v>
      </c>
      <c r="AN135" s="5">
        <v>-0.0054667274604595</v>
      </c>
      <c r="AO135" s="5">
        <v>-0.00445013734927235</v>
      </c>
      <c r="AP135" s="6">
        <f t="shared" si="3"/>
        <v>0.9856523146</v>
      </c>
      <c r="AQ135" s="4">
        <f t="shared" si="4"/>
        <v>0.9897023801</v>
      </c>
      <c r="AR135" s="5">
        <f t="shared" si="5"/>
        <v>0.966482141</v>
      </c>
      <c r="AS135" s="5">
        <f t="shared" ref="AS135:AU135" si="137">AS134*(1+AM135)</f>
        <v>0.9849206294</v>
      </c>
      <c r="AT135" s="5">
        <f t="shared" si="137"/>
        <v>0.936532031</v>
      </c>
      <c r="AU135" s="5">
        <f t="shared" si="137"/>
        <v>0.9221359899</v>
      </c>
    </row>
    <row r="136" ht="15.75" customHeight="1">
      <c r="A136" s="3">
        <v>44027.0</v>
      </c>
      <c r="B136" s="4">
        <v>0.024691</v>
      </c>
      <c r="C136" s="4">
        <v>-0.006854</v>
      </c>
      <c r="D136" s="4">
        <v>0.023798</v>
      </c>
      <c r="E136" s="4">
        <v>-0.013504</v>
      </c>
      <c r="F136" s="4">
        <v>0.011554</v>
      </c>
      <c r="G136" s="4">
        <v>0.002299</v>
      </c>
      <c r="H136" s="4">
        <v>-0.004717</v>
      </c>
      <c r="I136" s="4">
        <v>0.012749</v>
      </c>
      <c r="J136" s="4">
        <v>0.01306</v>
      </c>
      <c r="K136" s="4">
        <v>0.021681</v>
      </c>
      <c r="L136" s="4">
        <v>0.017811</v>
      </c>
      <c r="M136" s="4">
        <v>0.018868</v>
      </c>
      <c r="N136" s="4">
        <v>0.018366</v>
      </c>
      <c r="O136" s="4">
        <v>0.012869</v>
      </c>
      <c r="P136" s="4">
        <v>0.00599</v>
      </c>
      <c r="Q136" s="4">
        <v>0.021179</v>
      </c>
      <c r="R136" s="4">
        <v>0.002222</v>
      </c>
      <c r="S136" s="4">
        <v>0.003398</v>
      </c>
      <c r="T136" s="4">
        <v>0.0151</v>
      </c>
      <c r="U136" s="4">
        <v>0.017115</v>
      </c>
      <c r="V136" s="4">
        <v>0.0300692903621451</v>
      </c>
      <c r="W136" s="4">
        <v>0.0056564417202051</v>
      </c>
      <c r="X136" s="4">
        <v>-0.0017298678421379</v>
      </c>
      <c r="Y136" s="4">
        <v>-0.0042864784126086</v>
      </c>
      <c r="Z136" s="4">
        <v>-0.0075366313896975</v>
      </c>
      <c r="AA136" s="4">
        <v>-0.0150839963905174</v>
      </c>
      <c r="AB136" s="4">
        <v>-0.0156581221069586</v>
      </c>
      <c r="AC136" s="4">
        <v>0.0092765092536541</v>
      </c>
      <c r="AD136" s="4">
        <v>0.0</v>
      </c>
      <c r="AE136" s="4">
        <v>-0.0083587391274415</v>
      </c>
      <c r="AF136" s="4">
        <v>-0.0338029542073771</v>
      </c>
      <c r="AG136" s="4">
        <v>-0.0294584433520197</v>
      </c>
      <c r="AH136" s="4">
        <v>-0.0735068580027497</v>
      </c>
      <c r="AI136" s="4">
        <v>0.0022294055046039</v>
      </c>
      <c r="AJ136" s="4">
        <v>0.009082</v>
      </c>
      <c r="AK136" s="4">
        <f>Weights!E192</f>
        <v>-0.0001029534705</v>
      </c>
      <c r="AL136" s="5">
        <v>0.0138177692772512</v>
      </c>
      <c r="AM136" s="5">
        <v>0.0131271299913262</v>
      </c>
      <c r="AN136" s="5">
        <v>0.0021140448526582</v>
      </c>
      <c r="AO136" s="5">
        <v>0.00191582705320714</v>
      </c>
      <c r="AP136" s="6">
        <f t="shared" si="3"/>
        <v>0.9855508383</v>
      </c>
      <c r="AQ136" s="4">
        <f t="shared" si="4"/>
        <v>0.9986908571</v>
      </c>
      <c r="AR136" s="5">
        <f t="shared" si="5"/>
        <v>0.9798367683</v>
      </c>
      <c r="AS136" s="5">
        <f t="shared" ref="AS136:AU136" si="138">AS135*(1+AM136)</f>
        <v>0.9978498105</v>
      </c>
      <c r="AT136" s="5">
        <f t="shared" si="138"/>
        <v>0.9385119018</v>
      </c>
      <c r="AU136" s="5">
        <f t="shared" si="138"/>
        <v>0.923902643</v>
      </c>
    </row>
    <row r="137" ht="15.75" customHeight="1">
      <c r="A137" s="3">
        <v>44028.0</v>
      </c>
      <c r="B137" s="4">
        <v>0.009753</v>
      </c>
      <c r="C137" s="4">
        <v>0.013077</v>
      </c>
      <c r="D137" s="4">
        <v>0.01138</v>
      </c>
      <c r="E137" s="4">
        <v>0.001421</v>
      </c>
      <c r="F137" s="4">
        <v>-0.005388</v>
      </c>
      <c r="G137" s="4">
        <v>0.006677</v>
      </c>
      <c r="H137" s="4">
        <v>0.002088</v>
      </c>
      <c r="I137" s="4">
        <v>-0.007747</v>
      </c>
      <c r="J137" s="4">
        <v>0.002528</v>
      </c>
      <c r="K137" s="4">
        <v>-0.0035</v>
      </c>
      <c r="L137" s="4">
        <v>-0.005927</v>
      </c>
      <c r="M137" s="4">
        <v>0.00641</v>
      </c>
      <c r="N137" s="4">
        <v>0.004966</v>
      </c>
      <c r="O137" s="4">
        <v>-0.008757</v>
      </c>
      <c r="P137" s="4">
        <v>-0.009495</v>
      </c>
      <c r="Q137" s="4">
        <v>-9.02E-4</v>
      </c>
      <c r="R137" s="4">
        <v>-0.004435</v>
      </c>
      <c r="S137" s="4">
        <v>-0.009101</v>
      </c>
      <c r="T137" s="4">
        <v>0.001919</v>
      </c>
      <c r="U137" s="4">
        <v>0.002003</v>
      </c>
      <c r="V137" s="4">
        <v>0.0217066571909028</v>
      </c>
      <c r="W137" s="4">
        <v>0.0214368786896859</v>
      </c>
      <c r="X137" s="4">
        <v>0.0</v>
      </c>
      <c r="Y137" s="4">
        <v>0.0090239594456389</v>
      </c>
      <c r="Z137" s="4">
        <v>0.0098953201480587</v>
      </c>
      <c r="AA137" s="4">
        <v>0.0162602675554719</v>
      </c>
      <c r="AB137" s="4">
        <v>0.0275149380195336</v>
      </c>
      <c r="AC137" s="4">
        <v>0.0</v>
      </c>
      <c r="AD137" s="4">
        <v>0.0</v>
      </c>
      <c r="AE137" s="4">
        <v>-0.0041027069979089</v>
      </c>
      <c r="AF137" s="4">
        <v>0.0184644315371649</v>
      </c>
      <c r="AG137" s="4">
        <v>0.0223565471568594</v>
      </c>
      <c r="AH137" s="4">
        <v>0.0462809855474997</v>
      </c>
      <c r="AI137" s="4">
        <v>4.447287104694E-4</v>
      </c>
      <c r="AJ137" s="4">
        <v>-0.003406</v>
      </c>
      <c r="AK137" s="4">
        <f>Weights!E193</f>
        <v>0.007312354233</v>
      </c>
      <c r="AL137" s="5">
        <v>0.0104845024814623</v>
      </c>
      <c r="AM137" s="5">
        <v>0.0123990072677329</v>
      </c>
      <c r="AN137" s="5">
        <v>-0.00210958509514647</v>
      </c>
      <c r="AO137" s="5">
        <v>-0.00350554017714888</v>
      </c>
      <c r="AP137" s="6">
        <f t="shared" si="3"/>
        <v>0.9927575352</v>
      </c>
      <c r="AQ137" s="4">
        <f t="shared" si="4"/>
        <v>0.9952893161</v>
      </c>
      <c r="AR137" s="5">
        <f t="shared" si="5"/>
        <v>0.9901098693</v>
      </c>
      <c r="AS137" s="5">
        <f t="shared" ref="AS137:AU137" si="139">AS136*(1+AM137)</f>
        <v>1.010222158</v>
      </c>
      <c r="AT137" s="5">
        <f t="shared" si="139"/>
        <v>0.936532031</v>
      </c>
      <c r="AU137" s="5">
        <f t="shared" si="139"/>
        <v>0.9206638651</v>
      </c>
    </row>
    <row r="138" ht="15.75" customHeight="1">
      <c r="A138" s="3">
        <v>44029.0</v>
      </c>
      <c r="B138" s="4">
        <v>-0.001705</v>
      </c>
      <c r="C138" s="4">
        <v>0.009322</v>
      </c>
      <c r="D138" s="4">
        <v>0.009576</v>
      </c>
      <c r="E138" s="4">
        <v>0.005826</v>
      </c>
      <c r="F138" s="4">
        <v>0.014518</v>
      </c>
      <c r="G138" s="4">
        <v>6.7E-4</v>
      </c>
      <c r="H138" s="4">
        <v>0.006973</v>
      </c>
      <c r="I138" s="4">
        <v>-0.002602</v>
      </c>
      <c r="J138" s="4">
        <v>0.016894</v>
      </c>
      <c r="K138" s="4">
        <v>-0.003513</v>
      </c>
      <c r="L138" s="4">
        <v>0.002555</v>
      </c>
      <c r="M138" s="4">
        <v>-0.002123</v>
      </c>
      <c r="N138" s="4">
        <v>0.013524</v>
      </c>
      <c r="O138" s="4">
        <v>0.016239</v>
      </c>
      <c r="P138" s="4">
        <v>0.022258</v>
      </c>
      <c r="Q138" s="4">
        <v>0.053249</v>
      </c>
      <c r="R138" s="4">
        <v>0.008166</v>
      </c>
      <c r="S138" s="4">
        <v>0.028834</v>
      </c>
      <c r="T138" s="4">
        <v>-0.011973</v>
      </c>
      <c r="U138" s="4">
        <v>0.023491</v>
      </c>
      <c r="V138" s="4">
        <v>0.0256411749591376</v>
      </c>
      <c r="W138" s="4">
        <v>0.0224416341139495</v>
      </c>
      <c r="X138" s="4">
        <v>-0.0069086651590659</v>
      </c>
      <c r="Y138" s="4">
        <v>0.0011487310260798</v>
      </c>
      <c r="Z138" s="4">
        <v>-0.0165776886866395</v>
      </c>
      <c r="AA138" s="4">
        <v>0.0150697834579378</v>
      </c>
      <c r="AB138" s="4">
        <v>-0.0016735893098075</v>
      </c>
      <c r="AC138" s="4">
        <v>-0.0092250759297136</v>
      </c>
      <c r="AD138" s="4">
        <v>-0.0051285414464774</v>
      </c>
      <c r="AE138" s="4">
        <v>0.0040448387798681</v>
      </c>
      <c r="AF138" s="4">
        <v>0.0295802636624393</v>
      </c>
      <c r="AG138" s="4">
        <v>-4.789343784283E-4</v>
      </c>
      <c r="AH138" s="4">
        <v>0.0110584033224927</v>
      </c>
      <c r="AI138" s="4">
        <v>-0.0017788261612921</v>
      </c>
      <c r="AJ138" s="4">
        <v>0.002849</v>
      </c>
      <c r="AK138" s="4">
        <f>Weights!E194</f>
        <v>0.007233373139</v>
      </c>
      <c r="AL138" s="5">
        <v>-0.00456527861200428</v>
      </c>
      <c r="AM138" s="5">
        <v>-0.00447032922452428</v>
      </c>
      <c r="AN138" s="5">
        <v>0.00972514535859026</v>
      </c>
      <c r="AO138" s="5">
        <v>0.00895421384014971</v>
      </c>
      <c r="AP138" s="6">
        <f t="shared" si="3"/>
        <v>0.9999385208</v>
      </c>
      <c r="AQ138" s="4">
        <f t="shared" si="4"/>
        <v>0.9981248954</v>
      </c>
      <c r="AR138" s="5">
        <f t="shared" si="5"/>
        <v>0.9855897419</v>
      </c>
      <c r="AS138" s="5">
        <f t="shared" ref="AS138:AU138" si="140">AS137*(1+AM138)</f>
        <v>1.005706132</v>
      </c>
      <c r="AT138" s="5">
        <f t="shared" si="140"/>
        <v>0.9456399412</v>
      </c>
      <c r="AU138" s="5">
        <f t="shared" si="140"/>
        <v>0.9289076863</v>
      </c>
    </row>
    <row r="139" ht="15.75" customHeight="1">
      <c r="A139" s="3">
        <v>44032.0</v>
      </c>
      <c r="B139" s="4">
        <v>-0.008537</v>
      </c>
      <c r="C139" s="4">
        <v>-0.007638</v>
      </c>
      <c r="D139" s="4">
        <v>-0.027745</v>
      </c>
      <c r="E139" s="4">
        <v>-0.01151</v>
      </c>
      <c r="F139" s="4">
        <v>-0.014951</v>
      </c>
      <c r="G139" s="4">
        <v>0.001674</v>
      </c>
      <c r="H139" s="4">
        <v>-0.003104</v>
      </c>
      <c r="I139" s="4">
        <v>-0.003588</v>
      </c>
      <c r="J139" s="4">
        <v>-0.007191</v>
      </c>
      <c r="K139" s="4">
        <v>0.003305</v>
      </c>
      <c r="L139" s="4">
        <v>-0.00708</v>
      </c>
      <c r="M139" s="4">
        <v>-0.002128</v>
      </c>
      <c r="N139" s="4">
        <v>-7.7E-4</v>
      </c>
      <c r="O139" s="4">
        <v>0.020151</v>
      </c>
      <c r="P139" s="4">
        <v>0.020184</v>
      </c>
      <c r="Q139" s="4">
        <v>0.011997</v>
      </c>
      <c r="R139" s="4">
        <v>-0.011046</v>
      </c>
      <c r="S139" s="4">
        <v>0.026573</v>
      </c>
      <c r="T139" s="4">
        <v>-0.013572</v>
      </c>
      <c r="U139" s="4">
        <v>-0.005567</v>
      </c>
      <c r="V139" s="4">
        <v>0.00499997597845225</v>
      </c>
      <c r="W139" s="4">
        <v>-4.065010956675E-4</v>
      </c>
      <c r="X139" s="4">
        <v>-0.006956380646354</v>
      </c>
      <c r="Y139" s="4">
        <v>0.0249138738594669</v>
      </c>
      <c r="Z139" s="4">
        <v>0.0274579363899645</v>
      </c>
      <c r="AA139" s="4">
        <v>0.0192448381681606</v>
      </c>
      <c r="AB139" s="4">
        <v>0.0159264122089926</v>
      </c>
      <c r="AC139" s="4">
        <v>-0.001862158707371</v>
      </c>
      <c r="AD139" s="4">
        <v>-0.0010309109702498</v>
      </c>
      <c r="AE139" s="4">
        <v>0.018351381198769</v>
      </c>
      <c r="AF139" s="4">
        <v>0.006487537620111</v>
      </c>
      <c r="AG139" s="4">
        <v>0.0172467881986118</v>
      </c>
      <c r="AH139" s="4">
        <v>-0.0390624636202111</v>
      </c>
      <c r="AI139" s="4">
        <v>0.0022274196687546</v>
      </c>
      <c r="AJ139" s="4">
        <v>0.008407</v>
      </c>
      <c r="AK139" s="4">
        <f>Weights!E195</f>
        <v>0.001279118235</v>
      </c>
      <c r="AL139" s="5">
        <v>0.00323121896684863</v>
      </c>
      <c r="AM139" s="5">
        <v>0.00381401360831845</v>
      </c>
      <c r="AN139" s="5">
        <v>-0.00418764307956931</v>
      </c>
      <c r="AO139" s="5">
        <v>-0.00412037375117801</v>
      </c>
      <c r="AP139" s="6">
        <f t="shared" si="3"/>
        <v>1.00121756</v>
      </c>
      <c r="AQ139" s="4">
        <f t="shared" si="4"/>
        <v>1.006516131</v>
      </c>
      <c r="AR139" s="5">
        <f t="shared" si="5"/>
        <v>0.9887743982</v>
      </c>
      <c r="AS139" s="5">
        <f t="shared" ref="AS139:AU139" si="141">AS138*(1+AM139)</f>
        <v>1.009541909</v>
      </c>
      <c r="AT139" s="5">
        <f t="shared" si="141"/>
        <v>0.9416799386</v>
      </c>
      <c r="AU139" s="5">
        <f t="shared" si="141"/>
        <v>0.9250802394</v>
      </c>
    </row>
    <row r="140" ht="15.75" customHeight="1">
      <c r="A140" s="3">
        <v>44033.0</v>
      </c>
      <c r="B140" s="4">
        <v>-5.74E-4</v>
      </c>
      <c r="C140" s="4">
        <v>-5.37E-4</v>
      </c>
      <c r="D140" s="4">
        <v>0.01</v>
      </c>
      <c r="E140" s="4">
        <v>0.009917</v>
      </c>
      <c r="F140" s="4">
        <v>0.023417</v>
      </c>
      <c r="G140" s="4">
        <v>9.36E-4</v>
      </c>
      <c r="H140" s="4">
        <v>-0.001357</v>
      </c>
      <c r="I140" s="4">
        <v>0.013421</v>
      </c>
      <c r="J140" s="4">
        <v>-0.005994</v>
      </c>
      <c r="K140" s="4">
        <v>0.010979</v>
      </c>
      <c r="L140" s="4">
        <v>0.013833</v>
      </c>
      <c r="M140" s="4">
        <v>0.010661</v>
      </c>
      <c r="N140" s="4">
        <v>0.009759</v>
      </c>
      <c r="O140" s="4">
        <v>0.006847</v>
      </c>
      <c r="P140" s="4">
        <v>0.001558</v>
      </c>
      <c r="Q140" s="4">
        <v>-0.011854</v>
      </c>
      <c r="R140" s="4">
        <v>-0.003723</v>
      </c>
      <c r="S140" s="4">
        <v>0.035389</v>
      </c>
      <c r="T140" s="4">
        <v>0.029238</v>
      </c>
      <c r="U140" s="4">
        <v>-0.012178</v>
      </c>
      <c r="V140" s="4">
        <v>-0.00995028810647624</v>
      </c>
      <c r="W140" s="4">
        <v>-0.0071160062923053</v>
      </c>
      <c r="X140" s="4">
        <v>0.0035026135377291</v>
      </c>
      <c r="Y140" s="4">
        <v>0.0097552849643027</v>
      </c>
      <c r="Z140" s="4">
        <v>0.0092179227325865</v>
      </c>
      <c r="AA140" s="4">
        <v>-0.0012587056054532</v>
      </c>
      <c r="AB140" s="4">
        <v>-0.0024755218843497</v>
      </c>
      <c r="AC140" s="4">
        <v>0.0223879480031794</v>
      </c>
      <c r="AD140" s="4">
        <v>-0.0020639496888762</v>
      </c>
      <c r="AE140" s="4">
        <v>-0.0024173513136076</v>
      </c>
      <c r="AF140" s="4">
        <v>0.0340700133786748</v>
      </c>
      <c r="AG140" s="4">
        <v>0.0138148083919757</v>
      </c>
      <c r="AH140" s="4">
        <v>0.024390220263873</v>
      </c>
      <c r="AI140" s="4">
        <v>0.0</v>
      </c>
      <c r="AJ140" s="4">
        <v>0.001679</v>
      </c>
      <c r="AK140" s="4">
        <f>Weights!E196</f>
        <v>0.006878469679</v>
      </c>
      <c r="AL140" s="5">
        <v>0.00779225644568915</v>
      </c>
      <c r="AM140" s="5">
        <v>0.00765961688677863</v>
      </c>
      <c r="AN140" s="5">
        <v>0.0172411036162294</v>
      </c>
      <c r="AO140" s="5">
        <v>0.0175046205105624</v>
      </c>
      <c r="AP140" s="6">
        <f t="shared" si="3"/>
        <v>1.008104405</v>
      </c>
      <c r="AQ140" s="4">
        <f t="shared" si="4"/>
        <v>1.008206072</v>
      </c>
      <c r="AR140" s="5">
        <f t="shared" si="5"/>
        <v>0.9964791818</v>
      </c>
      <c r="AS140" s="5">
        <f t="shared" ref="AS140:AU140" si="142">AS139*(1+AM140)</f>
        <v>1.017274613</v>
      </c>
      <c r="AT140" s="5">
        <f t="shared" si="142"/>
        <v>0.95791554</v>
      </c>
      <c r="AU140" s="5">
        <f t="shared" si="142"/>
        <v>0.941273418</v>
      </c>
    </row>
    <row r="141" ht="15.75" customHeight="1">
      <c r="A141" s="3">
        <v>44034.0</v>
      </c>
      <c r="B141" s="4">
        <v>-0.015508</v>
      </c>
      <c r="C141" s="4">
        <v>-0.001612</v>
      </c>
      <c r="D141" s="4">
        <v>-0.010384</v>
      </c>
      <c r="E141" s="4">
        <v>0.011753</v>
      </c>
      <c r="F141" s="4">
        <v>0.027119</v>
      </c>
      <c r="G141" s="4">
        <v>0.001803</v>
      </c>
      <c r="H141" s="4">
        <v>0.008555</v>
      </c>
      <c r="I141" s="4">
        <v>0.015504</v>
      </c>
      <c r="J141" s="4">
        <v>7.54E-4</v>
      </c>
      <c r="K141" s="4">
        <v>-0.003692</v>
      </c>
      <c r="L141" s="4">
        <v>5.63E-4</v>
      </c>
      <c r="M141" s="4">
        <v>-0.001407</v>
      </c>
      <c r="N141" s="4">
        <v>0.009919</v>
      </c>
      <c r="O141" s="4">
        <v>0.00455</v>
      </c>
      <c r="P141" s="4">
        <v>0.018354</v>
      </c>
      <c r="Q141" s="4">
        <v>0.047986</v>
      </c>
      <c r="R141" s="4">
        <v>0.017937</v>
      </c>
      <c r="S141" s="4">
        <v>0.020313</v>
      </c>
      <c r="T141" s="4">
        <v>0.008833</v>
      </c>
      <c r="U141" s="4">
        <v>0.008451</v>
      </c>
      <c r="V141" s="4">
        <v>0.0236899663184737</v>
      </c>
      <c r="W141" s="4">
        <v>-0.0116718314592166</v>
      </c>
      <c r="X141" s="4">
        <v>0.0017454256403166</v>
      </c>
      <c r="Y141" s="4">
        <v>0.0116407804424887</v>
      </c>
      <c r="Z141" s="4">
        <v>0.0184071665234997</v>
      </c>
      <c r="AA141" s="4">
        <v>0.0072019714680517</v>
      </c>
      <c r="AB141" s="4">
        <v>0.0053765069151874</v>
      </c>
      <c r="AC141" s="4">
        <v>0.0109489383056393</v>
      </c>
      <c r="AD141" s="4">
        <v>-0.0072384604748757</v>
      </c>
      <c r="AE141" s="4">
        <v>0.0068291846054935</v>
      </c>
      <c r="AF141" s="4">
        <v>-0.0160286153954586</v>
      </c>
      <c r="AG141" s="4">
        <v>0.0063487958684973</v>
      </c>
      <c r="AH141" s="4">
        <v>-0.0285714393840625</v>
      </c>
      <c r="AI141" s="4">
        <v>0.002666301468416</v>
      </c>
      <c r="AJ141" s="4">
        <v>0.005747</v>
      </c>
      <c r="AK141" s="4">
        <f>Weights!E197</f>
        <v>0.005147652992</v>
      </c>
      <c r="AL141" s="5">
        <v>0.00195870630760208</v>
      </c>
      <c r="AM141" s="5">
        <v>0.00285821060032964</v>
      </c>
      <c r="AN141" s="5">
        <v>0.00826795764345855</v>
      </c>
      <c r="AO141" s="5">
        <v>0.00938396600841495</v>
      </c>
      <c r="AP141" s="6">
        <f t="shared" si="3"/>
        <v>1.013293777</v>
      </c>
      <c r="AQ141" s="4">
        <f t="shared" si="4"/>
        <v>1.014000232</v>
      </c>
      <c r="AR141" s="5">
        <f t="shared" si="5"/>
        <v>0.9984309919</v>
      </c>
      <c r="AS141" s="5">
        <f t="shared" ref="AS141:AU141" si="143">AS140*(1+AM141)</f>
        <v>1.020182198</v>
      </c>
      <c r="AT141" s="5">
        <f t="shared" si="143"/>
        <v>0.9658355451</v>
      </c>
      <c r="AU141" s="5">
        <f t="shared" si="143"/>
        <v>0.9501062957</v>
      </c>
    </row>
    <row r="142" ht="15.75" customHeight="1">
      <c r="A142" s="3">
        <v>44035.0</v>
      </c>
      <c r="B142" s="4">
        <v>-0.005834</v>
      </c>
      <c r="C142" s="4">
        <v>0.001794</v>
      </c>
      <c r="D142" s="4">
        <v>0.002928</v>
      </c>
      <c r="E142" s="4">
        <v>0.007867</v>
      </c>
      <c r="F142" s="4">
        <v>-0.004125</v>
      </c>
      <c r="G142" s="4">
        <v>-0.002666</v>
      </c>
      <c r="H142" s="4">
        <v>0.006427</v>
      </c>
      <c r="I142" s="4">
        <v>-0.006043</v>
      </c>
      <c r="J142" s="4">
        <v>-0.008536</v>
      </c>
      <c r="K142" s="4">
        <v>-0.004796</v>
      </c>
      <c r="L142" s="4">
        <v>-0.003093</v>
      </c>
      <c r="M142" s="4">
        <v>-0.007042</v>
      </c>
      <c r="N142" s="4">
        <v>0.0</v>
      </c>
      <c r="O142" s="4">
        <v>-0.006185</v>
      </c>
      <c r="P142" s="4">
        <v>0.004582</v>
      </c>
      <c r="Q142" s="4">
        <v>-0.032706</v>
      </c>
      <c r="R142" s="4">
        <v>-0.022026</v>
      </c>
      <c r="S142" s="4">
        <v>-0.023928</v>
      </c>
      <c r="T142" s="4">
        <v>0.007809</v>
      </c>
      <c r="U142" s="4">
        <v>-0.010056</v>
      </c>
      <c r="V142" s="4">
        <v>0.0203364097167038</v>
      </c>
      <c r="W142" s="4">
        <v>0.0148139001565126</v>
      </c>
      <c r="X142" s="4">
        <v>0.0</v>
      </c>
      <c r="Y142" s="4">
        <v>0.013698531608953</v>
      </c>
      <c r="Z142" s="4">
        <v>0.0173343672332888</v>
      </c>
      <c r="AA142" s="4">
        <v>0.0046480012532119</v>
      </c>
      <c r="AB142" s="4">
        <v>-4.111662458246E-4</v>
      </c>
      <c r="AC142" s="4">
        <v>0.0</v>
      </c>
      <c r="AD142" s="4">
        <v>0.0</v>
      </c>
      <c r="AE142" s="4">
        <v>0.0061993331503162</v>
      </c>
      <c r="AF142" s="4">
        <v>0.0054297951288919</v>
      </c>
      <c r="AG142" s="4">
        <v>0.0056933605119862</v>
      </c>
      <c r="AH142" s="4">
        <v>0.0261438443204564</v>
      </c>
      <c r="AI142" s="4">
        <v>0.0013298555776841</v>
      </c>
      <c r="AJ142" s="4">
        <v>-0.01232</v>
      </c>
      <c r="AK142" s="4">
        <f>Weights!E198</f>
        <v>0.001292972985</v>
      </c>
      <c r="AL142" s="5">
        <v>0.00483601089010998</v>
      </c>
      <c r="AM142" s="5">
        <v>0.00521504545078332</v>
      </c>
      <c r="AN142" s="5">
        <v>-0.00204999471009803</v>
      </c>
      <c r="AO142" s="5">
        <v>-0.00216928589539866</v>
      </c>
      <c r="AP142" s="6">
        <f t="shared" si="3"/>
        <v>1.014603938</v>
      </c>
      <c r="AQ142" s="4">
        <f t="shared" si="4"/>
        <v>1.001507749</v>
      </c>
      <c r="AR142" s="5">
        <f t="shared" si="5"/>
        <v>1.003259415</v>
      </c>
      <c r="AS142" s="5">
        <f t="shared" ref="AS142:AU142" si="144">AS141*(1+AM142)</f>
        <v>1.025502495</v>
      </c>
      <c r="AT142" s="5">
        <f t="shared" si="144"/>
        <v>0.9638555874</v>
      </c>
      <c r="AU142" s="5">
        <f t="shared" si="144"/>
        <v>0.9480452435</v>
      </c>
    </row>
    <row r="143" ht="15.75" customHeight="1">
      <c r="A143" s="3">
        <v>44036.0</v>
      </c>
      <c r="B143" s="4">
        <v>0.001174</v>
      </c>
      <c r="C143" s="4">
        <v>0.017905</v>
      </c>
      <c r="D143" s="4">
        <v>-0.014355</v>
      </c>
      <c r="E143" s="4">
        <v>-0.007441</v>
      </c>
      <c r="F143" s="4">
        <v>0.00435</v>
      </c>
      <c r="G143" s="4">
        <v>-0.009959</v>
      </c>
      <c r="H143" s="4">
        <v>-0.001585</v>
      </c>
      <c r="I143" s="4">
        <v>9.6E-4</v>
      </c>
      <c r="J143" s="4">
        <v>-0.008863</v>
      </c>
      <c r="K143" s="4">
        <v>-0.013144</v>
      </c>
      <c r="L143" s="4">
        <v>-0.003721</v>
      </c>
      <c r="M143" s="4">
        <v>-0.008511</v>
      </c>
      <c r="N143" s="4">
        <v>-0.002015</v>
      </c>
      <c r="O143" s="4">
        <v>-0.007939</v>
      </c>
      <c r="P143" s="4">
        <v>0.0149</v>
      </c>
      <c r="Q143" s="4">
        <v>0.054945</v>
      </c>
      <c r="R143" s="4">
        <v>-0.015015</v>
      </c>
      <c r="S143" s="4">
        <v>0.051579</v>
      </c>
      <c r="T143" s="4">
        <v>0.006105</v>
      </c>
      <c r="U143" s="4">
        <v>-0.00976</v>
      </c>
      <c r="V143" s="4">
        <v>-0.00687270030975484</v>
      </c>
      <c r="W143" s="4">
        <v>0.0021436992902754</v>
      </c>
      <c r="X143" s="4">
        <v>-0.0052355820859018</v>
      </c>
      <c r="Y143" s="4">
        <v>0.0023166964563883</v>
      </c>
      <c r="Z143" s="4">
        <v>-0.0050147745242082</v>
      </c>
      <c r="AA143" s="4">
        <v>-0.0039147755375736</v>
      </c>
      <c r="AB143" s="4">
        <v>0.0012342056996192</v>
      </c>
      <c r="AC143" s="4">
        <v>-0.0217786472488247</v>
      </c>
      <c r="AD143" s="4">
        <v>0.0010428579885666</v>
      </c>
      <c r="AE143" s="4">
        <v>0.0235576530706296</v>
      </c>
      <c r="AF143" s="4">
        <v>0.0387039483658573</v>
      </c>
      <c r="AG143" s="4">
        <v>-0.0221849002943183</v>
      </c>
      <c r="AH143" s="4">
        <v>-0.0127388788936163</v>
      </c>
      <c r="AI143" s="4">
        <v>0.0017709523080096</v>
      </c>
      <c r="AJ143" s="4">
        <v>-0.00619</v>
      </c>
      <c r="AK143" s="4">
        <f>Weights!E199</f>
        <v>-0.000394221592</v>
      </c>
      <c r="AL143" s="5">
        <v>-0.0112636477157145</v>
      </c>
      <c r="AM143" s="5">
        <v>-0.0109186700896539</v>
      </c>
      <c r="AN143" s="5">
        <v>0.00657385595960802</v>
      </c>
      <c r="AO143" s="5">
        <v>0.00683233411335648</v>
      </c>
      <c r="AP143" s="6">
        <f t="shared" si="3"/>
        <v>1.014203959</v>
      </c>
      <c r="AQ143" s="4">
        <f t="shared" si="4"/>
        <v>0.9953084164</v>
      </c>
      <c r="AR143" s="5">
        <f t="shared" si="5"/>
        <v>0.9919590544</v>
      </c>
      <c r="AS143" s="5">
        <f t="shared" ref="AS143:AU143" si="145">AS142*(1+AM143)</f>
        <v>1.014305371</v>
      </c>
      <c r="AT143" s="5">
        <f t="shared" si="145"/>
        <v>0.9701918352</v>
      </c>
      <c r="AU143" s="5">
        <f t="shared" si="145"/>
        <v>0.9545226054</v>
      </c>
    </row>
    <row r="144" ht="15.75" customHeight="1">
      <c r="A144" s="3">
        <v>44039.0</v>
      </c>
      <c r="B144" s="4">
        <v>0.011137</v>
      </c>
      <c r="C144" s="4">
        <v>3.52E-4</v>
      </c>
      <c r="D144" s="4">
        <v>0.00864</v>
      </c>
      <c r="E144" s="4">
        <v>0.011833</v>
      </c>
      <c r="F144" s="4">
        <v>-2.06E-4</v>
      </c>
      <c r="G144" s="4">
        <v>-0.006346</v>
      </c>
      <c r="H144" s="4">
        <v>0.002858</v>
      </c>
      <c r="I144" s="4">
        <v>9.59E-4</v>
      </c>
      <c r="J144" s="4">
        <v>0.014563</v>
      </c>
      <c r="K144" s="4">
        <v>-0.002664</v>
      </c>
      <c r="L144" s="4">
        <v>1.43E-4</v>
      </c>
      <c r="M144" s="4">
        <v>0.0</v>
      </c>
      <c r="N144" s="4">
        <v>0.011103</v>
      </c>
      <c r="O144" s="4">
        <v>0.015758</v>
      </c>
      <c r="P144" s="4">
        <v>0.034307</v>
      </c>
      <c r="Q144" s="4">
        <v>0.079327</v>
      </c>
      <c r="R144" s="4">
        <v>0.033537</v>
      </c>
      <c r="S144" s="4">
        <v>0.048303</v>
      </c>
      <c r="T144" s="4">
        <v>0.022871</v>
      </c>
      <c r="U144" s="4">
        <v>0.008448</v>
      </c>
      <c r="V144" s="4">
        <v>-0.0214534021077134</v>
      </c>
      <c r="W144" s="4">
        <v>-0.0072324560478449</v>
      </c>
      <c r="X144" s="4">
        <v>0.0070177497309933</v>
      </c>
      <c r="Y144" s="4">
        <v>-0.0085515655871866</v>
      </c>
      <c r="Z144" s="4">
        <v>-0.0109737568668945</v>
      </c>
      <c r="AA144" s="4">
        <v>-0.0110753505534472</v>
      </c>
      <c r="AB144" s="4">
        <v>8.22254656154E-4</v>
      </c>
      <c r="AC144" s="4">
        <v>0.0037104980143596</v>
      </c>
      <c r="AD144" s="4">
        <v>0.0104161852011135</v>
      </c>
      <c r="AE144" s="4">
        <v>-0.0077190240857912</v>
      </c>
      <c r="AF144" s="4">
        <v>0.0251299624904448</v>
      </c>
      <c r="AG144" s="4">
        <v>0.0095446065601834</v>
      </c>
      <c r="AH144" s="4">
        <v>-0.020967760232435</v>
      </c>
      <c r="AI144" s="4">
        <v>0.0013253428661794</v>
      </c>
      <c r="AJ144" s="4">
        <v>0.007395</v>
      </c>
      <c r="AK144" s="4">
        <f>Weights!E200</f>
        <v>0.005101460943</v>
      </c>
      <c r="AL144" s="5">
        <v>-0.00621360498826539</v>
      </c>
      <c r="AM144" s="5">
        <v>-0.0077459181537639</v>
      </c>
      <c r="AN144" s="5">
        <v>0.00244871470064955</v>
      </c>
      <c r="AO144" s="5">
        <v>0.00308459339170785</v>
      </c>
      <c r="AP144" s="6">
        <f t="shared" si="3"/>
        <v>1.019377881</v>
      </c>
      <c r="AQ144" s="4">
        <f t="shared" si="4"/>
        <v>1.002668722</v>
      </c>
      <c r="AR144" s="5">
        <f t="shared" si="5"/>
        <v>0.9857954127</v>
      </c>
      <c r="AS144" s="5">
        <f t="shared" ref="AS144:AU144" si="146">AS143*(1+AM144)</f>
        <v>1.006448645</v>
      </c>
      <c r="AT144" s="5">
        <f t="shared" si="146"/>
        <v>0.9725675582</v>
      </c>
      <c r="AU144" s="5">
        <f t="shared" si="146"/>
        <v>0.9574669195</v>
      </c>
    </row>
    <row r="145" ht="15.75" customHeight="1">
      <c r="A145" s="3">
        <v>44040.0</v>
      </c>
      <c r="B145" s="4">
        <v>-0.008116</v>
      </c>
      <c r="C145" s="4">
        <v>0.010726</v>
      </c>
      <c r="D145" s="4">
        <v>-7.34E-4</v>
      </c>
      <c r="E145" s="4">
        <v>-0.002106</v>
      </c>
      <c r="F145" s="4">
        <v>-0.006188</v>
      </c>
      <c r="G145" s="4">
        <v>-0.002378</v>
      </c>
      <c r="H145" s="4">
        <v>0.01235</v>
      </c>
      <c r="I145" s="4">
        <v>0.008623</v>
      </c>
      <c r="J145" s="4">
        <v>0.010073</v>
      </c>
      <c r="K145" s="4">
        <v>-0.008458</v>
      </c>
      <c r="L145" s="4">
        <v>-0.010594</v>
      </c>
      <c r="M145" s="4">
        <v>-0.008584</v>
      </c>
      <c r="N145" s="4">
        <v>-0.019965</v>
      </c>
      <c r="O145" s="4">
        <v>-0.016535</v>
      </c>
      <c r="P145" s="4">
        <v>-0.006518</v>
      </c>
      <c r="Q145" s="4">
        <v>0.0</v>
      </c>
      <c r="R145" s="4">
        <v>-0.024336</v>
      </c>
      <c r="S145" s="4">
        <v>-0.011564</v>
      </c>
      <c r="T145" s="4">
        <v>-0.026466</v>
      </c>
      <c r="U145" s="4">
        <v>-0.005286</v>
      </c>
      <c r="V145" s="4">
        <v>-0.00707206569079066</v>
      </c>
      <c r="W145" s="4">
        <v>-0.004924995675349</v>
      </c>
      <c r="X145" s="4">
        <v>0.0034839596472457</v>
      </c>
      <c r="Y145" s="4">
        <v>0.0091691995848668</v>
      </c>
      <c r="Z145" s="4">
        <v>0.0012601112235948</v>
      </c>
      <c r="AA145" s="4">
        <v>-0.0068640836026927</v>
      </c>
      <c r="AB145" s="4">
        <v>-0.0012318707366266</v>
      </c>
      <c r="AC145" s="4">
        <v>-0.005545171673057</v>
      </c>
      <c r="AD145" s="4">
        <v>0.0226807684058354</v>
      </c>
      <c r="AE145" s="4">
        <v>0.0096343900679727</v>
      </c>
      <c r="AF145" s="4">
        <v>-0.0067623134682416</v>
      </c>
      <c r="AG145" s="4">
        <v>-0.0037486988354727</v>
      </c>
      <c r="AH145" s="4">
        <v>-0.0197692995815891</v>
      </c>
      <c r="AI145" s="4">
        <v>8.8289017768E-4</v>
      </c>
      <c r="AJ145" s="4">
        <v>-0.006473</v>
      </c>
      <c r="AK145" s="4">
        <f>Weights!E201</f>
        <v>-0.003708119726</v>
      </c>
      <c r="AL145" s="5">
        <v>0.00958718918346512</v>
      </c>
      <c r="AM145" s="5">
        <v>0.00860540285630251</v>
      </c>
      <c r="AN145" s="5">
        <v>-0.00162878707537772</v>
      </c>
      <c r="AO145" s="5">
        <v>-9.22566117013468E-4</v>
      </c>
      <c r="AP145" s="6">
        <f t="shared" si="3"/>
        <v>1.015597906</v>
      </c>
      <c r="AQ145" s="4">
        <f t="shared" si="4"/>
        <v>0.9961784475</v>
      </c>
      <c r="AR145" s="5">
        <f t="shared" si="5"/>
        <v>0.9952464198</v>
      </c>
      <c r="AS145" s="5">
        <f t="shared" ref="AS145:AU145" si="147">AS144*(1+AM145)</f>
        <v>1.015109541</v>
      </c>
      <c r="AT145" s="5">
        <f t="shared" si="147"/>
        <v>0.9709834527</v>
      </c>
      <c r="AU145" s="5">
        <f t="shared" si="147"/>
        <v>0.956583593</v>
      </c>
    </row>
    <row r="146" ht="15.75" customHeight="1">
      <c r="A146" s="3">
        <v>44041.0</v>
      </c>
      <c r="B146" s="4">
        <v>0.011105</v>
      </c>
      <c r="C146" s="4">
        <v>-5.22E-4</v>
      </c>
      <c r="D146" s="4">
        <v>0.006368</v>
      </c>
      <c r="E146" s="4">
        <v>0.004003</v>
      </c>
      <c r="F146" s="4">
        <v>-0.003321</v>
      </c>
      <c r="G146" s="4">
        <v>-0.001975</v>
      </c>
      <c r="H146" s="4">
        <v>0.003363</v>
      </c>
      <c r="I146" s="4">
        <v>0.033566</v>
      </c>
      <c r="J146" s="4">
        <v>0.009723</v>
      </c>
      <c r="K146" s="4">
        <v>0.008305</v>
      </c>
      <c r="L146" s="4">
        <v>0.010418</v>
      </c>
      <c r="M146" s="4">
        <v>0.004329</v>
      </c>
      <c r="N146" s="4">
        <v>0.012223</v>
      </c>
      <c r="O146" s="4">
        <v>0.009247</v>
      </c>
      <c r="P146" s="4">
        <v>-0.010206</v>
      </c>
      <c r="Q146" s="4">
        <v>0.010393</v>
      </c>
      <c r="R146" s="4">
        <v>0.005291</v>
      </c>
      <c r="S146" s="4">
        <v>-0.012779</v>
      </c>
      <c r="T146" s="4">
        <v>0.013827</v>
      </c>
      <c r="U146" s="4">
        <v>0.017646</v>
      </c>
      <c r="V146" s="4">
        <v>-0.005698140445892</v>
      </c>
      <c r="W146" s="4">
        <v>0.0118582686773147</v>
      </c>
      <c r="X146" s="4">
        <v>0.0034722094219221</v>
      </c>
      <c r="Y146" s="4">
        <v>-0.0120889627561641</v>
      </c>
      <c r="Z146" s="4">
        <v>0.0087011428236003</v>
      </c>
      <c r="AA146" s="4">
        <v>-1.818117004361E-4</v>
      </c>
      <c r="AB146" s="4">
        <v>-0.0135692854154462</v>
      </c>
      <c r="AC146" s="4">
        <v>0.0111524488304541</v>
      </c>
      <c r="AD146" s="4">
        <v>-0.0211697120982664</v>
      </c>
      <c r="AE146" s="4">
        <v>0.0072808663314214</v>
      </c>
      <c r="AF146" s="4">
        <v>0.026808451406719</v>
      </c>
      <c r="AG146" s="4">
        <v>1.567720389217E-4</v>
      </c>
      <c r="AH146" s="4">
        <v>-0.0218487576789812</v>
      </c>
      <c r="AI146" s="4">
        <v>0.0013225205648614</v>
      </c>
      <c r="AJ146" s="4">
        <v>0.012428</v>
      </c>
      <c r="AK146" s="4">
        <f>Weights!E202</f>
        <v>0.0036633211</v>
      </c>
      <c r="AL146" s="5">
        <v>-0.00650293387412226</v>
      </c>
      <c r="AM146" s="5">
        <v>-0.00731311293760239</v>
      </c>
      <c r="AN146" s="5">
        <v>0.0</v>
      </c>
      <c r="AO146" s="5">
        <v>9.23418031200995E-4</v>
      </c>
      <c r="AP146" s="6">
        <f t="shared" si="3"/>
        <v>1.019318367</v>
      </c>
      <c r="AQ146" s="4">
        <f t="shared" si="4"/>
        <v>1.008558953</v>
      </c>
      <c r="AR146" s="5">
        <f t="shared" si="5"/>
        <v>0.9887743982</v>
      </c>
      <c r="AS146" s="5">
        <f t="shared" ref="AS146:AU146" si="148">AS145*(1+AM146)</f>
        <v>1.00768593</v>
      </c>
      <c r="AT146" s="5">
        <f t="shared" si="148"/>
        <v>0.9709834527</v>
      </c>
      <c r="AU146" s="5">
        <f t="shared" si="148"/>
        <v>0.9574669195</v>
      </c>
    </row>
    <row r="147" ht="15.75" customHeight="1">
      <c r="A147" s="3">
        <v>44042.0</v>
      </c>
      <c r="B147" s="4">
        <v>0.002312</v>
      </c>
      <c r="C147" s="4">
        <v>-0.002611</v>
      </c>
      <c r="D147" s="4">
        <v>0.001704</v>
      </c>
      <c r="E147" s="4">
        <v>-0.00174</v>
      </c>
      <c r="F147" s="4">
        <v>-0.006872</v>
      </c>
      <c r="G147" s="4">
        <v>0.002047</v>
      </c>
      <c r="H147" s="4">
        <v>0.024238</v>
      </c>
      <c r="I147" s="4">
        <v>-0.01348</v>
      </c>
      <c r="J147" s="4">
        <v>0.003704</v>
      </c>
      <c r="K147" s="4">
        <v>-0.008905</v>
      </c>
      <c r="L147" s="4">
        <v>-0.006301</v>
      </c>
      <c r="M147" s="4">
        <v>-0.016523</v>
      </c>
      <c r="N147" s="4">
        <v>-0.001509</v>
      </c>
      <c r="O147" s="4">
        <v>0.001764</v>
      </c>
      <c r="P147" s="4">
        <v>-0.032847</v>
      </c>
      <c r="Q147" s="4">
        <v>-0.057311</v>
      </c>
      <c r="R147" s="4">
        <v>-0.027068</v>
      </c>
      <c r="S147" s="4">
        <v>-0.037375</v>
      </c>
      <c r="T147" s="4">
        <v>-0.012945</v>
      </c>
      <c r="U147" s="4">
        <v>0.003744</v>
      </c>
      <c r="V147" s="4">
        <v>-0.035100300087321</v>
      </c>
      <c r="W147" s="4">
        <v>-0.0030571755312005</v>
      </c>
      <c r="X147" s="4">
        <v>0.0</v>
      </c>
      <c r="Y147" s="4">
        <v>0.0095869950577016</v>
      </c>
      <c r="Z147" s="4">
        <v>-0.0025772160087038</v>
      </c>
      <c r="AA147" s="4">
        <v>-0.0127342267764133</v>
      </c>
      <c r="AB147" s="4">
        <v>-0.0033346210894011</v>
      </c>
      <c r="AC147" s="4">
        <v>0.0</v>
      </c>
      <c r="AD147" s="4">
        <v>0.0</v>
      </c>
      <c r="AE147" s="4">
        <v>-0.0115789107324282</v>
      </c>
      <c r="AF147" s="4">
        <v>0.006216223248276</v>
      </c>
      <c r="AG147" s="4">
        <v>-0.0070543935054208</v>
      </c>
      <c r="AH147" s="4">
        <v>0.0120274386184831</v>
      </c>
      <c r="AI147" s="4">
        <v>0.0013211711291578</v>
      </c>
      <c r="AJ147" s="4">
        <v>-0.00375</v>
      </c>
      <c r="AK147" s="4">
        <f>Weights!E203</f>
        <v>-0.006642815136</v>
      </c>
      <c r="AL147" s="5">
        <v>0.0116364045052881</v>
      </c>
      <c r="AM147" s="5">
        <v>0.0132604789321206</v>
      </c>
      <c r="AN147" s="5">
        <v>-0.0101958100744198</v>
      </c>
      <c r="AO147" s="5">
        <v>-0.00922525632871718</v>
      </c>
      <c r="AP147" s="6">
        <f t="shared" si="3"/>
        <v>1.012547224</v>
      </c>
      <c r="AQ147" s="4">
        <f t="shared" si="4"/>
        <v>1.004776857</v>
      </c>
      <c r="AR147" s="5">
        <f t="shared" si="5"/>
        <v>1.000280177</v>
      </c>
      <c r="AS147" s="5">
        <f t="shared" ref="AS147:AU147" si="149">AS146*(1+AM147)</f>
        <v>1.021048328</v>
      </c>
      <c r="AT147" s="5">
        <f t="shared" si="149"/>
        <v>0.9610834898</v>
      </c>
      <c r="AU147" s="5">
        <f t="shared" si="149"/>
        <v>0.9486340417</v>
      </c>
    </row>
    <row r="148" ht="15.75" customHeight="1">
      <c r="A148" s="3">
        <v>44043.0</v>
      </c>
      <c r="B148" s="4">
        <v>0.001153</v>
      </c>
      <c r="C148" s="4">
        <v>0.003141</v>
      </c>
      <c r="D148" s="4">
        <v>-0.007775</v>
      </c>
      <c r="E148" s="4">
        <v>-2.18E-4</v>
      </c>
      <c r="F148" s="4">
        <v>-0.009436</v>
      </c>
      <c r="G148" s="4">
        <v>-0.007355</v>
      </c>
      <c r="H148" s="4">
        <v>-0.002283</v>
      </c>
      <c r="I148" s="4">
        <v>-0.006211</v>
      </c>
      <c r="J148" s="4">
        <v>0.003198</v>
      </c>
      <c r="K148" s="4">
        <v>-0.005391</v>
      </c>
      <c r="L148" s="4">
        <v>-0.004323</v>
      </c>
      <c r="M148" s="4">
        <v>-0.019722</v>
      </c>
      <c r="N148" s="4">
        <v>-0.018141</v>
      </c>
      <c r="O148" s="4">
        <v>-0.009537</v>
      </c>
      <c r="P148" s="4">
        <v>0.053914</v>
      </c>
      <c r="Q148" s="4">
        <v>0.020265</v>
      </c>
      <c r="R148" s="4">
        <v>-0.001546</v>
      </c>
      <c r="S148" s="4">
        <v>0.028977</v>
      </c>
      <c r="T148" s="4">
        <v>-0.017564</v>
      </c>
      <c r="U148" s="4">
        <v>0.00481</v>
      </c>
      <c r="V148" s="4">
        <v>0.0</v>
      </c>
      <c r="W148" s="4">
        <v>0.0144126869326874</v>
      </c>
      <c r="X148" s="4">
        <v>0.001697899217272</v>
      </c>
      <c r="Y148" s="4">
        <v>-6.176683323546E-4</v>
      </c>
      <c r="Z148" s="4">
        <v>0.0062555395424344</v>
      </c>
      <c r="AA148" s="4">
        <v>0.0084761019217609</v>
      </c>
      <c r="AB148" s="4">
        <v>0.0071101078397288</v>
      </c>
      <c r="AC148" s="4">
        <v>0.0017763308779883</v>
      </c>
      <c r="AD148" s="4">
        <v>0.0</v>
      </c>
      <c r="AE148" s="4">
        <v>-0.0019881242968389</v>
      </c>
      <c r="AF148" s="4">
        <v>0.012355942916258</v>
      </c>
      <c r="AG148" s="4">
        <v>-0.0121567596585873</v>
      </c>
      <c r="AH148" s="4">
        <v>0.0339559269686231</v>
      </c>
      <c r="AI148" s="4">
        <v>9.695578284605E-4</v>
      </c>
      <c r="AJ148" s="4">
        <v>0.00767</v>
      </c>
      <c r="AK148" s="4">
        <f>Weights!E204</f>
        <v>0.002092145982</v>
      </c>
      <c r="AL148" s="5">
        <v>-0.00595672292455862</v>
      </c>
      <c r="AM148" s="5">
        <v>-0.00224190591154194</v>
      </c>
      <c r="AN148" s="5">
        <v>-8.23853105823002E-4</v>
      </c>
      <c r="AO148" s="5">
        <v>-0.00186210823913601</v>
      </c>
      <c r="AP148" s="6">
        <f t="shared" si="3"/>
        <v>1.01466562</v>
      </c>
      <c r="AQ148" s="4">
        <f t="shared" si="4"/>
        <v>1.012483496</v>
      </c>
      <c r="AR148" s="5">
        <f t="shared" si="5"/>
        <v>0.9943217852</v>
      </c>
      <c r="AS148" s="5">
        <f t="shared" ref="AS148:AU148" si="150">AS147*(1+AM148)</f>
        <v>1.018759234</v>
      </c>
      <c r="AT148" s="5">
        <f t="shared" si="150"/>
        <v>0.9602916982</v>
      </c>
      <c r="AU148" s="5">
        <f t="shared" si="150"/>
        <v>0.9468675825</v>
      </c>
    </row>
    <row r="149" ht="15.75" customHeight="1">
      <c r="A149" s="3">
        <v>44046.0</v>
      </c>
      <c r="B149" s="4">
        <v>5.76E-4</v>
      </c>
      <c r="C149" s="4">
        <v>-0.004175</v>
      </c>
      <c r="D149" s="4">
        <v>9.79E-4</v>
      </c>
      <c r="E149" s="4">
        <v>-0.006974</v>
      </c>
      <c r="F149" s="4">
        <v>-0.019898</v>
      </c>
      <c r="G149" s="4">
        <v>0.010908</v>
      </c>
      <c r="H149" s="4">
        <v>0.001297</v>
      </c>
      <c r="I149" s="4">
        <v>-0.007187</v>
      </c>
      <c r="J149" s="4">
        <v>-0.008583</v>
      </c>
      <c r="K149" s="4">
        <v>0.004968</v>
      </c>
      <c r="L149" s="4">
        <v>7.24E-4</v>
      </c>
      <c r="M149" s="4">
        <v>0.007452</v>
      </c>
      <c r="N149" s="4">
        <v>0.004106</v>
      </c>
      <c r="O149" s="4">
        <v>-0.002518</v>
      </c>
      <c r="P149" s="4">
        <v>-0.015173</v>
      </c>
      <c r="Q149" s="4">
        <v>-0.013751</v>
      </c>
      <c r="R149" s="4">
        <v>0.013932</v>
      </c>
      <c r="S149" s="4">
        <v>-0.024296</v>
      </c>
      <c r="T149" s="4">
        <v>0.021692</v>
      </c>
      <c r="U149" s="4">
        <v>-0.012357</v>
      </c>
      <c r="V149" s="4">
        <v>0.0319229042162165</v>
      </c>
      <c r="W149" s="4">
        <v>1.00728894588E-4</v>
      </c>
      <c r="X149" s="4">
        <v>-0.0016950212420318</v>
      </c>
      <c r="Y149" s="4">
        <v>-0.008265661645908</v>
      </c>
      <c r="Z149" s="4">
        <v>-0.0082164009605377</v>
      </c>
      <c r="AA149" s="4">
        <v>0.0084048614593927</v>
      </c>
      <c r="AB149" s="4">
        <v>-0.0074754073267712</v>
      </c>
      <c r="AC149" s="4">
        <v>-0.0070922194744895</v>
      </c>
      <c r="AD149" s="4">
        <v>0.0010300913911802</v>
      </c>
      <c r="AE149" s="4">
        <v>-0.0101726418451162</v>
      </c>
      <c r="AF149" s="4">
        <v>-0.0158666283300504</v>
      </c>
      <c r="AG149" s="4">
        <v>0.01118752811574</v>
      </c>
      <c r="AH149" s="4">
        <v>-0.045977102617368</v>
      </c>
      <c r="AI149" s="4">
        <v>4.406055581309E-4</v>
      </c>
      <c r="AJ149" s="4">
        <v>0.007181</v>
      </c>
      <c r="AK149" s="4">
        <f>Weights!E205</f>
        <v>-0.002995654606</v>
      </c>
      <c r="AL149" s="5">
        <v>-0.00144647786365614</v>
      </c>
      <c r="AM149" s="5">
        <v>0.0051009887246376</v>
      </c>
      <c r="AN149" s="5">
        <v>0.00989692665223707</v>
      </c>
      <c r="AO149" s="5">
        <v>0.0105722007858466</v>
      </c>
      <c r="AP149" s="6">
        <f t="shared" si="3"/>
        <v>1.011626033</v>
      </c>
      <c r="AQ149" s="4">
        <f t="shared" si="4"/>
        <v>1.01975414</v>
      </c>
      <c r="AR149" s="5">
        <f t="shared" si="5"/>
        <v>0.9928835207</v>
      </c>
      <c r="AS149" s="5">
        <f t="shared" ref="AS149:AU149" si="151">AS148*(1+AM149)</f>
        <v>1.023955913</v>
      </c>
      <c r="AT149" s="5">
        <f t="shared" si="151"/>
        <v>0.9697956347</v>
      </c>
      <c r="AU149" s="5">
        <f t="shared" si="151"/>
        <v>0.9568780567</v>
      </c>
    </row>
    <row r="150" ht="15.75" customHeight="1">
      <c r="A150" s="3">
        <v>44047.0</v>
      </c>
      <c r="B150" s="4">
        <v>0.035694</v>
      </c>
      <c r="C150" s="4">
        <v>0.011705</v>
      </c>
      <c r="D150" s="4">
        <v>0.033268</v>
      </c>
      <c r="E150" s="4">
        <v>0.005633</v>
      </c>
      <c r="F150" s="4">
        <v>0.008423</v>
      </c>
      <c r="G150" s="4">
        <v>-8.82E-4</v>
      </c>
      <c r="H150" s="4">
        <v>0.019042</v>
      </c>
      <c r="I150" s="4">
        <v>0.038086</v>
      </c>
      <c r="J150" s="4">
        <v>0.014346</v>
      </c>
      <c r="K150" s="4">
        <v>0.004494</v>
      </c>
      <c r="L150" s="4">
        <v>0.004194</v>
      </c>
      <c r="M150" s="4">
        <v>-0.001479</v>
      </c>
      <c r="N150" s="4">
        <v>-0.005622</v>
      </c>
      <c r="O150" s="4">
        <v>0.003812</v>
      </c>
      <c r="P150" s="4">
        <v>0.030814</v>
      </c>
      <c r="Q150" s="4">
        <v>0.052672</v>
      </c>
      <c r="R150" s="4">
        <v>-0.01145</v>
      </c>
      <c r="S150" s="4">
        <v>0.058857</v>
      </c>
      <c r="T150" s="4">
        <v>0.0035</v>
      </c>
      <c r="U150" s="4">
        <v>7.93E-4</v>
      </c>
      <c r="V150" s="4">
        <v>-0.0187049731829633</v>
      </c>
      <c r="W150" s="4">
        <v>-0.0056422309072969</v>
      </c>
      <c r="X150" s="4">
        <v>0.0</v>
      </c>
      <c r="Y150" s="4">
        <v>0.0262501893417883</v>
      </c>
      <c r="Z150" s="4">
        <v>0.0185032163848779</v>
      </c>
      <c r="AA150" s="4">
        <v>0.0146765861630981</v>
      </c>
      <c r="AB150" s="4">
        <v>0.010878787085552</v>
      </c>
      <c r="AC150" s="4">
        <v>0.0</v>
      </c>
      <c r="AD150" s="4">
        <v>0.0</v>
      </c>
      <c r="AE150" s="4">
        <v>-0.0104212075680729</v>
      </c>
      <c r="AF150" s="4">
        <v>-0.0078543937291691</v>
      </c>
      <c r="AG150" s="4">
        <v>0.0150150623480875</v>
      </c>
      <c r="AH150" s="4">
        <v>-0.003442296648126</v>
      </c>
      <c r="AI150" s="4">
        <v>0.0022006707409847</v>
      </c>
      <c r="AJ150" s="4">
        <v>0.003612</v>
      </c>
      <c r="AK150" s="4">
        <f>Weights!E206</f>
        <v>0.008838590465</v>
      </c>
      <c r="AL150" s="5">
        <v>0.0107605144927696</v>
      </c>
      <c r="AM150" s="5">
        <v>0.0086997206217827</v>
      </c>
      <c r="AN150" s="5">
        <v>-0.00244998434767129</v>
      </c>
      <c r="AO150" s="5">
        <v>-0.00153846642032207</v>
      </c>
      <c r="AP150" s="6">
        <f t="shared" si="3"/>
        <v>1.020567381</v>
      </c>
      <c r="AQ150" s="4">
        <f t="shared" si="4"/>
        <v>1.023437492</v>
      </c>
      <c r="AR150" s="5">
        <f t="shared" si="5"/>
        <v>1.003567458</v>
      </c>
      <c r="AS150" s="5">
        <f t="shared" ref="AS150:AU150" si="152">AS149*(1+AM150)</f>
        <v>1.032864044</v>
      </c>
      <c r="AT150" s="5">
        <f t="shared" si="152"/>
        <v>0.9674196506</v>
      </c>
      <c r="AU150" s="5">
        <f t="shared" si="152"/>
        <v>0.9554059319</v>
      </c>
    </row>
    <row r="151" ht="15.75" customHeight="1">
      <c r="A151" s="3">
        <v>44048.0</v>
      </c>
      <c r="B151" s="4">
        <v>-0.003335</v>
      </c>
      <c r="C151" s="4">
        <v>-0.006389</v>
      </c>
      <c r="D151" s="4">
        <v>-0.008996</v>
      </c>
      <c r="E151" s="4">
        <v>-0.008875</v>
      </c>
      <c r="F151" s="4">
        <v>0.011352</v>
      </c>
      <c r="G151" s="4">
        <v>0.008015</v>
      </c>
      <c r="H151" s="4">
        <v>-0.002616</v>
      </c>
      <c r="I151" s="4">
        <v>-0.003942</v>
      </c>
      <c r="J151" s="4">
        <v>-0.012436</v>
      </c>
      <c r="K151" s="4">
        <v>0.012975</v>
      </c>
      <c r="L151" s="4">
        <v>0.01714</v>
      </c>
      <c r="M151" s="4">
        <v>0.047407</v>
      </c>
      <c r="N151" s="4">
        <v>0.036237</v>
      </c>
      <c r="O151" s="4">
        <v>9.37E-4</v>
      </c>
      <c r="P151" s="4">
        <v>0.001708</v>
      </c>
      <c r="Q151" s="4">
        <v>0.019868</v>
      </c>
      <c r="R151" s="4">
        <v>0.078765</v>
      </c>
      <c r="S151" s="4">
        <v>0.001425</v>
      </c>
      <c r="T151" s="4">
        <v>0.010928</v>
      </c>
      <c r="U151" s="4">
        <v>0.002574</v>
      </c>
      <c r="V151" s="4">
        <v>0.0227272156731108</v>
      </c>
      <c r="W151" s="4">
        <v>-0.0456987128605002</v>
      </c>
      <c r="X151" s="4">
        <v>0.0</v>
      </c>
      <c r="Y151" s="4">
        <v>-0.0042505702340129</v>
      </c>
      <c r="Z151" s="4">
        <v>-0.0092038285068263</v>
      </c>
      <c r="AA151" s="4">
        <v>-6.682132584456E-4</v>
      </c>
      <c r="AB151" s="4">
        <v>0.0012416588747243</v>
      </c>
      <c r="AC151" s="4">
        <v>0.0</v>
      </c>
      <c r="AD151" s="4">
        <v>0.0</v>
      </c>
      <c r="AE151" s="4">
        <v>0.0038492379503625</v>
      </c>
      <c r="AF151" s="4">
        <v>0.01500011298485</v>
      </c>
      <c r="AG151" s="4">
        <v>-0.0034257649567326</v>
      </c>
      <c r="AH151" s="4">
        <v>-0.0656303762566388</v>
      </c>
      <c r="AI151" s="4">
        <v>0.0013173449095216</v>
      </c>
      <c r="AJ151" s="4">
        <v>0.00643</v>
      </c>
      <c r="AK151" s="4">
        <f>Weights!E207</f>
        <v>0.002577041242</v>
      </c>
      <c r="AL151" s="5">
        <v>0.00470883128169941</v>
      </c>
      <c r="AM151" s="5">
        <v>0.0039529984485207</v>
      </c>
      <c r="AN151" s="5">
        <v>0.0118707339592007</v>
      </c>
      <c r="AO151" s="5">
        <v>0.0114019364493846</v>
      </c>
      <c r="AP151" s="6">
        <f t="shared" si="3"/>
        <v>1.023197425</v>
      </c>
      <c r="AQ151" s="4">
        <f t="shared" si="4"/>
        <v>1.030018195</v>
      </c>
      <c r="AR151" s="5">
        <f t="shared" si="5"/>
        <v>1.008293088</v>
      </c>
      <c r="AS151" s="5">
        <f t="shared" ref="AS151:AU151" si="153">AS150*(1+AM151)</f>
        <v>1.036946954</v>
      </c>
      <c r="AT151" s="5">
        <f t="shared" si="153"/>
        <v>0.9789036319</v>
      </c>
      <c r="AU151" s="5">
        <f t="shared" si="153"/>
        <v>0.9662994096</v>
      </c>
    </row>
    <row r="152" ht="15.75" customHeight="1">
      <c r="A152" s="3">
        <v>44049.0</v>
      </c>
      <c r="B152" s="4">
        <v>0.006693</v>
      </c>
      <c r="C152" s="4">
        <v>0.00504</v>
      </c>
      <c r="D152" s="4">
        <v>9.56E-4</v>
      </c>
      <c r="E152" s="4">
        <v>-0.002862</v>
      </c>
      <c r="F152" s="4">
        <v>0.005506</v>
      </c>
      <c r="G152" s="4">
        <v>-0.005728</v>
      </c>
      <c r="H152" s="4">
        <v>-0.005471</v>
      </c>
      <c r="I152" s="4">
        <v>0.006393</v>
      </c>
      <c r="J152" s="4">
        <v>-0.006667</v>
      </c>
      <c r="K152" s="4">
        <v>0.004196</v>
      </c>
      <c r="L152" s="4">
        <v>0.006939</v>
      </c>
      <c r="M152" s="4">
        <v>0.031825</v>
      </c>
      <c r="N152" s="4">
        <v>0.005456</v>
      </c>
      <c r="O152" s="4">
        <v>-0.135199</v>
      </c>
      <c r="P152" s="4">
        <v>-0.003695</v>
      </c>
      <c r="Q152" s="4">
        <v>0.004329</v>
      </c>
      <c r="R152" s="4">
        <v>0.042233</v>
      </c>
      <c r="S152" s="4">
        <v>-0.01441</v>
      </c>
      <c r="T152" s="4">
        <v>-0.00506</v>
      </c>
      <c r="U152" s="4">
        <v>0.018467</v>
      </c>
      <c r="V152" s="4">
        <v>-0.0193549354230603</v>
      </c>
      <c r="W152" s="4">
        <v>-0.0071141048267423</v>
      </c>
      <c r="X152" s="4">
        <v>0.0</v>
      </c>
      <c r="Y152" s="4">
        <v>-0.0026679307729873</v>
      </c>
      <c r="Z152" s="4">
        <v>-0.0052387619950717</v>
      </c>
      <c r="AA152" s="4">
        <v>0.0072268477988197</v>
      </c>
      <c r="AB152" s="4">
        <v>-0.0210830266283265</v>
      </c>
      <c r="AC152" s="4">
        <v>0.0</v>
      </c>
      <c r="AD152" s="4">
        <v>0.0</v>
      </c>
      <c r="AE152" s="4">
        <v>-0.0094052588982743</v>
      </c>
      <c r="AF152" s="4">
        <v>-0.0176519691943954</v>
      </c>
      <c r="AG152" s="4">
        <v>-0.0165624986485763</v>
      </c>
      <c r="AH152" s="4">
        <v>-0.0092421352168253</v>
      </c>
      <c r="AI152" s="4">
        <v>0.0013155130846516</v>
      </c>
      <c r="AJ152" s="4">
        <v>0.006428</v>
      </c>
      <c r="AK152" s="4">
        <f>Weights!E208</f>
        <v>-0.00211276839</v>
      </c>
      <c r="AL152" s="5">
        <v>0.00611311351562937</v>
      </c>
      <c r="AM152" s="5">
        <v>0.00727831626864694</v>
      </c>
      <c r="AN152" s="5">
        <v>4.0456113785714E-4</v>
      </c>
      <c r="AO152" s="5">
        <v>0.0</v>
      </c>
      <c r="AP152" s="6">
        <f t="shared" si="3"/>
        <v>1.021035646</v>
      </c>
      <c r="AQ152" s="4">
        <f t="shared" si="4"/>
        <v>1.036639152</v>
      </c>
      <c r="AR152" s="5">
        <f t="shared" si="5"/>
        <v>1.014456898</v>
      </c>
      <c r="AS152" s="5">
        <f t="shared" ref="AS152:AU152" si="154">AS151*(1+AM152)</f>
        <v>1.044494182</v>
      </c>
      <c r="AT152" s="5">
        <f t="shared" si="154"/>
        <v>0.9792996583</v>
      </c>
      <c r="AU152" s="5">
        <f t="shared" si="154"/>
        <v>0.9662994096</v>
      </c>
    </row>
    <row r="153" ht="15.75" customHeight="1">
      <c r="A153" s="3">
        <v>44050.0</v>
      </c>
      <c r="B153" s="4">
        <v>5.54E-4</v>
      </c>
      <c r="C153" s="4">
        <v>0.012104</v>
      </c>
      <c r="D153" s="4">
        <v>-0.0179</v>
      </c>
      <c r="E153" s="4">
        <v>0.006477</v>
      </c>
      <c r="F153" s="4">
        <v>0.00674</v>
      </c>
      <c r="G153" s="4">
        <v>0.007116</v>
      </c>
      <c r="H153" s="4">
        <v>0.00633</v>
      </c>
      <c r="I153" s="4">
        <v>-0.001815</v>
      </c>
      <c r="J153" s="4">
        <v>-2.49E-4</v>
      </c>
      <c r="K153" s="4">
        <v>0.006598</v>
      </c>
      <c r="L153" s="4">
        <v>0.002672</v>
      </c>
      <c r="M153" s="4">
        <v>0.004112</v>
      </c>
      <c r="N153" s="4">
        <v>0.01554</v>
      </c>
      <c r="O153" s="4">
        <v>-0.01299</v>
      </c>
      <c r="P153" s="4">
        <v>-0.017116</v>
      </c>
      <c r="Q153" s="4">
        <v>-0.060345</v>
      </c>
      <c r="R153" s="4">
        <v>-0.041209</v>
      </c>
      <c r="S153" s="4">
        <v>-0.045487</v>
      </c>
      <c r="T153" s="4">
        <v>0.024965</v>
      </c>
      <c r="U153" s="4">
        <v>-0.011442</v>
      </c>
      <c r="V153" s="4">
        <v>-0.00219293403417353</v>
      </c>
      <c r="W153" s="4">
        <v>0.0216019379679679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0.0309235548107367</v>
      </c>
      <c r="AG153" s="4">
        <v>0.0146172643239481</v>
      </c>
      <c r="AH153" s="4">
        <v>0.0503731517556458</v>
      </c>
      <c r="AI153" s="4">
        <v>0.0</v>
      </c>
      <c r="AJ153" s="4">
        <v>6.33E-4</v>
      </c>
      <c r="AK153" s="4">
        <f>Weights!E209</f>
        <v>0.002433818363</v>
      </c>
      <c r="AL153" s="5">
        <v>0.00415189237245994</v>
      </c>
      <c r="AM153" s="5">
        <v>0.00485685899144594</v>
      </c>
      <c r="AN153" s="5">
        <v>-0.00849199270662381</v>
      </c>
      <c r="AO153" s="5">
        <v>-0.00822646492664203</v>
      </c>
      <c r="AP153" s="6">
        <f t="shared" si="3"/>
        <v>1.023520661</v>
      </c>
      <c r="AQ153" s="4">
        <f t="shared" si="4"/>
        <v>1.037295344</v>
      </c>
      <c r="AR153" s="5">
        <f t="shared" si="5"/>
        <v>1.018668814</v>
      </c>
      <c r="AS153" s="5">
        <f t="shared" ref="AS153:AU153" si="155">AS152*(1+AM153)</f>
        <v>1.049567142</v>
      </c>
      <c r="AT153" s="5">
        <f t="shared" si="155"/>
        <v>0.9709834527</v>
      </c>
      <c r="AU153" s="5">
        <f t="shared" si="155"/>
        <v>0.9583501814</v>
      </c>
    </row>
    <row r="154" ht="15.75" customHeight="1">
      <c r="A154" s="3">
        <v>44053.0</v>
      </c>
      <c r="B154" s="4">
        <v>0.003322</v>
      </c>
      <c r="C154" s="4">
        <v>0.007859</v>
      </c>
      <c r="D154" s="4">
        <v>0.002916</v>
      </c>
      <c r="E154" s="4">
        <v>-0.005558</v>
      </c>
      <c r="F154" s="4">
        <v>-0.001674</v>
      </c>
      <c r="G154" s="4">
        <v>-0.003836</v>
      </c>
      <c r="H154" s="4">
        <v>0.004118</v>
      </c>
      <c r="I154" s="4">
        <v>0.015152</v>
      </c>
      <c r="J154" s="4">
        <v>0.008454</v>
      </c>
      <c r="K154" s="4">
        <v>0.01442</v>
      </c>
      <c r="L154" s="4">
        <v>0.010238</v>
      </c>
      <c r="M154" s="4">
        <v>0.017747</v>
      </c>
      <c r="N154" s="4">
        <v>0.020646</v>
      </c>
      <c r="O154" s="4">
        <v>0.011025</v>
      </c>
      <c r="P154" s="4">
        <v>-0.014802</v>
      </c>
      <c r="Q154" s="4">
        <v>-0.009174</v>
      </c>
      <c r="R154" s="4">
        <v>0.030086</v>
      </c>
      <c r="S154" s="4">
        <v>-0.002458</v>
      </c>
      <c r="T154" s="4">
        <v>0.039693</v>
      </c>
      <c r="U154" s="4">
        <v>-0.016773</v>
      </c>
      <c r="V154" s="4">
        <v>-0.00805851932098722</v>
      </c>
      <c r="W154" s="4">
        <v>-0.0159111915308216</v>
      </c>
      <c r="X154" s="4">
        <v>0.0</v>
      </c>
      <c r="Y154" s="4">
        <v>-0.0077956251110461</v>
      </c>
      <c r="Z154" s="4">
        <v>-0.0183513080827759</v>
      </c>
      <c r="AA154" s="4">
        <v>-0.0039462255743198</v>
      </c>
      <c r="AB154" s="4">
        <v>0.0092904106340199</v>
      </c>
      <c r="AC154" s="4">
        <v>0.0</v>
      </c>
      <c r="AD154" s="4">
        <v>0.0</v>
      </c>
      <c r="AE154" s="4">
        <v>0.0016067416561647</v>
      </c>
      <c r="AF154" s="4">
        <v>-0.0198621807462409</v>
      </c>
      <c r="AG154" s="4">
        <v>0.0175382595586464</v>
      </c>
      <c r="AH154" s="4">
        <v>-0.0852576122168554</v>
      </c>
      <c r="AI154" s="4">
        <v>0.0013144748483706</v>
      </c>
      <c r="AJ154" s="4">
        <v>0.002742</v>
      </c>
      <c r="AK154" s="4">
        <f>Weights!E210</f>
        <v>-0.000825007021</v>
      </c>
      <c r="AL154" s="5">
        <v>-0.00312637474662103</v>
      </c>
      <c r="AM154" s="5">
        <v>8.25033083797777E-4</v>
      </c>
      <c r="AN154" s="5">
        <v>0.0110116218896445</v>
      </c>
      <c r="AO154" s="5">
        <v>0.0125959516768243</v>
      </c>
      <c r="AP154" s="6">
        <f t="shared" si="3"/>
        <v>1.02267625</v>
      </c>
      <c r="AQ154" s="4">
        <f t="shared" si="4"/>
        <v>1.040139608</v>
      </c>
      <c r="AR154" s="5">
        <f t="shared" si="5"/>
        <v>1.015484074</v>
      </c>
      <c r="AS154" s="5">
        <f t="shared" ref="AS154:AU154" si="156">AS153*(1+AM154)</f>
        <v>1.05043307</v>
      </c>
      <c r="AT154" s="5">
        <f t="shared" si="156"/>
        <v>0.9816755554</v>
      </c>
      <c r="AU154" s="5">
        <f t="shared" si="156"/>
        <v>0.970421514</v>
      </c>
    </row>
    <row r="155" ht="15.75" customHeight="1">
      <c r="A155" s="3">
        <v>44054.0</v>
      </c>
      <c r="B155" s="4">
        <v>0.009382</v>
      </c>
      <c r="C155" s="4">
        <v>-0.008137</v>
      </c>
      <c r="D155" s="4">
        <v>0.012358</v>
      </c>
      <c r="E155" s="4">
        <v>-0.006324</v>
      </c>
      <c r="F155" s="4">
        <v>0.004401</v>
      </c>
      <c r="G155" s="4">
        <v>-0.007161</v>
      </c>
      <c r="H155" s="4">
        <v>-0.006488</v>
      </c>
      <c r="I155" s="4">
        <v>5.97E-4</v>
      </c>
      <c r="J155" s="4">
        <v>-0.002712</v>
      </c>
      <c r="K155" s="4">
        <v>0.022399</v>
      </c>
      <c r="L155" s="4">
        <v>0.019298</v>
      </c>
      <c r="M155" s="4">
        <v>0.02951</v>
      </c>
      <c r="N155" s="4">
        <v>0.010947</v>
      </c>
      <c r="O155" s="4">
        <v>-0.012389</v>
      </c>
      <c r="P155" s="4">
        <v>-0.073943</v>
      </c>
      <c r="Q155" s="4">
        <v>-0.090278</v>
      </c>
      <c r="R155" s="4">
        <v>-0.029207</v>
      </c>
      <c r="S155" s="4">
        <v>-0.067109</v>
      </c>
      <c r="T155" s="4">
        <v>-0.014967</v>
      </c>
      <c r="U155" s="4">
        <v>-0.005686</v>
      </c>
      <c r="V155" s="4">
        <v>0.0125552931094778</v>
      </c>
      <c r="W155" s="4">
        <v>0.0465907105749003</v>
      </c>
      <c r="X155" s="4">
        <v>0.0</v>
      </c>
      <c r="Y155" s="4">
        <v>0.0070095258979521</v>
      </c>
      <c r="Z155" s="4">
        <v>0.0052545628898326</v>
      </c>
      <c r="AA155" s="4">
        <v>-0.015667124672517</v>
      </c>
      <c r="AB155" s="4">
        <v>0.0443515878857092</v>
      </c>
      <c r="AC155" s="4">
        <v>0.0124999947018835</v>
      </c>
      <c r="AD155" s="4">
        <v>-0.0020789832233842</v>
      </c>
      <c r="AE155" s="4">
        <v>0.0137815923699402</v>
      </c>
      <c r="AF155" s="4">
        <v>0.0405292619960235</v>
      </c>
      <c r="AG155" s="4">
        <v>-0.0089258067246639</v>
      </c>
      <c r="AH155" s="4">
        <v>0.0543689279936521</v>
      </c>
      <c r="AI155" s="4">
        <v>-0.0017499713752924</v>
      </c>
      <c r="AJ155" s="4">
        <v>-0.007969</v>
      </c>
      <c r="AK155" s="4">
        <f>Weights!E211</f>
        <v>0.003488040072</v>
      </c>
      <c r="AL155" s="5">
        <v>0.00293381068415121</v>
      </c>
      <c r="AM155" s="5">
        <v>0.00276817976349841</v>
      </c>
      <c r="AN155" s="5">
        <v>0.00806766654236046</v>
      </c>
      <c r="AO155" s="5">
        <v>0.00788841487551339</v>
      </c>
      <c r="AP155" s="6">
        <f t="shared" si="3"/>
        <v>1.026243385</v>
      </c>
      <c r="AQ155" s="4">
        <f t="shared" si="4"/>
        <v>1.031850736</v>
      </c>
      <c r="AR155" s="5">
        <f t="shared" si="5"/>
        <v>1.018463312</v>
      </c>
      <c r="AS155" s="5">
        <f t="shared" ref="AS155:AU155" si="157">AS154*(1+AM155)</f>
        <v>1.053340858</v>
      </c>
      <c r="AT155" s="5">
        <f t="shared" si="157"/>
        <v>0.9895953864</v>
      </c>
      <c r="AU155" s="5">
        <f t="shared" si="157"/>
        <v>0.9780766015</v>
      </c>
    </row>
    <row r="156" ht="15.75" customHeight="1">
      <c r="A156" s="3">
        <v>44055.0</v>
      </c>
      <c r="B156" s="4">
        <v>0.004374</v>
      </c>
      <c r="C156" s="4">
        <v>0.001538</v>
      </c>
      <c r="D156" s="4">
        <v>0.002872</v>
      </c>
      <c r="E156" s="4">
        <v>0.019834</v>
      </c>
      <c r="F156" s="4">
        <v>0.010432</v>
      </c>
      <c r="G156" s="4">
        <v>0.018303</v>
      </c>
      <c r="H156" s="4">
        <v>0.016738</v>
      </c>
      <c r="I156" s="4">
        <v>0.013723</v>
      </c>
      <c r="J156" s="4">
        <v>0.010878</v>
      </c>
      <c r="K156" s="4">
        <v>0.016431</v>
      </c>
      <c r="L156" s="4">
        <v>0.007627</v>
      </c>
      <c r="M156" s="4">
        <v>0.00912</v>
      </c>
      <c r="N156" s="4">
        <v>0.009652</v>
      </c>
      <c r="O156" s="4">
        <v>0.016534</v>
      </c>
      <c r="P156" s="4">
        <v>0.001909</v>
      </c>
      <c r="Q156" s="4">
        <v>-0.005089</v>
      </c>
      <c r="R156" s="4">
        <v>7.16E-4</v>
      </c>
      <c r="S156" s="4">
        <v>0.002845</v>
      </c>
      <c r="T156" s="4">
        <v>0.01057</v>
      </c>
      <c r="U156" s="4">
        <v>0.003211</v>
      </c>
      <c r="V156" s="4">
        <v>0.0087527200054589</v>
      </c>
      <c r="W156" s="4">
        <v>-0.0194123624579343</v>
      </c>
      <c r="X156" s="4">
        <v>0.0101868320035132</v>
      </c>
      <c r="Y156" s="4">
        <v>0.0131570136405807</v>
      </c>
      <c r="Z156" s="4">
        <v>0.0218424260841409</v>
      </c>
      <c r="AA156" s="4">
        <v>-0.0056715412353312</v>
      </c>
      <c r="AB156" s="4">
        <v>0.0296475515763137</v>
      </c>
      <c r="AC156" s="4">
        <v>0.0158729374654589</v>
      </c>
      <c r="AD156" s="4">
        <v>0.0104166325849908</v>
      </c>
      <c r="AE156" s="4">
        <v>-0.016255740673218</v>
      </c>
      <c r="AF156" s="4">
        <v>-0.0182830302408893</v>
      </c>
      <c r="AG156" s="4">
        <v>-0.0043479708264303</v>
      </c>
      <c r="AH156" s="4">
        <v>-0.0128912885887946</v>
      </c>
      <c r="AI156" s="4">
        <v>0.0013148533256066</v>
      </c>
      <c r="AJ156" s="4">
        <v>0.013997</v>
      </c>
      <c r="AK156" s="4">
        <f>Weights!E212</f>
        <v>0.005399362431</v>
      </c>
      <c r="AL156" s="5">
        <v>-0.00413555972978252</v>
      </c>
      <c r="AM156" s="5">
        <v>-0.00804622702270863</v>
      </c>
      <c r="AN156" s="5">
        <v>0.00440182824470247</v>
      </c>
      <c r="AO156" s="5">
        <v>0.00466583243255214</v>
      </c>
      <c r="AP156" s="6">
        <f t="shared" si="3"/>
        <v>1.031784445</v>
      </c>
      <c r="AQ156" s="4">
        <f t="shared" si="4"/>
        <v>1.04629355</v>
      </c>
      <c r="AR156" s="5">
        <f t="shared" si="5"/>
        <v>1.014251396</v>
      </c>
      <c r="AS156" s="5">
        <f t="shared" ref="AS156:AU156" si="158">AS155*(1+AM156)</f>
        <v>1.044865438</v>
      </c>
      <c r="AT156" s="5">
        <f t="shared" si="158"/>
        <v>0.9939514153</v>
      </c>
      <c r="AU156" s="5">
        <f t="shared" si="158"/>
        <v>0.9826401431</v>
      </c>
    </row>
    <row r="157" ht="15.75" customHeight="1">
      <c r="A157" s="3">
        <v>44056.0</v>
      </c>
      <c r="B157" s="4">
        <v>-0.008166</v>
      </c>
      <c r="C157" s="4">
        <v>-0.001365</v>
      </c>
      <c r="D157" s="4">
        <v>0.001193</v>
      </c>
      <c r="E157" s="4">
        <v>0.002177</v>
      </c>
      <c r="F157" s="4">
        <v>-0.001032</v>
      </c>
      <c r="G157" s="4">
        <v>-0.011092</v>
      </c>
      <c r="H157" s="4">
        <v>0.002362</v>
      </c>
      <c r="I157" s="4">
        <v>-0.014726</v>
      </c>
      <c r="J157" s="4">
        <v>-0.00269</v>
      </c>
      <c r="K157" s="4">
        <v>-0.005181</v>
      </c>
      <c r="L157" s="4">
        <v>-0.001622</v>
      </c>
      <c r="M157" s="4">
        <v>-0.00581</v>
      </c>
      <c r="N157" s="4">
        <v>-0.003497</v>
      </c>
      <c r="O157" s="4">
        <v>0.009497</v>
      </c>
      <c r="P157" s="4">
        <v>0.017781</v>
      </c>
      <c r="Q157" s="4">
        <v>0.046888</v>
      </c>
      <c r="R157" s="4">
        <v>-0.012885</v>
      </c>
      <c r="S157" s="4">
        <v>0.029787</v>
      </c>
      <c r="T157" s="4">
        <v>-0.008499</v>
      </c>
      <c r="U157" s="4">
        <v>-1.0E-4</v>
      </c>
      <c r="V157" s="4">
        <v>-0.0122920237003296</v>
      </c>
      <c r="W157" s="4">
        <v>-0.0216626055662685</v>
      </c>
      <c r="X157" s="4">
        <v>0.0</v>
      </c>
      <c r="Y157" s="4">
        <v>0.0109475922209205</v>
      </c>
      <c r="Z157" s="4">
        <v>0.0159641628777931</v>
      </c>
      <c r="AA157" s="4">
        <v>0.0012880907473784</v>
      </c>
      <c r="AB157" s="4">
        <v>0.0241245769865192</v>
      </c>
      <c r="AC157" s="4">
        <v>0.0</v>
      </c>
      <c r="AD157" s="4">
        <v>0.0</v>
      </c>
      <c r="AE157" s="4">
        <v>-0.0036555511063481</v>
      </c>
      <c r="AF157" s="4">
        <v>0.0109313067879037</v>
      </c>
      <c r="AG157" s="4">
        <v>0.0131004636086242</v>
      </c>
      <c r="AH157" s="4">
        <v>0.0485073929774164</v>
      </c>
      <c r="AI157" s="4">
        <v>4.376104244849E-4</v>
      </c>
      <c r="AJ157" s="4">
        <v>-0.002047</v>
      </c>
      <c r="AK157" s="4">
        <f>Weights!E213</f>
        <v>0.00400240839</v>
      </c>
      <c r="AL157" s="5">
        <v>0.0163071366092477</v>
      </c>
      <c r="AM157" s="5">
        <v>0.0133808546689537</v>
      </c>
      <c r="AN157" s="5">
        <v>-0.00119522146098993</v>
      </c>
      <c r="AO157" s="5">
        <v>-0.00164796505309505</v>
      </c>
      <c r="AP157" s="6">
        <f t="shared" si="3"/>
        <v>1.035914068</v>
      </c>
      <c r="AQ157" s="4">
        <f t="shared" si="4"/>
        <v>1.044151787</v>
      </c>
      <c r="AR157" s="5">
        <f t="shared" si="5"/>
        <v>1.030790932</v>
      </c>
      <c r="AS157" s="5">
        <f t="shared" ref="AS157:AU157" si="159">AS156*(1+AM157)</f>
        <v>1.058846631</v>
      </c>
      <c r="AT157" s="5">
        <f t="shared" si="159"/>
        <v>0.9927634232</v>
      </c>
      <c r="AU157" s="5">
        <f t="shared" si="159"/>
        <v>0.9810207864</v>
      </c>
    </row>
    <row r="158" ht="15.75" customHeight="1">
      <c r="A158" s="3">
        <v>44057.0</v>
      </c>
      <c r="B158" s="4">
        <v>0.003293</v>
      </c>
      <c r="C158" s="4">
        <v>0.004614</v>
      </c>
      <c r="D158" s="4">
        <v>9.54E-4</v>
      </c>
      <c r="E158" s="4">
        <v>-0.00391</v>
      </c>
      <c r="F158" s="4">
        <v>0.001447</v>
      </c>
      <c r="G158" s="4">
        <v>0.001622</v>
      </c>
      <c r="H158" s="4">
        <v>-0.005008</v>
      </c>
      <c r="I158" s="4">
        <v>0.0</v>
      </c>
      <c r="J158" s="4">
        <v>-0.012751</v>
      </c>
      <c r="K158" s="4">
        <v>-0.002083</v>
      </c>
      <c r="L158" s="4">
        <v>-0.004333</v>
      </c>
      <c r="M158" s="4">
        <v>-0.008333</v>
      </c>
      <c r="N158" s="4">
        <v>2.34E-4</v>
      </c>
      <c r="O158" s="4">
        <v>-0.004112</v>
      </c>
      <c r="P158" s="4">
        <v>-0.004056</v>
      </c>
      <c r="Q158" s="4">
        <v>-0.002443</v>
      </c>
      <c r="R158" s="4">
        <v>-7.25E-4</v>
      </c>
      <c r="S158" s="4">
        <v>-0.005313</v>
      </c>
      <c r="T158" s="4">
        <v>0.016264</v>
      </c>
      <c r="U158" s="4">
        <v>-0.0017</v>
      </c>
      <c r="V158" s="4">
        <v>-0.0212299340288253</v>
      </c>
      <c r="W158" s="4">
        <v>0.0083697186504458</v>
      </c>
      <c r="X158" s="4">
        <v>0.0</v>
      </c>
      <c r="Y158" s="4">
        <v>0.0117251179985351</v>
      </c>
      <c r="Z158" s="4">
        <v>0.0149189213862195</v>
      </c>
      <c r="AA158" s="4">
        <v>0.0023887850834398</v>
      </c>
      <c r="AB158" s="4">
        <v>0.0110181063406511</v>
      </c>
      <c r="AC158" s="4">
        <v>-0.0017274075604518</v>
      </c>
      <c r="AD158" s="4">
        <v>-0.0072388775454045</v>
      </c>
      <c r="AE158" s="4">
        <v>-0.0132093515970986</v>
      </c>
      <c r="AF158" s="4">
        <v>0.0196234505414281</v>
      </c>
      <c r="AG158" s="4">
        <v>0.011545742092951</v>
      </c>
      <c r="AH158" s="4">
        <v>0.0213523573266785</v>
      </c>
      <c r="AI158" s="4">
        <v>-8.747395594642E-4</v>
      </c>
      <c r="AJ158" s="4">
        <v>-1.72E-4</v>
      </c>
      <c r="AK158" s="4">
        <f>Weights!E214</f>
        <v>0.0009723982712</v>
      </c>
      <c r="AL158" s="5">
        <v>-9.96574143662498E-4</v>
      </c>
      <c r="AM158" s="5">
        <v>-7.59572608457825E-4</v>
      </c>
      <c r="AN158" s="5">
        <v>0.00319104204176201</v>
      </c>
      <c r="AO158" s="5">
        <v>0.0030012101250112</v>
      </c>
      <c r="AP158" s="6">
        <f t="shared" si="3"/>
        <v>1.036921389</v>
      </c>
      <c r="AQ158" s="4">
        <f t="shared" si="4"/>
        <v>1.043972193</v>
      </c>
      <c r="AR158" s="5">
        <f t="shared" si="5"/>
        <v>1.029763672</v>
      </c>
      <c r="AS158" s="5">
        <f t="shared" ref="AS158:AU158" si="160">AS157*(1+AM158)</f>
        <v>1.05804236</v>
      </c>
      <c r="AT158" s="5">
        <f t="shared" si="160"/>
        <v>0.9959313731</v>
      </c>
      <c r="AU158" s="5">
        <f t="shared" si="160"/>
        <v>0.983965036</v>
      </c>
    </row>
    <row r="159" ht="15.75" customHeight="1">
      <c r="A159" s="3">
        <v>44060.0</v>
      </c>
      <c r="B159" s="4">
        <v>-0.002735</v>
      </c>
      <c r="C159" s="4">
        <v>-1.7E-4</v>
      </c>
      <c r="D159" s="4">
        <v>0.005001</v>
      </c>
      <c r="E159" s="4">
        <v>0.002617</v>
      </c>
      <c r="F159" s="4">
        <v>-0.004954</v>
      </c>
      <c r="G159" s="4">
        <v>0.005059</v>
      </c>
      <c r="H159" s="4">
        <v>0.002961</v>
      </c>
      <c r="I159" s="4">
        <v>0.001217</v>
      </c>
      <c r="J159" s="4">
        <v>0.001739</v>
      </c>
      <c r="K159" s="4">
        <v>-0.004384</v>
      </c>
      <c r="L159" s="4">
        <v>8.16E-4</v>
      </c>
      <c r="M159" s="4">
        <v>-0.004648</v>
      </c>
      <c r="N159" s="4">
        <v>-0.008187</v>
      </c>
      <c r="O159" s="4">
        <v>0.036316</v>
      </c>
      <c r="P159" s="4">
        <v>0.070478</v>
      </c>
      <c r="Q159" s="4">
        <v>0.057959</v>
      </c>
      <c r="R159" s="4">
        <v>0.023222</v>
      </c>
      <c r="S159" s="4">
        <v>0.046884</v>
      </c>
      <c r="T159" s="4">
        <v>0.002811</v>
      </c>
      <c r="U159" s="4">
        <v>0.002204</v>
      </c>
      <c r="V159" s="4">
        <v>0.0127151180781002</v>
      </c>
      <c r="W159" s="4">
        <v>0.0108215071976729</v>
      </c>
      <c r="X159" s="4">
        <v>0.0316667652801609</v>
      </c>
      <c r="Y159" s="4">
        <v>0.0029526177760599</v>
      </c>
      <c r="Z159" s="4">
        <v>0.010417589658598</v>
      </c>
      <c r="AA159" s="4">
        <v>-0.0067826133113318</v>
      </c>
      <c r="AB159" s="4">
        <v>0.0308154983116801</v>
      </c>
      <c r="AC159" s="4">
        <v>-0.0224912143501452</v>
      </c>
      <c r="AD159" s="4">
        <v>0.0052082254080259</v>
      </c>
      <c r="AE159" s="4">
        <v>-0.0017102524431168</v>
      </c>
      <c r="AF159" s="4">
        <v>0.0510604902795748</v>
      </c>
      <c r="AG159" s="4">
        <v>-0.0068483355620242</v>
      </c>
      <c r="AH159" s="4">
        <v>0.146341448218413</v>
      </c>
      <c r="AI159" s="4">
        <v>-0.0013137015166099</v>
      </c>
      <c r="AJ159" s="4">
        <v>0.00271</v>
      </c>
      <c r="AK159" s="4">
        <f>Weights!E215</f>
        <v>0.01524766361</v>
      </c>
      <c r="AL159" s="5">
        <v>-0.00269356520214947</v>
      </c>
      <c r="AM159" s="5">
        <v>-2.92424268956037E-4</v>
      </c>
      <c r="AN159" s="5">
        <v>-0.00357844852154565</v>
      </c>
      <c r="AO159" s="5">
        <v>-0.0059843939726798</v>
      </c>
      <c r="AP159" s="6">
        <f t="shared" si="3"/>
        <v>1.052732018</v>
      </c>
      <c r="AQ159" s="4">
        <f t="shared" si="4"/>
        <v>1.046801358</v>
      </c>
      <c r="AR159" s="5">
        <f t="shared" si="5"/>
        <v>1.026989937</v>
      </c>
      <c r="AS159" s="5">
        <f t="shared" ref="AS159:AU159" si="161">AS158*(1+AM159)</f>
        <v>1.057732962</v>
      </c>
      <c r="AT159" s="5">
        <f t="shared" si="161"/>
        <v>0.9923674839</v>
      </c>
      <c r="AU159" s="5">
        <f t="shared" si="161"/>
        <v>0.9780766015</v>
      </c>
    </row>
    <row r="160" ht="15.75" customHeight="1">
      <c r="A160" s="3">
        <v>44061.0</v>
      </c>
      <c r="B160" s="4">
        <v>0.008228</v>
      </c>
      <c r="C160" s="4">
        <v>0.006805</v>
      </c>
      <c r="D160" s="4">
        <v>0.009716</v>
      </c>
      <c r="E160" s="4">
        <v>0.001378</v>
      </c>
      <c r="F160" s="4">
        <v>0.004356</v>
      </c>
      <c r="G160" s="4">
        <v>0.007383</v>
      </c>
      <c r="H160" s="4">
        <v>0.007454</v>
      </c>
      <c r="I160" s="4">
        <v>0.001823</v>
      </c>
      <c r="J160" s="4">
        <v>0.002751</v>
      </c>
      <c r="K160" s="4">
        <v>-0.00692</v>
      </c>
      <c r="L160" s="4">
        <v>0.00394</v>
      </c>
      <c r="M160" s="4">
        <v>-0.003336</v>
      </c>
      <c r="N160" s="4">
        <v>-0.002123</v>
      </c>
      <c r="O160" s="4">
        <v>-9.28E-4</v>
      </c>
      <c r="P160" s="4">
        <v>-0.00951</v>
      </c>
      <c r="Q160" s="4">
        <v>-0.003086</v>
      </c>
      <c r="R160" s="4">
        <v>0.021986</v>
      </c>
      <c r="S160" s="4">
        <v>-0.001512</v>
      </c>
      <c r="T160" s="4">
        <v>0.0</v>
      </c>
      <c r="U160" s="4">
        <v>-6.0E-4</v>
      </c>
      <c r="V160" s="4">
        <v>-0.0132941000933534</v>
      </c>
      <c r="W160" s="4">
        <v>0.0197483815487296</v>
      </c>
      <c r="X160" s="4">
        <v>0.0096929076654037</v>
      </c>
      <c r="Y160" s="4">
        <v>0.004121434205986</v>
      </c>
      <c r="Z160" s="4">
        <v>0.0116536616649627</v>
      </c>
      <c r="AA160" s="4">
        <v>0.0016610308129108</v>
      </c>
      <c r="AB160" s="4">
        <v>-0.0018229649201468</v>
      </c>
      <c r="AC160" s="4">
        <v>0.001769958793383</v>
      </c>
      <c r="AD160" s="4">
        <v>0.0020726407978963</v>
      </c>
      <c r="AE160" s="4">
        <v>8.194882400096E-4</v>
      </c>
      <c r="AF160" s="4">
        <v>0.0231689017915901</v>
      </c>
      <c r="AG160" s="4">
        <v>-0.0041373217332953</v>
      </c>
      <c r="AH160" s="4">
        <v>0.0182371192368286</v>
      </c>
      <c r="AI160" s="4">
        <v>-0.0056989122545704</v>
      </c>
      <c r="AJ160" s="4">
        <v>0.002303</v>
      </c>
      <c r="AK160" s="4">
        <f>Weights!E216</f>
        <v>0.002708566028</v>
      </c>
      <c r="AL160" s="5">
        <v>0.00670205430912562</v>
      </c>
      <c r="AM160" s="5">
        <v>0.0042696285709336</v>
      </c>
      <c r="AN160" s="5">
        <v>0.00438935668055351</v>
      </c>
      <c r="AO160" s="5">
        <v>0.00571942454359031</v>
      </c>
      <c r="AP160" s="6">
        <f t="shared" si="3"/>
        <v>1.055583412</v>
      </c>
      <c r="AQ160" s="4">
        <f t="shared" si="4"/>
        <v>1.049212141</v>
      </c>
      <c r="AR160" s="5">
        <f t="shared" si="5"/>
        <v>1.033872879</v>
      </c>
      <c r="AS160" s="5">
        <f t="shared" ref="AS160:AU160" si="162">AS159*(1+AM160)</f>
        <v>1.062249089</v>
      </c>
      <c r="AT160" s="5">
        <f t="shared" si="162"/>
        <v>0.9967233388</v>
      </c>
      <c r="AU160" s="5">
        <f t="shared" si="162"/>
        <v>0.9836706368</v>
      </c>
    </row>
    <row r="161" ht="15.75" customHeight="1">
      <c r="A161" s="3">
        <v>44062.0</v>
      </c>
      <c r="B161" s="4">
        <v>-0.004353</v>
      </c>
      <c r="C161" s="4">
        <v>-0.002197</v>
      </c>
      <c r="D161" s="4">
        <v>-0.008214</v>
      </c>
      <c r="E161" s="4">
        <v>-0.012019</v>
      </c>
      <c r="F161" s="4">
        <v>-0.021685</v>
      </c>
      <c r="G161" s="4">
        <v>0.001999</v>
      </c>
      <c r="H161" s="4">
        <v>-0.005421</v>
      </c>
      <c r="I161" s="4">
        <v>-0.00546</v>
      </c>
      <c r="J161" s="4">
        <v>0.001746</v>
      </c>
      <c r="K161" s="4">
        <v>-0.002745</v>
      </c>
      <c r="L161" s="4">
        <v>4.06E-4</v>
      </c>
      <c r="M161" s="4">
        <v>0.001339</v>
      </c>
      <c r="N161" s="4">
        <v>0.001654</v>
      </c>
      <c r="O161" s="4">
        <v>0.004316</v>
      </c>
      <c r="P161" s="4">
        <v>-0.025406</v>
      </c>
      <c r="Q161" s="4">
        <v>-0.055728</v>
      </c>
      <c r="R161" s="4">
        <v>0.03678</v>
      </c>
      <c r="S161" s="4">
        <v>-0.024981</v>
      </c>
      <c r="T161" s="4">
        <v>-0.012508</v>
      </c>
      <c r="U161" s="4">
        <v>-0.003901</v>
      </c>
      <c r="V161" s="4">
        <v>0.0179641332454225</v>
      </c>
      <c r="W161" s="4">
        <v>-0.022525749063084</v>
      </c>
      <c r="X161" s="4">
        <v>0.0</v>
      </c>
      <c r="Y161" s="4">
        <v>-0.0061568377862005</v>
      </c>
      <c r="Z161" s="4">
        <v>-0.0080458221636259</v>
      </c>
      <c r="AA161" s="4">
        <v>-0.0163996048568412</v>
      </c>
      <c r="AB161" s="4">
        <v>-0.0135133902409236</v>
      </c>
      <c r="AC161" s="4">
        <v>0.0</v>
      </c>
      <c r="AD161" s="4">
        <v>0.0</v>
      </c>
      <c r="AE161" s="4">
        <v>0.003274876197584</v>
      </c>
      <c r="AF161" s="4">
        <v>-0.0080351230264176</v>
      </c>
      <c r="AG161" s="4">
        <v>-0.0044622843283319</v>
      </c>
      <c r="AH161" s="4">
        <v>0.0686567204012904</v>
      </c>
      <c r="AI161" s="4">
        <v>0.0013222744549576</v>
      </c>
      <c r="AJ161" s="4">
        <v>-0.004404</v>
      </c>
      <c r="AK161" s="4">
        <f>Weights!E217</f>
        <v>-0.001182538981</v>
      </c>
      <c r="AL161" s="5">
        <v>0.0012915541106695</v>
      </c>
      <c r="AM161" s="5">
        <v>0.00151408866844837</v>
      </c>
      <c r="AN161" s="5">
        <v>-0.00437017442624054</v>
      </c>
      <c r="AO161" s="5">
        <v>-0.00329241161220195</v>
      </c>
      <c r="AP161" s="6">
        <f t="shared" si="3"/>
        <v>1.054335143</v>
      </c>
      <c r="AQ161" s="4">
        <f t="shared" si="4"/>
        <v>1.044591411</v>
      </c>
      <c r="AR161" s="5">
        <f t="shared" si="5"/>
        <v>1.035208182</v>
      </c>
      <c r="AS161" s="5">
        <f t="shared" ref="AS161:AU161" si="163">AS160*(1+AM161)</f>
        <v>1.063857429</v>
      </c>
      <c r="AT161" s="5">
        <f t="shared" si="163"/>
        <v>0.9923674839</v>
      </c>
      <c r="AU161" s="5">
        <f t="shared" si="163"/>
        <v>0.9804319882</v>
      </c>
    </row>
    <row r="162" ht="15.75" customHeight="1">
      <c r="A162" s="3">
        <v>44063.0</v>
      </c>
      <c r="B162" s="4">
        <v>5.46E-4</v>
      </c>
      <c r="C162" s="4">
        <v>-0.001524</v>
      </c>
      <c r="D162" s="4">
        <v>-0.003313</v>
      </c>
      <c r="E162" s="4">
        <v>0.001979</v>
      </c>
      <c r="F162" s="4">
        <v>-4.22E-4</v>
      </c>
      <c r="G162" s="4">
        <v>0.006849</v>
      </c>
      <c r="H162" s="4">
        <v>0.007955</v>
      </c>
      <c r="I162" s="4">
        <v>0.0</v>
      </c>
      <c r="J162" s="4">
        <v>-0.001993</v>
      </c>
      <c r="K162" s="4">
        <v>-6.35E-4</v>
      </c>
      <c r="L162" s="4">
        <v>0.005547</v>
      </c>
      <c r="M162" s="4">
        <v>-0.007353</v>
      </c>
      <c r="N162" s="4">
        <v>4.72E-4</v>
      </c>
      <c r="O162" s="4">
        <v>-0.013411</v>
      </c>
      <c r="P162" s="4">
        <v>0.018945</v>
      </c>
      <c r="Q162" s="4">
        <v>0.018033</v>
      </c>
      <c r="R162" s="4">
        <v>-0.016064</v>
      </c>
      <c r="S162" s="4">
        <v>0.018634</v>
      </c>
      <c r="T162" s="4">
        <v>-0.003057</v>
      </c>
      <c r="U162" s="4">
        <v>-0.001004</v>
      </c>
      <c r="V162" s="4">
        <v>-0.0257353542848706</v>
      </c>
      <c r="W162" s="4">
        <v>-0.0202292331642539</v>
      </c>
      <c r="X162" s="4">
        <v>0.0</v>
      </c>
      <c r="Y162" s="4">
        <v>0.0022862614176766</v>
      </c>
      <c r="Z162" s="4">
        <v>0.0023691022193141</v>
      </c>
      <c r="AA162" s="4">
        <v>-5.620052931342E-4</v>
      </c>
      <c r="AB162" s="4">
        <v>0.0018511321317269</v>
      </c>
      <c r="AC162" s="4">
        <v>0.0</v>
      </c>
      <c r="AD162" s="4">
        <v>0.0</v>
      </c>
      <c r="AE162" s="4">
        <v>0.0126863686417648</v>
      </c>
      <c r="AF162" s="4">
        <v>-0.0117819425876973</v>
      </c>
      <c r="AG162" s="4">
        <v>0.0149921492780622</v>
      </c>
      <c r="AH162" s="4">
        <v>-0.0097765766572733</v>
      </c>
      <c r="AI162" s="4">
        <v>8.808147100021E-4</v>
      </c>
      <c r="AJ162" s="4">
        <v>0.003159</v>
      </c>
      <c r="AK162" s="6">
        <f>Weights!E218</f>
        <v>-0.0000343140584</v>
      </c>
      <c r="AL162" s="5">
        <v>-0.00456482641485345</v>
      </c>
      <c r="AM162" s="5">
        <v>-0.00389626728420211</v>
      </c>
      <c r="AN162" s="5">
        <v>7.98144585733684E-4</v>
      </c>
      <c r="AO162" s="5">
        <v>3.00340785975627E-4</v>
      </c>
      <c r="AP162" s="6">
        <f t="shared" si="3"/>
        <v>1.054298965</v>
      </c>
      <c r="AQ162" s="4">
        <f t="shared" si="4"/>
        <v>1.047891275</v>
      </c>
      <c r="AR162" s="5">
        <f t="shared" si="5"/>
        <v>1.030482636</v>
      </c>
      <c r="AS162" s="5">
        <f t="shared" ref="AS162:AU162" si="164">AS161*(1+AM162)</f>
        <v>1.059712356</v>
      </c>
      <c r="AT162" s="5">
        <f t="shared" si="164"/>
        <v>0.9931595367</v>
      </c>
      <c r="AU162" s="5">
        <f t="shared" si="164"/>
        <v>0.9807264519</v>
      </c>
    </row>
    <row r="163" ht="15.75" customHeight="1">
      <c r="A163" s="3">
        <v>44064.0</v>
      </c>
      <c r="B163" s="4">
        <v>0.001638</v>
      </c>
      <c r="C163" s="4">
        <v>5.09E-4</v>
      </c>
      <c r="D163" s="4">
        <v>0.00736</v>
      </c>
      <c r="E163" s="4">
        <v>-0.001902</v>
      </c>
      <c r="F163" s="4">
        <v>-0.001478</v>
      </c>
      <c r="G163" s="4">
        <v>0.00885</v>
      </c>
      <c r="H163" s="4">
        <v>0.004311</v>
      </c>
      <c r="I163" s="4">
        <v>6.1E-4</v>
      </c>
      <c r="J163" s="4">
        <v>0.007736</v>
      </c>
      <c r="K163" s="4">
        <v>-8.47E-4</v>
      </c>
      <c r="L163" s="4">
        <v>-2.69E-4</v>
      </c>
      <c r="M163" s="4">
        <v>-0.00404</v>
      </c>
      <c r="N163" s="4">
        <v>0.006604</v>
      </c>
      <c r="O163" s="4">
        <v>-0.008841</v>
      </c>
      <c r="P163" s="4">
        <v>-0.024691</v>
      </c>
      <c r="Q163" s="4">
        <v>-0.010467</v>
      </c>
      <c r="R163" s="4">
        <v>-0.023129</v>
      </c>
      <c r="S163" s="4">
        <v>-0.011814</v>
      </c>
      <c r="T163" s="4">
        <v>-0.02103</v>
      </c>
      <c r="U163" s="4">
        <v>-0.001005</v>
      </c>
      <c r="V163" s="4">
        <v>0.00150949296172941</v>
      </c>
      <c r="W163" s="4">
        <v>0.0283098075982721</v>
      </c>
      <c r="X163" s="4">
        <v>0.0047022802694667</v>
      </c>
      <c r="Y163" s="4">
        <v>0.0112581447940438</v>
      </c>
      <c r="Z163" s="4">
        <v>0.011791126755932</v>
      </c>
      <c r="AA163" s="4">
        <v>1.876832780483E-4</v>
      </c>
      <c r="AB163" s="4">
        <v>-0.0121951306938629</v>
      </c>
      <c r="AC163" s="4">
        <v>-0.0179856667926302</v>
      </c>
      <c r="AD163" s="4">
        <v>0.003112125893089</v>
      </c>
      <c r="AE163" s="4">
        <v>-0.0030035121115705</v>
      </c>
      <c r="AF163" s="4">
        <v>-0.0070789035385961</v>
      </c>
      <c r="AG163" s="4">
        <v>-0.0117251675162506</v>
      </c>
      <c r="AH163" s="4">
        <v>-0.036671316781793</v>
      </c>
      <c r="AI163" s="4">
        <v>-0.0017596830590208</v>
      </c>
      <c r="AJ163" s="4">
        <v>0.003441</v>
      </c>
      <c r="AK163" s="4">
        <f>Weights!E219</f>
        <v>-0.003537531112</v>
      </c>
      <c r="AL163" s="5">
        <v>0.00209349717702633</v>
      </c>
      <c r="AM163" s="5">
        <v>0.0028604965059924</v>
      </c>
      <c r="AN163" s="5">
        <v>0.00717704670145846</v>
      </c>
      <c r="AO163" s="5">
        <v>0.00840576544406657</v>
      </c>
      <c r="AP163" s="6">
        <f t="shared" si="3"/>
        <v>1.050569349</v>
      </c>
      <c r="AQ163" s="4">
        <f t="shared" si="4"/>
        <v>1.051497069</v>
      </c>
      <c r="AR163" s="5">
        <f t="shared" si="5"/>
        <v>1.032639949</v>
      </c>
      <c r="AS163" s="5">
        <f t="shared" ref="AS163:AU163" si="165">AS162*(1+AM163)</f>
        <v>1.062743659</v>
      </c>
      <c r="AT163" s="5">
        <f t="shared" si="165"/>
        <v>1.000287489</v>
      </c>
      <c r="AU163" s="5">
        <f t="shared" si="165"/>
        <v>0.9889702085</v>
      </c>
    </row>
    <row r="164" ht="15.75" customHeight="1">
      <c r="A164" s="3">
        <v>44067.0</v>
      </c>
      <c r="B164" s="4">
        <v>0.007634</v>
      </c>
      <c r="C164" s="4">
        <v>0.009832</v>
      </c>
      <c r="D164" s="4">
        <v>-7.07E-4</v>
      </c>
      <c r="E164" s="4">
        <v>0.008647</v>
      </c>
      <c r="F164" s="4">
        <v>0.014594</v>
      </c>
      <c r="G164" s="4">
        <v>0.002618</v>
      </c>
      <c r="H164" s="4">
        <v>0.007785</v>
      </c>
      <c r="I164" s="4">
        <v>-3.05E-4</v>
      </c>
      <c r="J164" s="4">
        <v>-0.003219</v>
      </c>
      <c r="K164" s="4">
        <v>0.026294</v>
      </c>
      <c r="L164" s="4">
        <v>0.007805</v>
      </c>
      <c r="M164" s="4">
        <v>0.022312</v>
      </c>
      <c r="N164" s="4">
        <v>0.013121</v>
      </c>
      <c r="O164" s="4">
        <v>-0.016446</v>
      </c>
      <c r="P164" s="4">
        <v>-0.005643</v>
      </c>
      <c r="Q164" s="4">
        <v>0.017901</v>
      </c>
      <c r="R164" s="4">
        <v>0.013928</v>
      </c>
      <c r="S164" s="4">
        <v>-0.013498</v>
      </c>
      <c r="T164" s="4">
        <v>0.029761</v>
      </c>
      <c r="U164" s="4">
        <v>0.007547</v>
      </c>
      <c r="V164" s="4">
        <v>0.0158251881672295</v>
      </c>
      <c r="W164" s="4">
        <v>-0.0082800044283812</v>
      </c>
      <c r="X164" s="4">
        <v>0.0062401215415301</v>
      </c>
      <c r="Y164" s="4">
        <v>0.0013824688724171</v>
      </c>
      <c r="Z164" s="4">
        <v>0.0060170410273405</v>
      </c>
      <c r="AA164" s="4">
        <v>0.0074961803468112</v>
      </c>
      <c r="AB164" s="4">
        <v>-0.002244555080594</v>
      </c>
      <c r="AC164" s="4">
        <v>0.0</v>
      </c>
      <c r="AD164" s="4">
        <v>0.0010340566195774</v>
      </c>
      <c r="AE164" s="4">
        <v>0.001763555881979</v>
      </c>
      <c r="AF164" s="4">
        <v>-0.0112571197466774</v>
      </c>
      <c r="AG164" s="4">
        <v>0.0043143383533814</v>
      </c>
      <c r="AH164" s="4">
        <v>-0.0204978008679588</v>
      </c>
      <c r="AI164" s="4">
        <v>4.406962504812E-4</v>
      </c>
      <c r="AJ164" s="4">
        <v>0.010044</v>
      </c>
      <c r="AK164" s="4">
        <f>Weights!E220</f>
        <v>0.004452912579</v>
      </c>
      <c r="AL164" s="5">
        <v>6.96483236586775E-4</v>
      </c>
      <c r="AM164" s="5">
        <v>0.00250328546094813</v>
      </c>
      <c r="AN164" s="5">
        <v>-0.00118791166747311</v>
      </c>
      <c r="AO164" s="5">
        <v>-0.00208397337463039</v>
      </c>
      <c r="AP164" s="6">
        <f t="shared" si="3"/>
        <v>1.055247443</v>
      </c>
      <c r="AQ164" s="4">
        <f t="shared" si="4"/>
        <v>1.062058306</v>
      </c>
      <c r="AR164" s="5">
        <f t="shared" si="5"/>
        <v>1.033359165</v>
      </c>
      <c r="AS164" s="5">
        <f t="shared" ref="AS164:AU164" si="166">AS163*(1+AM164)</f>
        <v>1.06540401</v>
      </c>
      <c r="AT164" s="5">
        <f t="shared" si="166"/>
        <v>0.9990992359</v>
      </c>
      <c r="AU164" s="5">
        <f t="shared" si="166"/>
        <v>0.9869092209</v>
      </c>
    </row>
    <row r="165" ht="15.75" customHeight="1">
      <c r="A165" s="3">
        <v>44068.0</v>
      </c>
      <c r="B165" s="4">
        <v>0.005411</v>
      </c>
      <c r="C165" s="4">
        <v>-0.002518</v>
      </c>
      <c r="D165" s="4">
        <v>-0.001415</v>
      </c>
      <c r="E165" s="4">
        <v>-0.00247</v>
      </c>
      <c r="F165" s="4">
        <v>-0.001251</v>
      </c>
      <c r="G165" s="4">
        <v>-5.91E-4</v>
      </c>
      <c r="H165" s="4">
        <v>0.003971</v>
      </c>
      <c r="I165" s="4">
        <v>-0.003659</v>
      </c>
      <c r="J165" s="4">
        <v>-4.97E-4</v>
      </c>
      <c r="K165" s="4">
        <v>0.011777</v>
      </c>
      <c r="L165" s="4">
        <v>0.014688</v>
      </c>
      <c r="M165" s="4">
        <v>-0.001323</v>
      </c>
      <c r="N165" s="4">
        <v>-0.008395</v>
      </c>
      <c r="O165" s="4">
        <v>0.015134</v>
      </c>
      <c r="P165" s="4">
        <v>-0.005215</v>
      </c>
      <c r="Q165" s="4">
        <v>-0.01279</v>
      </c>
      <c r="R165" s="4">
        <v>-0.006868</v>
      </c>
      <c r="S165" s="4">
        <v>0.004105</v>
      </c>
      <c r="T165" s="4">
        <v>-0.009778</v>
      </c>
      <c r="U165" s="4">
        <v>0.014881</v>
      </c>
      <c r="V165" s="4">
        <v>0.00222556074478075</v>
      </c>
      <c r="W165" s="4">
        <v>0.0151327035456798</v>
      </c>
      <c r="X165" s="4">
        <v>0.0031008662693425</v>
      </c>
      <c r="Y165" s="4">
        <v>0.0023979685824659</v>
      </c>
      <c r="Z165" s="4">
        <v>-0.0040130265826119</v>
      </c>
      <c r="AA165" s="4">
        <v>0.0065103211195716</v>
      </c>
      <c r="AB165" s="4">
        <v>-0.0082490345394568</v>
      </c>
      <c r="AC165" s="4">
        <v>0.0201467136196156</v>
      </c>
      <c r="AD165" s="4">
        <v>-0.0041322542486765</v>
      </c>
      <c r="AE165" s="4">
        <v>-0.0049879193446452</v>
      </c>
      <c r="AF165" s="4">
        <v>0.0083490237747154</v>
      </c>
      <c r="AG165" s="4">
        <v>0.001534114897731</v>
      </c>
      <c r="AH165" s="4">
        <v>0.0089685830969787</v>
      </c>
      <c r="AI165" s="4">
        <v>-0.0022024114690374</v>
      </c>
      <c r="AJ165" s="4">
        <v>0.003596</v>
      </c>
      <c r="AK165" s="4">
        <f>Weights!E221</f>
        <v>0.001697135485</v>
      </c>
      <c r="AL165" s="5">
        <v>0.00994138068241246</v>
      </c>
      <c r="AM165" s="5">
        <v>0.00958085129715224</v>
      </c>
      <c r="AN165" s="5">
        <v>-0.00277442255430349</v>
      </c>
      <c r="AO165" s="5">
        <v>-0.00328154196468988</v>
      </c>
      <c r="AP165" s="6">
        <f t="shared" si="3"/>
        <v>1.057038341</v>
      </c>
      <c r="AQ165" s="4">
        <f t="shared" si="4"/>
        <v>1.065877468</v>
      </c>
      <c r="AR165" s="5">
        <f t="shared" si="5"/>
        <v>1.043632182</v>
      </c>
      <c r="AS165" s="5">
        <f t="shared" ref="AS165:AU165" si="167">AS164*(1+AM165)</f>
        <v>1.075611487</v>
      </c>
      <c r="AT165" s="5">
        <f t="shared" si="167"/>
        <v>0.9963273124</v>
      </c>
      <c r="AU165" s="5">
        <f t="shared" si="167"/>
        <v>0.9836706368</v>
      </c>
    </row>
    <row r="166" ht="15.75" customHeight="1">
      <c r="A166" s="3">
        <v>44069.0</v>
      </c>
      <c r="B166" s="4">
        <v>-0.00592</v>
      </c>
      <c r="C166" s="4">
        <v>6.73E-4</v>
      </c>
      <c r="D166" s="4">
        <v>0.002126</v>
      </c>
      <c r="E166" s="4">
        <v>0.008521</v>
      </c>
      <c r="F166" s="4">
        <v>0.005218</v>
      </c>
      <c r="G166" s="4">
        <v>0.001578</v>
      </c>
      <c r="H166" s="4">
        <v>-0.004818</v>
      </c>
      <c r="I166" s="4">
        <v>-0.016218</v>
      </c>
      <c r="J166" s="4">
        <v>0.007209</v>
      </c>
      <c r="K166" s="4">
        <v>0.030427</v>
      </c>
      <c r="L166" s="4">
        <v>0.014739</v>
      </c>
      <c r="M166" s="4">
        <v>0.005298</v>
      </c>
      <c r="N166" s="4">
        <v>0.005888</v>
      </c>
      <c r="O166" s="4">
        <v>0.005528</v>
      </c>
      <c r="P166" s="4">
        <v>0.012488</v>
      </c>
      <c r="Q166" s="4">
        <v>0.039676</v>
      </c>
      <c r="R166" s="4">
        <v>0.038036</v>
      </c>
      <c r="S166" s="4">
        <v>0.032704</v>
      </c>
      <c r="T166" s="4">
        <v>-0.001536</v>
      </c>
      <c r="U166" s="4">
        <v>0.001082</v>
      </c>
      <c r="V166" s="4">
        <v>0.00666167483090096</v>
      </c>
      <c r="W166" s="4">
        <v>-0.0427635030149452</v>
      </c>
      <c r="X166" s="4">
        <v>0.0030911780608815</v>
      </c>
      <c r="Y166" s="4">
        <v>0.0027545758924381</v>
      </c>
      <c r="Z166" s="4">
        <v>-0.0033953042769662</v>
      </c>
      <c r="AA166" s="4">
        <v>-0.0094251048757728</v>
      </c>
      <c r="AB166" s="4">
        <v>-0.0102079714314318</v>
      </c>
      <c r="AC166" s="4">
        <v>0.0</v>
      </c>
      <c r="AD166" s="4">
        <v>0.0020747304826451</v>
      </c>
      <c r="AE166" s="4">
        <v>0.0138568930594491</v>
      </c>
      <c r="AF166" s="4">
        <v>-0.0338727730802238</v>
      </c>
      <c r="AG166" s="4">
        <v>-0.0238969067849564</v>
      </c>
      <c r="AH166" s="4">
        <v>-0.0459259519590103</v>
      </c>
      <c r="AI166" s="4">
        <v>8.824520421941E-4</v>
      </c>
      <c r="AJ166" s="4">
        <v>0.010196</v>
      </c>
      <c r="AK166" s="4">
        <f>Weights!E222</f>
        <v>-0.0005481460515</v>
      </c>
      <c r="AL166" s="5">
        <v>0.0031499271930242</v>
      </c>
      <c r="AM166" s="5">
        <v>0.0033359048443049</v>
      </c>
      <c r="AN166" s="5">
        <v>0.00198716897042694</v>
      </c>
      <c r="AO166" s="5">
        <v>0.00239461849539202</v>
      </c>
      <c r="AP166" s="6">
        <f t="shared" si="3"/>
        <v>1.056458929</v>
      </c>
      <c r="AQ166" s="4">
        <f t="shared" si="4"/>
        <v>1.076745154</v>
      </c>
      <c r="AR166" s="5">
        <f t="shared" si="5"/>
        <v>1.046919547</v>
      </c>
      <c r="AS166" s="5">
        <f t="shared" ref="AS166:AU166" si="168">AS165*(1+AM166)</f>
        <v>1.079199625</v>
      </c>
      <c r="AT166" s="5">
        <f t="shared" si="168"/>
        <v>0.9983071831</v>
      </c>
      <c r="AU166" s="5">
        <f t="shared" si="168"/>
        <v>0.9860261527</v>
      </c>
    </row>
    <row r="167" ht="15.75" customHeight="1">
      <c r="A167" s="3">
        <v>44070.0</v>
      </c>
      <c r="B167" s="4">
        <v>0.009204</v>
      </c>
      <c r="C167" s="4">
        <v>-5.05E-4</v>
      </c>
      <c r="D167" s="4">
        <v>0.006599</v>
      </c>
      <c r="E167" s="4">
        <v>-5.06E-4</v>
      </c>
      <c r="F167" s="4">
        <v>0.001453</v>
      </c>
      <c r="G167" s="4">
        <v>0.004465</v>
      </c>
      <c r="H167" s="4">
        <v>-0.001301</v>
      </c>
      <c r="I167" s="4">
        <v>0.008709</v>
      </c>
      <c r="J167" s="4">
        <v>-0.007651</v>
      </c>
      <c r="K167" s="4">
        <v>0.001982</v>
      </c>
      <c r="L167" s="4">
        <v>0.005965</v>
      </c>
      <c r="M167" s="4">
        <v>0.003294</v>
      </c>
      <c r="N167" s="4">
        <v>0.014751</v>
      </c>
      <c r="O167" s="4">
        <v>0.003332</v>
      </c>
      <c r="P167" s="4">
        <v>-0.013857</v>
      </c>
      <c r="Q167" s="4">
        <v>-0.024143</v>
      </c>
      <c r="R167" s="4">
        <v>-0.007328</v>
      </c>
      <c r="S167" s="4">
        <v>-0.030914</v>
      </c>
      <c r="T167" s="4">
        <v>0.001099</v>
      </c>
      <c r="U167" s="4">
        <v>-0.007176</v>
      </c>
      <c r="V167" s="4">
        <v>0.00147055570532272</v>
      </c>
      <c r="W167" s="4">
        <v>-0.0022556165234154</v>
      </c>
      <c r="X167" s="4">
        <v>0.0</v>
      </c>
      <c r="Y167" s="4">
        <v>0.0082413894572364</v>
      </c>
      <c r="Z167" s="4">
        <v>7.88434235303E-4</v>
      </c>
      <c r="AA167" s="4">
        <v>0.0082087592668611</v>
      </c>
      <c r="AB167" s="4">
        <v>-0.0087853189058073</v>
      </c>
      <c r="AC167" s="4">
        <v>0.0</v>
      </c>
      <c r="AD167" s="4">
        <v>0.0</v>
      </c>
      <c r="AE167" s="4">
        <v>0.0021927240049646</v>
      </c>
      <c r="AF167" s="4">
        <v>0.0046749437139592</v>
      </c>
      <c r="AG167" s="4">
        <v>0.003452439449245</v>
      </c>
      <c r="AH167" s="4">
        <v>-0.0062111927713263</v>
      </c>
      <c r="AI167" s="4">
        <v>0.0035288801102049</v>
      </c>
      <c r="AJ167" s="4">
        <v>0.001673</v>
      </c>
      <c r="AK167" s="6">
        <f>Weights!E223</f>
        <v>0.00009726548149</v>
      </c>
      <c r="AL167" s="5">
        <v>0.00912554958475819</v>
      </c>
      <c r="AM167" s="5">
        <v>0.00905685936876299</v>
      </c>
      <c r="AN167" s="5">
        <v>-0.00515637526226742</v>
      </c>
      <c r="AO167" s="5">
        <v>-0.0056734443727664</v>
      </c>
      <c r="AP167" s="6">
        <f t="shared" si="3"/>
        <v>1.056561686</v>
      </c>
      <c r="AQ167" s="4">
        <f t="shared" si="4"/>
        <v>1.078546549</v>
      </c>
      <c r="AR167" s="5">
        <f t="shared" si="5"/>
        <v>1.056473263</v>
      </c>
      <c r="AS167" s="5">
        <f t="shared" ref="AS167:AU167" si="169">AS166*(1+AM167)</f>
        <v>1.088973784</v>
      </c>
      <c r="AT167" s="5">
        <f t="shared" si="169"/>
        <v>0.9931595367</v>
      </c>
      <c r="AU167" s="5">
        <f t="shared" si="169"/>
        <v>0.9804319882</v>
      </c>
    </row>
    <row r="168" ht="15.75" customHeight="1">
      <c r="A168" s="3">
        <v>44071.0</v>
      </c>
      <c r="B168" s="4">
        <v>-0.004828</v>
      </c>
      <c r="C168" s="4">
        <v>-0.002861</v>
      </c>
      <c r="D168" s="4">
        <v>-0.00281</v>
      </c>
      <c r="E168" s="4">
        <v>0.011127</v>
      </c>
      <c r="F168" s="4">
        <v>0.033174</v>
      </c>
      <c r="G168" s="4">
        <v>0.004314</v>
      </c>
      <c r="H168" s="4">
        <v>0.004052</v>
      </c>
      <c r="I168" s="4">
        <v>0.004009</v>
      </c>
      <c r="J168" s="4">
        <v>-0.010196</v>
      </c>
      <c r="K168" s="4">
        <v>-0.00712</v>
      </c>
      <c r="L168" s="4">
        <v>-0.00477</v>
      </c>
      <c r="M168" s="4">
        <v>-0.001313</v>
      </c>
      <c r="N168" s="4">
        <v>-0.014075</v>
      </c>
      <c r="O168" s="4">
        <v>-0.002491</v>
      </c>
      <c r="P168" s="4">
        <v>0.030111</v>
      </c>
      <c r="Q168" s="4">
        <v>0.068635</v>
      </c>
      <c r="R168" s="4">
        <v>0.050336</v>
      </c>
      <c r="S168" s="4">
        <v>0.031706</v>
      </c>
      <c r="T168" s="4">
        <v>0.00966</v>
      </c>
      <c r="U168" s="4">
        <v>-0.007525</v>
      </c>
      <c r="V168" s="4">
        <v>0.00367108065495114</v>
      </c>
      <c r="W168" s="4">
        <v>0.0261599668580898</v>
      </c>
      <c r="X168" s="4">
        <v>0.0107526465230289</v>
      </c>
      <c r="Y168" s="4">
        <v>0.0045171277246147</v>
      </c>
      <c r="Z168" s="4">
        <v>0.0020069209917512</v>
      </c>
      <c r="AA168" s="4">
        <v>0.0042562040086693</v>
      </c>
      <c r="AB168" s="4">
        <v>0.0335260858847459</v>
      </c>
      <c r="AC168" s="4">
        <v>0.0126352884239346</v>
      </c>
      <c r="AD168" s="4">
        <v>0.0</v>
      </c>
      <c r="AE168" s="4">
        <v>0.0137107916116776</v>
      </c>
      <c r="AF168" s="4">
        <v>0.0178362191436287</v>
      </c>
      <c r="AG168" s="4">
        <v>-0.0010947271159227</v>
      </c>
      <c r="AH168" s="4">
        <v>0.0093750657746582</v>
      </c>
      <c r="AI168" s="4">
        <v>-8.788704081641E-4</v>
      </c>
      <c r="AJ168" s="4">
        <v>0.006733</v>
      </c>
      <c r="AK168" s="4">
        <f>Weights!E224</f>
        <v>0.007876506469</v>
      </c>
      <c r="AL168" s="5">
        <v>-0.00126400449565489</v>
      </c>
      <c r="AM168" s="5">
        <v>0.00238581186634134</v>
      </c>
      <c r="AN168" s="5">
        <v>0.00797420420745975</v>
      </c>
      <c r="AO168" s="5">
        <v>0.00645620671564106</v>
      </c>
      <c r="AP168" s="6">
        <f t="shared" si="3"/>
        <v>1.064883701</v>
      </c>
      <c r="AQ168" s="4">
        <f t="shared" si="4"/>
        <v>1.085808403</v>
      </c>
      <c r="AR168" s="5">
        <f t="shared" si="5"/>
        <v>1.055137876</v>
      </c>
      <c r="AS168" s="5">
        <f t="shared" ref="AS168:AU168" si="170">AS167*(1+AM168)</f>
        <v>1.091571871</v>
      </c>
      <c r="AT168" s="5">
        <f t="shared" si="170"/>
        <v>1.001079194</v>
      </c>
      <c r="AU168" s="5">
        <f t="shared" si="170"/>
        <v>0.9867618598</v>
      </c>
    </row>
    <row r="169" ht="15.75" customHeight="1">
      <c r="A169" s="3">
        <v>44074.0</v>
      </c>
      <c r="B169" s="4">
        <v>-0.007547</v>
      </c>
      <c r="C169" s="4">
        <v>1.69E-4</v>
      </c>
      <c r="D169" s="4">
        <v>-0.022775</v>
      </c>
      <c r="E169" s="4">
        <v>8.57E-4</v>
      </c>
      <c r="F169" s="4">
        <v>-0.006021</v>
      </c>
      <c r="G169" s="4">
        <v>-0.001497</v>
      </c>
      <c r="H169" s="4">
        <v>-0.003171</v>
      </c>
      <c r="I169" s="4">
        <v>-0.016585</v>
      </c>
      <c r="J169" s="4">
        <v>0.00603</v>
      </c>
      <c r="K169" s="4">
        <v>-0.006773</v>
      </c>
      <c r="L169" s="4">
        <v>-0.01399</v>
      </c>
      <c r="M169" s="4">
        <v>-0.030243</v>
      </c>
      <c r="N169" s="4">
        <v>-0.022467</v>
      </c>
      <c r="O169" s="4">
        <v>0.003052</v>
      </c>
      <c r="P169" s="4">
        <v>0.008544</v>
      </c>
      <c r="Q169" s="4">
        <v>-0.026886</v>
      </c>
      <c r="R169" s="4">
        <v>-0.002556</v>
      </c>
      <c r="S169" s="4">
        <v>0.006222</v>
      </c>
      <c r="T169" s="4">
        <v>-0.011524</v>
      </c>
      <c r="U169" s="4">
        <v>-0.002095</v>
      </c>
      <c r="V169" s="4">
        <v>-0.0314556736563989</v>
      </c>
      <c r="W169" s="4">
        <v>-0.0326269391134895</v>
      </c>
      <c r="X169" s="4">
        <v>0.0030395020299316</v>
      </c>
      <c r="Y169" s="4">
        <v>-0.0014275499187847</v>
      </c>
      <c r="Z169" s="4">
        <v>-0.0018257004044267</v>
      </c>
      <c r="AA169" s="4">
        <v>-0.0075548077615998</v>
      </c>
      <c r="AB169" s="4">
        <v>0.0041011783112039</v>
      </c>
      <c r="AC169" s="4">
        <v>-0.0124776299704113</v>
      </c>
      <c r="AD169" s="4">
        <v>-0.0020683538433361</v>
      </c>
      <c r="AE169" s="4">
        <v>-0.0121584337101894</v>
      </c>
      <c r="AF169" s="4">
        <v>-0.0152379316236707</v>
      </c>
      <c r="AG169" s="4">
        <v>-0.0062627339677965</v>
      </c>
      <c r="AH169" s="4">
        <v>0.0557274801943739</v>
      </c>
      <c r="AI169" s="4">
        <v>-0.0012347089661259</v>
      </c>
      <c r="AJ169" s="4">
        <v>-0.002195</v>
      </c>
      <c r="AK169" s="4">
        <f>Weights!E225</f>
        <v>-0.005351937913</v>
      </c>
      <c r="AL169" s="5">
        <v>0.00593897269511933</v>
      </c>
      <c r="AM169" s="5">
        <v>0.00697094692150601</v>
      </c>
      <c r="AN169" s="5">
        <v>7.57464244114158E-4</v>
      </c>
      <c r="AO169" s="5">
        <v>7.46297287809394E-4</v>
      </c>
      <c r="AP169" s="6">
        <f t="shared" si="3"/>
        <v>1.05918451</v>
      </c>
      <c r="AQ169" s="4">
        <f t="shared" si="4"/>
        <v>1.083425053</v>
      </c>
      <c r="AR169" s="5">
        <f t="shared" si="5"/>
        <v>1.061404312</v>
      </c>
      <c r="AS169" s="5">
        <f t="shared" ref="AS169:AU169" si="171">AS168*(1+AM169)</f>
        <v>1.09918116</v>
      </c>
      <c r="AT169" s="5">
        <f t="shared" si="171"/>
        <v>1.001837475</v>
      </c>
      <c r="AU169" s="5">
        <f t="shared" si="171"/>
        <v>0.9874982775</v>
      </c>
    </row>
    <row r="170" ht="15.75" customHeight="1">
      <c r="A170" s="3">
        <v>44075.0</v>
      </c>
      <c r="B170" s="4">
        <v>0.003259</v>
      </c>
      <c r="C170" s="4">
        <v>-0.001856</v>
      </c>
      <c r="D170" s="4">
        <v>-4.81E-4</v>
      </c>
      <c r="E170" s="4">
        <v>-0.006212</v>
      </c>
      <c r="F170" s="4">
        <v>-0.008278</v>
      </c>
      <c r="G170" s="4">
        <v>-0.01232</v>
      </c>
      <c r="H170" s="4">
        <v>-0.001084</v>
      </c>
      <c r="I170" s="4">
        <v>0.007183</v>
      </c>
      <c r="J170" s="4">
        <v>-0.008991</v>
      </c>
      <c r="K170" s="4">
        <v>-0.004212</v>
      </c>
      <c r="L170" s="4">
        <v>-0.004335</v>
      </c>
      <c r="M170" s="4">
        <v>0.009492</v>
      </c>
      <c r="N170" s="4">
        <v>0.005506</v>
      </c>
      <c r="O170" s="4">
        <v>-0.010344</v>
      </c>
      <c r="P170" s="4">
        <v>-0.003864</v>
      </c>
      <c r="Q170" s="4">
        <v>-0.033001</v>
      </c>
      <c r="R170" s="4">
        <v>0.036515</v>
      </c>
      <c r="S170" s="4">
        <v>-0.007307</v>
      </c>
      <c r="T170" s="4">
        <v>0.025957</v>
      </c>
      <c r="U170" s="4">
        <v>6.0E-4</v>
      </c>
      <c r="V170" s="4">
        <v>0.0113293310875042</v>
      </c>
      <c r="W170" s="4">
        <v>0.0039041974269646</v>
      </c>
      <c r="X170" s="4">
        <v>0.0</v>
      </c>
      <c r="Y170" s="4">
        <v>0.0013581201505838</v>
      </c>
      <c r="Z170" s="4">
        <v>5.082895859742E-4</v>
      </c>
      <c r="AA170" s="4">
        <v>-0.0020424412490327</v>
      </c>
      <c r="AB170" s="4">
        <v>0.0063127634032429</v>
      </c>
      <c r="AC170" s="4">
        <v>-0.025270833911727</v>
      </c>
      <c r="AD170" s="4">
        <v>0.0</v>
      </c>
      <c r="AE170" s="4">
        <v>0.002112191327974</v>
      </c>
      <c r="AF170" s="4">
        <v>0.005802609222653</v>
      </c>
      <c r="AG170" s="4">
        <v>-0.0121317234486734</v>
      </c>
      <c r="AH170" s="4">
        <v>0.0073313715072835</v>
      </c>
      <c r="AI170" s="4">
        <v>-4.410594308994E-4</v>
      </c>
      <c r="AJ170" s="4">
        <v>0.007525</v>
      </c>
      <c r="AK170" s="6">
        <f>Weights!E226</f>
        <v>-0.00005616268084</v>
      </c>
      <c r="AL170" s="5">
        <v>-0.00348425367663796</v>
      </c>
      <c r="AM170" s="5">
        <v>-0.0022511934337106</v>
      </c>
      <c r="AN170" s="5">
        <v>0.00955783304351909</v>
      </c>
      <c r="AO170" s="5">
        <v>0.00954075807794763</v>
      </c>
      <c r="AP170" s="6">
        <f t="shared" si="3"/>
        <v>1.059125023</v>
      </c>
      <c r="AQ170" s="4">
        <f t="shared" si="4"/>
        <v>1.091577827</v>
      </c>
      <c r="AR170" s="5">
        <f t="shared" si="5"/>
        <v>1.05770611</v>
      </c>
      <c r="AS170" s="5">
        <f t="shared" ref="AS170:AU170" si="172">AS169*(1+AM170)</f>
        <v>1.096706691</v>
      </c>
      <c r="AT170" s="5">
        <f t="shared" si="172"/>
        <v>1.011412871</v>
      </c>
      <c r="AU170" s="5">
        <f t="shared" si="172"/>
        <v>0.9969197597</v>
      </c>
    </row>
    <row r="171" ht="15.75" customHeight="1">
      <c r="A171" s="3">
        <v>44076.0</v>
      </c>
      <c r="B171" s="4">
        <v>0.020033</v>
      </c>
      <c r="C171" s="4">
        <v>0.023158</v>
      </c>
      <c r="D171" s="4">
        <v>0.048317</v>
      </c>
      <c r="E171" s="4">
        <v>0.029456</v>
      </c>
      <c r="F171" s="4">
        <v>0.042142</v>
      </c>
      <c r="G171" s="4">
        <v>0.015245</v>
      </c>
      <c r="H171" s="4">
        <v>0.016862</v>
      </c>
      <c r="I171" s="4">
        <v>0.009612</v>
      </c>
      <c r="J171" s="4">
        <v>0.025454</v>
      </c>
      <c r="K171" s="4">
        <v>0.002417</v>
      </c>
      <c r="L171" s="4">
        <v>0.001583</v>
      </c>
      <c r="M171" s="4">
        <v>0.010745</v>
      </c>
      <c r="N171" s="4">
        <v>0.017143</v>
      </c>
      <c r="O171" s="4">
        <v>0.022861</v>
      </c>
      <c r="P171" s="4">
        <v>0.00761</v>
      </c>
      <c r="Q171" s="4">
        <v>-0.016667</v>
      </c>
      <c r="R171" s="4">
        <v>0.005562</v>
      </c>
      <c r="S171" s="4">
        <v>0.010004</v>
      </c>
      <c r="T171" s="4">
        <v>0.017581</v>
      </c>
      <c r="U171" s="4">
        <v>0.024178</v>
      </c>
      <c r="V171" s="4">
        <v>-0.0567587028367067</v>
      </c>
      <c r="W171" s="4">
        <v>-0.0257102572120732</v>
      </c>
      <c r="X171" s="4">
        <v>-0.0030302914529091</v>
      </c>
      <c r="Y171" s="4">
        <v>0.0017132060207158</v>
      </c>
      <c r="Z171" s="4">
        <v>0.0037826018968978</v>
      </c>
      <c r="AA171" s="4">
        <v>-0.0053952601323258</v>
      </c>
      <c r="AB171" s="4">
        <v>0.0066419982707128</v>
      </c>
      <c r="AC171" s="4">
        <v>0.014814860397518</v>
      </c>
      <c r="AD171" s="4">
        <v>-0.0010362601232313</v>
      </c>
      <c r="AE171" s="4">
        <v>0.0029068294814655</v>
      </c>
      <c r="AF171" s="4">
        <v>-0.0115385482691943</v>
      </c>
      <c r="AG171" s="4">
        <v>0.0110048599858549</v>
      </c>
      <c r="AH171" s="4">
        <v>0.0858806655973691</v>
      </c>
      <c r="AI171" s="4">
        <v>-0.00353409880183</v>
      </c>
      <c r="AJ171" s="4">
        <v>0.015366</v>
      </c>
      <c r="AK171" s="4">
        <f>Weights!E227</f>
        <v>0.009977368543</v>
      </c>
      <c r="AL171" s="5">
        <v>0.00854695888535572</v>
      </c>
      <c r="AM171" s="5">
        <v>0.00885587742847504</v>
      </c>
      <c r="AN171" s="5">
        <v>-0.00315578191121057</v>
      </c>
      <c r="AO171" s="5">
        <v>-0.00295347614084307</v>
      </c>
      <c r="AP171" s="6">
        <f t="shared" si="3"/>
        <v>1.069692304</v>
      </c>
      <c r="AQ171" s="4">
        <f t="shared" si="4"/>
        <v>1.108351012</v>
      </c>
      <c r="AR171" s="5">
        <f t="shared" si="5"/>
        <v>1.06674628</v>
      </c>
      <c r="AS171" s="5">
        <f t="shared" ref="AS171:AU171" si="173">AS170*(1+AM171)</f>
        <v>1.106418991</v>
      </c>
      <c r="AT171" s="5">
        <f t="shared" si="173"/>
        <v>1.008221072</v>
      </c>
      <c r="AU171" s="5">
        <f t="shared" si="173"/>
        <v>0.9939753809</v>
      </c>
    </row>
    <row r="172" ht="15.75" customHeight="1">
      <c r="A172" s="3">
        <v>44077.0</v>
      </c>
      <c r="B172" s="4">
        <v>-0.026539</v>
      </c>
      <c r="C172" s="4">
        <v>0.001322</v>
      </c>
      <c r="D172" s="4">
        <v>-0.009631</v>
      </c>
      <c r="E172" s="4">
        <v>-0.020221</v>
      </c>
      <c r="F172" s="4">
        <v>-0.01387</v>
      </c>
      <c r="G172" s="4">
        <v>-0.027823</v>
      </c>
      <c r="H172" s="4">
        <v>-0.016013</v>
      </c>
      <c r="I172" s="4">
        <v>-0.015049</v>
      </c>
      <c r="J172" s="4">
        <v>-0.016957</v>
      </c>
      <c r="K172" s="4">
        <v>-0.018083</v>
      </c>
      <c r="L172" s="4">
        <v>-0.018311</v>
      </c>
      <c r="M172" s="4">
        <v>-0.027243</v>
      </c>
      <c r="N172" s="4">
        <v>-0.024579</v>
      </c>
      <c r="O172" s="4">
        <v>-0.028087</v>
      </c>
      <c r="P172" s="4">
        <v>-0.020732</v>
      </c>
      <c r="Q172" s="4">
        <v>0.002421</v>
      </c>
      <c r="R172" s="4">
        <v>-0.043639</v>
      </c>
      <c r="S172" s="4">
        <v>-0.016072</v>
      </c>
      <c r="T172" s="4">
        <v>-0.01791</v>
      </c>
      <c r="U172" s="4">
        <v>-0.016974</v>
      </c>
      <c r="V172" s="4">
        <v>-0.0142519482161753</v>
      </c>
      <c r="W172" s="4">
        <v>0.0159660833545116</v>
      </c>
      <c r="X172" s="4">
        <v>0.0</v>
      </c>
      <c r="Y172" s="4">
        <v>-0.0073397458562772</v>
      </c>
      <c r="Z172" s="4">
        <v>-0.0088019378132691</v>
      </c>
      <c r="AA172" s="4">
        <v>-0.0028058210950306</v>
      </c>
      <c r="AB172" s="4">
        <v>-0.0040321132607737</v>
      </c>
      <c r="AC172" s="4">
        <v>0.0</v>
      </c>
      <c r="AD172" s="4">
        <v>0.0</v>
      </c>
      <c r="AE172" s="4">
        <v>-0.007318925421602</v>
      </c>
      <c r="AF172" s="4">
        <v>-0.0128403269324819</v>
      </c>
      <c r="AG172" s="4">
        <v>-0.0028396049100707</v>
      </c>
      <c r="AH172" s="4">
        <v>-0.022788230207842</v>
      </c>
      <c r="AI172" s="4">
        <v>0.0013300495650738</v>
      </c>
      <c r="AJ172" s="4">
        <v>-0.035126</v>
      </c>
      <c r="AK172" s="4">
        <f>Weights!E228</f>
        <v>-0.01237181171</v>
      </c>
      <c r="AL172" s="5">
        <v>0.0115562814107235</v>
      </c>
      <c r="AM172" s="5">
        <v>0.013363440826368</v>
      </c>
      <c r="AN172" s="5">
        <v>-0.00276995372849531</v>
      </c>
      <c r="AO172" s="5">
        <v>-0.00118460402144016</v>
      </c>
      <c r="AP172" s="6">
        <f t="shared" si="3"/>
        <v>1.056458272</v>
      </c>
      <c r="AQ172" s="4">
        <f t="shared" si="4"/>
        <v>1.069419074</v>
      </c>
      <c r="AR172" s="5">
        <f t="shared" si="5"/>
        <v>1.0790739</v>
      </c>
      <c r="AS172" s="5">
        <f t="shared" ref="AS172:AU172" si="174">AS171*(1+AM172)</f>
        <v>1.121204556</v>
      </c>
      <c r="AT172" s="5">
        <f t="shared" si="174"/>
        <v>1.005428346</v>
      </c>
      <c r="AU172" s="5">
        <f t="shared" si="174"/>
        <v>0.9927979137</v>
      </c>
    </row>
    <row r="173" ht="15.75" customHeight="1">
      <c r="A173" s="3">
        <v>44078.0</v>
      </c>
      <c r="B173" s="4">
        <v>-0.006543</v>
      </c>
      <c r="C173" s="4">
        <v>-0.002145</v>
      </c>
      <c r="D173" s="4">
        <v>-0.015744</v>
      </c>
      <c r="E173" s="4">
        <v>-0.004377</v>
      </c>
      <c r="F173" s="4">
        <v>0.011094</v>
      </c>
      <c r="G173" s="4">
        <v>-0.006419</v>
      </c>
      <c r="H173" s="4">
        <v>-0.00217</v>
      </c>
      <c r="I173" s="4">
        <v>-0.015279</v>
      </c>
      <c r="J173" s="4">
        <v>-0.00375</v>
      </c>
      <c r="K173" s="4">
        <v>-0.006139</v>
      </c>
      <c r="L173" s="4">
        <v>-0.004026</v>
      </c>
      <c r="M173" s="4">
        <v>0.002049</v>
      </c>
      <c r="N173" s="4">
        <v>-7.2E-4</v>
      </c>
      <c r="O173" s="4">
        <v>-0.024176</v>
      </c>
      <c r="P173" s="4">
        <v>-0.011795</v>
      </c>
      <c r="Q173" s="4">
        <v>0.012077</v>
      </c>
      <c r="R173" s="4">
        <v>0.029563</v>
      </c>
      <c r="S173" s="4">
        <v>-0.019183</v>
      </c>
      <c r="T173" s="4">
        <v>0.006222</v>
      </c>
      <c r="U173" s="4">
        <v>-0.015382</v>
      </c>
      <c r="V173" s="4">
        <v>0.0313251982448954</v>
      </c>
      <c r="W173" s="4">
        <v>0.0</v>
      </c>
      <c r="X173" s="4">
        <v>-0.0151745479308629</v>
      </c>
      <c r="Y173" s="4">
        <v>-0.0160805832316872</v>
      </c>
      <c r="Z173" s="4">
        <v>-0.0153351742222855</v>
      </c>
      <c r="AA173" s="4">
        <v>-0.0011255774838574</v>
      </c>
      <c r="AB173" s="4">
        <v>-0.0206109631506637</v>
      </c>
      <c r="AC173" s="4">
        <v>0.0125899240649767</v>
      </c>
      <c r="AD173" s="4">
        <v>-0.0062111240248605</v>
      </c>
      <c r="AE173" s="4">
        <v>9.490165677876E-4</v>
      </c>
      <c r="AF173" s="4">
        <v>0.0</v>
      </c>
      <c r="AG173" s="4">
        <v>-0.017244124625638</v>
      </c>
      <c r="AH173" s="4">
        <v>-0.0493826544753769</v>
      </c>
      <c r="AI173" s="4">
        <v>-0.0017706131104494</v>
      </c>
      <c r="AJ173" s="4">
        <v>-0.008133</v>
      </c>
      <c r="AK173" s="4">
        <f>Weights!E229</f>
        <v>-0.006100843364</v>
      </c>
      <c r="AL173" s="5">
        <v>-0.0304645358390401</v>
      </c>
      <c r="AM173" s="5">
        <v>-0.0347606772677153</v>
      </c>
      <c r="AN173" s="5">
        <v>-0.0126986094707518</v>
      </c>
      <c r="AO173" s="5">
        <v>-0.0133451712984526</v>
      </c>
      <c r="AP173" s="6">
        <f t="shared" si="3"/>
        <v>1.050012986</v>
      </c>
      <c r="AQ173" s="4">
        <f t="shared" si="4"/>
        <v>1.060721489</v>
      </c>
      <c r="AR173" s="5">
        <f t="shared" si="5"/>
        <v>1.046200415</v>
      </c>
      <c r="AS173" s="5">
        <f t="shared" ref="AS173:AU173" si="175">AS172*(1+AM173)</f>
        <v>1.082230726</v>
      </c>
      <c r="AT173" s="5">
        <f t="shared" si="175"/>
        <v>0.9926608045</v>
      </c>
      <c r="AU173" s="5">
        <f t="shared" si="175"/>
        <v>0.9795488555</v>
      </c>
    </row>
    <row r="174" ht="15.75" customHeight="1">
      <c r="A174" s="3">
        <v>44082.0</v>
      </c>
      <c r="B174" s="4">
        <v>-0.008782</v>
      </c>
      <c r="C174" s="4">
        <v>-0.008598</v>
      </c>
      <c r="D174" s="4">
        <v>-0.013879</v>
      </c>
      <c r="E174" s="4">
        <v>-0.023133</v>
      </c>
      <c r="F174" s="4">
        <v>-0.024099</v>
      </c>
      <c r="G174" s="4">
        <v>-0.008951</v>
      </c>
      <c r="H174" s="4">
        <v>-0.014642</v>
      </c>
      <c r="I174" s="4">
        <v>-0.014566</v>
      </c>
      <c r="J174" s="4">
        <v>0.009787</v>
      </c>
      <c r="K174" s="4">
        <v>-0.019148</v>
      </c>
      <c r="L174" s="4">
        <v>-0.019671</v>
      </c>
      <c r="M174" s="4">
        <v>-0.018405</v>
      </c>
      <c r="N174" s="4">
        <v>-0.01609</v>
      </c>
      <c r="O174" s="4">
        <v>-0.01233</v>
      </c>
      <c r="P174" s="4">
        <v>0.006427</v>
      </c>
      <c r="Q174" s="4">
        <v>-0.001591</v>
      </c>
      <c r="R174" s="4">
        <v>-0.018727</v>
      </c>
      <c r="S174" s="4">
        <v>0.003873</v>
      </c>
      <c r="T174" s="4">
        <v>-0.027932</v>
      </c>
      <c r="U174" s="4">
        <v>-0.005241</v>
      </c>
      <c r="V174" s="4">
        <v>-0.0109031869044418</v>
      </c>
      <c r="W174" s="4">
        <v>0.0130962573406019</v>
      </c>
      <c r="X174" s="4">
        <v>-0.0231125954299937</v>
      </c>
      <c r="Y174" s="4">
        <v>0.0043776394644663</v>
      </c>
      <c r="Z174" s="4">
        <v>0.0022544460809597</v>
      </c>
      <c r="AA174" s="4">
        <v>-0.0073239961414813</v>
      </c>
      <c r="AB174" s="4">
        <v>0.0018339412449877</v>
      </c>
      <c r="AC174" s="4">
        <v>-0.0071046489665964</v>
      </c>
      <c r="AD174" s="4">
        <v>-0.0052083465873183</v>
      </c>
      <c r="AE174" s="4">
        <v>0.0158984118584422</v>
      </c>
      <c r="AF174" s="4">
        <v>0.0130073455012416</v>
      </c>
      <c r="AG174" s="4">
        <v>-0.0296200801751848</v>
      </c>
      <c r="AH174" s="4">
        <v>-0.0303030693982967</v>
      </c>
      <c r="AI174" s="4">
        <v>0.0070949153919566</v>
      </c>
      <c r="AJ174" s="4">
        <v>-0.027756</v>
      </c>
      <c r="AK174" s="4">
        <f>Weights!E230</f>
        <v>-0.009047006611</v>
      </c>
      <c r="AL174" s="5">
        <v>-0.00677549812372002</v>
      </c>
      <c r="AM174" s="5">
        <v>-0.00851706218934422</v>
      </c>
      <c r="AN174" s="5">
        <v>0.00844064694440849</v>
      </c>
      <c r="AO174" s="5">
        <v>0.00841573880271395</v>
      </c>
      <c r="AP174" s="6">
        <f t="shared" si="3"/>
        <v>1.040513511</v>
      </c>
      <c r="AQ174" s="4">
        <f t="shared" si="4"/>
        <v>1.031280103</v>
      </c>
      <c r="AR174" s="5">
        <f t="shared" si="5"/>
        <v>1.039111886</v>
      </c>
      <c r="AS174" s="5">
        <f t="shared" ref="AS174:AU174" si="176">AS173*(1+AM174)</f>
        <v>1.0730133</v>
      </c>
      <c r="AT174" s="5">
        <f t="shared" si="176"/>
        <v>1.001039504</v>
      </c>
      <c r="AU174" s="5">
        <f t="shared" si="176"/>
        <v>0.9877924828</v>
      </c>
    </row>
    <row r="175" ht="15.75" customHeight="1">
      <c r="A175" s="3">
        <v>44083.0</v>
      </c>
      <c r="B175" s="4">
        <v>0.014778</v>
      </c>
      <c r="C175" s="4">
        <v>0.001334</v>
      </c>
      <c r="D175" s="4">
        <v>0.004771</v>
      </c>
      <c r="E175" s="4">
        <v>0.011509</v>
      </c>
      <c r="F175" s="4">
        <v>0.007629</v>
      </c>
      <c r="G175" s="4">
        <v>0.016569</v>
      </c>
      <c r="H175" s="4">
        <v>0.016257</v>
      </c>
      <c r="I175" s="4">
        <v>0.019601</v>
      </c>
      <c r="J175" s="4">
        <v>0.018887</v>
      </c>
      <c r="K175" s="4">
        <v>0.015743</v>
      </c>
      <c r="L175" s="4">
        <v>0.017455</v>
      </c>
      <c r="M175" s="4">
        <v>0.027778</v>
      </c>
      <c r="N175" s="4">
        <v>0.025384</v>
      </c>
      <c r="O175" s="4">
        <v>0.019018</v>
      </c>
      <c r="P175" s="4">
        <v>0.040292</v>
      </c>
      <c r="Q175" s="4">
        <v>0.067729</v>
      </c>
      <c r="R175" s="4">
        <v>0.026718</v>
      </c>
      <c r="S175" s="4">
        <v>0.057292</v>
      </c>
      <c r="T175" s="4">
        <v>0.010309</v>
      </c>
      <c r="U175" s="4">
        <v>0.014184</v>
      </c>
      <c r="V175" s="4">
        <v>0.00708655283412529</v>
      </c>
      <c r="W175" s="4">
        <v>-0.0057092788437834</v>
      </c>
      <c r="X175" s="4">
        <v>0.0173501970188445</v>
      </c>
      <c r="Y175" s="4">
        <v>-0.004431071456549</v>
      </c>
      <c r="Z175" s="4">
        <v>2.843896440491E-4</v>
      </c>
      <c r="AA175" s="4">
        <v>0.0189180423122039</v>
      </c>
      <c r="AB175" s="4">
        <v>0.0061021894331136</v>
      </c>
      <c r="AC175" s="4">
        <v>0.0017888715460299</v>
      </c>
      <c r="AD175" s="4">
        <v>0.0230366228748297</v>
      </c>
      <c r="AE175" s="4">
        <v>-0.009978414905577</v>
      </c>
      <c r="AF175" s="4">
        <v>0.0011674666344747</v>
      </c>
      <c r="AG175" s="4">
        <v>0.0104512671516434</v>
      </c>
      <c r="AH175" s="4">
        <v>-0.0312499528795119</v>
      </c>
      <c r="AI175" s="4">
        <v>0.0022019429897484</v>
      </c>
      <c r="AJ175" s="4">
        <v>0.020145</v>
      </c>
      <c r="AK175" s="4">
        <f>Weights!E231</f>
        <v>0.0121664817</v>
      </c>
      <c r="AL175" s="5">
        <v>-0.0232325219334632</v>
      </c>
      <c r="AM175" s="5">
        <v>-0.0280776200952573</v>
      </c>
      <c r="AN175" s="5">
        <v>0.00398571368577038</v>
      </c>
      <c r="AO175" s="5">
        <v>0.00417291611061254</v>
      </c>
      <c r="AP175" s="6">
        <f t="shared" si="3"/>
        <v>1.0531729</v>
      </c>
      <c r="AQ175" s="4">
        <f t="shared" si="4"/>
        <v>1.052055241</v>
      </c>
      <c r="AR175" s="5">
        <f t="shared" si="5"/>
        <v>1.014970696</v>
      </c>
      <c r="AS175" s="5">
        <f t="shared" ref="AS175:AU175" si="177">AS174*(1+AM175)</f>
        <v>1.04288564</v>
      </c>
      <c r="AT175" s="5">
        <f t="shared" si="177"/>
        <v>1.005029361</v>
      </c>
      <c r="AU175" s="5">
        <f t="shared" si="177"/>
        <v>0.991914458</v>
      </c>
    </row>
    <row r="176" ht="15.75" customHeight="1">
      <c r="A176" s="3">
        <v>44084.0</v>
      </c>
      <c r="B176" s="4">
        <v>-0.014357</v>
      </c>
      <c r="C176" s="4">
        <v>-0.008494</v>
      </c>
      <c r="D176" s="4">
        <v>-0.02944</v>
      </c>
      <c r="E176" s="4">
        <v>-0.01714</v>
      </c>
      <c r="F176" s="4">
        <v>-0.003786</v>
      </c>
      <c r="G176" s="4">
        <v>-0.018637</v>
      </c>
      <c r="H176" s="4">
        <v>-0.010496</v>
      </c>
      <c r="I176" s="4">
        <v>-0.021431</v>
      </c>
      <c r="J176" s="4">
        <v>-0.01878</v>
      </c>
      <c r="K176" s="4">
        <v>-0.013639</v>
      </c>
      <c r="L176" s="4">
        <v>-0.013508</v>
      </c>
      <c r="M176" s="4">
        <v>-0.032432</v>
      </c>
      <c r="N176" s="4">
        <v>-0.020233</v>
      </c>
      <c r="O176" s="4">
        <v>-0.014999</v>
      </c>
      <c r="P176" s="4">
        <v>-0.024644</v>
      </c>
      <c r="Q176" s="4">
        <v>-0.01599</v>
      </c>
      <c r="R176" s="4">
        <v>-0.022924</v>
      </c>
      <c r="S176" s="4">
        <v>-0.027185</v>
      </c>
      <c r="T176" s="4">
        <v>-0.014546</v>
      </c>
      <c r="U176" s="4">
        <v>-0.010889</v>
      </c>
      <c r="V176" s="4">
        <v>-0.0164190956450734</v>
      </c>
      <c r="W176" s="4">
        <v>-0.0418202557787023</v>
      </c>
      <c r="X176" s="4">
        <v>0.0232558283086528</v>
      </c>
      <c r="Y176" s="4">
        <v>-0.0064209933306974</v>
      </c>
      <c r="Z176" s="4">
        <v>-0.0072891912619981</v>
      </c>
      <c r="AA176" s="4">
        <v>-0.0068696852486455</v>
      </c>
      <c r="AB176" s="4">
        <v>-0.0189537056165236</v>
      </c>
      <c r="AC176" s="4">
        <v>0.0160715186394098</v>
      </c>
      <c r="AD176" s="4">
        <v>0.0</v>
      </c>
      <c r="AE176" s="4">
        <v>-0.0179101898578321</v>
      </c>
      <c r="AF176" s="4">
        <v>-0.040419759910684</v>
      </c>
      <c r="AG176" s="4">
        <v>-0.0075521051402018</v>
      </c>
      <c r="AH176" s="4">
        <v>-0.0445469168193863</v>
      </c>
      <c r="AI176" s="4">
        <v>-0.0017577827292942</v>
      </c>
      <c r="AJ176" s="4">
        <v>-0.017585</v>
      </c>
      <c r="AK176" s="4">
        <f>Weights!E232</f>
        <v>-0.01537859361</v>
      </c>
      <c r="AL176" s="5">
        <v>0.0183196292643599</v>
      </c>
      <c r="AM176" s="5">
        <v>0.019575254964099</v>
      </c>
      <c r="AN176" s="5">
        <v>-0.0142915204118987</v>
      </c>
      <c r="AO176" s="5">
        <v>-0.0145443830924021</v>
      </c>
      <c r="AP176" s="6">
        <f t="shared" si="3"/>
        <v>1.036976582</v>
      </c>
      <c r="AQ176" s="4">
        <f t="shared" si="4"/>
        <v>1.033554849</v>
      </c>
      <c r="AR176" s="5">
        <f t="shared" si="5"/>
        <v>1.033564583</v>
      </c>
      <c r="AS176" s="5">
        <f t="shared" ref="AS176:AU176" si="178">AS175*(1+AM176)</f>
        <v>1.063300392</v>
      </c>
      <c r="AT176" s="5">
        <f t="shared" si="178"/>
        <v>0.9906659632</v>
      </c>
      <c r="AU176" s="5">
        <f t="shared" si="178"/>
        <v>0.9774876741</v>
      </c>
    </row>
    <row r="177" ht="15.75" customHeight="1">
      <c r="A177" s="3">
        <v>44085.0</v>
      </c>
      <c r="B177" s="4">
        <v>0.007283</v>
      </c>
      <c r="C177" s="4">
        <v>0.004368</v>
      </c>
      <c r="D177" s="4">
        <v>-0.002935</v>
      </c>
      <c r="E177" s="4">
        <v>0.007792</v>
      </c>
      <c r="F177" s="4">
        <v>0.0212</v>
      </c>
      <c r="G177" s="4">
        <v>0.005922</v>
      </c>
      <c r="H177" s="4">
        <v>0.010534</v>
      </c>
      <c r="I177" s="4">
        <v>0.004509</v>
      </c>
      <c r="J177" s="4">
        <v>2.49E-4</v>
      </c>
      <c r="K177" s="4">
        <v>0.005447</v>
      </c>
      <c r="L177" s="4">
        <v>0.009448</v>
      </c>
      <c r="M177" s="4">
        <v>0.010475</v>
      </c>
      <c r="N177" s="4">
        <v>0.013848</v>
      </c>
      <c r="O177" s="4">
        <v>-3.49E-4</v>
      </c>
      <c r="P177" s="4">
        <v>-0.004061</v>
      </c>
      <c r="Q177" s="4">
        <v>-0.016807</v>
      </c>
      <c r="R177" s="4">
        <v>0.031706</v>
      </c>
      <c r="S177" s="4">
        <v>-0.008815</v>
      </c>
      <c r="T177" s="4">
        <v>0.011897</v>
      </c>
      <c r="U177" s="4">
        <v>0.005858</v>
      </c>
      <c r="V177" s="4">
        <v>-7.94797730004792E-4</v>
      </c>
      <c r="W177" s="4">
        <v>0.0360695662079997</v>
      </c>
      <c r="X177" s="4">
        <v>0.0</v>
      </c>
      <c r="Y177" s="4">
        <v>-0.0058018181512579</v>
      </c>
      <c r="Z177" s="4">
        <v>-0.0128109918604377</v>
      </c>
      <c r="AA177" s="4">
        <v>-0.0069172950905733</v>
      </c>
      <c r="AB177" s="4">
        <v>-0.0046368139342365</v>
      </c>
      <c r="AC177" s="4">
        <v>0.0</v>
      </c>
      <c r="AD177" s="4">
        <v>0.0</v>
      </c>
      <c r="AE177" s="4">
        <v>-0.0058326648141904</v>
      </c>
      <c r="AF177" s="4">
        <v>0.0198458934876957</v>
      </c>
      <c r="AG177" s="4">
        <v>-0.0034740067953963</v>
      </c>
      <c r="AH177" s="4">
        <v>0.159164051536745</v>
      </c>
      <c r="AI177" s="4">
        <v>0.0</v>
      </c>
      <c r="AJ177" s="4">
        <v>5.33E-4</v>
      </c>
      <c r="AK177" s="4">
        <f>Weights!E233</f>
        <v>0.01105981269</v>
      </c>
      <c r="AL177" s="5">
        <v>-0.014710400645375</v>
      </c>
      <c r="AM177" s="5">
        <v>-0.0164067540464636</v>
      </c>
      <c r="AN177" s="5">
        <v>-0.0149013863597745</v>
      </c>
      <c r="AO177" s="5">
        <v>-0.0138553740291393</v>
      </c>
      <c r="AP177" s="6">
        <f t="shared" si="3"/>
        <v>1.048445348</v>
      </c>
      <c r="AQ177" s="4">
        <f t="shared" si="4"/>
        <v>1.034105734</v>
      </c>
      <c r="AR177" s="5">
        <f t="shared" si="5"/>
        <v>1.018360434</v>
      </c>
      <c r="AS177" s="5">
        <f t="shared" ref="AS177:AU177" si="179">AS176*(1+AM177)</f>
        <v>1.045855084</v>
      </c>
      <c r="AT177" s="5">
        <f t="shared" si="179"/>
        <v>0.9759036669</v>
      </c>
      <c r="AU177" s="5">
        <f t="shared" si="179"/>
        <v>0.9639442168</v>
      </c>
    </row>
    <row r="178" ht="15.75" customHeight="1">
      <c r="A178" s="3">
        <v>44088.0</v>
      </c>
      <c r="B178" s="4">
        <v>0.005562</v>
      </c>
      <c r="C178" s="4">
        <v>0.008864</v>
      </c>
      <c r="D178" s="4">
        <v>-0.007851</v>
      </c>
      <c r="E178" s="4">
        <v>0.006332</v>
      </c>
      <c r="F178" s="4">
        <v>0.001175</v>
      </c>
      <c r="G178" s="4">
        <v>0.003857</v>
      </c>
      <c r="H178" s="4">
        <v>0.003547</v>
      </c>
      <c r="I178" s="4">
        <v>-0.009298</v>
      </c>
      <c r="J178" s="4">
        <v>-0.002982</v>
      </c>
      <c r="K178" s="4">
        <v>0.001875</v>
      </c>
      <c r="L178" s="4">
        <v>0.006918</v>
      </c>
      <c r="M178" s="4">
        <v>0.013822</v>
      </c>
      <c r="N178" s="4">
        <v>0.00671</v>
      </c>
      <c r="O178" s="4">
        <v>0.014128</v>
      </c>
      <c r="P178" s="4">
        <v>0.017517</v>
      </c>
      <c r="Q178" s="4">
        <v>0.129759</v>
      </c>
      <c r="R178" s="4">
        <v>0.005532</v>
      </c>
      <c r="S178" s="4">
        <v>0.017975</v>
      </c>
      <c r="T178" s="4">
        <v>0.017418</v>
      </c>
      <c r="U178" s="4">
        <v>0.017672</v>
      </c>
      <c r="V178" s="4">
        <v>-0.018297807177899</v>
      </c>
      <c r="W178" s="4">
        <v>0.0205173469175674</v>
      </c>
      <c r="X178" s="4">
        <v>0.0015151457264546</v>
      </c>
      <c r="Y178" s="4">
        <v>0.0</v>
      </c>
      <c r="Z178" s="4">
        <v>0.0</v>
      </c>
      <c r="AA178" s="4">
        <v>0.0</v>
      </c>
      <c r="AB178" s="4">
        <v>0.0</v>
      </c>
      <c r="AC178" s="4">
        <v>-0.0017541831642722</v>
      </c>
      <c r="AD178" s="4">
        <v>-0.0020513229855021</v>
      </c>
      <c r="AE178" s="4">
        <v>0.0</v>
      </c>
      <c r="AF178" s="4">
        <v>0.0321684886344255</v>
      </c>
      <c r="AG178" s="4">
        <v>0.0</v>
      </c>
      <c r="AH178" s="4">
        <v>0.0</v>
      </c>
      <c r="AI178" s="4">
        <v>0.0</v>
      </c>
      <c r="AJ178" s="4">
        <v>0.012742</v>
      </c>
      <c r="AK178" s="4">
        <f>Weights!E234</f>
        <v>0.006222546879</v>
      </c>
      <c r="AL178" s="5">
        <v>0.00262278678081062</v>
      </c>
      <c r="AM178" s="5">
        <v>3.55172488565536E-4</v>
      </c>
      <c r="AN178" s="5">
        <v>-0.00735880134366861</v>
      </c>
      <c r="AO178" s="5">
        <v>-0.00824676560631809</v>
      </c>
      <c r="AP178" s="6">
        <f t="shared" si="3"/>
        <v>1.054969349</v>
      </c>
      <c r="AQ178" s="4">
        <f t="shared" si="4"/>
        <v>1.047282309</v>
      </c>
      <c r="AR178" s="5">
        <f t="shared" si="5"/>
        <v>1.021031376</v>
      </c>
      <c r="AS178" s="5">
        <f t="shared" ref="AS178:AU178" si="180">AS177*(1+AM178)</f>
        <v>1.046226543</v>
      </c>
      <c r="AT178" s="5">
        <f t="shared" si="180"/>
        <v>0.9687221857</v>
      </c>
      <c r="AU178" s="5">
        <f t="shared" si="180"/>
        <v>0.9559947947</v>
      </c>
    </row>
    <row r="179" ht="15.75" customHeight="1">
      <c r="A179" s="3">
        <v>44089.0</v>
      </c>
      <c r="B179" s="4">
        <v>0.007743</v>
      </c>
      <c r="C179" s="4">
        <v>0.004642</v>
      </c>
      <c r="D179" s="4">
        <v>0.010138</v>
      </c>
      <c r="E179" s="4">
        <v>-0.007683</v>
      </c>
      <c r="F179" s="4">
        <v>0.006705</v>
      </c>
      <c r="G179" s="4">
        <v>0.00364</v>
      </c>
      <c r="H179" s="4">
        <v>0.0</v>
      </c>
      <c r="I179" s="4">
        <v>0.001295</v>
      </c>
      <c r="J179" s="4">
        <v>2.49E-4</v>
      </c>
      <c r="K179" s="4">
        <v>-0.002704</v>
      </c>
      <c r="L179" s="4">
        <v>0.002425</v>
      </c>
      <c r="M179" s="4">
        <v>-0.004772</v>
      </c>
      <c r="N179" s="4">
        <v>0.005951</v>
      </c>
      <c r="O179" s="4">
        <v>0.006421</v>
      </c>
      <c r="P179" s="4">
        <v>0.002523</v>
      </c>
      <c r="Q179" s="4">
        <v>-0.004127</v>
      </c>
      <c r="R179" s="4">
        <v>0.003056</v>
      </c>
      <c r="S179" s="4">
        <v>0.003903</v>
      </c>
      <c r="T179" s="4">
        <v>0.001284</v>
      </c>
      <c r="U179" s="4">
        <v>4.93E-4</v>
      </c>
      <c r="V179" s="4">
        <v>0.0162076934664203</v>
      </c>
      <c r="W179" s="4">
        <v>-0.0031012354814976</v>
      </c>
      <c r="X179" s="4">
        <v>0.0015129539213123</v>
      </c>
      <c r="Y179" s="4">
        <v>-0.0013723052982856</v>
      </c>
      <c r="Z179" s="4">
        <v>0.0013451073647441</v>
      </c>
      <c r="AA179" s="4">
        <v>0.0205197146056621</v>
      </c>
      <c r="AB179" s="4">
        <v>0.0205747010013808</v>
      </c>
      <c r="AC179" s="4">
        <v>-0.0052724646229612</v>
      </c>
      <c r="AD179" s="4">
        <v>0.0102775184648846</v>
      </c>
      <c r="AE179" s="4">
        <v>-0.0161902806859508</v>
      </c>
      <c r="AF179" s="4">
        <v>-7.694385692691E-4</v>
      </c>
      <c r="AG179" s="4">
        <v>-0.0117862308783874</v>
      </c>
      <c r="AH179" s="4">
        <v>-0.051317613965773</v>
      </c>
      <c r="AI179" s="4">
        <v>-4.400959533703E-4</v>
      </c>
      <c r="AJ179" s="4">
        <v>0.005219</v>
      </c>
      <c r="AK179" s="4">
        <f>Weights!E235</f>
        <v>-0.0007352179011</v>
      </c>
      <c r="AL179" s="5">
        <v>0.0132812280982386</v>
      </c>
      <c r="AM179" s="5">
        <v>0.0156100415904567</v>
      </c>
      <c r="AN179" s="5">
        <v>0.018945389661376</v>
      </c>
      <c r="AO179" s="5">
        <v>0.0187862667170615</v>
      </c>
      <c r="AP179" s="6">
        <f t="shared" si="3"/>
        <v>1.054193716</v>
      </c>
      <c r="AQ179" s="4">
        <f t="shared" si="4"/>
        <v>1.052748076</v>
      </c>
      <c r="AR179" s="5">
        <f t="shared" si="5"/>
        <v>1.034591927</v>
      </c>
      <c r="AS179" s="5">
        <f t="shared" ref="AS179:AU179" si="181">AS178*(1+AM179)</f>
        <v>1.062558183</v>
      </c>
      <c r="AT179" s="5">
        <f t="shared" si="181"/>
        <v>0.987075005</v>
      </c>
      <c r="AU179" s="5">
        <f t="shared" si="181"/>
        <v>0.9739543679</v>
      </c>
    </row>
    <row r="180" ht="15.75" customHeight="1">
      <c r="A180" s="3">
        <v>44090.0</v>
      </c>
      <c r="B180" s="4">
        <v>-0.004391</v>
      </c>
      <c r="C180" s="4">
        <v>-0.003795</v>
      </c>
      <c r="D180" s="4">
        <v>-0.007099</v>
      </c>
      <c r="E180" s="4">
        <v>-0.004719</v>
      </c>
      <c r="F180" s="4">
        <v>-0.005093</v>
      </c>
      <c r="G180" s="4">
        <v>-0.003291</v>
      </c>
      <c r="H180" s="4">
        <v>-0.006709</v>
      </c>
      <c r="I180" s="4">
        <v>3.23E-4</v>
      </c>
      <c r="J180" s="4">
        <v>-0.009718</v>
      </c>
      <c r="K180" s="4">
        <v>-0.009593</v>
      </c>
      <c r="L180" s="4">
        <v>-0.013573</v>
      </c>
      <c r="M180" s="4">
        <v>0.002055</v>
      </c>
      <c r="N180" s="4">
        <v>-0.009938</v>
      </c>
      <c r="O180" s="4">
        <v>-0.008488</v>
      </c>
      <c r="P180" s="4">
        <v>-0.003849</v>
      </c>
      <c r="Q180" s="4">
        <v>-0.001381</v>
      </c>
      <c r="R180" s="4">
        <v>0.022547</v>
      </c>
      <c r="S180" s="4">
        <v>-0.011664</v>
      </c>
      <c r="T180" s="4">
        <v>0.016457</v>
      </c>
      <c r="U180" s="4">
        <v>-0.011834</v>
      </c>
      <c r="V180" s="4">
        <v>7.97332913602399E-4</v>
      </c>
      <c r="W180" s="4">
        <v>0.0048273550514994</v>
      </c>
      <c r="X180" s="4">
        <v>0.0</v>
      </c>
      <c r="Y180" s="4">
        <v>0.0195365477002673</v>
      </c>
      <c r="Z180" s="4">
        <v>0.021125554262346</v>
      </c>
      <c r="AA180" s="4">
        <v>0.0130970843637712</v>
      </c>
      <c r="AB180" s="4">
        <v>0.0125522640568529</v>
      </c>
      <c r="AC180" s="4">
        <v>-0.0088340740002673</v>
      </c>
      <c r="AD180" s="4">
        <v>-0.0010171663839232</v>
      </c>
      <c r="AE180" s="4">
        <v>0.0198535732897493</v>
      </c>
      <c r="AF180" s="4">
        <v>0.0038504375048209</v>
      </c>
      <c r="AG180" s="4">
        <v>0.0</v>
      </c>
      <c r="AH180" s="4">
        <v>0.0277777680954121</v>
      </c>
      <c r="AI180" s="4">
        <v>-4.400919733887E-4</v>
      </c>
      <c r="AJ180" s="4">
        <v>-0.004619</v>
      </c>
      <c r="AK180" s="4">
        <f>Weights!E236</f>
        <v>0.002040849103</v>
      </c>
      <c r="AL180" s="5">
        <v>0.00595763967973228</v>
      </c>
      <c r="AM180" s="5">
        <v>0.00570567059733084</v>
      </c>
      <c r="AN180" s="5">
        <v>-0.0133386687185208</v>
      </c>
      <c r="AO180" s="5">
        <v>-0.0120914759767407</v>
      </c>
      <c r="AP180" s="6">
        <f t="shared" si="3"/>
        <v>1.056345167</v>
      </c>
      <c r="AQ180" s="4">
        <f t="shared" si="4"/>
        <v>1.047885432</v>
      </c>
      <c r="AR180" s="5">
        <f t="shared" si="5"/>
        <v>1.040755653</v>
      </c>
      <c r="AS180" s="5">
        <f t="shared" ref="AS180:AU180" si="182">AS179*(1+AM180)</f>
        <v>1.06862079</v>
      </c>
      <c r="AT180" s="5">
        <f t="shared" si="182"/>
        <v>0.9739087385</v>
      </c>
      <c r="AU180" s="5">
        <f t="shared" si="182"/>
        <v>0.9621778221</v>
      </c>
    </row>
    <row r="181" ht="15.75" customHeight="1">
      <c r="A181" s="3">
        <v>44091.0</v>
      </c>
      <c r="B181" s="4">
        <v>0.001103</v>
      </c>
      <c r="C181" s="4">
        <v>0.003644</v>
      </c>
      <c r="D181" s="4">
        <v>-0.010602</v>
      </c>
      <c r="E181" s="4">
        <v>-0.013187</v>
      </c>
      <c r="F181" s="4">
        <v>-0.004725</v>
      </c>
      <c r="G181" s="4">
        <v>-0.008288</v>
      </c>
      <c r="H181" s="4">
        <v>-0.001307</v>
      </c>
      <c r="I181" s="4">
        <v>-0.003554</v>
      </c>
      <c r="J181" s="4">
        <v>0.0</v>
      </c>
      <c r="K181" s="4">
        <v>4.21E-4</v>
      </c>
      <c r="L181" s="4">
        <v>-0.001635</v>
      </c>
      <c r="M181" s="4">
        <v>-0.001367</v>
      </c>
      <c r="N181" s="4">
        <v>9.56E-4</v>
      </c>
      <c r="O181" s="4">
        <v>-0.006722</v>
      </c>
      <c r="P181" s="4">
        <v>-0.014415</v>
      </c>
      <c r="Q181" s="4">
        <v>-0.051176</v>
      </c>
      <c r="R181" s="4">
        <v>0.014899</v>
      </c>
      <c r="S181" s="4">
        <v>-0.014987</v>
      </c>
      <c r="T181" s="4">
        <v>0.029647</v>
      </c>
      <c r="U181" s="4">
        <v>0.002295</v>
      </c>
      <c r="V181" s="4">
        <v>-0.0135459068779681</v>
      </c>
      <c r="W181" s="4">
        <v>-0.0057649832604236</v>
      </c>
      <c r="X181" s="4">
        <v>0.0045316041020495</v>
      </c>
      <c r="Y181" s="4">
        <v>-0.0027686825316954</v>
      </c>
      <c r="Z181" s="4">
        <v>0.0071453125492055</v>
      </c>
      <c r="AA181" s="4">
        <v>-0.0138382081496222</v>
      </c>
      <c r="AB181" s="4">
        <v>-0.0169047534573384</v>
      </c>
      <c r="AC181" s="4">
        <v>0.0017825790091801</v>
      </c>
      <c r="AD181" s="4">
        <v>0.0101830868285286</v>
      </c>
      <c r="AE181" s="4">
        <v>-0.0151738293016466</v>
      </c>
      <c r="AF181" s="4">
        <v>-0.0088223280454714</v>
      </c>
      <c r="AG181" s="4">
        <v>-0.0257013621944833</v>
      </c>
      <c r="AH181" s="4">
        <v>-0.0256045610864086</v>
      </c>
      <c r="AI181" s="4">
        <v>4.402857396088E-4</v>
      </c>
      <c r="AJ181" s="4">
        <v>-0.008412</v>
      </c>
      <c r="AK181" s="4">
        <f>Weights!E237</f>
        <v>-0.006358055611</v>
      </c>
      <c r="AL181" s="5">
        <v>-0.00325732029510017</v>
      </c>
      <c r="AM181" s="5">
        <v>-0.00329974595111059</v>
      </c>
      <c r="AN181" s="5">
        <v>0.00368733962454359</v>
      </c>
      <c r="AO181" s="5">
        <v>0.00152999240341689</v>
      </c>
      <c r="AP181" s="6">
        <f t="shared" si="3"/>
        <v>1.049628865</v>
      </c>
      <c r="AQ181" s="4">
        <f t="shared" si="4"/>
        <v>1.03907062</v>
      </c>
      <c r="AR181" s="5">
        <f t="shared" si="5"/>
        <v>1.037365578</v>
      </c>
      <c r="AS181" s="5">
        <f t="shared" ref="AS181:AU181" si="183">AS180*(1+AM181)</f>
        <v>1.065094613</v>
      </c>
      <c r="AT181" s="5">
        <f t="shared" si="183"/>
        <v>0.9774998707</v>
      </c>
      <c r="AU181" s="5">
        <f t="shared" si="183"/>
        <v>0.9636499469</v>
      </c>
    </row>
    <row r="182" ht="15.75" customHeight="1">
      <c r="A182" s="3">
        <v>44092.0</v>
      </c>
      <c r="B182" s="4">
        <v>-0.01707</v>
      </c>
      <c r="C182" s="4">
        <v>-0.003961</v>
      </c>
      <c r="D182" s="4">
        <v>-0.02143</v>
      </c>
      <c r="E182" s="4">
        <v>-0.012988</v>
      </c>
      <c r="F182" s="4">
        <v>-0.001978</v>
      </c>
      <c r="G182" s="4">
        <v>0.013658</v>
      </c>
      <c r="H182" s="4">
        <v>-0.001091</v>
      </c>
      <c r="I182" s="4">
        <v>-0.011025</v>
      </c>
      <c r="J182" s="4">
        <v>-0.008052</v>
      </c>
      <c r="K182" s="4">
        <v>-0.011997</v>
      </c>
      <c r="L182" s="4">
        <v>-0.012828</v>
      </c>
      <c r="M182" s="4">
        <v>-0.008898</v>
      </c>
      <c r="N182" s="4">
        <v>-0.009551</v>
      </c>
      <c r="O182" s="4">
        <v>-0.016658</v>
      </c>
      <c r="P182" s="4">
        <v>-0.024276</v>
      </c>
      <c r="Q182" s="4">
        <v>-0.045918</v>
      </c>
      <c r="R182" s="4">
        <v>-0.001762</v>
      </c>
      <c r="S182" s="4">
        <v>-0.026436</v>
      </c>
      <c r="T182" s="4">
        <v>0.004288</v>
      </c>
      <c r="U182" s="4">
        <v>0.006472</v>
      </c>
      <c r="V182" s="4">
        <v>0.0113085106519592</v>
      </c>
      <c r="W182" s="4">
        <v>0.0445612381095996</v>
      </c>
      <c r="X182" s="4">
        <v>0.0</v>
      </c>
      <c r="Y182" s="4">
        <v>0.0162198167970533</v>
      </c>
      <c r="Z182" s="4">
        <v>0.015265306238096</v>
      </c>
      <c r="AA182" s="4">
        <v>-0.0066470260611035</v>
      </c>
      <c r="AB182" s="4">
        <v>0.0038212692227703</v>
      </c>
      <c r="AC182" s="4">
        <v>0.0</v>
      </c>
      <c r="AD182" s="4">
        <v>0.0</v>
      </c>
      <c r="AE182" s="4">
        <v>0.0146561614746802</v>
      </c>
      <c r="AF182" s="4">
        <v>-0.0185758028060253</v>
      </c>
      <c r="AG182" s="4">
        <v>-0.0103446980364365</v>
      </c>
      <c r="AH182" s="4">
        <v>-0.0233576244738584</v>
      </c>
      <c r="AI182" s="4">
        <v>0.0013209680441419</v>
      </c>
      <c r="AJ182" s="4">
        <v>-0.011183</v>
      </c>
      <c r="AK182" s="4">
        <f>Weights!E238</f>
        <v>-0.004773072682</v>
      </c>
      <c r="AL182" s="5">
        <v>-0.00604080119519157</v>
      </c>
      <c r="AM182" s="5">
        <v>-0.00824763650514737</v>
      </c>
      <c r="AN182" s="5">
        <v>0.00693852622832191</v>
      </c>
      <c r="AO182" s="5">
        <v>0.00916552837243767</v>
      </c>
      <c r="AP182" s="6">
        <f t="shared" si="3"/>
        <v>1.044618911</v>
      </c>
      <c r="AQ182" s="4">
        <f t="shared" si="4"/>
        <v>1.027450693</v>
      </c>
      <c r="AR182" s="5">
        <f t="shared" si="5"/>
        <v>1.031099059</v>
      </c>
      <c r="AS182" s="5">
        <f t="shared" ref="AS182:AU182" si="184">AS181*(1+AM182)</f>
        <v>1.056310099</v>
      </c>
      <c r="AT182" s="5">
        <f t="shared" si="184"/>
        <v>0.9842822792</v>
      </c>
      <c r="AU182" s="5">
        <f t="shared" si="184"/>
        <v>0.9724823078</v>
      </c>
    </row>
    <row r="183" ht="15.75" customHeight="1">
      <c r="A183" s="3">
        <v>44095.0</v>
      </c>
      <c r="B183" s="4">
        <v>-0.020728</v>
      </c>
      <c r="C183" s="4">
        <v>-0.012262</v>
      </c>
      <c r="D183" s="4">
        <v>-0.018589</v>
      </c>
      <c r="E183" s="4">
        <v>-0.001749</v>
      </c>
      <c r="F183" s="4">
        <v>-0.026957</v>
      </c>
      <c r="G183" s="4">
        <v>-0.027349</v>
      </c>
      <c r="H183" s="4">
        <v>-0.004804</v>
      </c>
      <c r="I183" s="4">
        <v>-0.014426</v>
      </c>
      <c r="J183" s="4">
        <v>-0.003298</v>
      </c>
      <c r="K183" s="4">
        <v>-0.026843</v>
      </c>
      <c r="L183" s="4">
        <v>-0.020321</v>
      </c>
      <c r="M183" s="4">
        <v>-0.039365</v>
      </c>
      <c r="N183" s="4">
        <v>-0.027242</v>
      </c>
      <c r="O183" s="4">
        <v>0.008823</v>
      </c>
      <c r="P183" s="4">
        <v>-0.016072</v>
      </c>
      <c r="Q183" s="4">
        <v>-0.063407</v>
      </c>
      <c r="R183" s="4">
        <v>-0.079412</v>
      </c>
      <c r="S183" s="4">
        <v>-0.033405</v>
      </c>
      <c r="T183" s="4">
        <v>-0.068727</v>
      </c>
      <c r="U183" s="4">
        <v>0.001682</v>
      </c>
      <c r="V183" s="4">
        <v>-0.0702873626820685</v>
      </c>
      <c r="W183" s="4">
        <v>-0.0042144552480627</v>
      </c>
      <c r="X183" s="4">
        <v>0.0119226567067589</v>
      </c>
      <c r="Y183" s="4">
        <v>0.0118627298254028</v>
      </c>
      <c r="Z183" s="4">
        <v>0.0152121959100715</v>
      </c>
      <c r="AA183" s="4">
        <v>0.0046469660350669</v>
      </c>
      <c r="AB183" s="4">
        <v>0.0026646151097386</v>
      </c>
      <c r="AC183" s="4">
        <v>-0.0017731811216096</v>
      </c>
      <c r="AD183" s="4">
        <v>0.0010088376005066</v>
      </c>
      <c r="AE183" s="4">
        <v>0.0081479880734749</v>
      </c>
      <c r="AF183" s="4">
        <v>0.0067034722346648</v>
      </c>
      <c r="AG183" s="4">
        <v>0.0099303142155433</v>
      </c>
      <c r="AH183" s="4">
        <v>0.0029894980006162</v>
      </c>
      <c r="AI183" s="4">
        <v>0.0</v>
      </c>
      <c r="AJ183" s="4">
        <v>-0.011571</v>
      </c>
      <c r="AK183" s="4">
        <f>Weights!E239</f>
        <v>-0.01284380915</v>
      </c>
      <c r="AL183" s="5">
        <v>-0.00856820508432421</v>
      </c>
      <c r="AM183" s="5">
        <v>-0.00972170399097749</v>
      </c>
      <c r="AN183" s="5">
        <v>0.00405356972789872</v>
      </c>
      <c r="AO183" s="5">
        <v>0.00423867841720482</v>
      </c>
      <c r="AP183" s="6">
        <f t="shared" si="3"/>
        <v>1.031202025</v>
      </c>
      <c r="AQ183" s="4">
        <f t="shared" si="4"/>
        <v>1.015562061</v>
      </c>
      <c r="AR183" s="5">
        <f t="shared" si="5"/>
        <v>1.022264391</v>
      </c>
      <c r="AS183" s="5">
        <f t="shared" ref="AS183:AU183" si="185">AS182*(1+AM183)</f>
        <v>1.046040965</v>
      </c>
      <c r="AT183" s="5">
        <f t="shared" si="185"/>
        <v>0.9882721361</v>
      </c>
      <c r="AU183" s="5">
        <f t="shared" si="185"/>
        <v>0.9766043476</v>
      </c>
    </row>
    <row r="184" ht="15.75" customHeight="1">
      <c r="A184" s="3">
        <v>44096.0</v>
      </c>
      <c r="B184" s="4">
        <v>0.017735</v>
      </c>
      <c r="C184" s="4">
        <v>0.003523</v>
      </c>
      <c r="D184" s="4">
        <v>0.013233</v>
      </c>
      <c r="E184" s="4">
        <v>0.006934</v>
      </c>
      <c r="F184" s="4">
        <v>0.011611</v>
      </c>
      <c r="G184" s="4">
        <v>-0.006134</v>
      </c>
      <c r="H184" s="4">
        <v>0.009143</v>
      </c>
      <c r="I184" s="4">
        <v>0.01497</v>
      </c>
      <c r="J184" s="4">
        <v>0.011962</v>
      </c>
      <c r="K184" s="4">
        <v>0.003065</v>
      </c>
      <c r="L184" s="4">
        <v>-1.41E-4</v>
      </c>
      <c r="M184" s="4">
        <v>-0.002876</v>
      </c>
      <c r="N184" s="4">
        <v>0.0057</v>
      </c>
      <c r="O184" s="4">
        <v>0.004373</v>
      </c>
      <c r="P184" s="4">
        <v>-0.003455</v>
      </c>
      <c r="Q184" s="4">
        <v>0.002447</v>
      </c>
      <c r="R184" s="4">
        <v>0.001917</v>
      </c>
      <c r="S184" s="4">
        <v>0.010307</v>
      </c>
      <c r="T184" s="4">
        <v>-0.00262</v>
      </c>
      <c r="U184" s="4">
        <v>0.011852</v>
      </c>
      <c r="V184" s="4">
        <v>-0.00515473503029284</v>
      </c>
      <c r="W184" s="4">
        <v>0.0218849376672978</v>
      </c>
      <c r="X184" s="4">
        <v>0.0103091403234965</v>
      </c>
      <c r="Y184" s="4">
        <v>0.0126474417892157</v>
      </c>
      <c r="Z184" s="4">
        <v>0.0085237625861986</v>
      </c>
      <c r="AA184" s="4">
        <v>0.011100772362079</v>
      </c>
      <c r="AB184" s="4">
        <v>-0.0011388007722513</v>
      </c>
      <c r="AC184" s="4">
        <v>0.0</v>
      </c>
      <c r="AD184" s="4">
        <v>0.0282257861184578</v>
      </c>
      <c r="AE184" s="4">
        <v>-0.0041145372138728</v>
      </c>
      <c r="AF184" s="4">
        <v>0.0164511660400854</v>
      </c>
      <c r="AG184" s="4">
        <v>-0.0167329587329518</v>
      </c>
      <c r="AH184" s="4">
        <v>0.0119225278196462</v>
      </c>
      <c r="AI184" s="4">
        <v>-4.394126484688E-4</v>
      </c>
      <c r="AJ184" s="4">
        <v>0.010518</v>
      </c>
      <c r="AK184" s="4">
        <f>Weights!E240</f>
        <v>0.005113056731</v>
      </c>
      <c r="AL184" s="5">
        <v>-0.0166818390623607</v>
      </c>
      <c r="AM184" s="5">
        <v>-0.0120646208082285</v>
      </c>
      <c r="AN184" s="5">
        <v>-0.0100929235218339</v>
      </c>
      <c r="AO184" s="5">
        <v>-0.00874289517800208</v>
      </c>
      <c r="AP184" s="6">
        <f t="shared" si="3"/>
        <v>1.036474619</v>
      </c>
      <c r="AQ184" s="4">
        <f t="shared" si="4"/>
        <v>1.026243743</v>
      </c>
      <c r="AR184" s="5">
        <f t="shared" si="5"/>
        <v>1.005211141</v>
      </c>
      <c r="AS184" s="5">
        <f t="shared" ref="AS184:AU184" si="186">AS183*(1+AM184)</f>
        <v>1.033420878</v>
      </c>
      <c r="AT184" s="5">
        <f t="shared" si="186"/>
        <v>0.978297581</v>
      </c>
      <c r="AU184" s="5">
        <f t="shared" si="186"/>
        <v>0.9680659981</v>
      </c>
    </row>
    <row r="185" ht="15.75" customHeight="1">
      <c r="A185" s="3">
        <v>44097.0</v>
      </c>
      <c r="B185" s="4">
        <v>-0.01068</v>
      </c>
      <c r="C185" s="4">
        <v>-0.015212</v>
      </c>
      <c r="D185" s="4">
        <v>-0.02484</v>
      </c>
      <c r="E185" s="4">
        <v>-0.008702</v>
      </c>
      <c r="F185" s="4">
        <v>-0.029199</v>
      </c>
      <c r="G185" s="4">
        <v>0.001595</v>
      </c>
      <c r="H185" s="4">
        <v>-0.01196</v>
      </c>
      <c r="I185" s="4">
        <v>-0.032776</v>
      </c>
      <c r="J185" s="4">
        <v>-0.008551</v>
      </c>
      <c r="K185" s="4">
        <v>-0.011785</v>
      </c>
      <c r="L185" s="4">
        <v>-0.012137</v>
      </c>
      <c r="M185" s="4">
        <v>-0.020908</v>
      </c>
      <c r="N185" s="4">
        <v>-0.022178</v>
      </c>
      <c r="O185" s="4">
        <v>-0.020666</v>
      </c>
      <c r="P185" s="4">
        <v>-0.050906</v>
      </c>
      <c r="Q185" s="4">
        <v>-0.074858</v>
      </c>
      <c r="R185" s="4">
        <v>-0.058036</v>
      </c>
      <c r="S185" s="4">
        <v>-0.055211</v>
      </c>
      <c r="T185" s="4">
        <v>-0.02211</v>
      </c>
      <c r="U185" s="4">
        <v>-0.017179</v>
      </c>
      <c r="V185" s="4">
        <v>0.00604498279945198</v>
      </c>
      <c r="W185" s="4">
        <v>0.0017173309925866</v>
      </c>
      <c r="X185" s="4">
        <v>-0.0043732580748475</v>
      </c>
      <c r="Y185" s="4">
        <v>-0.0232245579669367</v>
      </c>
      <c r="Z185" s="4">
        <v>-0.0196380052880575</v>
      </c>
      <c r="AA185" s="4">
        <v>-0.0120768768226304</v>
      </c>
      <c r="AB185" s="4">
        <v>-0.0076017787975649</v>
      </c>
      <c r="AC185" s="4">
        <v>0.0035524931196373</v>
      </c>
      <c r="AD185" s="4">
        <v>0.0098041753882498</v>
      </c>
      <c r="AE185" s="4">
        <v>-0.0098863178779129</v>
      </c>
      <c r="AF185" s="4">
        <v>0.0362235929746448</v>
      </c>
      <c r="AG185" s="4">
        <v>0.008421302025797</v>
      </c>
      <c r="AH185" s="4">
        <v>0.0117819681470681</v>
      </c>
      <c r="AI185" s="4">
        <v>0.0</v>
      </c>
      <c r="AJ185" s="4">
        <v>-0.023721</v>
      </c>
      <c r="AK185" s="4">
        <f>Weights!E241</f>
        <v>-0.01244759439</v>
      </c>
      <c r="AL185" s="5">
        <v>0.00674508362741232</v>
      </c>
      <c r="AM185" s="5">
        <v>0.0099373237549003</v>
      </c>
      <c r="AN185" s="5">
        <v>-0.00285476813094054</v>
      </c>
      <c r="AO185" s="5">
        <v>-0.00304130598442498</v>
      </c>
      <c r="AP185" s="6">
        <f t="shared" si="3"/>
        <v>1.023573003</v>
      </c>
      <c r="AQ185" s="4">
        <f t="shared" si="4"/>
        <v>1.001900215</v>
      </c>
      <c r="AR185" s="5">
        <f t="shared" si="5"/>
        <v>1.011991374</v>
      </c>
      <c r="AS185" s="5">
        <f t="shared" ref="AS185:AU185" si="187">AS184*(1+AM185)</f>
        <v>1.043690316</v>
      </c>
      <c r="AT185" s="5">
        <f t="shared" si="187"/>
        <v>0.9755047682</v>
      </c>
      <c r="AU185" s="5">
        <f t="shared" si="187"/>
        <v>0.9651218132</v>
      </c>
    </row>
    <row r="186" ht="15.75" customHeight="1">
      <c r="A186" s="3">
        <v>44098.0</v>
      </c>
      <c r="B186" s="4">
        <v>0.001136</v>
      </c>
      <c r="C186" s="4">
        <v>0.004753</v>
      </c>
      <c r="D186" s="4">
        <v>0.014181</v>
      </c>
      <c r="E186" s="4">
        <v>0.004427</v>
      </c>
      <c r="F186" s="4">
        <v>0.010164</v>
      </c>
      <c r="G186" s="4">
        <v>0.001592</v>
      </c>
      <c r="H186" s="4">
        <v>0.004475</v>
      </c>
      <c r="I186" s="4">
        <v>0.004405</v>
      </c>
      <c r="J186" s="4">
        <v>0.010908</v>
      </c>
      <c r="K186" s="4">
        <v>0.007067</v>
      </c>
      <c r="L186" s="4">
        <v>0.008571</v>
      </c>
      <c r="M186" s="4">
        <v>0.008837</v>
      </c>
      <c r="N186" s="4">
        <v>0.001764</v>
      </c>
      <c r="O186" s="4">
        <v>-0.003319</v>
      </c>
      <c r="P186" s="4">
        <v>0.020259</v>
      </c>
      <c r="Q186" s="4">
        <v>0.029903</v>
      </c>
      <c r="R186" s="4">
        <v>0.0413</v>
      </c>
      <c r="S186" s="4">
        <v>0.031336</v>
      </c>
      <c r="T186" s="4">
        <v>0.002015</v>
      </c>
      <c r="U186" s="4">
        <v>0.004469</v>
      </c>
      <c r="V186" s="4">
        <v>-0.0206007169957725</v>
      </c>
      <c r="W186" s="4">
        <v>-0.0071600679212403</v>
      </c>
      <c r="X186" s="4">
        <v>-0.0073205200348824</v>
      </c>
      <c r="Y186" s="4">
        <v>0.0114931705208365</v>
      </c>
      <c r="Z186" s="4">
        <v>0.0026891479247825</v>
      </c>
      <c r="AA186" s="4">
        <v>9.260324911335E-4</v>
      </c>
      <c r="AB186" s="4">
        <v>-0.0061278971774548</v>
      </c>
      <c r="AC186" s="4">
        <v>0.0070797511538422</v>
      </c>
      <c r="AD186" s="4">
        <v>-0.0097089867790262</v>
      </c>
      <c r="AE186" s="4">
        <v>0.0019372578769891</v>
      </c>
      <c r="AF186" s="4">
        <v>-0.009669003562078</v>
      </c>
      <c r="AG186" s="4">
        <v>0.0161794760873319</v>
      </c>
      <c r="AH186" s="4">
        <v>-0.0043667561546135</v>
      </c>
      <c r="AI186" s="4">
        <v>-0.0013199041165378</v>
      </c>
      <c r="AJ186" s="4">
        <v>0.002987</v>
      </c>
      <c r="AK186" s="4">
        <f>Weights!E242</f>
        <v>0.004536957216</v>
      </c>
      <c r="AL186" s="5">
        <v>-0.019896359936213</v>
      </c>
      <c r="AM186" s="5">
        <v>-0.0241244139721267</v>
      </c>
      <c r="AN186" s="5">
        <v>-0.00327203472967929</v>
      </c>
      <c r="AO186" s="5">
        <v>-0.0039656316829626</v>
      </c>
      <c r="AP186" s="6">
        <f t="shared" si="3"/>
        <v>1.02821691</v>
      </c>
      <c r="AQ186" s="4">
        <f t="shared" si="4"/>
        <v>1.004892891</v>
      </c>
      <c r="AR186" s="5">
        <f t="shared" si="5"/>
        <v>0.9918564295</v>
      </c>
      <c r="AS186" s="5">
        <f t="shared" ref="AS186:AU186" si="188">AS185*(1+AM186)</f>
        <v>1.018511898</v>
      </c>
      <c r="AT186" s="5">
        <f t="shared" si="188"/>
        <v>0.9723128828</v>
      </c>
      <c r="AU186" s="5">
        <f t="shared" si="188"/>
        <v>0.9612944956</v>
      </c>
    </row>
    <row r="187" ht="15.75" customHeight="1">
      <c r="A187" s="3">
        <v>44099.0</v>
      </c>
      <c r="B187" s="4">
        <v>0.010216</v>
      </c>
      <c r="C187" s="4">
        <v>0.003379</v>
      </c>
      <c r="D187" s="4">
        <v>0.005697</v>
      </c>
      <c r="E187" s="4">
        <v>0.014972</v>
      </c>
      <c r="F187" s="4">
        <v>4.11E-4</v>
      </c>
      <c r="G187" s="4">
        <v>0.006843</v>
      </c>
      <c r="H187" s="4">
        <v>0.005112</v>
      </c>
      <c r="I187" s="4">
        <v>0.011808</v>
      </c>
      <c r="J187" s="4">
        <v>0.008783</v>
      </c>
      <c r="K187" s="4">
        <v>0.004605</v>
      </c>
      <c r="L187" s="4">
        <v>2.83E-4</v>
      </c>
      <c r="M187" s="4">
        <v>0.00438</v>
      </c>
      <c r="N187" s="4">
        <v>0.013333</v>
      </c>
      <c r="O187" s="4">
        <v>0.005353</v>
      </c>
      <c r="P187" s="4">
        <v>-3.26E-4</v>
      </c>
      <c r="Q187" s="4">
        <v>-0.00427</v>
      </c>
      <c r="R187" s="4">
        <v>-0.005202</v>
      </c>
      <c r="S187" s="4">
        <v>-0.007596</v>
      </c>
      <c r="T187" s="4">
        <v>0.010947</v>
      </c>
      <c r="U187" s="4">
        <v>0.024718</v>
      </c>
      <c r="V187" s="4">
        <v>0.0219105449903618</v>
      </c>
      <c r="W187" s="4">
        <v>0.0050786631811334</v>
      </c>
      <c r="X187" s="4">
        <v>0.0</v>
      </c>
      <c r="Y187" s="4">
        <v>-0.015126830941854</v>
      </c>
      <c r="Z187" s="4">
        <v>-0.0049880520066983</v>
      </c>
      <c r="AA187" s="4">
        <v>3.702141416408E-4</v>
      </c>
      <c r="AB187" s="4">
        <v>0.0065510463072093</v>
      </c>
      <c r="AC187" s="4">
        <v>0.0</v>
      </c>
      <c r="AD187" s="4">
        <v>0.0</v>
      </c>
      <c r="AE187" s="4">
        <v>-0.0037185268487665</v>
      </c>
      <c r="AF187" s="4">
        <v>-0.0150206739639785</v>
      </c>
      <c r="AG187" s="4">
        <v>0.0198596522896759</v>
      </c>
      <c r="AH187" s="4">
        <v>0.0146198687721861</v>
      </c>
      <c r="AI187" s="4">
        <v>0.0</v>
      </c>
      <c r="AJ187" s="4">
        <v>0.015977</v>
      </c>
      <c r="AK187" s="4">
        <f>Weights!E243</f>
        <v>0.005045234387</v>
      </c>
      <c r="AL187" s="5">
        <v>0.00227840760841968</v>
      </c>
      <c r="AM187" s="5">
        <v>0.00212591982040755</v>
      </c>
      <c r="AN187" s="5">
        <v>-0.00984823874390128</v>
      </c>
      <c r="AO187" s="5">
        <v>-0.0122513880334264</v>
      </c>
      <c r="AP187" s="6">
        <f t="shared" si="3"/>
        <v>1.033404506</v>
      </c>
      <c r="AQ187" s="4">
        <f t="shared" si="4"/>
        <v>1.020948065</v>
      </c>
      <c r="AR187" s="5">
        <f t="shared" si="5"/>
        <v>0.9941162827</v>
      </c>
      <c r="AS187" s="5">
        <f t="shared" ref="AS187:AU187" si="189">AS186*(1+AM187)</f>
        <v>1.020677173</v>
      </c>
      <c r="AT187" s="5">
        <f t="shared" si="189"/>
        <v>0.9627373134</v>
      </c>
      <c r="AU187" s="5">
        <f t="shared" si="189"/>
        <v>0.9495173037</v>
      </c>
    </row>
    <row r="188" ht="15.75" customHeight="1">
      <c r="A188" s="3">
        <v>44102.0</v>
      </c>
      <c r="B188" s="4">
        <v>0.007303</v>
      </c>
      <c r="C188" s="4">
        <v>-5.05E-4</v>
      </c>
      <c r="D188" s="4">
        <v>0.02034</v>
      </c>
      <c r="E188" s="4">
        <v>0.033096</v>
      </c>
      <c r="F188" s="4">
        <v>0.011494</v>
      </c>
      <c r="G188" s="4">
        <v>0.009955</v>
      </c>
      <c r="H188" s="4">
        <v>0.002834</v>
      </c>
      <c r="I188" s="4">
        <v>0.003001</v>
      </c>
      <c r="J188" s="4">
        <v>0.01393</v>
      </c>
      <c r="K188" s="4">
        <v>0.0179</v>
      </c>
      <c r="L188" s="4">
        <v>0.011753</v>
      </c>
      <c r="M188" s="4">
        <v>0.02907</v>
      </c>
      <c r="N188" s="4">
        <v>0.020854</v>
      </c>
      <c r="O188" s="4">
        <v>0.017511</v>
      </c>
      <c r="P188" s="4">
        <v>0.01156</v>
      </c>
      <c r="Q188" s="4">
        <v>0.019726</v>
      </c>
      <c r="R188" s="4">
        <v>0.039216</v>
      </c>
      <c r="S188" s="4">
        <v>-0.001034</v>
      </c>
      <c r="T188" s="4">
        <v>0.022541</v>
      </c>
      <c r="U188" s="4">
        <v>0.013122</v>
      </c>
      <c r="V188" s="4">
        <v>0.0291593957750062</v>
      </c>
      <c r="W188" s="4">
        <v>-0.0543708536701587</v>
      </c>
      <c r="X188" s="4">
        <v>-0.0059082994753797</v>
      </c>
      <c r="Y188" s="4">
        <v>-0.0089414505326306</v>
      </c>
      <c r="Z188" s="4">
        <v>-0.0044084330515634</v>
      </c>
      <c r="AA188" s="4">
        <v>-0.0033296157866025</v>
      </c>
      <c r="AB188" s="4">
        <v>-0.01186833507566</v>
      </c>
      <c r="AC188" s="4">
        <v>-0.0017514433590932</v>
      </c>
      <c r="AD188" s="4">
        <v>-0.0137253665288967</v>
      </c>
      <c r="AE188" s="4">
        <v>-0.0053002702836136</v>
      </c>
      <c r="AF188" s="4">
        <v>-0.0640488136073099</v>
      </c>
      <c r="AG188" s="4">
        <v>-0.0117508671903548</v>
      </c>
      <c r="AH188" s="4">
        <v>-0.0331412128497307</v>
      </c>
      <c r="AI188" s="4">
        <v>0.0</v>
      </c>
      <c r="AJ188" s="4">
        <v>0.016111</v>
      </c>
      <c r="AK188" s="4">
        <f>Weights!E244</f>
        <v>0.002216247237</v>
      </c>
      <c r="AL188" s="5">
        <v>0.012297264716047</v>
      </c>
      <c r="AM188" s="5">
        <v>0.0160910530900004</v>
      </c>
      <c r="AN188" s="5">
        <v>0.0103607100178302</v>
      </c>
      <c r="AO188" s="5">
        <v>0.0108527493599961</v>
      </c>
      <c r="AP188" s="6">
        <f t="shared" si="3"/>
        <v>1.035694786</v>
      </c>
      <c r="AQ188" s="4">
        <f t="shared" si="4"/>
        <v>1.037396559</v>
      </c>
      <c r="AR188" s="5">
        <f t="shared" si="5"/>
        <v>1.006341194</v>
      </c>
      <c r="AS188" s="5">
        <f t="shared" ref="AS188:AU188" si="190">AS187*(1+AM188)</f>
        <v>1.037100944</v>
      </c>
      <c r="AT188" s="5">
        <f t="shared" si="190"/>
        <v>0.9727119555</v>
      </c>
      <c r="AU188" s="5">
        <f t="shared" si="190"/>
        <v>0.959822177</v>
      </c>
    </row>
    <row r="189" ht="15.75" customHeight="1">
      <c r="A189" s="3">
        <v>44103.0</v>
      </c>
      <c r="B189" s="4">
        <v>-0.007808</v>
      </c>
      <c r="C189" s="4">
        <v>-0.002022</v>
      </c>
      <c r="D189" s="4">
        <v>0.001262</v>
      </c>
      <c r="E189" s="4">
        <v>-0.005871</v>
      </c>
      <c r="F189" s="4">
        <v>-0.007305</v>
      </c>
      <c r="G189" s="4">
        <v>-3.4E-4</v>
      </c>
      <c r="H189" s="4">
        <v>-0.005434</v>
      </c>
      <c r="I189" s="4">
        <v>-0.01762</v>
      </c>
      <c r="J189" s="4">
        <v>0.001717</v>
      </c>
      <c r="K189" s="4">
        <v>-0.014368</v>
      </c>
      <c r="L189" s="4">
        <v>-0.018614</v>
      </c>
      <c r="M189" s="4">
        <v>-0.018362</v>
      </c>
      <c r="N189" s="4">
        <v>-0.011916</v>
      </c>
      <c r="O189" s="4">
        <v>0.003837</v>
      </c>
      <c r="P189" s="4">
        <v>0.010301</v>
      </c>
      <c r="Q189" s="4">
        <v>0.050463</v>
      </c>
      <c r="R189" s="4">
        <v>-0.036478</v>
      </c>
      <c r="S189" s="4">
        <v>0.015738</v>
      </c>
      <c r="T189" s="4">
        <v>-0.024368</v>
      </c>
      <c r="U189" s="4">
        <v>-0.007238</v>
      </c>
      <c r="V189" s="4">
        <v>-0.0183333355413749</v>
      </c>
      <c r="W189" s="4">
        <v>-0.0210536703109377</v>
      </c>
      <c r="X189" s="4">
        <v>-0.0104012473096185</v>
      </c>
      <c r="Y189" s="4">
        <v>0.0176079032524543</v>
      </c>
      <c r="Z189" s="4">
        <v>0.0139417452318326</v>
      </c>
      <c r="AA189" s="4">
        <v>0.0072382681896707</v>
      </c>
      <c r="AB189" s="4">
        <v>0.0027121053505545</v>
      </c>
      <c r="AC189" s="4">
        <v>-0.0035086161765952</v>
      </c>
      <c r="AD189" s="4">
        <v>0.0</v>
      </c>
      <c r="AE189" s="4">
        <v>0.0250658727404438</v>
      </c>
      <c r="AF189" s="4">
        <v>-0.0016293401431141</v>
      </c>
      <c r="AG189" s="4">
        <v>-0.0124003582617586</v>
      </c>
      <c r="AH189" s="4">
        <v>-0.0104322340495839</v>
      </c>
      <c r="AI189" s="4">
        <v>-4.404835763823E-4</v>
      </c>
      <c r="AJ189" s="4">
        <v>-0.004813</v>
      </c>
      <c r="AK189" s="4">
        <f>Weights!E245</f>
        <v>-0.004051310943</v>
      </c>
      <c r="AL189" s="5">
        <v>0.0161290471004917</v>
      </c>
      <c r="AM189" s="5">
        <v>0.0181478905378658</v>
      </c>
      <c r="AN189" s="5">
        <v>-0.0155867890258954</v>
      </c>
      <c r="AO189" s="5">
        <v>-0.019018279170025</v>
      </c>
      <c r="AP189" s="6">
        <f t="shared" si="3"/>
        <v>1.031498864</v>
      </c>
      <c r="AQ189" s="4">
        <f t="shared" si="4"/>
        <v>1.03240357</v>
      </c>
      <c r="AR189" s="5">
        <f t="shared" si="5"/>
        <v>1.022572518</v>
      </c>
      <c r="AS189" s="5">
        <f t="shared" ref="AS189:AU189" si="191">AS188*(1+AM189)</f>
        <v>1.055922138</v>
      </c>
      <c r="AT189" s="5">
        <f t="shared" si="191"/>
        <v>0.9575504995</v>
      </c>
      <c r="AU189" s="5">
        <f t="shared" si="191"/>
        <v>0.9415680109</v>
      </c>
    </row>
    <row r="190" ht="15.75" customHeight="1">
      <c r="A190" s="3">
        <v>44104.0</v>
      </c>
      <c r="B190" s="4">
        <v>-0.010118</v>
      </c>
      <c r="C190" s="4">
        <v>0.00422</v>
      </c>
      <c r="D190" s="4">
        <v>-7.56E-4</v>
      </c>
      <c r="E190" s="4">
        <v>0.010499</v>
      </c>
      <c r="F190" s="4">
        <v>0.009199</v>
      </c>
      <c r="G190" s="4">
        <v>0.012376</v>
      </c>
      <c r="H190" s="4">
        <v>0.012604</v>
      </c>
      <c r="I190" s="4">
        <v>-0.011844</v>
      </c>
      <c r="J190" s="4">
        <v>7.35E-4</v>
      </c>
      <c r="K190" s="4">
        <v>0.006092</v>
      </c>
      <c r="L190" s="4">
        <v>2.85E-4</v>
      </c>
      <c r="M190" s="4">
        <v>7.19E-4</v>
      </c>
      <c r="N190" s="4">
        <v>0.002461</v>
      </c>
      <c r="O190" s="4">
        <v>-0.007124</v>
      </c>
      <c r="P190" s="4">
        <v>0.010833</v>
      </c>
      <c r="Q190" s="4">
        <v>-0.016013</v>
      </c>
      <c r="R190" s="4">
        <v>0.020888</v>
      </c>
      <c r="S190" s="4">
        <v>4.08E-4</v>
      </c>
      <c r="T190" s="4">
        <v>0.002682</v>
      </c>
      <c r="U190" s="4">
        <v>-0.004221</v>
      </c>
      <c r="V190" s="4">
        <v>0.012733372581511</v>
      </c>
      <c r="W190" s="4">
        <v>0.0016374421965803</v>
      </c>
      <c r="X190" s="4">
        <v>0.0</v>
      </c>
      <c r="Y190" s="4">
        <v>0.0036463159196848</v>
      </c>
      <c r="Z190" s="4">
        <v>-0.0037433708676066</v>
      </c>
      <c r="AA190" s="4">
        <v>-0.006080674912393</v>
      </c>
      <c r="AB190" s="4">
        <v>-0.010046353394431</v>
      </c>
      <c r="AC190" s="4">
        <v>0.0</v>
      </c>
      <c r="AD190" s="4">
        <v>0.0</v>
      </c>
      <c r="AE190" s="4">
        <v>-0.0074675681261301</v>
      </c>
      <c r="AF190" s="4">
        <v>-0.0012239495836428</v>
      </c>
      <c r="AG190" s="4">
        <v>-0.0127278112813198</v>
      </c>
      <c r="AH190" s="4">
        <v>0.0180723264690143</v>
      </c>
      <c r="AI190" s="4">
        <v>-4.404797637104E-4</v>
      </c>
      <c r="AJ190" s="4">
        <v>0.008254</v>
      </c>
      <c r="AK190" s="4">
        <f>Weights!E246</f>
        <v>0.0006876008959</v>
      </c>
      <c r="AL190" s="5">
        <v>-0.00331524116839943</v>
      </c>
      <c r="AM190" s="5">
        <v>-0.00558869459089961</v>
      </c>
      <c r="AN190" s="5">
        <v>0.00458349672124325</v>
      </c>
      <c r="AO190" s="5">
        <v>0.00437757156857121</v>
      </c>
      <c r="AP190" s="6">
        <f t="shared" si="3"/>
        <v>1.032208124</v>
      </c>
      <c r="AQ190" s="4">
        <f t="shared" si="4"/>
        <v>1.040925029</v>
      </c>
      <c r="AR190" s="5">
        <f t="shared" si="5"/>
        <v>1.019182444</v>
      </c>
      <c r="AS190" s="5">
        <f t="shared" ref="AS190:AU190" si="192">AS189*(1+AM190)</f>
        <v>1.050020912</v>
      </c>
      <c r="AT190" s="5">
        <f t="shared" si="192"/>
        <v>0.961939429</v>
      </c>
      <c r="AU190" s="5">
        <f t="shared" si="192"/>
        <v>0.9456897922</v>
      </c>
    </row>
    <row r="191" ht="15.75" customHeight="1">
      <c r="A191" s="3">
        <v>44105.0</v>
      </c>
      <c r="B191" s="4">
        <v>5.68E-4</v>
      </c>
      <c r="C191" s="4">
        <v>-6.72E-4</v>
      </c>
      <c r="D191" s="4">
        <v>0.003783</v>
      </c>
      <c r="E191" s="4">
        <v>0.015873</v>
      </c>
      <c r="F191" s="4">
        <v>-0.003848</v>
      </c>
      <c r="G191" s="4">
        <v>-0.010478</v>
      </c>
      <c r="H191" s="4">
        <v>0.001799</v>
      </c>
      <c r="I191" s="4">
        <v>-0.005479</v>
      </c>
      <c r="J191" s="4">
        <v>0.00465</v>
      </c>
      <c r="K191" s="4">
        <v>0.006488</v>
      </c>
      <c r="L191" s="4">
        <v>0.00385</v>
      </c>
      <c r="M191" s="4">
        <v>7.19E-4</v>
      </c>
      <c r="N191" s="4">
        <v>0.004665</v>
      </c>
      <c r="O191" s="4">
        <v>-0.0112</v>
      </c>
      <c r="P191" s="4">
        <v>-0.009771</v>
      </c>
      <c r="Q191" s="4">
        <v>0.00895</v>
      </c>
      <c r="R191" s="4">
        <v>-0.005754</v>
      </c>
      <c r="S191" s="4">
        <v>0.022621</v>
      </c>
      <c r="T191" s="4">
        <v>0.004235</v>
      </c>
      <c r="U191" s="4">
        <v>-0.007707</v>
      </c>
      <c r="V191" s="4">
        <v>0.00586763647039334</v>
      </c>
      <c r="W191" s="4">
        <v>-0.0082833691499721</v>
      </c>
      <c r="X191" s="4">
        <v>0.0030028919985118</v>
      </c>
      <c r="Y191" s="4">
        <v>0.0074092983138513</v>
      </c>
      <c r="Z191" s="4">
        <v>0.0062271629950314</v>
      </c>
      <c r="AA191" s="4">
        <v>0.0042639139453339</v>
      </c>
      <c r="AB191" s="4">
        <v>-0.0031224557087354</v>
      </c>
      <c r="AC191" s="4">
        <v>0.0070421905449056</v>
      </c>
      <c r="AD191" s="4">
        <v>-0.005964160226096</v>
      </c>
      <c r="AE191" s="4">
        <v>-0.0020654272657615</v>
      </c>
      <c r="AF191" s="4">
        <v>-0.0151144423112176</v>
      </c>
      <c r="AG191" s="4">
        <v>-0.0120209107102142</v>
      </c>
      <c r="AH191" s="4">
        <v>-0.0147928853215449</v>
      </c>
      <c r="AI191" s="4">
        <v>-0.0038894345196842</v>
      </c>
      <c r="AJ191" s="4">
        <v>0.005293</v>
      </c>
      <c r="AK191" s="4">
        <f>Weights!E247</f>
        <v>-0.0005438329772</v>
      </c>
      <c r="AL191" s="5">
        <v>0.00312463396425166</v>
      </c>
      <c r="AM191" s="5">
        <v>0.00751310896307599</v>
      </c>
      <c r="AN191" s="5">
        <v>0.00995426015062994</v>
      </c>
      <c r="AO191" s="5">
        <v>0.00965138075954064</v>
      </c>
      <c r="AP191" s="6">
        <f t="shared" si="3"/>
        <v>1.031646775</v>
      </c>
      <c r="AQ191" s="4">
        <f t="shared" si="4"/>
        <v>1.046434645</v>
      </c>
      <c r="AR191" s="5">
        <f t="shared" si="5"/>
        <v>1.022367016</v>
      </c>
      <c r="AS191" s="5">
        <f t="shared" ref="AS191:AU191" si="193">AS190*(1+AM191)</f>
        <v>1.057909833</v>
      </c>
      <c r="AT191" s="5">
        <f t="shared" si="193"/>
        <v>0.9715148244</v>
      </c>
      <c r="AU191" s="5">
        <f t="shared" si="193"/>
        <v>0.9548170045</v>
      </c>
    </row>
    <row r="192" ht="15.75" customHeight="1">
      <c r="A192" s="3">
        <v>44106.0</v>
      </c>
      <c r="B192" s="4">
        <v>0.008513</v>
      </c>
      <c r="C192" s="4">
        <v>-0.003532</v>
      </c>
      <c r="D192" s="4">
        <v>0.009045</v>
      </c>
      <c r="E192" s="4">
        <v>-0.01946</v>
      </c>
      <c r="F192" s="4">
        <v>0.00366</v>
      </c>
      <c r="G192" s="4">
        <v>-0.007331</v>
      </c>
      <c r="H192" s="4">
        <v>-0.008044</v>
      </c>
      <c r="I192" s="4">
        <v>-0.002755</v>
      </c>
      <c r="J192" s="4">
        <v>0.004872</v>
      </c>
      <c r="K192" s="4">
        <v>0.008595</v>
      </c>
      <c r="L192" s="4">
        <v>0.004971</v>
      </c>
      <c r="M192" s="4">
        <v>0.019397</v>
      </c>
      <c r="N192" s="4">
        <v>0.007087</v>
      </c>
      <c r="O192" s="4">
        <v>-0.011858</v>
      </c>
      <c r="P192" s="4">
        <v>-0.008595</v>
      </c>
      <c r="Q192" s="4">
        <v>-0.022581</v>
      </c>
      <c r="R192" s="4">
        <v>0.02508</v>
      </c>
      <c r="S192" s="4">
        <v>-0.024113</v>
      </c>
      <c r="T192" s="4">
        <v>0.021976</v>
      </c>
      <c r="U192" s="4">
        <v>-0.003689</v>
      </c>
      <c r="V192" s="4">
        <v>0.0125000292990136</v>
      </c>
      <c r="W192" s="4">
        <v>0.0075832038475867</v>
      </c>
      <c r="X192" s="4">
        <v>0.0</v>
      </c>
      <c r="Y192" s="4">
        <v>0.005091308037606</v>
      </c>
      <c r="Z192" s="4">
        <v>0.0041424371287626</v>
      </c>
      <c r="AA192" s="4">
        <v>0.0059075066114047</v>
      </c>
      <c r="AB192" s="4">
        <v>0.0184023299308484</v>
      </c>
      <c r="AC192" s="4">
        <v>0.0</v>
      </c>
      <c r="AD192" s="4">
        <v>0.0</v>
      </c>
      <c r="AE192" s="4">
        <v>9.609414246298E-4</v>
      </c>
      <c r="AF192" s="4">
        <v>-0.0074657368658577</v>
      </c>
      <c r="AG192" s="4">
        <v>0.0107563274929838</v>
      </c>
      <c r="AH192" s="4">
        <v>-0.0105105540493301</v>
      </c>
      <c r="AI192" s="4">
        <v>0.0026621198063243</v>
      </c>
      <c r="AJ192" s="4">
        <v>-0.009572</v>
      </c>
      <c r="AK192" s="4">
        <f>Weights!E248</f>
        <v>0.002626047392</v>
      </c>
      <c r="AL192" s="5">
        <v>0.00612950468486817</v>
      </c>
      <c r="AM192" s="5">
        <v>0.00833771960885276</v>
      </c>
      <c r="AN192" s="5">
        <v>0.0110884705278615</v>
      </c>
      <c r="AO192" s="5">
        <v>0.0114092397629164</v>
      </c>
      <c r="AP192" s="6">
        <f t="shared" si="3"/>
        <v>1.034355928</v>
      </c>
      <c r="AQ192" s="4">
        <f t="shared" si="4"/>
        <v>1.036418172</v>
      </c>
      <c r="AR192" s="5">
        <f t="shared" si="5"/>
        <v>1.028633619</v>
      </c>
      <c r="AS192" s="5">
        <f t="shared" ref="AS192:AU192" si="194">AS191*(1+AM192)</f>
        <v>1.066730389</v>
      </c>
      <c r="AT192" s="5">
        <f t="shared" si="194"/>
        <v>0.9822874379</v>
      </c>
      <c r="AU192" s="5">
        <f t="shared" si="194"/>
        <v>0.9657107406</v>
      </c>
    </row>
    <row r="193" ht="15.75" customHeight="1">
      <c r="A193" s="3">
        <v>44109.0</v>
      </c>
      <c r="B193" s="4">
        <v>0.011818</v>
      </c>
      <c r="C193" s="4">
        <v>0.00709</v>
      </c>
      <c r="D193" s="4">
        <v>0.003237</v>
      </c>
      <c r="E193" s="4">
        <v>-9.42E-4</v>
      </c>
      <c r="F193" s="4">
        <v>4.05E-4</v>
      </c>
      <c r="G193" s="4">
        <v>0.013608</v>
      </c>
      <c r="H193" s="4">
        <v>0.009195</v>
      </c>
      <c r="I193" s="4">
        <v>0.020028</v>
      </c>
      <c r="J193" s="4">
        <v>0.009455</v>
      </c>
      <c r="K193" s="4">
        <v>0.019813</v>
      </c>
      <c r="L193" s="4">
        <v>0.017524</v>
      </c>
      <c r="M193" s="4">
        <v>0.016913</v>
      </c>
      <c r="N193" s="4">
        <v>0.016986</v>
      </c>
      <c r="O193" s="4">
        <v>0.019761</v>
      </c>
      <c r="P193" s="4">
        <v>0.013485</v>
      </c>
      <c r="Q193" s="4">
        <v>0.015677</v>
      </c>
      <c r="R193" s="4">
        <v>0.023839</v>
      </c>
      <c r="S193" s="4">
        <v>0.017562</v>
      </c>
      <c r="T193" s="4">
        <v>0.026933</v>
      </c>
      <c r="U193" s="4">
        <v>-0.002923</v>
      </c>
      <c r="V193" s="4">
        <v>0.0246913145333169</v>
      </c>
      <c r="W193" s="4">
        <v>0.0086170307575919</v>
      </c>
      <c r="X193" s="4">
        <v>-0.0029984894139594</v>
      </c>
      <c r="Y193" s="4">
        <v>0.0038696863063409</v>
      </c>
      <c r="Z193" s="4">
        <v>0.0030812537555811</v>
      </c>
      <c r="AA193" s="4">
        <v>0.0139474069001919</v>
      </c>
      <c r="AB193" s="4">
        <v>0.0169166458518785</v>
      </c>
      <c r="AC193" s="4">
        <v>0.0068845381411257</v>
      </c>
      <c r="AD193" s="4">
        <v>0.0179639070917425</v>
      </c>
      <c r="AE193" s="4">
        <v>0.0035445659162589</v>
      </c>
      <c r="AF193" s="4">
        <v>0.0234014572966509</v>
      </c>
      <c r="AG193" s="4">
        <v>0.0108166071236828</v>
      </c>
      <c r="AH193" s="4">
        <v>0.0060698152210731</v>
      </c>
      <c r="AI193" s="4">
        <v>-4.424094951406E-4</v>
      </c>
      <c r="AJ193" s="4">
        <v>0.017976</v>
      </c>
      <c r="AK193" s="4">
        <f>Weights!E249</f>
        <v>0.01149024281</v>
      </c>
      <c r="AL193" s="5">
        <v>-0.00729060891426902</v>
      </c>
      <c r="AM193" s="5">
        <v>-0.0078029623638397</v>
      </c>
      <c r="AN193" s="5">
        <v>-0.00284334984518364</v>
      </c>
      <c r="AO193" s="5">
        <v>-0.00121940907495099</v>
      </c>
      <c r="AP193" s="6">
        <f t="shared" si="3"/>
        <v>1.046240929</v>
      </c>
      <c r="AQ193" s="4">
        <f t="shared" si="4"/>
        <v>1.055048826</v>
      </c>
      <c r="AR193" s="5">
        <f t="shared" si="5"/>
        <v>1.021134254</v>
      </c>
      <c r="AS193" s="5">
        <f t="shared" ref="AS193:AU193" si="195">AS192*(1+AM193)</f>
        <v>1.058406732</v>
      </c>
      <c r="AT193" s="5">
        <f t="shared" si="195"/>
        <v>0.979494451</v>
      </c>
      <c r="AU193" s="5">
        <f t="shared" si="195"/>
        <v>0.9645331442</v>
      </c>
    </row>
    <row r="194" ht="15.75" customHeight="1">
      <c r="A194" s="3">
        <v>44110.0</v>
      </c>
      <c r="B194" s="4">
        <v>0.0</v>
      </c>
      <c r="C194" s="4">
        <v>-0.003352</v>
      </c>
      <c r="D194" s="4">
        <v>-0.020104</v>
      </c>
      <c r="E194" s="4">
        <v>-0.016168</v>
      </c>
      <c r="F194" s="4">
        <v>-0.008911</v>
      </c>
      <c r="G194" s="4">
        <v>-0.01329</v>
      </c>
      <c r="H194" s="4">
        <v>0.001578</v>
      </c>
      <c r="I194" s="4">
        <v>-0.019634</v>
      </c>
      <c r="J194" s="4">
        <v>-0.003122</v>
      </c>
      <c r="K194" s="4">
        <v>-0.006267</v>
      </c>
      <c r="L194" s="4">
        <v>-0.001806</v>
      </c>
      <c r="M194" s="4">
        <v>-0.002079</v>
      </c>
      <c r="N194" s="4">
        <v>-0.003818</v>
      </c>
      <c r="O194" s="4">
        <v>-0.0185</v>
      </c>
      <c r="P194" s="4">
        <v>-0.036591</v>
      </c>
      <c r="Q194" s="4">
        <v>-0.035743</v>
      </c>
      <c r="R194" s="4">
        <v>-0.036765</v>
      </c>
      <c r="S194" s="4">
        <v>-0.04997</v>
      </c>
      <c r="T194" s="4">
        <v>-0.007403</v>
      </c>
      <c r="U194" s="4">
        <v>4.89E-4</v>
      </c>
      <c r="V194" s="4">
        <v>0.0184737819713789</v>
      </c>
      <c r="W194" s="4">
        <v>0.0091920936302032</v>
      </c>
      <c r="X194" s="4">
        <v>-0.0060150147860797</v>
      </c>
      <c r="Y194" s="4">
        <v>-6.311132906069E-4</v>
      </c>
      <c r="Z194" s="4">
        <v>0.008745209575693</v>
      </c>
      <c r="AA194" s="4">
        <v>-0.0014479853026018</v>
      </c>
      <c r="AB194" s="4">
        <v>-0.0113419997266053</v>
      </c>
      <c r="AC194" s="4">
        <v>-0.010256198025201</v>
      </c>
      <c r="AD194" s="4">
        <v>-0.0098037191838182</v>
      </c>
      <c r="AE194" s="4">
        <v>-0.0019867953809324</v>
      </c>
      <c r="AF194" s="4">
        <v>0.0065334284963298</v>
      </c>
      <c r="AG194" s="4">
        <v>-0.0069037073477132</v>
      </c>
      <c r="AH194" s="4">
        <v>-0.0271493318436067</v>
      </c>
      <c r="AI194" s="4">
        <v>-4.428036522325E-4</v>
      </c>
      <c r="AJ194" s="4">
        <v>-0.013988</v>
      </c>
      <c r="AK194" s="4">
        <f>Weights!E250</f>
        <v>-0.008117496921</v>
      </c>
      <c r="AL194" s="5">
        <v>0.0179075493753031</v>
      </c>
      <c r="AM194" s="5">
        <v>0.0180175026840969</v>
      </c>
      <c r="AN194" s="5">
        <v>-0.00692448591523575</v>
      </c>
      <c r="AO194" s="5">
        <v>-0.00578694059931428</v>
      </c>
      <c r="AP194" s="6">
        <f t="shared" si="3"/>
        <v>1.037748071</v>
      </c>
      <c r="AQ194" s="4">
        <f t="shared" si="4"/>
        <v>1.040290803</v>
      </c>
      <c r="AR194" s="5">
        <f t="shared" si="5"/>
        <v>1.039420266</v>
      </c>
      <c r="AS194" s="5">
        <f t="shared" ref="AS194:AU194" si="196">AS193*(1+AM194)</f>
        <v>1.077476578</v>
      </c>
      <c r="AT194" s="5">
        <f t="shared" si="196"/>
        <v>0.9727119555</v>
      </c>
      <c r="AU194" s="5">
        <f t="shared" si="196"/>
        <v>0.9589514482</v>
      </c>
    </row>
    <row r="195" ht="15.75" customHeight="1">
      <c r="A195" s="3">
        <v>44111.0</v>
      </c>
      <c r="B195" s="4">
        <v>0.004449</v>
      </c>
      <c r="C195" s="4">
        <v>0.002523</v>
      </c>
      <c r="D195" s="4">
        <v>0.018237</v>
      </c>
      <c r="E195" s="4">
        <v>0.009654</v>
      </c>
      <c r="F195" s="4">
        <v>0.012669</v>
      </c>
      <c r="G195" s="4">
        <v>0.011076</v>
      </c>
      <c r="H195" s="4">
        <v>0.007807</v>
      </c>
      <c r="I195" s="4">
        <v>0.008633</v>
      </c>
      <c r="J195" s="4">
        <v>0.009154</v>
      </c>
      <c r="K195" s="4">
        <v>0.003574</v>
      </c>
      <c r="L195" s="4">
        <v>0.023654</v>
      </c>
      <c r="M195" s="4">
        <v>0.018056</v>
      </c>
      <c r="N195" s="4">
        <v>0.014611</v>
      </c>
      <c r="O195" s="4">
        <v>0.018193</v>
      </c>
      <c r="P195" s="4">
        <v>0.005755</v>
      </c>
      <c r="Q195" s="4">
        <v>-8.42E-4</v>
      </c>
      <c r="R195" s="4">
        <v>0.073791</v>
      </c>
      <c r="S195" s="4">
        <v>0.009506</v>
      </c>
      <c r="T195" s="4">
        <v>0.03665</v>
      </c>
      <c r="U195" s="4">
        <v>0.013187</v>
      </c>
      <c r="V195" s="4">
        <v>0.0244481834882488</v>
      </c>
      <c r="W195" s="4">
        <v>0.0050364617819145</v>
      </c>
      <c r="X195" s="4">
        <v>-0.0060515145199807</v>
      </c>
      <c r="Y195" s="4">
        <v>-0.005469758247512</v>
      </c>
      <c r="Z195" s="4">
        <v>-0.0052312370762995</v>
      </c>
      <c r="AA195" s="4">
        <v>-0.0085191063031101</v>
      </c>
      <c r="AB195" s="4">
        <v>-0.004971539282867</v>
      </c>
      <c r="AC195" s="4">
        <v>0.0034541592159968</v>
      </c>
      <c r="AD195" s="4">
        <v>-0.0059408848611616</v>
      </c>
      <c r="AE195" s="4">
        <v>0.0096587008262543</v>
      </c>
      <c r="AF195" s="4">
        <v>0.0162272028408778</v>
      </c>
      <c r="AG195" s="4">
        <v>0.0149460401499033</v>
      </c>
      <c r="AH195" s="4">
        <v>0.049612412699985</v>
      </c>
      <c r="AI195" s="4">
        <v>-0.0017716023923378</v>
      </c>
      <c r="AJ195" s="4">
        <v>0.017406</v>
      </c>
      <c r="AK195" s="4">
        <f>Weights!E251</f>
        <v>0.01138092299</v>
      </c>
      <c r="AL195" s="5">
        <v>-0.0119589060723299</v>
      </c>
      <c r="AM195" s="5">
        <v>-0.0123371086901737</v>
      </c>
      <c r="AN195" s="5">
        <v>0.00287116112952312</v>
      </c>
      <c r="AO195" s="5">
        <v>0.00309614980789363</v>
      </c>
      <c r="AP195" s="6">
        <f t="shared" si="3"/>
        <v>1.049558602</v>
      </c>
      <c r="AQ195" s="4">
        <f t="shared" si="4"/>
        <v>1.058398104</v>
      </c>
      <c r="AR195" s="5">
        <f t="shared" si="5"/>
        <v>1.026989937</v>
      </c>
      <c r="AS195" s="5">
        <f t="shared" ref="AS195:AU195" si="197">AS194*(1+AM195)</f>
        <v>1.064183632</v>
      </c>
      <c r="AT195" s="5">
        <f t="shared" si="197"/>
        <v>0.9755047682</v>
      </c>
      <c r="AU195" s="5">
        <f t="shared" si="197"/>
        <v>0.9619205055</v>
      </c>
    </row>
    <row r="196" ht="15.75" customHeight="1">
      <c r="A196" s="3">
        <v>44112.0</v>
      </c>
      <c r="B196" s="4">
        <v>0.017719</v>
      </c>
      <c r="C196" s="4">
        <v>-0.007046</v>
      </c>
      <c r="D196" s="4">
        <v>0.022139</v>
      </c>
      <c r="E196" s="4">
        <v>0.006131</v>
      </c>
      <c r="F196" s="4">
        <v>0.01816</v>
      </c>
      <c r="G196" s="4">
        <v>0.00683</v>
      </c>
      <c r="H196" s="4">
        <v>0.006752</v>
      </c>
      <c r="I196" s="4">
        <v>0.038001</v>
      </c>
      <c r="J196" s="4">
        <v>0.005729</v>
      </c>
      <c r="K196" s="4">
        <v>0.007348</v>
      </c>
      <c r="L196" s="4">
        <v>0.006117</v>
      </c>
      <c r="M196" s="4">
        <v>0.001364</v>
      </c>
      <c r="N196" s="4">
        <v>-0.00118</v>
      </c>
      <c r="O196" s="4">
        <v>0.011716</v>
      </c>
      <c r="P196" s="4">
        <v>0.008991</v>
      </c>
      <c r="Q196" s="4">
        <v>0.035413</v>
      </c>
      <c r="R196" s="4">
        <v>-0.004739</v>
      </c>
      <c r="S196" s="4">
        <v>0.006068</v>
      </c>
      <c r="T196" s="4">
        <v>0.016238</v>
      </c>
      <c r="U196" s="4">
        <v>-0.003471</v>
      </c>
      <c r="V196" s="4">
        <v>0.0392610391164356</v>
      </c>
      <c r="W196" s="4">
        <v>0.0021323865200946</v>
      </c>
      <c r="X196" s="4">
        <v>0.0030443306537797</v>
      </c>
      <c r="Y196" s="4">
        <v>-0.0030321621751611</v>
      </c>
      <c r="Z196" s="4">
        <v>-0.0097515924973797</v>
      </c>
      <c r="AA196" s="4">
        <v>0.0063986214227298</v>
      </c>
      <c r="AB196" s="4">
        <v>-3.843297936434E-4</v>
      </c>
      <c r="AC196" s="4">
        <v>-0.0051637304293971</v>
      </c>
      <c r="AD196" s="4">
        <v>0.0039843758056492</v>
      </c>
      <c r="AE196" s="4">
        <v>0.0075213855791598</v>
      </c>
      <c r="AF196" s="4">
        <v>0.0155688321430336</v>
      </c>
      <c r="AG196" s="4">
        <v>-0.0095889860675385</v>
      </c>
      <c r="AH196" s="4">
        <v>0.0</v>
      </c>
      <c r="AI196" s="4">
        <v>0.0</v>
      </c>
      <c r="AJ196" s="4">
        <v>0.008007</v>
      </c>
      <c r="AK196" s="4">
        <f>Weights!E252</f>
        <v>0.006812316511</v>
      </c>
      <c r="AL196" s="5">
        <v>0.0139040759510957</v>
      </c>
      <c r="AM196" s="5">
        <v>0.0174526706108935</v>
      </c>
      <c r="AN196" s="5">
        <v>0.00163601736483953</v>
      </c>
      <c r="AO196" s="5">
        <v>0.00123442238535664</v>
      </c>
      <c r="AP196" s="6">
        <f t="shared" si="3"/>
        <v>1.056708528</v>
      </c>
      <c r="AQ196" s="4">
        <f t="shared" si="4"/>
        <v>1.066872698</v>
      </c>
      <c r="AR196" s="5">
        <f t="shared" si="5"/>
        <v>1.041269283</v>
      </c>
      <c r="AS196" s="5">
        <f t="shared" ref="AS196:AU196" si="198">AS195*(1+AM196)</f>
        <v>1.082756479</v>
      </c>
      <c r="AT196" s="5">
        <f t="shared" si="198"/>
        <v>0.977100711</v>
      </c>
      <c r="AU196" s="5">
        <f t="shared" si="198"/>
        <v>0.9631079217</v>
      </c>
    </row>
    <row r="197" ht="15.75" customHeight="1">
      <c r="A197" s="3">
        <v>44113.0</v>
      </c>
      <c r="B197" s="4">
        <v>-5.44E-4</v>
      </c>
      <c r="C197" s="4">
        <v>0.002365</v>
      </c>
      <c r="D197" s="4">
        <v>-0.00219</v>
      </c>
      <c r="E197" s="4">
        <v>0.00428</v>
      </c>
      <c r="F197" s="4">
        <v>0.006936</v>
      </c>
      <c r="G197" s="4">
        <v>0.01397</v>
      </c>
      <c r="H197" s="4">
        <v>0.008966</v>
      </c>
      <c r="I197" s="4">
        <v>-0.016161</v>
      </c>
      <c r="J197" s="4">
        <v>-0.00807</v>
      </c>
      <c r="K197" s="4">
        <v>-0.012845</v>
      </c>
      <c r="L197" s="4">
        <v>0.001891</v>
      </c>
      <c r="M197" s="4">
        <v>6.81E-4</v>
      </c>
      <c r="N197" s="4">
        <v>7.09E-4</v>
      </c>
      <c r="O197" s="4">
        <v>0.019803</v>
      </c>
      <c r="P197" s="4">
        <v>0.017822</v>
      </c>
      <c r="Q197" s="4">
        <v>0.072476</v>
      </c>
      <c r="R197" s="4">
        <v>0.025595</v>
      </c>
      <c r="S197" s="4">
        <v>0.061356</v>
      </c>
      <c r="T197" s="4">
        <v>-0.011731</v>
      </c>
      <c r="U197" s="4">
        <v>0.00387</v>
      </c>
      <c r="V197" s="4">
        <v>0.01037032044725</v>
      </c>
      <c r="W197" s="4">
        <v>-0.0052132466925197</v>
      </c>
      <c r="X197" s="4">
        <v>0.0</v>
      </c>
      <c r="Y197" s="4">
        <v>0.0038899783286083</v>
      </c>
      <c r="Z197" s="4">
        <v>0.0078532369655466</v>
      </c>
      <c r="AA197" s="4">
        <v>0.0036329821403529</v>
      </c>
      <c r="AB197" s="4">
        <v>0.0230680117237689</v>
      </c>
      <c r="AC197" s="4">
        <v>0.0</v>
      </c>
      <c r="AD197" s="4">
        <v>0.0</v>
      </c>
      <c r="AE197" s="4">
        <v>-0.0098571437375916</v>
      </c>
      <c r="AF197" s="4">
        <v>0.0062891632303563</v>
      </c>
      <c r="AG197" s="4">
        <v>-1.72872099028E-4</v>
      </c>
      <c r="AH197" s="4">
        <v>0.0280649840313254</v>
      </c>
      <c r="AI197" s="4">
        <v>-0.0013306623344934</v>
      </c>
      <c r="AJ197" s="4">
        <v>0.008791</v>
      </c>
      <c r="AK197" s="4">
        <f>Weights!E253</f>
        <v>0.005874801686</v>
      </c>
      <c r="AL197" s="5">
        <v>0.00739941512288155</v>
      </c>
      <c r="AM197" s="5">
        <v>0.00877773120216729</v>
      </c>
      <c r="AN197" s="5">
        <v>0.013474830530193</v>
      </c>
      <c r="AO197" s="5">
        <v>0.0132550215707272</v>
      </c>
      <c r="AP197" s="6">
        <f t="shared" si="3"/>
        <v>1.062916481</v>
      </c>
      <c r="AQ197" s="4">
        <f t="shared" si="4"/>
        <v>1.076251576</v>
      </c>
      <c r="AR197" s="5">
        <f t="shared" si="5"/>
        <v>1.048974066</v>
      </c>
      <c r="AS197" s="5">
        <f t="shared" ref="AS197:AU197" si="199">AS196*(1+AM197)</f>
        <v>1.092260624</v>
      </c>
      <c r="AT197" s="5">
        <f t="shared" si="199"/>
        <v>0.9902669775</v>
      </c>
      <c r="AU197" s="5">
        <f t="shared" si="199"/>
        <v>0.975873938</v>
      </c>
    </row>
    <row r="198" ht="15.75" customHeight="1">
      <c r="A198" s="3">
        <v>44116.0</v>
      </c>
      <c r="B198" s="4">
        <v>0.005444</v>
      </c>
      <c r="C198" s="4">
        <v>0.003708</v>
      </c>
      <c r="D198" s="4">
        <v>0.007317</v>
      </c>
      <c r="E198" s="4">
        <v>0.026654</v>
      </c>
      <c r="F198" s="4">
        <v>0.005511</v>
      </c>
      <c r="G198" s="4">
        <v>0.005763</v>
      </c>
      <c r="H198" s="4">
        <v>0.010985</v>
      </c>
      <c r="I198" s="4">
        <v>-0.005028</v>
      </c>
      <c r="J198" s="4">
        <v>-0.001196</v>
      </c>
      <c r="K198" s="4">
        <v>0.001067</v>
      </c>
      <c r="L198" s="4">
        <v>0.006877</v>
      </c>
      <c r="M198" s="4">
        <v>0.004084</v>
      </c>
      <c r="N198" s="4">
        <v>0.007558</v>
      </c>
      <c r="O198" s="4">
        <v>0.007438</v>
      </c>
      <c r="P198" s="4">
        <v>0.001751</v>
      </c>
      <c r="Q198" s="4">
        <v>-0.019742</v>
      </c>
      <c r="R198" s="4">
        <v>-0.024376</v>
      </c>
      <c r="S198" s="4">
        <v>-0.006075</v>
      </c>
      <c r="T198" s="4">
        <v>0.008596</v>
      </c>
      <c r="U198" s="4">
        <v>0.006168</v>
      </c>
      <c r="V198" s="4">
        <v>0.0219940941443879</v>
      </c>
      <c r="W198" s="4">
        <v>0.0048128984179545</v>
      </c>
      <c r="X198" s="4">
        <v>0.0107690869046703</v>
      </c>
      <c r="Y198" s="4">
        <v>0.0113434152751896</v>
      </c>
      <c r="Z198" s="4">
        <v>0.0023501224152089</v>
      </c>
      <c r="AA198" s="4">
        <v>0.0092307194474177</v>
      </c>
      <c r="AB198" s="4">
        <v>0.0180385346573237</v>
      </c>
      <c r="AC198" s="4">
        <v>0.0070176487666084</v>
      </c>
      <c r="AD198" s="4">
        <v>0.0199206044729247</v>
      </c>
      <c r="AE198" s="4">
        <v>0.0013175951437249</v>
      </c>
      <c r="AF198" s="4">
        <v>0.158984491300929</v>
      </c>
      <c r="AG198" s="4">
        <v>0.0193671498527712</v>
      </c>
      <c r="AH198" s="4">
        <v>0.0948276526508395</v>
      </c>
      <c r="AI198" s="4">
        <v>-0.0022214886153311</v>
      </c>
      <c r="AJ198" s="4">
        <v>0.016419</v>
      </c>
      <c r="AK198" s="4">
        <f>Weights!E254</f>
        <v>0.01418358531</v>
      </c>
      <c r="AL198" s="5">
        <v>0.00773672145322823</v>
      </c>
      <c r="AM198" s="5">
        <v>0.00841660678838085</v>
      </c>
      <c r="AN198" s="5">
        <v>-0.0108784062313499</v>
      </c>
      <c r="AO198" s="5">
        <v>-0.00973497140784107</v>
      </c>
      <c r="AP198" s="6">
        <f t="shared" si="3"/>
        <v>1.077992447</v>
      </c>
      <c r="AQ198" s="4">
        <f t="shared" si="4"/>
        <v>1.09392255</v>
      </c>
      <c r="AR198" s="5">
        <f t="shared" si="5"/>
        <v>1.057089687</v>
      </c>
      <c r="AS198" s="5">
        <f t="shared" ref="AS198:AU198" si="200">AS197*(1+AM198)</f>
        <v>1.101453752</v>
      </c>
      <c r="AT198" s="5">
        <f t="shared" si="200"/>
        <v>0.979494451</v>
      </c>
      <c r="AU198" s="5">
        <f t="shared" si="200"/>
        <v>0.9663738331</v>
      </c>
    </row>
    <row r="199" ht="15.75" customHeight="1">
      <c r="A199" s="3">
        <v>44117.0</v>
      </c>
      <c r="B199" s="4">
        <v>-0.005956</v>
      </c>
      <c r="C199" s="4">
        <v>-0.003191</v>
      </c>
      <c r="D199" s="4">
        <v>-0.003148</v>
      </c>
      <c r="E199" s="4">
        <v>0.00992</v>
      </c>
      <c r="F199" s="4">
        <v>-0.017029</v>
      </c>
      <c r="G199" s="4">
        <v>-0.022919</v>
      </c>
      <c r="H199" s="4">
        <v>-0.001938</v>
      </c>
      <c r="I199" s="4">
        <v>-0.002358</v>
      </c>
      <c r="J199" s="4">
        <v>-0.005271</v>
      </c>
      <c r="K199" s="4">
        <v>-0.019817</v>
      </c>
      <c r="L199" s="4">
        <v>-0.008571</v>
      </c>
      <c r="M199" s="4">
        <v>-0.025763</v>
      </c>
      <c r="N199" s="4">
        <v>-0.02391</v>
      </c>
      <c r="O199" s="4">
        <v>0.001296</v>
      </c>
      <c r="P199" s="4">
        <v>-0.002701</v>
      </c>
      <c r="Q199" s="4">
        <v>-0.017816</v>
      </c>
      <c r="R199" s="4">
        <v>5.95E-4</v>
      </c>
      <c r="S199" s="4">
        <v>-0.003155</v>
      </c>
      <c r="T199" s="4">
        <v>-0.012378</v>
      </c>
      <c r="U199" s="4">
        <v>0.004981</v>
      </c>
      <c r="V199" s="4">
        <v>-0.0236729724587027</v>
      </c>
      <c r="W199" s="4">
        <v>-0.0084086958079714</v>
      </c>
      <c r="X199" s="4">
        <v>0.0167427075999286</v>
      </c>
      <c r="Y199" s="4">
        <v>-0.0025075904532391</v>
      </c>
      <c r="Z199" s="4">
        <v>-0.0100198519715452</v>
      </c>
      <c r="AA199" s="4">
        <v>-5.381043392678E-4</v>
      </c>
      <c r="AB199" s="4">
        <v>0.022148177116394</v>
      </c>
      <c r="AC199" s="4">
        <v>0.0139373237251998</v>
      </c>
      <c r="AD199" s="4">
        <v>0.0156249698235191</v>
      </c>
      <c r="AE199" s="4">
        <v>-0.0049712791345181</v>
      </c>
      <c r="AF199" s="4">
        <v>0.0138186526616048</v>
      </c>
      <c r="AG199" s="4">
        <v>-0.0122139138546898</v>
      </c>
      <c r="AH199" s="4">
        <v>-0.0262467715129544</v>
      </c>
      <c r="AI199" s="4">
        <v>0.0026717015881387</v>
      </c>
      <c r="AJ199" s="4">
        <v>-0.006307</v>
      </c>
      <c r="AK199" s="4">
        <f>Weights!E255</f>
        <v>-0.005677824539</v>
      </c>
      <c r="AL199" s="5">
        <v>0.0126336298319063</v>
      </c>
      <c r="AM199" s="5">
        <v>0.0148317616255742</v>
      </c>
      <c r="AN199" s="5">
        <v>0.0134419888918537</v>
      </c>
      <c r="AO199" s="5">
        <v>0.0110597407973318</v>
      </c>
      <c r="AP199" s="6">
        <f t="shared" si="3"/>
        <v>1.071871795</v>
      </c>
      <c r="AQ199" s="4">
        <f t="shared" si="4"/>
        <v>1.087023181</v>
      </c>
      <c r="AR199" s="5">
        <f t="shared" si="5"/>
        <v>1.070444566</v>
      </c>
      <c r="AS199" s="5">
        <f t="shared" ref="AS199:AU199" si="201">AS198*(1+AM199)</f>
        <v>1.117790252</v>
      </c>
      <c r="AT199" s="5">
        <f t="shared" si="201"/>
        <v>0.9926608045</v>
      </c>
      <c r="AU199" s="5">
        <f t="shared" si="201"/>
        <v>0.9770616772</v>
      </c>
    </row>
    <row r="200" ht="15.75" customHeight="1">
      <c r="A200" s="3">
        <v>44118.0</v>
      </c>
      <c r="B200" s="4">
        <v>-0.007081</v>
      </c>
      <c r="C200" s="4">
        <v>-0.015667</v>
      </c>
      <c r="D200" s="4">
        <v>-0.011173</v>
      </c>
      <c r="E200" s="4">
        <v>-0.007106</v>
      </c>
      <c r="F200" s="4">
        <v>-0.001991</v>
      </c>
      <c r="G200" s="4">
        <v>-0.001752</v>
      </c>
      <c r="H200" s="4">
        <v>-0.001179</v>
      </c>
      <c r="I200" s="4">
        <v>-0.005741</v>
      </c>
      <c r="J200" s="4">
        <v>-0.010356</v>
      </c>
      <c r="K200" s="4">
        <v>-0.007826</v>
      </c>
      <c r="L200" s="4">
        <v>-0.002837</v>
      </c>
      <c r="M200" s="4">
        <v>-0.012526</v>
      </c>
      <c r="N200" s="4">
        <v>-0.002161</v>
      </c>
      <c r="O200" s="4">
        <v>8.44E-4</v>
      </c>
      <c r="P200" s="4">
        <v>0.019758</v>
      </c>
      <c r="Q200" s="4">
        <v>0.026025</v>
      </c>
      <c r="R200" s="4">
        <v>0.007134</v>
      </c>
      <c r="S200" s="4">
        <v>0.00534</v>
      </c>
      <c r="T200" s="4">
        <v>0.014588</v>
      </c>
      <c r="U200" s="4">
        <v>-0.00143</v>
      </c>
      <c r="V200" s="4">
        <v>-7.34737616364555E-4</v>
      </c>
      <c r="W200" s="4">
        <v>0.0197509506485722</v>
      </c>
      <c r="X200" s="4">
        <v>0.0</v>
      </c>
      <c r="Y200" s="4">
        <v>0.0173905668258207</v>
      </c>
      <c r="Z200" s="4">
        <v>0.0244554182373983</v>
      </c>
      <c r="AA200" s="4">
        <v>0.0010767009276835</v>
      </c>
      <c r="AB200" s="4">
        <v>0.0</v>
      </c>
      <c r="AC200" s="4">
        <v>0.0034364362074161</v>
      </c>
      <c r="AD200" s="4">
        <v>-0.0019231711417616</v>
      </c>
      <c r="AE200" s="4">
        <v>-0.0049223819173249</v>
      </c>
      <c r="AF200" s="4">
        <v>0.0345745667946193</v>
      </c>
      <c r="AG200" s="4">
        <v>0.0204361890139819</v>
      </c>
      <c r="AH200" s="4">
        <v>0.0579515409407604</v>
      </c>
      <c r="AI200" s="4">
        <v>-0.0026645826185252</v>
      </c>
      <c r="AJ200" s="4">
        <v>-0.006623</v>
      </c>
      <c r="AK200" s="4">
        <f>Weights!E256</f>
        <v>0.005159660263</v>
      </c>
      <c r="AL200" s="5">
        <v>-0.00604594902382704</v>
      </c>
      <c r="AM200" s="5">
        <v>-0.00527918708163377</v>
      </c>
      <c r="AN200" s="5">
        <v>0.0064307937359429</v>
      </c>
      <c r="AO200" s="5">
        <v>0.00759657297956706</v>
      </c>
      <c r="AP200" s="6">
        <f t="shared" si="3"/>
        <v>1.077402289</v>
      </c>
      <c r="AQ200" s="4">
        <f t="shared" si="4"/>
        <v>1.079823826</v>
      </c>
      <c r="AR200" s="5">
        <f t="shared" si="5"/>
        <v>1.063972713</v>
      </c>
      <c r="AS200" s="5">
        <f t="shared" ref="AS200:AU200" si="202">AS199*(1+AM200)</f>
        <v>1.111889228</v>
      </c>
      <c r="AT200" s="5">
        <f t="shared" si="202"/>
        <v>0.9990444014</v>
      </c>
      <c r="AU200" s="5">
        <f t="shared" si="202"/>
        <v>0.9844839976</v>
      </c>
    </row>
    <row r="201" ht="15.75" customHeight="1">
      <c r="A201" s="3">
        <v>44119.0</v>
      </c>
      <c r="B201" s="4">
        <v>0.003291</v>
      </c>
      <c r="C201" s="4">
        <v>-0.004621</v>
      </c>
      <c r="D201" s="4">
        <v>0.00565</v>
      </c>
      <c r="E201" s="4">
        <v>-0.007648</v>
      </c>
      <c r="F201" s="4">
        <v>-0.002594</v>
      </c>
      <c r="G201" s="4">
        <v>-0.006145</v>
      </c>
      <c r="H201" s="4">
        <v>-0.001458</v>
      </c>
      <c r="I201" s="4">
        <v>-0.005774</v>
      </c>
      <c r="J201" s="4">
        <v>0.00219</v>
      </c>
      <c r="K201" s="4">
        <v>0.004601</v>
      </c>
      <c r="L201" s="4">
        <v>-0.004741</v>
      </c>
      <c r="M201" s="4">
        <v>-0.002114</v>
      </c>
      <c r="N201" s="4">
        <v>-0.004813</v>
      </c>
      <c r="O201" s="4">
        <v>0.010067</v>
      </c>
      <c r="P201" s="4">
        <v>-0.015625</v>
      </c>
      <c r="Q201" s="4">
        <v>-0.020753</v>
      </c>
      <c r="R201" s="4">
        <v>0.015939</v>
      </c>
      <c r="S201" s="4">
        <v>-0.007279</v>
      </c>
      <c r="T201" s="4">
        <v>-0.00243</v>
      </c>
      <c r="U201" s="4">
        <v>-0.005631</v>
      </c>
      <c r="V201" s="4">
        <v>-0.028676465695516</v>
      </c>
      <c r="W201" s="4">
        <v>-0.0085263770867559</v>
      </c>
      <c r="X201" s="4">
        <v>-0.005987803270494</v>
      </c>
      <c r="Y201" s="4">
        <v>-0.0087870411556023</v>
      </c>
      <c r="Z201" s="4">
        <v>-0.0045992520197136</v>
      </c>
      <c r="AA201" s="4">
        <v>0.0089622478437112</v>
      </c>
      <c r="AB201" s="4">
        <v>0.0054172599353681</v>
      </c>
      <c r="AC201" s="4">
        <v>0.0051370419768275</v>
      </c>
      <c r="AD201" s="4">
        <v>0.0019268768557243</v>
      </c>
      <c r="AE201" s="4">
        <v>0.0025841655912228</v>
      </c>
      <c r="AF201" s="4">
        <v>0.0221722056033668</v>
      </c>
      <c r="AG201" s="4">
        <v>0.0176710597682234</v>
      </c>
      <c r="AH201" s="4">
        <v>-0.0254777577872327</v>
      </c>
      <c r="AI201" s="4">
        <v>4.448679889152E-4</v>
      </c>
      <c r="AJ201" s="4">
        <v>-0.001528</v>
      </c>
      <c r="AK201" s="4">
        <f>Weights!E257</f>
        <v>-0.002172798884</v>
      </c>
      <c r="AL201" s="5">
        <v>-0.00617941672496924</v>
      </c>
      <c r="AM201" s="5">
        <v>-0.00664807393701338</v>
      </c>
      <c r="AN201" s="5">
        <v>-3.99193075890647E-4</v>
      </c>
      <c r="AO201" s="5">
        <v>0.00120626177297911</v>
      </c>
      <c r="AP201" s="6">
        <f t="shared" si="3"/>
        <v>1.075061311</v>
      </c>
      <c r="AQ201" s="4">
        <f t="shared" si="4"/>
        <v>1.078173856</v>
      </c>
      <c r="AR201" s="5">
        <f t="shared" si="5"/>
        <v>1.057397982</v>
      </c>
      <c r="AS201" s="5">
        <f t="shared" ref="AS201:AU201" si="203">AS200*(1+AM201)</f>
        <v>1.104497306</v>
      </c>
      <c r="AT201" s="5">
        <f t="shared" si="203"/>
        <v>0.9986455898</v>
      </c>
      <c r="AU201" s="5">
        <f t="shared" si="203"/>
        <v>0.985671543</v>
      </c>
    </row>
    <row r="202" ht="15.75" customHeight="1">
      <c r="A202" s="3">
        <v>44120.0</v>
      </c>
      <c r="B202" s="4">
        <v>-0.004921</v>
      </c>
      <c r="C202" s="4">
        <v>-0.001891</v>
      </c>
      <c r="D202" s="4">
        <v>-0.007816</v>
      </c>
      <c r="E202" s="4">
        <v>0.002121</v>
      </c>
      <c r="F202" s="4">
        <v>8.0E-4</v>
      </c>
      <c r="G202" s="4">
        <v>0.006183</v>
      </c>
      <c r="H202" s="4">
        <v>0.003893</v>
      </c>
      <c r="I202" s="4">
        <v>0.00615</v>
      </c>
      <c r="J202" s="4">
        <v>0.0051</v>
      </c>
      <c r="K202" s="4">
        <v>-0.001309</v>
      </c>
      <c r="L202" s="4">
        <v>0.00313</v>
      </c>
      <c r="M202" s="4">
        <v>0.004943</v>
      </c>
      <c r="N202" s="4">
        <v>0.001209</v>
      </c>
      <c r="O202" s="4">
        <v>0.006626</v>
      </c>
      <c r="P202" s="4">
        <v>-0.005238</v>
      </c>
      <c r="Q202" s="4">
        <v>-0.025903</v>
      </c>
      <c r="R202" s="4">
        <v>-0.003486</v>
      </c>
      <c r="S202" s="4">
        <v>-0.011891</v>
      </c>
      <c r="T202" s="4">
        <v>0.001421</v>
      </c>
      <c r="U202" s="4">
        <v>-3.84E-4</v>
      </c>
      <c r="V202" s="4">
        <v>0.00908410398909254</v>
      </c>
      <c r="W202" s="4">
        <v>0.0353539945489329</v>
      </c>
      <c r="X202" s="4">
        <v>0.0</v>
      </c>
      <c r="Y202" s="4">
        <v>2.769680979757E-4</v>
      </c>
      <c r="Z202" s="4">
        <v>0.0074560698611865</v>
      </c>
      <c r="AA202" s="4">
        <v>-0.0044411470979692</v>
      </c>
      <c r="AB202" s="4">
        <v>-0.002514176294576</v>
      </c>
      <c r="AC202" s="4">
        <v>0.0</v>
      </c>
      <c r="AD202" s="4">
        <v>0.0</v>
      </c>
      <c r="AE202" s="4">
        <v>-0.0049341360140209</v>
      </c>
      <c r="AF202" s="4">
        <v>0.0242062137143328</v>
      </c>
      <c r="AG202" s="4">
        <v>-0.0176948498585886</v>
      </c>
      <c r="AH202" s="4">
        <v>0.0130718832029432</v>
      </c>
      <c r="AI202" s="4">
        <v>-0.0022250457780962</v>
      </c>
      <c r="AJ202" s="4">
        <v>1.35E-4</v>
      </c>
      <c r="AK202" s="4">
        <f>Weights!E258</f>
        <v>0.0009913648228</v>
      </c>
      <c r="AL202" s="5">
        <v>-0.00417763071467414</v>
      </c>
      <c r="AM202" s="5">
        <v>3.37414914105771E-4</v>
      </c>
      <c r="AN202" s="5">
        <v>-0.00399526808257544</v>
      </c>
      <c r="AO202" s="5">
        <v>-0.00271085180325059</v>
      </c>
      <c r="AP202" s="6">
        <f t="shared" si="3"/>
        <v>1.076127089</v>
      </c>
      <c r="AQ202" s="4">
        <f t="shared" si="4"/>
        <v>1.078319409</v>
      </c>
      <c r="AR202" s="5">
        <f t="shared" si="5"/>
        <v>1.052980564</v>
      </c>
      <c r="AS202" s="5">
        <f t="shared" ref="AS202:AU202" si="204">AS201*(1+AM202)</f>
        <v>1.10486998</v>
      </c>
      <c r="AT202" s="5">
        <f t="shared" si="204"/>
        <v>0.994655733</v>
      </c>
      <c r="AU202" s="5">
        <f t="shared" si="204"/>
        <v>0.9829995335</v>
      </c>
    </row>
    <row r="203" ht="15.75" customHeight="1">
      <c r="A203" s="3">
        <v>44123.0</v>
      </c>
      <c r="B203" s="4">
        <v>-0.014286</v>
      </c>
      <c r="C203" s="4">
        <v>-0.01292</v>
      </c>
      <c r="D203" s="4">
        <v>-0.015263</v>
      </c>
      <c r="E203" s="4">
        <v>-0.014464</v>
      </c>
      <c r="F203" s="4">
        <v>-0.008195</v>
      </c>
      <c r="G203" s="4">
        <v>-0.025523</v>
      </c>
      <c r="H203" s="4">
        <v>-0.017176</v>
      </c>
      <c r="I203" s="4">
        <v>-0.013243</v>
      </c>
      <c r="J203" s="4">
        <v>-0.012563</v>
      </c>
      <c r="K203" s="4">
        <v>-0.01485</v>
      </c>
      <c r="L203" s="4">
        <v>-0.009905</v>
      </c>
      <c r="M203" s="4">
        <v>-0.014757</v>
      </c>
      <c r="N203" s="4">
        <v>-0.003865</v>
      </c>
      <c r="O203" s="4">
        <v>-0.007633</v>
      </c>
      <c r="P203" s="4">
        <v>-0.015318</v>
      </c>
      <c r="Q203" s="4">
        <v>-0.023368</v>
      </c>
      <c r="R203" s="4">
        <v>-5.83E-4</v>
      </c>
      <c r="S203" s="4">
        <v>-0.027276</v>
      </c>
      <c r="T203" s="4">
        <v>-0.007298</v>
      </c>
      <c r="U203" s="4">
        <v>-0.01738</v>
      </c>
      <c r="V203" s="4">
        <v>0.00450111709133693</v>
      </c>
      <c r="W203" s="4">
        <v>-0.0104593692376628</v>
      </c>
      <c r="X203" s="4">
        <v>0.0089418441915789</v>
      </c>
      <c r="Y203" s="4">
        <v>0.0</v>
      </c>
      <c r="Z203" s="4">
        <v>0.0</v>
      </c>
      <c r="AA203" s="4">
        <v>0.0</v>
      </c>
      <c r="AB203" s="4">
        <v>0.0</v>
      </c>
      <c r="AC203" s="4">
        <v>-0.0016948802066071</v>
      </c>
      <c r="AD203" s="4">
        <v>0.009487798815664</v>
      </c>
      <c r="AE203" s="4">
        <v>0.0</v>
      </c>
      <c r="AF203" s="4">
        <v>0.0190300725308987</v>
      </c>
      <c r="AG203" s="4">
        <v>0.0053873644625794</v>
      </c>
      <c r="AH203" s="4">
        <v>0.0025806889251183</v>
      </c>
      <c r="AI203" s="4">
        <v>0.0</v>
      </c>
      <c r="AJ203" s="4">
        <v>-0.01633</v>
      </c>
      <c r="AK203" s="4">
        <f>Weights!E259</f>
        <v>-0.005631664278</v>
      </c>
      <c r="AL203" s="5">
        <v>0.00117073577901427</v>
      </c>
      <c r="AM203" s="5">
        <v>-0.00179893921964235</v>
      </c>
      <c r="AN203" s="5">
        <v>-0.00361016485071885</v>
      </c>
      <c r="AO203" s="5">
        <v>-0.00392650105281755</v>
      </c>
      <c r="AP203" s="6">
        <f t="shared" si="3"/>
        <v>1.070066702</v>
      </c>
      <c r="AQ203" s="4">
        <f t="shared" si="4"/>
        <v>1.060710453</v>
      </c>
      <c r="AR203" s="5">
        <f t="shared" si="5"/>
        <v>1.054213326</v>
      </c>
      <c r="AS203" s="5">
        <f t="shared" ref="AS203:AU203" si="205">AS202*(1+AM203)</f>
        <v>1.102882386</v>
      </c>
      <c r="AT203" s="5">
        <f t="shared" si="205"/>
        <v>0.9910648618</v>
      </c>
      <c r="AU203" s="5">
        <f t="shared" si="205"/>
        <v>0.9791397848</v>
      </c>
    </row>
    <row r="204" ht="15.75" customHeight="1">
      <c r="A204" s="3">
        <v>44124.0</v>
      </c>
      <c r="B204" s="4">
        <v>0.002787</v>
      </c>
      <c r="C204" s="4">
        <v>-8.73E-4</v>
      </c>
      <c r="D204" s="4">
        <v>-0.0025</v>
      </c>
      <c r="E204" s="4">
        <v>2.15E-4</v>
      </c>
      <c r="F204" s="4">
        <v>0.012697</v>
      </c>
      <c r="G204" s="4">
        <v>0.001594</v>
      </c>
      <c r="H204" s="4">
        <v>0.004017</v>
      </c>
      <c r="I204" s="4">
        <v>3.44E-4</v>
      </c>
      <c r="J204" s="4">
        <v>-7.34E-4</v>
      </c>
      <c r="K204" s="4">
        <v>2.22E-4</v>
      </c>
      <c r="L204" s="4">
        <v>0.001096</v>
      </c>
      <c r="M204" s="4">
        <v>0.002853</v>
      </c>
      <c r="N204" s="4">
        <v>0.001697</v>
      </c>
      <c r="O204" s="4">
        <v>1.11E-4</v>
      </c>
      <c r="P204" s="4">
        <v>-0.008427</v>
      </c>
      <c r="Q204" s="4">
        <v>0.016502</v>
      </c>
      <c r="R204" s="4">
        <v>0.027421</v>
      </c>
      <c r="S204" s="4">
        <v>0.006392</v>
      </c>
      <c r="T204" s="4">
        <v>-0.009394</v>
      </c>
      <c r="U204" s="4">
        <v>0.003029</v>
      </c>
      <c r="V204" s="4">
        <v>-0.011949133301051</v>
      </c>
      <c r="W204" s="4">
        <v>0.0058030717988091</v>
      </c>
      <c r="X204" s="4">
        <v>0.004431298118448</v>
      </c>
      <c r="Y204" s="4">
        <v>0.0082395926148777</v>
      </c>
      <c r="Z204" s="4">
        <v>0.0114047494875384</v>
      </c>
      <c r="AA204" s="4">
        <v>-0.0039260634016716</v>
      </c>
      <c r="AB204" s="4">
        <v>-0.0151243681110582</v>
      </c>
      <c r="AC204" s="4">
        <v>0.0135824646009661</v>
      </c>
      <c r="AD204" s="4">
        <v>0.0</v>
      </c>
      <c r="AE204" s="4">
        <v>0.013913579087273</v>
      </c>
      <c r="AF204" s="4">
        <v>-0.0457830346574671</v>
      </c>
      <c r="AG204" s="4">
        <v>-0.0100470518081891</v>
      </c>
      <c r="AH204" s="4">
        <v>-0.0643500788630042</v>
      </c>
      <c r="AI204" s="4">
        <v>0.0040147532037937</v>
      </c>
      <c r="AJ204" s="4">
        <v>0.004727</v>
      </c>
      <c r="AK204" s="4">
        <f>Weights!E260</f>
        <v>-0.002875898202</v>
      </c>
      <c r="AL204" s="5">
        <v>-0.0119860292495816</v>
      </c>
      <c r="AM204" s="5">
        <v>-0.0143059151237998</v>
      </c>
      <c r="AN204" s="5">
        <v>0.00362324536377678</v>
      </c>
      <c r="AO204" s="5">
        <v>0.00303211408323456</v>
      </c>
      <c r="AP204" s="6">
        <f t="shared" si="3"/>
        <v>1.0669893</v>
      </c>
      <c r="AQ204" s="4">
        <f t="shared" si="4"/>
        <v>1.065724431</v>
      </c>
      <c r="AR204" s="5">
        <f t="shared" si="5"/>
        <v>1.041577494</v>
      </c>
      <c r="AS204" s="5">
        <f t="shared" ref="AS204:AU204" si="206">AS203*(1+AM204)</f>
        <v>1.087104644</v>
      </c>
      <c r="AT204" s="5">
        <f t="shared" si="206"/>
        <v>0.994655733</v>
      </c>
      <c r="AU204" s="5">
        <f t="shared" si="206"/>
        <v>0.9821086483</v>
      </c>
    </row>
    <row r="205" ht="15.75" customHeight="1">
      <c r="A205" s="3">
        <v>44125.0</v>
      </c>
      <c r="B205" s="4">
        <v>-0.008338</v>
      </c>
      <c r="C205" s="4">
        <v>-0.008734</v>
      </c>
      <c r="D205" s="4">
        <v>-0.002506</v>
      </c>
      <c r="E205" s="4">
        <v>-7.87E-4</v>
      </c>
      <c r="F205" s="4">
        <v>-0.005174</v>
      </c>
      <c r="G205" s="4">
        <v>-0.004289</v>
      </c>
      <c r="H205" s="4">
        <v>0.005404</v>
      </c>
      <c r="I205" s="4">
        <v>-0.005504</v>
      </c>
      <c r="J205" s="4">
        <v>0.006121</v>
      </c>
      <c r="K205" s="4">
        <v>-0.002216</v>
      </c>
      <c r="L205" s="4">
        <v>0.007118</v>
      </c>
      <c r="M205" s="4">
        <v>0.002845</v>
      </c>
      <c r="N205" s="4">
        <v>0.007504</v>
      </c>
      <c r="O205" s="4">
        <v>-0.001672</v>
      </c>
      <c r="P205" s="4">
        <v>0.004739</v>
      </c>
      <c r="Q205" s="4">
        <v>0.001623</v>
      </c>
      <c r="R205" s="4">
        <v>0.006246</v>
      </c>
      <c r="S205" s="4">
        <v>0.013932</v>
      </c>
      <c r="T205" s="4">
        <v>-0.001443</v>
      </c>
      <c r="U205" s="4">
        <v>-0.002923</v>
      </c>
      <c r="V205" s="4">
        <v>-0.0340138645117231</v>
      </c>
      <c r="W205" s="4">
        <v>0.0049454355801854</v>
      </c>
      <c r="X205" s="4">
        <v>-0.007352718743578</v>
      </c>
      <c r="Y205" s="4">
        <v>0.0044635140965914</v>
      </c>
      <c r="Z205" s="4">
        <v>0.0153070111319419</v>
      </c>
      <c r="AA205" s="4">
        <v>-0.0034035769673943</v>
      </c>
      <c r="AB205" s="4">
        <v>0.0058500690251641</v>
      </c>
      <c r="AC205" s="4">
        <v>0.0100502009093939</v>
      </c>
      <c r="AD205" s="4">
        <v>-0.007519054298875</v>
      </c>
      <c r="AE205" s="4">
        <v>-0.0010217428001959</v>
      </c>
      <c r="AF205" s="4">
        <v>0.0126262018711744</v>
      </c>
      <c r="AG205" s="4">
        <v>-0.0103180744944587</v>
      </c>
      <c r="AH205" s="4">
        <v>-0.0068775725512328</v>
      </c>
      <c r="AI205" s="4">
        <v>4.442778181461E-4</v>
      </c>
      <c r="AJ205" s="4">
        <v>-0.002196</v>
      </c>
      <c r="AK205" s="4">
        <f>Weights!E261</f>
        <v>-0.0006652913962</v>
      </c>
      <c r="AL205" s="5">
        <v>0.00453699303859478</v>
      </c>
      <c r="AM205" s="5">
        <v>0.00348559388132851</v>
      </c>
      <c r="AN205" s="5">
        <v>-0.00441233620001446</v>
      </c>
      <c r="AO205" s="5">
        <v>-0.00423206164275113</v>
      </c>
      <c r="AP205" s="6">
        <f t="shared" si="3"/>
        <v>1.066279441</v>
      </c>
      <c r="AQ205" s="4">
        <f t="shared" si="4"/>
        <v>1.063384101</v>
      </c>
      <c r="AR205" s="5">
        <f t="shared" si="5"/>
        <v>1.046303124</v>
      </c>
      <c r="AS205" s="5">
        <f t="shared" ref="AS205:AU205" si="207">AS204*(1+AM205)</f>
        <v>1.090893849</v>
      </c>
      <c r="AT205" s="5">
        <f t="shared" si="207"/>
        <v>0.9902669775</v>
      </c>
      <c r="AU205" s="5">
        <f t="shared" si="207"/>
        <v>0.977952304</v>
      </c>
    </row>
    <row r="206" ht="15.75" customHeight="1">
      <c r="A206" s="3">
        <v>44126.0</v>
      </c>
      <c r="B206" s="4">
        <v>0.025224</v>
      </c>
      <c r="C206" s="4">
        <v>0.01022</v>
      </c>
      <c r="D206" s="4">
        <v>0.113568</v>
      </c>
      <c r="E206" s="4">
        <v>7.2E-5</v>
      </c>
      <c r="F206" s="4">
        <v>0.013803</v>
      </c>
      <c r="G206" s="4">
        <v>0.00799</v>
      </c>
      <c r="H206" s="4">
        <v>-0.007046</v>
      </c>
      <c r="I206" s="4">
        <v>0.015566</v>
      </c>
      <c r="J206" s="4">
        <v>0.010465</v>
      </c>
      <c r="K206" s="4">
        <v>0.014438</v>
      </c>
      <c r="L206" s="4">
        <v>0.007204</v>
      </c>
      <c r="M206" s="4">
        <v>0.017021</v>
      </c>
      <c r="N206" s="4">
        <v>0.011052</v>
      </c>
      <c r="O206" s="4">
        <v>0.0206</v>
      </c>
      <c r="P206" s="4">
        <v>-0.01529</v>
      </c>
      <c r="Q206" s="4">
        <v>-0.051053</v>
      </c>
      <c r="R206" s="4">
        <v>0.035553</v>
      </c>
      <c r="S206" s="4">
        <v>-0.015963</v>
      </c>
      <c r="T206" s="4">
        <v>0.03014</v>
      </c>
      <c r="U206" s="4">
        <v>-0.002736</v>
      </c>
      <c r="V206" s="4">
        <v>0.00313001294874193</v>
      </c>
      <c r="W206" s="4">
        <v>-0.0142506787499601</v>
      </c>
      <c r="X206" s="4">
        <v>-0.0088889522418256</v>
      </c>
      <c r="Y206" s="4">
        <v>0.0049222577832348</v>
      </c>
      <c r="Z206" s="4">
        <v>0.0155008443677338</v>
      </c>
      <c r="AA206" s="4">
        <v>0.0066508473682229</v>
      </c>
      <c r="AB206" s="4">
        <v>0.0029080223809265</v>
      </c>
      <c r="AC206" s="4">
        <v>-0.0033168381019769</v>
      </c>
      <c r="AD206" s="4">
        <v>-0.0151514867762002</v>
      </c>
      <c r="AE206" s="4">
        <v>0.0136636598975048</v>
      </c>
      <c r="AF206" s="4">
        <v>0.0</v>
      </c>
      <c r="AG206" s="4">
        <v>0.013843948669163</v>
      </c>
      <c r="AH206" s="4">
        <v>0.012465378534898</v>
      </c>
      <c r="AI206" s="4">
        <v>4.440805230201E-4</v>
      </c>
      <c r="AJ206" s="4">
        <v>0.005219</v>
      </c>
      <c r="AK206" s="4">
        <f>Weights!E262</f>
        <v>0.007569425625</v>
      </c>
      <c r="AL206" s="5">
        <v>-0.00402544116796288</v>
      </c>
      <c r="AM206" s="5">
        <v>-0.00341650323358067</v>
      </c>
      <c r="AN206" s="5">
        <v>-0.00926668957776488</v>
      </c>
      <c r="AO206" s="5">
        <v>-0.00910738750396278</v>
      </c>
      <c r="AP206" s="6">
        <f t="shared" si="3"/>
        <v>1.074350564</v>
      </c>
      <c r="AQ206" s="4">
        <f t="shared" si="4"/>
        <v>1.068933902</v>
      </c>
      <c r="AR206" s="5">
        <f t="shared" si="5"/>
        <v>1.042091292</v>
      </c>
      <c r="AS206" s="5">
        <f t="shared" ref="AS206:AU206" si="208">AS205*(1+AM206)</f>
        <v>1.087166807</v>
      </c>
      <c r="AT206" s="5">
        <f t="shared" si="208"/>
        <v>0.9810904808</v>
      </c>
      <c r="AU206" s="5">
        <f t="shared" si="208"/>
        <v>0.9690457134</v>
      </c>
    </row>
    <row r="207" ht="15.75" customHeight="1">
      <c r="A207" s="3">
        <v>44127.0</v>
      </c>
      <c r="B207" s="4">
        <v>0.004921</v>
      </c>
      <c r="C207" s="4">
        <v>0.010989</v>
      </c>
      <c r="D207" s="4">
        <v>-0.006318</v>
      </c>
      <c r="E207" s="4">
        <v>-3.58E-4</v>
      </c>
      <c r="F207" s="4">
        <v>-0.003157</v>
      </c>
      <c r="G207" s="4">
        <v>0.001103</v>
      </c>
      <c r="H207" s="4">
        <v>0.006575</v>
      </c>
      <c r="I207" s="4">
        <v>-0.014986</v>
      </c>
      <c r="J207" s="4">
        <v>2.41E-4</v>
      </c>
      <c r="K207" s="4">
        <v>0.00854</v>
      </c>
      <c r="L207" s="4">
        <v>2.87E-4</v>
      </c>
      <c r="M207" s="4">
        <v>0.019526</v>
      </c>
      <c r="N207" s="4">
        <v>0.007605</v>
      </c>
      <c r="O207" s="4">
        <v>0.001149</v>
      </c>
      <c r="P207" s="4">
        <v>-0.001156</v>
      </c>
      <c r="Q207" s="4">
        <v>-0.011102</v>
      </c>
      <c r="R207" s="4">
        <v>5.45E-4</v>
      </c>
      <c r="S207" s="4">
        <v>-0.002669</v>
      </c>
      <c r="T207" s="4">
        <v>0.005812</v>
      </c>
      <c r="U207" s="4">
        <v>0.015285</v>
      </c>
      <c r="V207" s="4">
        <v>0.00858034410662611</v>
      </c>
      <c r="W207" s="4">
        <v>0.0166408260743056</v>
      </c>
      <c r="X207" s="4">
        <v>0.0</v>
      </c>
      <c r="Y207" s="4">
        <v>0.0029255342325418</v>
      </c>
      <c r="Z207" s="4">
        <v>-0.0023498043419424</v>
      </c>
      <c r="AA207" s="4">
        <v>0.006071541383777</v>
      </c>
      <c r="AB207" s="4">
        <v>0.003262136345318</v>
      </c>
      <c r="AC207" s="4">
        <v>0.0</v>
      </c>
      <c r="AD207" s="4">
        <v>0.0</v>
      </c>
      <c r="AE207" s="4">
        <v>-0.0067038722293046</v>
      </c>
      <c r="AF207" s="4">
        <v>-0.0118453987823498</v>
      </c>
      <c r="AG207" s="4">
        <v>0.0045516122419477</v>
      </c>
      <c r="AH207" s="4">
        <v>0.0177838732337232</v>
      </c>
      <c r="AI207" s="4">
        <v>4.434856580615E-4</v>
      </c>
      <c r="AJ207" s="4">
        <v>0.003446</v>
      </c>
      <c r="AK207" s="4">
        <f>Weights!E263</f>
        <v>0.002845410759</v>
      </c>
      <c r="AL207" s="5">
        <v>0.00404171083715576</v>
      </c>
      <c r="AM207" s="5">
        <v>0.00708486745359282</v>
      </c>
      <c r="AN207" s="5">
        <v>-0.00244032051441289</v>
      </c>
      <c r="AO207" s="5">
        <v>-6.12739624126779E-4</v>
      </c>
      <c r="AP207" s="6">
        <f t="shared" si="3"/>
        <v>1.077407532</v>
      </c>
      <c r="AQ207" s="4">
        <f t="shared" si="4"/>
        <v>1.072617448</v>
      </c>
      <c r="AR207" s="5">
        <f t="shared" si="5"/>
        <v>1.046303124</v>
      </c>
      <c r="AS207" s="5">
        <f t="shared" ref="AS207:AU207" si="209">AS206*(1+AM207)</f>
        <v>1.09486924</v>
      </c>
      <c r="AT207" s="5">
        <f t="shared" si="209"/>
        <v>0.9786963056</v>
      </c>
      <c r="AU207" s="5">
        <f t="shared" si="209"/>
        <v>0.9684519407</v>
      </c>
    </row>
    <row r="208" ht="15.75" customHeight="1">
      <c r="A208" s="3">
        <v>44130.0</v>
      </c>
      <c r="B208" s="4">
        <v>-0.023395</v>
      </c>
      <c r="C208" s="4">
        <v>-0.002588</v>
      </c>
      <c r="D208" s="4">
        <v>-0.025886</v>
      </c>
      <c r="E208" s="4">
        <v>-0.010748</v>
      </c>
      <c r="F208" s="4">
        <v>-0.014252</v>
      </c>
      <c r="G208" s="4">
        <v>-0.008744</v>
      </c>
      <c r="H208" s="4">
        <v>-0.007585</v>
      </c>
      <c r="I208" s="4">
        <v>-0.014523</v>
      </c>
      <c r="J208" s="4">
        <v>-0.008909</v>
      </c>
      <c r="K208" s="4">
        <v>-0.016934</v>
      </c>
      <c r="L208" s="4">
        <v>-0.023192</v>
      </c>
      <c r="M208" s="4">
        <v>-0.03078</v>
      </c>
      <c r="N208" s="4">
        <v>-0.029481</v>
      </c>
      <c r="O208" s="4">
        <v>-0.013659</v>
      </c>
      <c r="P208" s="4">
        <v>-0.002481</v>
      </c>
      <c r="Q208" s="4">
        <v>-0.005181</v>
      </c>
      <c r="R208" s="4">
        <v>-0.054466</v>
      </c>
      <c r="S208" s="4">
        <v>-0.013794</v>
      </c>
      <c r="T208" s="4">
        <v>-0.038055</v>
      </c>
      <c r="U208" s="4">
        <v>-0.011774</v>
      </c>
      <c r="V208" s="4">
        <v>-0.0286155567504122</v>
      </c>
      <c r="W208" s="4">
        <v>0.0052172848461553</v>
      </c>
      <c r="X208" s="4">
        <v>-0.0029851624324128</v>
      </c>
      <c r="Y208" s="4">
        <v>-0.0064439191712153</v>
      </c>
      <c r="Z208" s="4">
        <v>-0.0070673957329764</v>
      </c>
      <c r="AA208" s="4">
        <v>-0.012247178338136</v>
      </c>
      <c r="AB208" s="4">
        <v>-0.0036127242960338</v>
      </c>
      <c r="AC208" s="4">
        <v>-0.0016694936685487</v>
      </c>
      <c r="AD208" s="4">
        <v>0.0096709781549908</v>
      </c>
      <c r="AE208" s="4">
        <v>-0.0119011550489214</v>
      </c>
      <c r="AF208" s="4">
        <v>-0.0031545977134619</v>
      </c>
      <c r="AG208" s="4">
        <v>-0.0135928930879324</v>
      </c>
      <c r="AH208" s="4">
        <v>0.0228494079872945</v>
      </c>
      <c r="AI208" s="4">
        <v>-4.432890657185E-4</v>
      </c>
      <c r="AJ208" s="4">
        <v>-0.01859</v>
      </c>
      <c r="AK208" s="4">
        <f>Weights!E264</f>
        <v>-0.01147113017</v>
      </c>
      <c r="AL208" s="5">
        <v>0.00481091272809108</v>
      </c>
      <c r="AM208" s="5">
        <v>0.00329063746784585</v>
      </c>
      <c r="AN208" s="5">
        <v>-0.00529945066745829</v>
      </c>
      <c r="AO208" s="5">
        <v>-0.00306557652083916</v>
      </c>
      <c r="AP208" s="6">
        <f t="shared" si="3"/>
        <v>1.06504845</v>
      </c>
      <c r="AQ208" s="4">
        <f t="shared" si="4"/>
        <v>1.05267749</v>
      </c>
      <c r="AR208" s="5">
        <f t="shared" si="5"/>
        <v>1.051336797</v>
      </c>
      <c r="AS208" s="5">
        <f t="shared" ref="AS208:AU208" si="210">AS207*(1+AM208)</f>
        <v>1.098472057</v>
      </c>
      <c r="AT208" s="5">
        <f t="shared" si="210"/>
        <v>0.9735097528</v>
      </c>
      <c r="AU208" s="5">
        <f t="shared" si="210"/>
        <v>0.9654830772</v>
      </c>
    </row>
    <row r="209" ht="15.75" customHeight="1">
      <c r="A209" s="3">
        <v>44131.0</v>
      </c>
      <c r="B209" s="4">
        <v>-0.008914</v>
      </c>
      <c r="C209" s="4">
        <v>-0.007438</v>
      </c>
      <c r="D209" s="4">
        <v>-0.004429</v>
      </c>
      <c r="E209" s="4">
        <v>0.007678</v>
      </c>
      <c r="F209" s="4">
        <v>0.002008</v>
      </c>
      <c r="G209" s="4">
        <v>-0.005696</v>
      </c>
      <c r="H209" s="4">
        <v>0.007502</v>
      </c>
      <c r="I209" s="4">
        <v>-0.006667</v>
      </c>
      <c r="J209" s="4">
        <v>0.004616</v>
      </c>
      <c r="K209" s="4">
        <v>-0.015238</v>
      </c>
      <c r="L209" s="4">
        <v>-0.015363</v>
      </c>
      <c r="M209" s="4">
        <v>-0.023289</v>
      </c>
      <c r="N209" s="4">
        <v>-0.014581</v>
      </c>
      <c r="O209" s="4">
        <v>0.02393</v>
      </c>
      <c r="P209" s="4">
        <v>0.022049</v>
      </c>
      <c r="Q209" s="4">
        <v>0.011285</v>
      </c>
      <c r="R209" s="4">
        <v>0.020737</v>
      </c>
      <c r="S209" s="4">
        <v>-0.001253</v>
      </c>
      <c r="T209" s="4">
        <v>-0.001243</v>
      </c>
      <c r="U209" s="4">
        <v>-0.008691</v>
      </c>
      <c r="V209" s="4">
        <v>-0.0246815649420575</v>
      </c>
      <c r="W209" s="4">
        <v>0.0043761786828862</v>
      </c>
      <c r="X209" s="4">
        <v>-0.0014969011493923</v>
      </c>
      <c r="Y209" s="4">
        <v>0.0032768720659264</v>
      </c>
      <c r="Z209" s="4">
        <v>-0.0130368017219206</v>
      </c>
      <c r="AA209" s="4">
        <v>-0.0061093779532129</v>
      </c>
      <c r="AB209" s="4">
        <v>-0.0050761873449607</v>
      </c>
      <c r="AC209" s="4">
        <v>-0.0050166978496927</v>
      </c>
      <c r="AD209" s="4">
        <v>-0.0095783461783391</v>
      </c>
      <c r="AE209" s="4">
        <v>-0.0036721765377147</v>
      </c>
      <c r="AF209" s="4">
        <v>0.003797342216063</v>
      </c>
      <c r="AG209" s="4">
        <v>0.0110580367930064</v>
      </c>
      <c r="AH209" s="4">
        <v>0.0473061950218607</v>
      </c>
      <c r="AI209" s="4">
        <v>-0.0017758319209244</v>
      </c>
      <c r="AJ209" s="4">
        <v>-0.003026</v>
      </c>
      <c r="AK209" s="4">
        <f>Weights!E265</f>
        <v>-0.0007570923108</v>
      </c>
      <c r="AL209" s="5">
        <v>-0.0183699639830063</v>
      </c>
      <c r="AM209" s="5">
        <v>-0.0181520500089217</v>
      </c>
      <c r="AN209" s="5">
        <v>0.00491811017539545</v>
      </c>
      <c r="AO209" s="5">
        <v>0.00276760323057678</v>
      </c>
      <c r="AP209" s="6">
        <f t="shared" si="3"/>
        <v>1.06424211</v>
      </c>
      <c r="AQ209" s="4">
        <f t="shared" si="4"/>
        <v>1.049492088</v>
      </c>
      <c r="AR209" s="5">
        <f t="shared" si="5"/>
        <v>1.032023778</v>
      </c>
      <c r="AS209" s="5">
        <f t="shared" ref="AS209:AU209" si="211">AS208*(1+AM209)</f>
        <v>1.078532538</v>
      </c>
      <c r="AT209" s="5">
        <f t="shared" si="211"/>
        <v>0.978297581</v>
      </c>
      <c r="AU209" s="5">
        <f t="shared" si="211"/>
        <v>0.9681551512</v>
      </c>
    </row>
    <row r="210" ht="15.75" customHeight="1">
      <c r="A210" s="3">
        <v>44132.0</v>
      </c>
      <c r="B210" s="4">
        <v>-0.043283</v>
      </c>
      <c r="C210" s="4">
        <v>-0.018648</v>
      </c>
      <c r="D210" s="4">
        <v>-0.031843</v>
      </c>
      <c r="E210" s="4">
        <v>-0.035581</v>
      </c>
      <c r="F210" s="4">
        <v>-0.038878</v>
      </c>
      <c r="G210" s="4">
        <v>-0.033461</v>
      </c>
      <c r="H210" s="4">
        <v>-0.033015</v>
      </c>
      <c r="I210" s="4">
        <v>-0.026846</v>
      </c>
      <c r="J210" s="4">
        <v>-0.030955</v>
      </c>
      <c r="K210" s="4">
        <v>-0.026015</v>
      </c>
      <c r="L210" s="4">
        <v>-0.028652</v>
      </c>
      <c r="M210" s="4">
        <v>-0.036127</v>
      </c>
      <c r="N210" s="4">
        <v>-0.039211</v>
      </c>
      <c r="O210" s="4">
        <v>-0.022667</v>
      </c>
      <c r="P210" s="4">
        <v>-0.048662</v>
      </c>
      <c r="Q210" s="4">
        <v>-0.077253</v>
      </c>
      <c r="R210" s="4">
        <v>-0.047968</v>
      </c>
      <c r="S210" s="4">
        <v>-0.073161</v>
      </c>
      <c r="T210" s="4">
        <v>-0.034011</v>
      </c>
      <c r="U210" s="4">
        <v>-0.02581</v>
      </c>
      <c r="V210" s="4">
        <v>-0.0440817538342387</v>
      </c>
      <c r="W210" s="4">
        <v>-0.0117538980100461</v>
      </c>
      <c r="X210" s="4">
        <v>-0.0029984894139594</v>
      </c>
      <c r="Y210" s="4">
        <v>-0.0606329363260009</v>
      </c>
      <c r="Z210" s="4">
        <v>-0.0142567385530713</v>
      </c>
      <c r="AA210" s="4">
        <v>0.0065087331212123</v>
      </c>
      <c r="AB210" s="4">
        <v>0.0091105893609142</v>
      </c>
      <c r="AC210" s="4">
        <v>-0.0067227889724975</v>
      </c>
      <c r="AD210" s="4">
        <v>-0.0019344431461151</v>
      </c>
      <c r="AE210" s="4">
        <v>0.0044964607763386</v>
      </c>
      <c r="AF210" s="4">
        <v>-0.0151322929068489</v>
      </c>
      <c r="AG210" s="4">
        <v>0.0050908042557045</v>
      </c>
      <c r="AH210" s="4">
        <v>0.0238393902347548</v>
      </c>
      <c r="AI210" s="4">
        <v>-4.443742282469E-4</v>
      </c>
      <c r="AJ210" s="4">
        <v>-0.035288</v>
      </c>
      <c r="AK210" s="4">
        <f>Weights!E266</f>
        <v>-0.02118102031</v>
      </c>
      <c r="AL210" s="5">
        <v>-0.00497716295267236</v>
      </c>
      <c r="AM210" s="5">
        <v>-0.0040313693213414</v>
      </c>
      <c r="AN210" s="5">
        <v>0.00326251588997372</v>
      </c>
      <c r="AO210" s="5">
        <v>0.00153322477467554</v>
      </c>
      <c r="AP210" s="6">
        <f t="shared" si="3"/>
        <v>1.041700377</v>
      </c>
      <c r="AQ210" s="4">
        <f t="shared" si="4"/>
        <v>1.012457611</v>
      </c>
      <c r="AR210" s="5">
        <f t="shared" si="5"/>
        <v>1.026887227</v>
      </c>
      <c r="AS210" s="5">
        <f t="shared" ref="AS210:AU210" si="212">AS209*(1+AM210)</f>
        <v>1.074184575</v>
      </c>
      <c r="AT210" s="5">
        <f t="shared" si="212"/>
        <v>0.9814892924</v>
      </c>
      <c r="AU210" s="5">
        <f t="shared" si="212"/>
        <v>0.9696395507</v>
      </c>
    </row>
    <row r="211" ht="15.75" customHeight="1">
      <c r="A211" s="3">
        <v>44133.0</v>
      </c>
      <c r="B211" s="4">
        <v>0.011751</v>
      </c>
      <c r="C211" s="4">
        <v>0.007991</v>
      </c>
      <c r="D211" s="4">
        <v>0.001451</v>
      </c>
      <c r="E211" s="4">
        <v>-0.001342</v>
      </c>
      <c r="F211" s="4">
        <v>0.001251</v>
      </c>
      <c r="G211" s="4">
        <v>-0.008456</v>
      </c>
      <c r="H211" s="4">
        <v>-6.54E-4</v>
      </c>
      <c r="I211" s="4">
        <v>3.63E-4</v>
      </c>
      <c r="J211" s="4">
        <v>0.010482</v>
      </c>
      <c r="K211" s="4">
        <v>0.015888</v>
      </c>
      <c r="L211" s="4">
        <v>0.018546</v>
      </c>
      <c r="M211" s="4">
        <v>0.022489</v>
      </c>
      <c r="N211" s="4">
        <v>0.018224</v>
      </c>
      <c r="O211" s="4">
        <v>-0.006366</v>
      </c>
      <c r="P211" s="4">
        <v>0.028815</v>
      </c>
      <c r="Q211" s="4">
        <v>0.004651</v>
      </c>
      <c r="R211" s="4">
        <v>0.036159</v>
      </c>
      <c r="S211" s="4">
        <v>-0.004511</v>
      </c>
      <c r="T211" s="4">
        <v>0.029197</v>
      </c>
      <c r="U211" s="4">
        <v>-9.1E-4</v>
      </c>
      <c r="V211" s="4">
        <v>8.54161014207433E-4</v>
      </c>
      <c r="W211" s="4">
        <v>4.100600904954E-4</v>
      </c>
      <c r="X211" s="4">
        <v>0.0075187684825999</v>
      </c>
      <c r="Y211" s="4">
        <v>-0.0049258352948038</v>
      </c>
      <c r="Z211" s="4">
        <v>0.0022696619098296</v>
      </c>
      <c r="AA211" s="4">
        <v>-7.184868508092E-4</v>
      </c>
      <c r="AB211" s="4">
        <v>0.0169737366035971</v>
      </c>
      <c r="AC211" s="4">
        <v>-0.0033840248963988</v>
      </c>
      <c r="AD211" s="4">
        <v>0.0271317637213295</v>
      </c>
      <c r="AE211" s="4">
        <v>-0.0140897488381609</v>
      </c>
      <c r="AF211" s="4">
        <v>-0.0278490034171102</v>
      </c>
      <c r="AG211" s="4">
        <v>0.0042209841995701</v>
      </c>
      <c r="AH211" s="4">
        <v>0.0392156934357754</v>
      </c>
      <c r="AI211" s="4">
        <v>-0.0017795826845217</v>
      </c>
      <c r="AJ211" s="4">
        <v>0.011947</v>
      </c>
      <c r="AK211" s="4">
        <f>Weights!E267</f>
        <v>0.007513252883</v>
      </c>
      <c r="AL211" s="5">
        <v>-0.0327131363876612</v>
      </c>
      <c r="AM211" s="5">
        <v>-0.0331348415317233</v>
      </c>
      <c r="AN211" s="5">
        <v>-0.0134145798566961</v>
      </c>
      <c r="AO211" s="5">
        <v>-0.012859851510803</v>
      </c>
      <c r="AP211" s="6">
        <f t="shared" si="3"/>
        <v>1.049526935</v>
      </c>
      <c r="AQ211" s="4">
        <f t="shared" si="4"/>
        <v>1.024553442</v>
      </c>
      <c r="AR211" s="5">
        <f t="shared" si="5"/>
        <v>0.9932945256</v>
      </c>
      <c r="AS211" s="5">
        <f t="shared" ref="AS211:AU211" si="213">AS210*(1+AM211)</f>
        <v>1.038591639</v>
      </c>
      <c r="AT211" s="5">
        <f t="shared" si="213"/>
        <v>0.9683230259</v>
      </c>
      <c r="AU211" s="5">
        <f t="shared" si="213"/>
        <v>0.9571701301</v>
      </c>
    </row>
    <row r="212" ht="15.75" customHeight="1">
      <c r="A212" s="3">
        <v>44134.0</v>
      </c>
      <c r="B212" s="4">
        <v>-0.006388</v>
      </c>
      <c r="C212" s="4">
        <v>0.004052</v>
      </c>
      <c r="D212" s="4">
        <v>-0.019319</v>
      </c>
      <c r="E212" s="4">
        <v>-0.005224</v>
      </c>
      <c r="F212" s="4">
        <v>8.33E-4</v>
      </c>
      <c r="G212" s="4">
        <v>-5.83E-4</v>
      </c>
      <c r="H212" s="4">
        <v>-0.003416</v>
      </c>
      <c r="I212" s="4">
        <v>0.0</v>
      </c>
      <c r="J212" s="4">
        <v>-0.024451</v>
      </c>
      <c r="K212" s="4">
        <v>0.002493</v>
      </c>
      <c r="L212" s="4">
        <v>0.003441</v>
      </c>
      <c r="M212" s="4">
        <v>-0.004399</v>
      </c>
      <c r="N212" s="4">
        <v>0.003781</v>
      </c>
      <c r="O212" s="4">
        <v>0.069244</v>
      </c>
      <c r="P212" s="4">
        <v>0.041432</v>
      </c>
      <c r="Q212" s="4">
        <v>0.012037</v>
      </c>
      <c r="R212" s="4">
        <v>-0.008009</v>
      </c>
      <c r="S212" s="4">
        <v>0.044631</v>
      </c>
      <c r="T212" s="4">
        <v>-0.003755</v>
      </c>
      <c r="U212" s="4">
        <v>0.005263</v>
      </c>
      <c r="V212" s="4">
        <v>-8.53432045825552E-4</v>
      </c>
      <c r="W212" s="4">
        <v>0.0169108472914889</v>
      </c>
      <c r="X212" s="4">
        <v>0.0</v>
      </c>
      <c r="Y212" s="4">
        <v>0.0045134441122187</v>
      </c>
      <c r="Z212" s="4">
        <v>-0.0038783622101851</v>
      </c>
      <c r="AA212" s="4">
        <v>0.0080892035864412</v>
      </c>
      <c r="AB212" s="4">
        <v>0.0042615594917667</v>
      </c>
      <c r="AC212" s="4">
        <v>0.0</v>
      </c>
      <c r="AD212" s="4">
        <v>0.0</v>
      </c>
      <c r="AE212" s="4">
        <v>-2.977069764779E-4</v>
      </c>
      <c r="AF212" s="4">
        <v>0.0325980052067811</v>
      </c>
      <c r="AG212" s="4">
        <v>0.0129453801136267</v>
      </c>
      <c r="AH212" s="4">
        <v>-0.0082546810908971</v>
      </c>
      <c r="AI212" s="4">
        <v>0.0017827552448863</v>
      </c>
      <c r="AJ212" s="4">
        <v>-0.01213</v>
      </c>
      <c r="AK212" s="4">
        <f>Weights!E268</f>
        <v>0.003322033063</v>
      </c>
      <c r="AL212" s="5">
        <v>0.00858418606480326</v>
      </c>
      <c r="AM212" s="5">
        <v>0.00944967411740305</v>
      </c>
      <c r="AN212" s="5">
        <v>-0.0053563115714037</v>
      </c>
      <c r="AO212" s="5">
        <v>-0.00341184652508663</v>
      </c>
      <c r="AP212" s="6">
        <f t="shared" si="3"/>
        <v>1.053013498</v>
      </c>
      <c r="AQ212" s="4">
        <f t="shared" si="4"/>
        <v>1.012125609</v>
      </c>
      <c r="AR212" s="5">
        <f t="shared" si="5"/>
        <v>1.001821151</v>
      </c>
      <c r="AS212" s="5">
        <f t="shared" ref="AS212:AU212" si="214">AS211*(1+AM212)</f>
        <v>1.048405992</v>
      </c>
      <c r="AT212" s="5">
        <f t="shared" si="214"/>
        <v>0.9631363861</v>
      </c>
      <c r="AU212" s="5">
        <f t="shared" si="214"/>
        <v>0.9539044125</v>
      </c>
    </row>
    <row r="213" ht="15.75" customHeight="1">
      <c r="A213" s="3">
        <v>44137.0</v>
      </c>
      <c r="B213" s="4">
        <v>-0.004091</v>
      </c>
      <c r="C213" s="4">
        <v>0.012458</v>
      </c>
      <c r="D213" s="4">
        <v>0.012066</v>
      </c>
      <c r="E213" s="4">
        <v>0.013955</v>
      </c>
      <c r="F213" s="4">
        <v>0.011652</v>
      </c>
      <c r="G213" s="4">
        <v>0.011524</v>
      </c>
      <c r="H213" s="4">
        <v>0.010211</v>
      </c>
      <c r="I213" s="4">
        <v>-0.00254</v>
      </c>
      <c r="J213" s="4">
        <v>0.006582</v>
      </c>
      <c r="K213" s="4">
        <v>0.008139</v>
      </c>
      <c r="L213" s="4">
        <v>0.008144</v>
      </c>
      <c r="M213" s="4">
        <v>0.011046</v>
      </c>
      <c r="N213" s="4">
        <v>0.012054</v>
      </c>
      <c r="O213" s="4">
        <v>0.02532</v>
      </c>
      <c r="P213" s="4">
        <v>0.030076</v>
      </c>
      <c r="Q213" s="4">
        <v>0.077768</v>
      </c>
      <c r="R213" s="4">
        <v>0.051903</v>
      </c>
      <c r="S213" s="4">
        <v>0.013012</v>
      </c>
      <c r="T213" s="4">
        <v>0.023241</v>
      </c>
      <c r="U213" s="4">
        <v>0.002316</v>
      </c>
      <c r="V213" s="4">
        <v>0.00170800872812826</v>
      </c>
      <c r="W213" s="4">
        <v>-0.01491627604652</v>
      </c>
      <c r="X213" s="4">
        <v>-0.0030212364626484</v>
      </c>
      <c r="Y213" s="4">
        <v>-0.0237718878705418</v>
      </c>
      <c r="Z213" s="4">
        <v>-0.0167835331329871</v>
      </c>
      <c r="AA213" s="4">
        <v>-0.0082028401663767</v>
      </c>
      <c r="AB213" s="4">
        <v>-0.0201558558269084</v>
      </c>
      <c r="AC213" s="4">
        <v>0.0071049019211051</v>
      </c>
      <c r="AD213" s="4">
        <v>0.0</v>
      </c>
      <c r="AE213" s="4">
        <v>-0.0112427621396858</v>
      </c>
      <c r="AF213" s="4">
        <v>0.0121173606009261</v>
      </c>
      <c r="AG213" s="4">
        <v>-0.0114522441642489</v>
      </c>
      <c r="AH213" s="4">
        <v>-0.047562450038587</v>
      </c>
      <c r="AI213" s="4">
        <v>-3.568732482093E-4</v>
      </c>
      <c r="AJ213" s="4">
        <v>0.012318</v>
      </c>
      <c r="AK213" s="4">
        <f>Weights!E269</f>
        <v>0.002088693951</v>
      </c>
      <c r="AL213" s="5">
        <v>-0.0101519037613708</v>
      </c>
      <c r="AM213" s="5">
        <v>-0.0106054934880276</v>
      </c>
      <c r="AN213" s="5">
        <v>-0.0248550395310584</v>
      </c>
      <c r="AO213" s="5">
        <v>-0.0273888261223446</v>
      </c>
      <c r="AP213" s="6">
        <f t="shared" si="3"/>
        <v>1.055212921</v>
      </c>
      <c r="AQ213" s="4">
        <f t="shared" si="4"/>
        <v>1.024592972</v>
      </c>
      <c r="AR213" s="5">
        <f t="shared" si="5"/>
        <v>0.9916507587</v>
      </c>
      <c r="AS213" s="5">
        <f t="shared" ref="AS213:AU213" si="215">AS212*(1+AM213)</f>
        <v>1.037287129</v>
      </c>
      <c r="AT213" s="5">
        <f t="shared" si="215"/>
        <v>0.9391975931</v>
      </c>
      <c r="AU213" s="5">
        <f t="shared" si="215"/>
        <v>0.9277780904</v>
      </c>
    </row>
    <row r="214" ht="15.75" customHeight="1">
      <c r="A214" s="3">
        <v>44138.0</v>
      </c>
      <c r="B214" s="4">
        <v>0.009976</v>
      </c>
      <c r="C214" s="4">
        <v>8.67E-4</v>
      </c>
      <c r="D214" s="4">
        <v>0.004866</v>
      </c>
      <c r="E214" s="4">
        <v>0.013984</v>
      </c>
      <c r="F214" s="4">
        <v>0.015014</v>
      </c>
      <c r="G214" s="4">
        <v>-0.00137</v>
      </c>
      <c r="H214" s="4">
        <v>0.019639</v>
      </c>
      <c r="I214" s="4">
        <v>0.008367</v>
      </c>
      <c r="J214" s="4">
        <v>0.005282</v>
      </c>
      <c r="K214" s="4">
        <v>0.022202</v>
      </c>
      <c r="L214" s="4">
        <v>0.023101</v>
      </c>
      <c r="M214" s="4">
        <v>0.054625</v>
      </c>
      <c r="N214" s="4">
        <v>0.035732</v>
      </c>
      <c r="O214" s="4">
        <v>0.02876</v>
      </c>
      <c r="P214" s="4">
        <v>0.029971</v>
      </c>
      <c r="Q214" s="4">
        <v>0.003396</v>
      </c>
      <c r="R214" s="4">
        <v>0.029057</v>
      </c>
      <c r="S214" s="4">
        <v>0.00942</v>
      </c>
      <c r="T214" s="4">
        <v>0.024146</v>
      </c>
      <c r="U214" s="4">
        <v>0.011351</v>
      </c>
      <c r="V214" s="4">
        <v>0.0520033032268181</v>
      </c>
      <c r="W214" s="4">
        <v>-0.0319213742584493</v>
      </c>
      <c r="X214" s="4">
        <v>0.0045454371793636</v>
      </c>
      <c r="Y214" s="4">
        <v>-0.0011875704255444</v>
      </c>
      <c r="Z214" s="4">
        <v>-0.0021646912287882</v>
      </c>
      <c r="AA214" s="4">
        <v>-0.0046744074119688</v>
      </c>
      <c r="AB214" s="4">
        <v>-0.0129915232595881</v>
      </c>
      <c r="AC214" s="4">
        <v>0.0017637155339333</v>
      </c>
      <c r="AD214" s="4">
        <v>0.0058250758248115</v>
      </c>
      <c r="AE214" s="4">
        <v>0.0042922746723779</v>
      </c>
      <c r="AF214" s="4">
        <v>-0.0504095732124671</v>
      </c>
      <c r="AG214" s="4">
        <v>-0.0236735524393545</v>
      </c>
      <c r="AH214" s="4">
        <v>-0.0287141097811891</v>
      </c>
      <c r="AI214" s="4">
        <v>8.918536259443E-4</v>
      </c>
      <c r="AJ214" s="4">
        <v>0.017799</v>
      </c>
      <c r="AK214" s="4">
        <f>Weights!E270</f>
        <v>0.006644775513</v>
      </c>
      <c r="AL214" s="5">
        <v>0.0117063958826493</v>
      </c>
      <c r="AM214" s="5">
        <v>0.0104198265707968</v>
      </c>
      <c r="AN214" s="5">
        <v>0.00424796954599338</v>
      </c>
      <c r="AO214" s="5">
        <v>0.00544005615182441</v>
      </c>
      <c r="AP214" s="6">
        <f t="shared" si="3"/>
        <v>1.062224574</v>
      </c>
      <c r="AQ214" s="4">
        <f t="shared" si="4"/>
        <v>1.042829703</v>
      </c>
      <c r="AR214" s="5">
        <f t="shared" si="5"/>
        <v>1.003259415</v>
      </c>
      <c r="AS214" s="5">
        <f t="shared" ref="AS214:AU214" si="216">AS213*(1+AM214)</f>
        <v>1.048095481</v>
      </c>
      <c r="AT214" s="5">
        <f t="shared" si="216"/>
        <v>0.9431872759</v>
      </c>
      <c r="AU214" s="5">
        <f t="shared" si="216"/>
        <v>0.9328252553</v>
      </c>
    </row>
    <row r="215" ht="15.75" customHeight="1">
      <c r="A215" s="3">
        <v>44139.0</v>
      </c>
      <c r="B215" s="4">
        <v>0.017432</v>
      </c>
      <c r="C215" s="4">
        <v>-0.009177</v>
      </c>
      <c r="D215" s="4">
        <v>0.015739</v>
      </c>
      <c r="E215" s="4">
        <v>0.005984</v>
      </c>
      <c r="F215" s="4">
        <v>-0.003647</v>
      </c>
      <c r="G215" s="4">
        <v>0.006498</v>
      </c>
      <c r="H215" s="4">
        <v>-0.004107</v>
      </c>
      <c r="I215" s="4">
        <v>0.005051</v>
      </c>
      <c r="J215" s="4">
        <v>0.01301</v>
      </c>
      <c r="K215" s="4">
        <v>-0.001536</v>
      </c>
      <c r="L215" s="4">
        <v>0.016069</v>
      </c>
      <c r="M215" s="4">
        <v>-0.024171</v>
      </c>
      <c r="N215" s="4">
        <v>0.003354</v>
      </c>
      <c r="O215" s="4">
        <v>0.034377</v>
      </c>
      <c r="P215" s="4">
        <v>-0.023849</v>
      </c>
      <c r="Q215" s="4">
        <v>-0.041455</v>
      </c>
      <c r="R215" s="4">
        <v>-0.041023</v>
      </c>
      <c r="S215" s="4">
        <v>-0.01824</v>
      </c>
      <c r="T215" s="4">
        <v>-0.061938</v>
      </c>
      <c r="U215" s="4">
        <v>0.022745</v>
      </c>
      <c r="V215" s="4">
        <v>0.0259322500852274</v>
      </c>
      <c r="W215" s="4">
        <v>-0.0507292606342095</v>
      </c>
      <c r="X215" s="4">
        <v>-0.003016579779027</v>
      </c>
      <c r="Y215" s="4">
        <v>-0.0097368337754096</v>
      </c>
      <c r="Z215" s="4">
        <v>-0.0144695770855808</v>
      </c>
      <c r="AA215" s="4">
        <v>-0.0186053613889255</v>
      </c>
      <c r="AB215" s="4">
        <v>-0.0226691700769393</v>
      </c>
      <c r="AC215" s="4">
        <v>-0.021126905938395</v>
      </c>
      <c r="AD215" s="4">
        <v>-0.0096521972790635</v>
      </c>
      <c r="AE215" s="4">
        <v>-0.0093725301502219</v>
      </c>
      <c r="AF215" s="4">
        <v>-0.0238885382026948</v>
      </c>
      <c r="AG215" s="4">
        <v>-0.0271710154260276</v>
      </c>
      <c r="AH215" s="4">
        <v>0.0038560681129398</v>
      </c>
      <c r="AI215" s="4">
        <v>-8.910589318049E-4</v>
      </c>
      <c r="AJ215" s="4">
        <v>0.022047</v>
      </c>
      <c r="AK215" s="4">
        <f>Weights!E271</f>
        <v>-0.007463332595</v>
      </c>
      <c r="AL215" s="5">
        <v>0.0214008299627059</v>
      </c>
      <c r="AM215" s="5">
        <v>0.0192020707240434</v>
      </c>
      <c r="AN215" s="5">
        <v>-0.00465292687011975</v>
      </c>
      <c r="AO215" s="5">
        <v>-0.00509218314877768</v>
      </c>
      <c r="AP215" s="6">
        <f t="shared" si="3"/>
        <v>1.054296839</v>
      </c>
      <c r="AQ215" s="4">
        <f t="shared" si="4"/>
        <v>1.065820969</v>
      </c>
      <c r="AR215" s="5">
        <f t="shared" si="5"/>
        <v>1.024729999</v>
      </c>
      <c r="AS215" s="5">
        <f t="shared" ref="AS215:AU215" si="217">AS214*(1+AM215)</f>
        <v>1.068221084</v>
      </c>
      <c r="AT215" s="5">
        <f t="shared" si="217"/>
        <v>0.9387986945</v>
      </c>
      <c r="AU215" s="5">
        <f t="shared" si="217"/>
        <v>0.9280751383</v>
      </c>
    </row>
    <row r="216" ht="15.75" customHeight="1">
      <c r="A216" s="3">
        <v>44140.0</v>
      </c>
      <c r="B216" s="4">
        <v>0.008567</v>
      </c>
      <c r="C216" s="4">
        <v>0.016253</v>
      </c>
      <c r="D216" s="4">
        <v>0.015971</v>
      </c>
      <c r="E216" s="4">
        <v>0.001378</v>
      </c>
      <c r="F216" s="4">
        <v>0.005491</v>
      </c>
      <c r="G216" s="4">
        <v>0.002583</v>
      </c>
      <c r="H216" s="4">
        <v>0.012372</v>
      </c>
      <c r="I216" s="4">
        <v>0.019024</v>
      </c>
      <c r="J216" s="4">
        <v>0.01877</v>
      </c>
      <c r="K216" s="4">
        <v>8.79E-4</v>
      </c>
      <c r="L216" s="4">
        <v>0.006135</v>
      </c>
      <c r="M216" s="4">
        <v>0.022647</v>
      </c>
      <c r="N216" s="4">
        <v>0.03128</v>
      </c>
      <c r="O216" s="4">
        <v>0.016188</v>
      </c>
      <c r="P216" s="4">
        <v>0.042563</v>
      </c>
      <c r="Q216" s="4">
        <v>0.119153</v>
      </c>
      <c r="R216" s="4">
        <v>0.045556</v>
      </c>
      <c r="S216" s="4">
        <v>0.063081</v>
      </c>
      <c r="T216" s="4">
        <v>0.039404</v>
      </c>
      <c r="U216" s="4">
        <v>0.028746</v>
      </c>
      <c r="V216" s="4">
        <v>0.0268559306504738</v>
      </c>
      <c r="W216" s="4">
        <v>0.0053440655114829</v>
      </c>
      <c r="X216" s="4">
        <v>-0.0045385605986684</v>
      </c>
      <c r="Y216" s="4">
        <v>0.0051039223468116</v>
      </c>
      <c r="Z216" s="4">
        <v>-0.0065281023865133</v>
      </c>
      <c r="AA216" s="4">
        <v>0.0187737855726739</v>
      </c>
      <c r="AB216" s="4">
        <v>0.0142162499240467</v>
      </c>
      <c r="AC216" s="4">
        <v>-0.0251797627502244</v>
      </c>
      <c r="AD216" s="4">
        <v>-0.0187008926389796</v>
      </c>
      <c r="AE216" s="4">
        <v>-0.0022704891082472</v>
      </c>
      <c r="AF216" s="4">
        <v>-0.0190346480515712</v>
      </c>
      <c r="AG216" s="4">
        <v>-0.0113135123613351</v>
      </c>
      <c r="AH216" s="4">
        <v>0.0691420732006076</v>
      </c>
      <c r="AI216" s="4">
        <v>-0.0017841060239099</v>
      </c>
      <c r="AJ216" s="4">
        <v>0.01946</v>
      </c>
      <c r="AK216" s="4">
        <f>Weights!E272</f>
        <v>0.0161925775</v>
      </c>
      <c r="AL216" s="5">
        <v>0.0188470165798373</v>
      </c>
      <c r="AM216" s="5">
        <v>0.0218064322539806</v>
      </c>
      <c r="AN216" s="5">
        <v>0.00382487124030594</v>
      </c>
      <c r="AO216" s="5">
        <v>0.0063978947577985</v>
      </c>
      <c r="AP216" s="6">
        <f t="shared" si="3"/>
        <v>1.071368622</v>
      </c>
      <c r="AQ216" s="4">
        <f t="shared" si="4"/>
        <v>1.086561845</v>
      </c>
      <c r="AR216" s="5">
        <f t="shared" si="5"/>
        <v>1.044043102</v>
      </c>
      <c r="AS216" s="5">
        <f t="shared" ref="AS216:AU216" si="218">AS215*(1+AM216)</f>
        <v>1.091515175</v>
      </c>
      <c r="AT216" s="5">
        <f t="shared" si="218"/>
        <v>0.9423894786</v>
      </c>
      <c r="AU216" s="5">
        <f t="shared" si="218"/>
        <v>0.9340128653</v>
      </c>
    </row>
    <row r="217" ht="15.75" customHeight="1">
      <c r="A217" s="3">
        <v>44141.0</v>
      </c>
      <c r="B217" s="4">
        <v>0.011325</v>
      </c>
      <c r="C217" s="4">
        <v>0.006535</v>
      </c>
      <c r="D217" s="4">
        <v>-0.003989</v>
      </c>
      <c r="E217" s="4">
        <v>0.00239</v>
      </c>
      <c r="F217" s="4">
        <v>2.02E-4</v>
      </c>
      <c r="G217" s="4">
        <v>0.017816</v>
      </c>
      <c r="H217" s="4">
        <v>0.00597</v>
      </c>
      <c r="I217" s="4">
        <v>-0.033462</v>
      </c>
      <c r="J217" s="4">
        <v>0.013091</v>
      </c>
      <c r="K217" s="4">
        <v>0.001537</v>
      </c>
      <c r="L217" s="4">
        <v>0.005285</v>
      </c>
      <c r="M217" s="4">
        <v>-6.92E-4</v>
      </c>
      <c r="N217" s="4">
        <v>0.001621</v>
      </c>
      <c r="O217" s="4">
        <v>0.006485</v>
      </c>
      <c r="P217" s="4">
        <v>0.004274</v>
      </c>
      <c r="Q217" s="4">
        <v>0.015773</v>
      </c>
      <c r="R217" s="4">
        <v>0.015941</v>
      </c>
      <c r="S217" s="4">
        <v>0.02276</v>
      </c>
      <c r="T217" s="4">
        <v>-0.007787</v>
      </c>
      <c r="U217" s="4">
        <v>0.004437</v>
      </c>
      <c r="V217" s="4">
        <v>0.00307713755748406</v>
      </c>
      <c r="W217" s="4">
        <v>0.0028792071863095</v>
      </c>
      <c r="X217" s="4">
        <v>0.0</v>
      </c>
      <c r="Y217" s="4">
        <v>-0.0116491672937073</v>
      </c>
      <c r="Z217" s="4">
        <v>0.0023668296152581</v>
      </c>
      <c r="AA217" s="4">
        <v>-0.0285494500363119</v>
      </c>
      <c r="AB217" s="4">
        <v>0.0014755087280846</v>
      </c>
      <c r="AC217" s="4">
        <v>0.0</v>
      </c>
      <c r="AD217" s="4">
        <v>0.0</v>
      </c>
      <c r="AE217" s="4">
        <v>-0.0179032603719142</v>
      </c>
      <c r="AF217" s="4">
        <v>-0.0065835138574095</v>
      </c>
      <c r="AG217" s="4">
        <v>0.0028608015587434</v>
      </c>
      <c r="AH217" s="4">
        <v>0.0299401633595606</v>
      </c>
      <c r="AI217" s="4">
        <v>-0.006255731357695</v>
      </c>
      <c r="AJ217" s="4">
        <v>-2.88E-4</v>
      </c>
      <c r="AK217" s="4">
        <f>Weights!E273</f>
        <v>0.0007029901985</v>
      </c>
      <c r="AL217" s="5">
        <v>0.0211551025299003</v>
      </c>
      <c r="AM217" s="5">
        <v>0.0206576473151522</v>
      </c>
      <c r="AN217" s="5">
        <v>0.0152412817339675</v>
      </c>
      <c r="AO217" s="5">
        <v>0.0168467418424931</v>
      </c>
      <c r="AP217" s="6">
        <f t="shared" si="3"/>
        <v>1.072121784</v>
      </c>
      <c r="AQ217" s="4">
        <f t="shared" si="4"/>
        <v>1.086248915</v>
      </c>
      <c r="AR217" s="5">
        <f t="shared" si="5"/>
        <v>1.066129941</v>
      </c>
      <c r="AS217" s="5">
        <f t="shared" ref="AS217:AU217" si="219">AS216*(1+AM217)</f>
        <v>1.11406331</v>
      </c>
      <c r="AT217" s="5">
        <f t="shared" si="219"/>
        <v>0.9567527022</v>
      </c>
      <c r="AU217" s="5">
        <f t="shared" si="219"/>
        <v>0.9497479389</v>
      </c>
    </row>
    <row r="218" ht="15.75" customHeight="1">
      <c r="A218" s="3">
        <v>44144.0</v>
      </c>
      <c r="B218" s="4">
        <v>0.034154</v>
      </c>
      <c r="C218" s="4">
        <v>0.022382</v>
      </c>
      <c r="D218" s="4">
        <v>0.031567</v>
      </c>
      <c r="E218" s="4">
        <v>5.06E-4</v>
      </c>
      <c r="F218" s="4">
        <v>0.063094</v>
      </c>
      <c r="G218" s="4">
        <v>0.026924</v>
      </c>
      <c r="H218" s="4">
        <v>-0.036584</v>
      </c>
      <c r="I218" s="4">
        <v>0.055029</v>
      </c>
      <c r="J218" s="4">
        <v>4.79E-4</v>
      </c>
      <c r="K218" s="4">
        <v>0.058965</v>
      </c>
      <c r="L218" s="4">
        <v>0.011727</v>
      </c>
      <c r="M218" s="4">
        <v>0.110803</v>
      </c>
      <c r="N218" s="4">
        <v>0.046001</v>
      </c>
      <c r="O218" s="4">
        <v>0.02988</v>
      </c>
      <c r="P218" s="4">
        <v>-0.031259</v>
      </c>
      <c r="Q218" s="4">
        <v>-0.132764</v>
      </c>
      <c r="R218" s="4">
        <v>0.035042</v>
      </c>
      <c r="S218" s="4">
        <v>-0.076098</v>
      </c>
      <c r="T218" s="4">
        <v>0.048327</v>
      </c>
      <c r="U218" s="4">
        <v>7.05E-4</v>
      </c>
      <c r="V218" s="4">
        <v>0.108128869380181</v>
      </c>
      <c r="W218" s="4">
        <v>0.004858708870856</v>
      </c>
      <c r="X218" s="4">
        <v>0.0258751945631499</v>
      </c>
      <c r="Y218" s="4">
        <v>0.0244799973152149</v>
      </c>
      <c r="Z218" s="4">
        <v>0.0423469143296795</v>
      </c>
      <c r="AA218" s="4">
        <v>0.0056446378244674</v>
      </c>
      <c r="AB218" s="4">
        <v>0.013628083455123</v>
      </c>
      <c r="AC218" s="4">
        <v>0.0164533893822445</v>
      </c>
      <c r="AD218" s="4">
        <v>0.0079839752551376</v>
      </c>
      <c r="AE218" s="4">
        <v>2.317545775787E-4</v>
      </c>
      <c r="AF218" s="4">
        <v>0.017090951787904</v>
      </c>
      <c r="AG218" s="4">
        <v>0.0354786025151545</v>
      </c>
      <c r="AH218" s="4">
        <v>-0.0127907407096805</v>
      </c>
      <c r="AI218" s="4">
        <v>0.0053959394025884</v>
      </c>
      <c r="AJ218" s="4">
        <v>0.0117</v>
      </c>
      <c r="AK218" s="4">
        <f>Weights!E274</f>
        <v>0.02052184945</v>
      </c>
      <c r="AL218" s="5">
        <v>0.00134897277338152</v>
      </c>
      <c r="AM218" s="5">
        <v>-5.01731067603872E-4</v>
      </c>
      <c r="AN218" s="5">
        <v>0.00458731871334916</v>
      </c>
      <c r="AO218" s="5">
        <v>0.00312594890626138</v>
      </c>
      <c r="AP218" s="6">
        <f t="shared" si="3"/>
        <v>1.094123705</v>
      </c>
      <c r="AQ218" s="4">
        <f t="shared" si="4"/>
        <v>1.098958028</v>
      </c>
      <c r="AR218" s="5">
        <f t="shared" si="5"/>
        <v>1.067568122</v>
      </c>
      <c r="AS218" s="5">
        <f t="shared" ref="AS218:AU218" si="220">AS217*(1+AM218)</f>
        <v>1.11350435</v>
      </c>
      <c r="AT218" s="5">
        <f t="shared" si="220"/>
        <v>0.9611416317</v>
      </c>
      <c r="AU218" s="5">
        <f t="shared" si="220"/>
        <v>0.9527168025</v>
      </c>
    </row>
    <row r="219" ht="15.75" customHeight="1">
      <c r="A219" s="3">
        <v>44145.0</v>
      </c>
      <c r="B219" s="4">
        <v>0.020574</v>
      </c>
      <c r="C219" s="4">
        <v>0.021056</v>
      </c>
      <c r="D219" s="4">
        <v>0.040192</v>
      </c>
      <c r="E219" s="4">
        <v>0.023619</v>
      </c>
      <c r="F219" s="4">
        <v>0.026821</v>
      </c>
      <c r="G219" s="4">
        <v>0.01506</v>
      </c>
      <c r="H219" s="4">
        <v>0.01645</v>
      </c>
      <c r="I219" s="4">
        <v>0.050432</v>
      </c>
      <c r="J219" s="4">
        <v>0.005501</v>
      </c>
      <c r="K219" s="4">
        <v>0.021735</v>
      </c>
      <c r="L219" s="4">
        <v>0.014655</v>
      </c>
      <c r="M219" s="4">
        <v>0.051122</v>
      </c>
      <c r="N219" s="4">
        <v>0.008398</v>
      </c>
      <c r="O219" s="4">
        <v>-0.036674</v>
      </c>
      <c r="P219" s="4">
        <v>-0.016967</v>
      </c>
      <c r="Q219" s="4">
        <v>-0.016115</v>
      </c>
      <c r="R219" s="4">
        <v>0.001516</v>
      </c>
      <c r="S219" s="4">
        <v>-0.050538</v>
      </c>
      <c r="T219" s="4">
        <v>0.020095</v>
      </c>
      <c r="U219" s="4">
        <v>0.007622</v>
      </c>
      <c r="V219" s="4">
        <v>0.0553631050975844</v>
      </c>
      <c r="W219" s="4">
        <v>0.0356045204742769</v>
      </c>
      <c r="X219" s="4">
        <v>0.0</v>
      </c>
      <c r="Y219" s="4">
        <v>0.017922189807852</v>
      </c>
      <c r="Z219" s="4">
        <v>0.0153251414110466</v>
      </c>
      <c r="AA219" s="4">
        <v>0.0069224614773661</v>
      </c>
      <c r="AB219" s="4">
        <v>0.0276163013655534</v>
      </c>
      <c r="AC219" s="4">
        <v>0.0</v>
      </c>
      <c r="AD219" s="4">
        <v>-0.0019802696164114</v>
      </c>
      <c r="AE219" s="4">
        <v>0.0096532034511269</v>
      </c>
      <c r="AF219" s="4">
        <v>0.0353224192407273</v>
      </c>
      <c r="AG219" s="4">
        <v>0.0235883402822134</v>
      </c>
      <c r="AH219" s="4">
        <v>0.0388693202177836</v>
      </c>
      <c r="AI219" s="4">
        <v>-0.0035779863375978</v>
      </c>
      <c r="AJ219" s="4">
        <v>-0.0014</v>
      </c>
      <c r="AK219" s="4">
        <f>Weights!E275</f>
        <v>0.0168098754</v>
      </c>
      <c r="AL219" s="5">
        <v>0.0151079668282574</v>
      </c>
      <c r="AM219" s="5">
        <v>0.0118822023093942</v>
      </c>
      <c r="AN219" s="5">
        <v>0.0166042950604856</v>
      </c>
      <c r="AO219" s="5">
        <v>0.0180742086693572</v>
      </c>
      <c r="AP219" s="6">
        <f t="shared" si="3"/>
        <v>1.112515789</v>
      </c>
      <c r="AQ219" s="4">
        <f t="shared" si="4"/>
        <v>1.097419486</v>
      </c>
      <c r="AR219" s="5">
        <f t="shared" si="5"/>
        <v>1.083696905</v>
      </c>
      <c r="AS219" s="5">
        <f t="shared" ref="AS219:AU219" si="221">AS218*(1+AM219)</f>
        <v>1.126735234</v>
      </c>
      <c r="AT219" s="5">
        <f t="shared" si="221"/>
        <v>0.977100711</v>
      </c>
      <c r="AU219" s="5">
        <f t="shared" si="221"/>
        <v>0.9699364048</v>
      </c>
    </row>
    <row r="220" ht="15.75" customHeight="1">
      <c r="A220" s="3">
        <v>44146.0</v>
      </c>
      <c r="B220" s="4">
        <v>0.012732</v>
      </c>
      <c r="C220" s="4">
        <v>-0.001637</v>
      </c>
      <c r="D220" s="4">
        <v>0.018002</v>
      </c>
      <c r="E220" s="4">
        <v>0.015382</v>
      </c>
      <c r="F220" s="4">
        <v>-0.00741</v>
      </c>
      <c r="G220" s="4">
        <v>-0.003237</v>
      </c>
      <c r="H220" s="4">
        <v>0.012905</v>
      </c>
      <c r="I220" s="4">
        <v>0.001973</v>
      </c>
      <c r="J220" s="4">
        <v>0.001427</v>
      </c>
      <c r="K220" s="4">
        <v>0.007901</v>
      </c>
      <c r="L220" s="4">
        <v>0.00709</v>
      </c>
      <c r="M220" s="4">
        <v>-0.02669</v>
      </c>
      <c r="N220" s="4">
        <v>0.001972</v>
      </c>
      <c r="O220" s="4">
        <v>0.017538</v>
      </c>
      <c r="P220" s="4">
        <v>0.011404</v>
      </c>
      <c r="Q220" s="4">
        <v>-0.033667</v>
      </c>
      <c r="R220" s="4">
        <v>-0.014632</v>
      </c>
      <c r="S220" s="4">
        <v>0.010872</v>
      </c>
      <c r="T220" s="4">
        <v>-0.018733</v>
      </c>
      <c r="U220" s="4">
        <v>0.016343</v>
      </c>
      <c r="V220" s="4">
        <v>0.0163934820612339</v>
      </c>
      <c r="W220" s="4">
        <v>-0.0081706973006321</v>
      </c>
      <c r="X220" s="4">
        <v>0.0044510219235227</v>
      </c>
      <c r="Y220" s="4">
        <v>-0.0281847142106679</v>
      </c>
      <c r="Z220" s="4">
        <v>-0.0271028855640976</v>
      </c>
      <c r="AA220" s="4">
        <v>0.0176510746268043</v>
      </c>
      <c r="AB220" s="4">
        <v>0.0017679110523916</v>
      </c>
      <c r="AC220" s="4">
        <v>0.0089927907064506</v>
      </c>
      <c r="AD220" s="4">
        <v>0.0099206514736751</v>
      </c>
      <c r="AE220" s="4">
        <v>0.0198103572042263</v>
      </c>
      <c r="AF220" s="4">
        <v>-0.0096057810440256</v>
      </c>
      <c r="AG220" s="4">
        <v>0.0154749383348753</v>
      </c>
      <c r="AH220" s="4">
        <v>-0.129251721827429</v>
      </c>
      <c r="AI220" s="4">
        <v>0.0062837092152541</v>
      </c>
      <c r="AJ220" s="4">
        <v>0.007652</v>
      </c>
      <c r="AK220" s="4">
        <f>Weights!E276</f>
        <v>-0.004193071527</v>
      </c>
      <c r="AL220" s="5">
        <v>0.00227502712397886</v>
      </c>
      <c r="AM220" s="5">
        <v>-0.00165386730082583</v>
      </c>
      <c r="AN220" s="5">
        <v>-0.00122509796641578</v>
      </c>
      <c r="AO220" s="5">
        <v>-6.12043733851708E-4</v>
      </c>
      <c r="AP220" s="6">
        <f t="shared" si="3"/>
        <v>1.10785093</v>
      </c>
      <c r="AQ220" s="4">
        <f t="shared" si="4"/>
        <v>1.10581694</v>
      </c>
      <c r="AR220" s="5">
        <f t="shared" si="5"/>
        <v>1.086162345</v>
      </c>
      <c r="AS220" s="5">
        <f t="shared" ref="AS220:AU220" si="222">AS219*(1+AM220)</f>
        <v>1.124871764</v>
      </c>
      <c r="AT220" s="5">
        <f t="shared" si="222"/>
        <v>0.9759036669</v>
      </c>
      <c r="AU220" s="5">
        <f t="shared" si="222"/>
        <v>0.9693427613</v>
      </c>
    </row>
    <row r="221" ht="15.75" customHeight="1">
      <c r="A221" s="3">
        <v>44147.0</v>
      </c>
      <c r="B221" s="4">
        <v>-5.24E-4</v>
      </c>
      <c r="C221" s="4">
        <v>-0.003443</v>
      </c>
      <c r="D221" s="4">
        <v>-0.00992</v>
      </c>
      <c r="E221" s="4">
        <v>-4.17E-4</v>
      </c>
      <c r="F221" s="4">
        <v>-0.010638</v>
      </c>
      <c r="G221" s="4">
        <v>0.003383</v>
      </c>
      <c r="H221" s="4">
        <v>5.63E-4</v>
      </c>
      <c r="I221" s="4">
        <v>-0.029839</v>
      </c>
      <c r="J221" s="4">
        <v>-0.012114</v>
      </c>
      <c r="K221" s="4">
        <v>-0.013266</v>
      </c>
      <c r="L221" s="4">
        <v>-0.004302</v>
      </c>
      <c r="M221" s="4">
        <v>-0.03961</v>
      </c>
      <c r="N221" s="4">
        <v>-0.018591</v>
      </c>
      <c r="O221" s="4">
        <v>-0.014085</v>
      </c>
      <c r="P221" s="4">
        <v>-0.009295</v>
      </c>
      <c r="Q221" s="4">
        <v>-0.016949</v>
      </c>
      <c r="R221" s="4">
        <v>-5.12E-4</v>
      </c>
      <c r="S221" s="4">
        <v>0.010755</v>
      </c>
      <c r="T221" s="4">
        <v>-0.023617</v>
      </c>
      <c r="U221" s="4">
        <v>-0.007075</v>
      </c>
      <c r="V221" s="4">
        <v>0.00258074594682455</v>
      </c>
      <c r="W221" s="4">
        <v>-0.004707442284653</v>
      </c>
      <c r="X221" s="4">
        <v>0.004431298118448</v>
      </c>
      <c r="Y221" s="4">
        <v>0.017744143514861</v>
      </c>
      <c r="Z221" s="4">
        <v>0.0168806395631126</v>
      </c>
      <c r="AA221" s="4">
        <v>-0.0056600554212481</v>
      </c>
      <c r="AB221" s="4">
        <v>-0.0060007778786138</v>
      </c>
      <c r="AC221" s="4">
        <v>-0.0071299775616407</v>
      </c>
      <c r="AD221" s="4">
        <v>0.0058940098934721</v>
      </c>
      <c r="AE221" s="4">
        <v>-0.0336009389120579</v>
      </c>
      <c r="AF221" s="4">
        <v>0.0260869075000207</v>
      </c>
      <c r="AG221" s="4">
        <v>0.0172270943174357</v>
      </c>
      <c r="AH221" s="4">
        <v>0.0104166876860996</v>
      </c>
      <c r="AI221" s="4">
        <v>0.0031224846208586</v>
      </c>
      <c r="AJ221" s="4">
        <v>-0.009979</v>
      </c>
      <c r="AK221" s="4">
        <f>Weights!E277</f>
        <v>-0.004762873938</v>
      </c>
      <c r="AL221" s="5">
        <v>0.00699886735496568</v>
      </c>
      <c r="AM221" s="5">
        <v>0.00811751884068834</v>
      </c>
      <c r="AN221" s="5">
        <v>0.0139001959278961</v>
      </c>
      <c r="AO221" s="5">
        <v>0.0125572796966018</v>
      </c>
      <c r="AP221" s="6">
        <f t="shared" si="3"/>
        <v>1.102574376</v>
      </c>
      <c r="AQ221" s="4">
        <f t="shared" si="4"/>
        <v>1.094781993</v>
      </c>
      <c r="AR221" s="5">
        <f t="shared" si="5"/>
        <v>1.093764251</v>
      </c>
      <c r="AS221" s="5">
        <f t="shared" ref="AS221:AU221" si="223">AS220*(1+AM221)</f>
        <v>1.134002931</v>
      </c>
      <c r="AT221" s="5">
        <f t="shared" si="223"/>
        <v>0.9894689191</v>
      </c>
      <c r="AU221" s="5">
        <f t="shared" si="223"/>
        <v>0.9815150694</v>
      </c>
    </row>
    <row r="222" ht="15.75" customHeight="1">
      <c r="A222" s="3">
        <v>44148.0</v>
      </c>
      <c r="B222" s="4">
        <v>-0.01153</v>
      </c>
      <c r="C222" s="4">
        <v>0.004442</v>
      </c>
      <c r="D222" s="4">
        <v>-0.006535</v>
      </c>
      <c r="E222" s="4">
        <v>0.006048</v>
      </c>
      <c r="F222" s="4">
        <v>0.0083</v>
      </c>
      <c r="G222" s="4">
        <v>0.010789</v>
      </c>
      <c r="H222" s="4">
        <v>0.014984</v>
      </c>
      <c r="I222" s="4">
        <v>-0.017623</v>
      </c>
      <c r="J222" s="4">
        <v>-0.006011</v>
      </c>
      <c r="K222" s="4">
        <v>0.006111</v>
      </c>
      <c r="L222" s="4">
        <v>9.17E-4</v>
      </c>
      <c r="M222" s="4">
        <v>0.003173</v>
      </c>
      <c r="N222" s="4">
        <v>-0.00936</v>
      </c>
      <c r="O222" s="4">
        <v>0.009164</v>
      </c>
      <c r="P222" s="4">
        <v>0.010612</v>
      </c>
      <c r="Q222" s="4">
        <v>0.018199</v>
      </c>
      <c r="R222" s="4">
        <v>0.031762</v>
      </c>
      <c r="S222" s="4">
        <v>0.007537</v>
      </c>
      <c r="T222" s="4">
        <v>0.041322</v>
      </c>
      <c r="U222" s="4">
        <v>0.005275</v>
      </c>
      <c r="V222" s="4">
        <v>-0.0135134497070197</v>
      </c>
      <c r="W222" s="4">
        <v>0.0276255626197359</v>
      </c>
      <c r="X222" s="4">
        <v>0.0</v>
      </c>
      <c r="Y222" s="4">
        <v>0.0044683093322308</v>
      </c>
      <c r="Z222" s="4">
        <v>6.476669853314E-4</v>
      </c>
      <c r="AA222" s="4">
        <v>0.0099156480350575</v>
      </c>
      <c r="AB222" s="4">
        <v>0.0</v>
      </c>
      <c r="AC222" s="4">
        <v>0.0</v>
      </c>
      <c r="AD222" s="4">
        <v>0.0</v>
      </c>
      <c r="AE222" s="4">
        <v>-0.0092355300510357</v>
      </c>
      <c r="AF222" s="4">
        <v>-0.0162971464625935</v>
      </c>
      <c r="AG222" s="4">
        <v>0.0576453583394622</v>
      </c>
      <c r="AH222" s="4">
        <v>0.0567009905431397</v>
      </c>
      <c r="AI222" s="4">
        <v>-0.0013341131561305</v>
      </c>
      <c r="AJ222" s="4">
        <v>0.01361</v>
      </c>
      <c r="AK222" s="4">
        <f>Weights!E278</f>
        <v>0.007701242034</v>
      </c>
      <c r="AL222" s="5">
        <v>-0.0103314697186474</v>
      </c>
      <c r="AM222" s="5">
        <v>-0.00985978566630463</v>
      </c>
      <c r="AN222" s="5">
        <v>0.0129034289775258</v>
      </c>
      <c r="AO222" s="5">
        <v>0.00877188421218155</v>
      </c>
      <c r="AP222" s="6">
        <f t="shared" si="3"/>
        <v>1.111065568</v>
      </c>
      <c r="AQ222" s="4">
        <f t="shared" si="4"/>
        <v>1.109681976</v>
      </c>
      <c r="AR222" s="5">
        <f t="shared" si="5"/>
        <v>1.082464059</v>
      </c>
      <c r="AS222" s="5">
        <f t="shared" ref="AS222:AU222" si="224">AS221*(1+AM222)</f>
        <v>1.122821906</v>
      </c>
      <c r="AT222" s="5">
        <f t="shared" si="224"/>
        <v>1.002236461</v>
      </c>
      <c r="AU222" s="5">
        <f t="shared" si="224"/>
        <v>0.990124806</v>
      </c>
    </row>
    <row r="223" ht="15.75" customHeight="1">
      <c r="A223" s="3">
        <v>44151.0</v>
      </c>
      <c r="B223" s="4">
        <v>0.009014</v>
      </c>
      <c r="C223" s="4">
        <v>-0.002784</v>
      </c>
      <c r="D223" s="4">
        <v>0.010305</v>
      </c>
      <c r="E223" s="4">
        <v>0.007256</v>
      </c>
      <c r="F223" s="4">
        <v>0.007484</v>
      </c>
      <c r="G223" s="4">
        <v>0.006338</v>
      </c>
      <c r="H223" s="4">
        <v>-0.012822</v>
      </c>
      <c r="I223" s="4">
        <v>0.019697</v>
      </c>
      <c r="J223" s="4">
        <v>-0.00508</v>
      </c>
      <c r="K223" s="4">
        <v>0.023284</v>
      </c>
      <c r="L223" s="4">
        <v>0.016353</v>
      </c>
      <c r="M223" s="4">
        <v>0.054396</v>
      </c>
      <c r="N223" s="4">
        <v>0.020022</v>
      </c>
      <c r="O223" s="4">
        <v>0.003725</v>
      </c>
      <c r="P223" s="4">
        <v>-6.09E-4</v>
      </c>
      <c r="Q223" s="4">
        <v>-0.044215</v>
      </c>
      <c r="R223" s="4">
        <v>0.042701</v>
      </c>
      <c r="S223" s="4">
        <v>-0.017822</v>
      </c>
      <c r="T223" s="4">
        <v>0.051103</v>
      </c>
      <c r="U223" s="4">
        <v>-0.009482</v>
      </c>
      <c r="V223" s="4">
        <v>0.0215260992276409</v>
      </c>
      <c r="W223" s="4">
        <v>0.0719141222400503</v>
      </c>
      <c r="X223" s="4">
        <v>0.0204081830061135</v>
      </c>
      <c r="Y223" s="4">
        <v>0.0243582213986497</v>
      </c>
      <c r="Z223" s="4">
        <v>0.0152471735350681</v>
      </c>
      <c r="AA223" s="4">
        <v>0.0140000263688511</v>
      </c>
      <c r="AB223" s="4">
        <v>0.0181108444183961</v>
      </c>
      <c r="AC223" s="4">
        <v>0.0161579941243192</v>
      </c>
      <c r="AD223" s="4">
        <v>0.0192676277174521</v>
      </c>
      <c r="AE223" s="4">
        <v>0.0104967317670825</v>
      </c>
      <c r="AF223" s="4">
        <v>0.0470509728315908</v>
      </c>
      <c r="AG223" s="4">
        <v>0.0397227916520117</v>
      </c>
      <c r="AH223" s="4">
        <v>0.168292698350993</v>
      </c>
      <c r="AI223" s="4">
        <v>-0.0013360944226469</v>
      </c>
      <c r="AJ223" s="4">
        <v>0.011648</v>
      </c>
      <c r="AK223" s="4">
        <f>Weights!E279</f>
        <v>0.02397663285</v>
      </c>
      <c r="AL223" s="5">
        <v>0.0124322100401859</v>
      </c>
      <c r="AM223" s="5">
        <v>0.0141623207213004</v>
      </c>
      <c r="AN223" s="5">
        <v>0.0103503056797455</v>
      </c>
      <c r="AO223" s="5">
        <v>0.00959537793267961</v>
      </c>
      <c r="AP223" s="6">
        <f t="shared" si="3"/>
        <v>1.137705179</v>
      </c>
      <c r="AQ223" s="4">
        <f t="shared" si="4"/>
        <v>1.122607552</v>
      </c>
      <c r="AR223" s="5">
        <f t="shared" si="5"/>
        <v>1.09592148</v>
      </c>
      <c r="AS223" s="5">
        <f t="shared" ref="AS223:AU223" si="225">AS222*(1+AM223)</f>
        <v>1.138723669</v>
      </c>
      <c r="AT223" s="5">
        <f t="shared" si="225"/>
        <v>1.012609915</v>
      </c>
      <c r="AU223" s="5">
        <f t="shared" si="225"/>
        <v>0.9996254277</v>
      </c>
    </row>
    <row r="224" ht="15.75" customHeight="1">
      <c r="A224" s="3">
        <v>44152.0</v>
      </c>
      <c r="B224" s="4">
        <v>-0.004204</v>
      </c>
      <c r="C224" s="4">
        <v>-0.002299</v>
      </c>
      <c r="D224" s="4">
        <v>0.0</v>
      </c>
      <c r="E224" s="4">
        <v>-0.003567</v>
      </c>
      <c r="F224" s="4">
        <v>-0.003157</v>
      </c>
      <c r="G224" s="4">
        <v>-0.009944</v>
      </c>
      <c r="H224" s="4">
        <v>-0.003861</v>
      </c>
      <c r="I224" s="4">
        <v>0.023801</v>
      </c>
      <c r="J224" s="4">
        <v>0.008159</v>
      </c>
      <c r="K224" s="4">
        <v>0.015433</v>
      </c>
      <c r="L224" s="4">
        <v>0.016347</v>
      </c>
      <c r="M224" s="4">
        <v>0.0</v>
      </c>
      <c r="N224" s="4">
        <v>-0.004191</v>
      </c>
      <c r="O224" s="4">
        <v>-0.006449</v>
      </c>
      <c r="P224" s="4">
        <v>-0.01736</v>
      </c>
      <c r="Q224" s="4">
        <v>-0.009842</v>
      </c>
      <c r="R224" s="4">
        <v>0.001429</v>
      </c>
      <c r="S224" s="4">
        <v>-0.004928</v>
      </c>
      <c r="T224" s="4">
        <v>-0.008103</v>
      </c>
      <c r="U224" s="4">
        <v>-0.003067</v>
      </c>
      <c r="V224" s="4">
        <v>0.0785441338591192</v>
      </c>
      <c r="W224" s="4">
        <v>0.0170772050525347</v>
      </c>
      <c r="X224" s="4">
        <v>0.0142858497076512</v>
      </c>
      <c r="Y224" s="4">
        <v>0.0122454596790697</v>
      </c>
      <c r="Z224" s="4">
        <v>0.0080756559690517</v>
      </c>
      <c r="AA224" s="4">
        <v>0.0109377669365191</v>
      </c>
      <c r="AB224" s="4">
        <v>0.0233693186384047</v>
      </c>
      <c r="AC224" s="4">
        <v>0.0159010648125084</v>
      </c>
      <c r="AD224" s="4">
        <v>-0.0189034039672192</v>
      </c>
      <c r="AE224" s="4">
        <v>-0.0279070323846638</v>
      </c>
      <c r="AF224" s="4">
        <v>0.0212025746784223</v>
      </c>
      <c r="AG224" s="4">
        <v>0.0399826343923535</v>
      </c>
      <c r="AH224" s="4">
        <v>0.0146137771469447</v>
      </c>
      <c r="AI224" s="4">
        <v>4.459274368937E-4</v>
      </c>
      <c r="AJ224" s="4">
        <v>-0.004792</v>
      </c>
      <c r="AK224" s="4">
        <f>Weights!E280</f>
        <v>0.008973330569</v>
      </c>
      <c r="AL224" s="5">
        <v>0.0117173084398174</v>
      </c>
      <c r="AM224" s="5">
        <v>0.0122190926323051</v>
      </c>
      <c r="AN224" s="5">
        <v>-0.0118204289131237</v>
      </c>
      <c r="AO224" s="5">
        <v>-0.0112862319461101</v>
      </c>
      <c r="AP224" s="6">
        <f t="shared" si="3"/>
        <v>1.147914184</v>
      </c>
      <c r="AQ224" s="4">
        <f t="shared" si="4"/>
        <v>1.117228016</v>
      </c>
      <c r="AR224" s="5">
        <f t="shared" si="5"/>
        <v>1.10876273</v>
      </c>
      <c r="AS224" s="5">
        <f t="shared" ref="AS224:AU224" si="226">AS223*(1+AM224)</f>
        <v>1.152637839</v>
      </c>
      <c r="AT224" s="5">
        <f t="shared" si="226"/>
        <v>1.000640431</v>
      </c>
      <c r="AU224" s="5">
        <f t="shared" si="226"/>
        <v>0.9883434232</v>
      </c>
    </row>
    <row r="225" ht="15.75" customHeight="1">
      <c r="A225" s="3">
        <v>44153.0</v>
      </c>
      <c r="B225" s="4">
        <v>-0.008443</v>
      </c>
      <c r="C225" s="4">
        <v>-0.007078</v>
      </c>
      <c r="D225" s="4">
        <v>-0.016059</v>
      </c>
      <c r="E225" s="4">
        <v>-0.012806</v>
      </c>
      <c r="F225" s="4">
        <v>-0.019933</v>
      </c>
      <c r="G225" s="4">
        <v>-0.013258</v>
      </c>
      <c r="H225" s="4">
        <v>-0.015365</v>
      </c>
      <c r="I225" s="4">
        <v>-0.020216</v>
      </c>
      <c r="J225" s="4">
        <v>-0.007303</v>
      </c>
      <c r="K225" s="4">
        <v>0.017342</v>
      </c>
      <c r="L225" s="4">
        <v>0.007725</v>
      </c>
      <c r="M225" s="4">
        <v>-0.0012</v>
      </c>
      <c r="N225" s="4">
        <v>0.003544</v>
      </c>
      <c r="O225" s="4">
        <v>-0.014382</v>
      </c>
      <c r="P225" s="4">
        <v>-0.046025</v>
      </c>
      <c r="Q225" s="4">
        <v>-0.032803</v>
      </c>
      <c r="R225" s="4">
        <v>-0.015216</v>
      </c>
      <c r="S225" s="4">
        <v>-0.055606</v>
      </c>
      <c r="T225" s="4">
        <v>-0.017453</v>
      </c>
      <c r="U225" s="4">
        <v>-0.014822</v>
      </c>
      <c r="V225" s="4">
        <v>0.0236828552245462</v>
      </c>
      <c r="W225" s="4">
        <v>0.0153514929931986</v>
      </c>
      <c r="X225" s="4">
        <v>0.002816703430793</v>
      </c>
      <c r="Y225" s="4">
        <v>-7.033000462158E-4</v>
      </c>
      <c r="Z225" s="4">
        <v>0.0039822154238857</v>
      </c>
      <c r="AA225" s="4">
        <v>-0.0024830772645707</v>
      </c>
      <c r="AB225" s="4">
        <v>0.0085208504901788</v>
      </c>
      <c r="AC225" s="4">
        <v>0.008695636380118</v>
      </c>
      <c r="AD225" s="4">
        <v>0.0231211088685556</v>
      </c>
      <c r="AE225" s="4">
        <v>0.0047848243814745</v>
      </c>
      <c r="AF225" s="4">
        <v>-0.0030988765314021</v>
      </c>
      <c r="AG225" s="4">
        <v>-0.0102522610501911</v>
      </c>
      <c r="AH225" s="4">
        <v>-0.0144032906669551</v>
      </c>
      <c r="AI225" s="4">
        <v>-0.002673575212107</v>
      </c>
      <c r="AJ225" s="4">
        <v>-0.011564</v>
      </c>
      <c r="AK225" s="4">
        <f>Weights!E281</f>
        <v>-0.005115605425</v>
      </c>
      <c r="AL225" s="5">
        <v>-0.00268684143968112</v>
      </c>
      <c r="AM225" s="5">
        <v>-0.00226325820291661</v>
      </c>
      <c r="AN225" s="5">
        <v>0.00478485089190683</v>
      </c>
      <c r="AO225" s="5">
        <v>0.0060080184043525</v>
      </c>
      <c r="AP225" s="6">
        <f t="shared" si="3"/>
        <v>1.142041908</v>
      </c>
      <c r="AQ225" s="4">
        <f t="shared" si="4"/>
        <v>1.104308391</v>
      </c>
      <c r="AR225" s="5">
        <f t="shared" si="5"/>
        <v>1.10578366</v>
      </c>
      <c r="AS225" s="5">
        <f t="shared" ref="AS225:AU225" si="227">AS224*(1+AM225)</f>
        <v>1.150029122</v>
      </c>
      <c r="AT225" s="5">
        <f t="shared" si="227"/>
        <v>1.005428346</v>
      </c>
      <c r="AU225" s="5">
        <f t="shared" si="227"/>
        <v>0.9942814087</v>
      </c>
    </row>
    <row r="226" ht="15.75" customHeight="1">
      <c r="A226" s="3">
        <v>44154.0</v>
      </c>
      <c r="B226" s="4">
        <v>-0.002129</v>
      </c>
      <c r="C226" s="4">
        <v>-0.001824</v>
      </c>
      <c r="D226" s="4">
        <v>0.007719</v>
      </c>
      <c r="E226" s="4">
        <v>-4.18E-4</v>
      </c>
      <c r="F226" s="4">
        <v>0.009884</v>
      </c>
      <c r="G226" s="4">
        <v>-0.001561</v>
      </c>
      <c r="H226" s="4">
        <v>-0.001217</v>
      </c>
      <c r="I226" s="4">
        <v>0.002063</v>
      </c>
      <c r="J226" s="4">
        <v>-0.003923</v>
      </c>
      <c r="K226" s="4">
        <v>0.005363</v>
      </c>
      <c r="L226" s="4">
        <v>0.001508</v>
      </c>
      <c r="M226" s="4">
        <v>6.01E-4</v>
      </c>
      <c r="N226" s="4">
        <v>-0.004855</v>
      </c>
      <c r="O226" s="4">
        <v>0.003269</v>
      </c>
      <c r="P226" s="4">
        <v>-0.002437</v>
      </c>
      <c r="Q226" s="4">
        <v>-0.021583</v>
      </c>
      <c r="R226" s="4">
        <v>0.019314</v>
      </c>
      <c r="S226" s="4">
        <v>-0.02646</v>
      </c>
      <c r="T226" s="4">
        <v>-0.001701</v>
      </c>
      <c r="U226" s="4">
        <v>0.003028</v>
      </c>
      <c r="V226" s="4">
        <v>-0.00520548830779155</v>
      </c>
      <c r="W226" s="4">
        <v>-0.0137017601687499</v>
      </c>
      <c r="X226" s="4">
        <v>0.0</v>
      </c>
      <c r="Y226" s="4">
        <v>-0.0038007975563056</v>
      </c>
      <c r="Z226" s="4">
        <v>0.0057860832930787</v>
      </c>
      <c r="AA226" s="4">
        <v>-0.0056898064138873</v>
      </c>
      <c r="AB226" s="4">
        <v>-0.010476543279134</v>
      </c>
      <c r="AC226" s="4">
        <v>-0.0034484497158853</v>
      </c>
      <c r="AD226" s="4">
        <v>-0.0037663978562273</v>
      </c>
      <c r="AE226" s="4">
        <v>0.0242856816732488</v>
      </c>
      <c r="AF226" s="4">
        <v>0.0062168669611883</v>
      </c>
      <c r="AG226" s="4">
        <v>-0.0017262635472049</v>
      </c>
      <c r="AH226" s="4">
        <v>-0.0762004316297085</v>
      </c>
      <c r="AI226" s="4">
        <v>0.0053619841128913</v>
      </c>
      <c r="AJ226" s="4">
        <v>0.003946</v>
      </c>
      <c r="AK226" s="4">
        <f>Weights!E282</f>
        <v>-0.004172852797</v>
      </c>
      <c r="AL226" s="5">
        <v>-0.00854703848005955</v>
      </c>
      <c r="AM226" s="5">
        <v>-0.0105867104281686</v>
      </c>
      <c r="AN226" s="5">
        <v>0.0134918397184919</v>
      </c>
      <c r="AO226" s="5">
        <v>0.0125410083344439</v>
      </c>
      <c r="AP226" s="6">
        <f t="shared" si="3"/>
        <v>1.137276335</v>
      </c>
      <c r="AQ226" s="4">
        <f t="shared" si="4"/>
        <v>1.108665992</v>
      </c>
      <c r="AR226" s="5">
        <f t="shared" si="5"/>
        <v>1.096332485</v>
      </c>
      <c r="AS226" s="5">
        <f t="shared" ref="AS226:AU226" si="228">AS225*(1+AM226)</f>
        <v>1.137854097</v>
      </c>
      <c r="AT226" s="5">
        <f t="shared" si="228"/>
        <v>1.018993425</v>
      </c>
      <c r="AU226" s="5">
        <f t="shared" si="228"/>
        <v>1.0067507</v>
      </c>
    </row>
    <row r="227" ht="15.75" customHeight="1">
      <c r="A227" s="3">
        <v>44155.0</v>
      </c>
      <c r="B227" s="4">
        <v>0.0032</v>
      </c>
      <c r="C227" s="4">
        <v>-0.002823</v>
      </c>
      <c r="D227" s="4">
        <v>2.19E-4</v>
      </c>
      <c r="E227" s="4">
        <v>6.98E-4</v>
      </c>
      <c r="F227" s="4">
        <v>-0.008658</v>
      </c>
      <c r="G227" s="4">
        <v>-0.005301</v>
      </c>
      <c r="H227" s="4">
        <v>-0.001648</v>
      </c>
      <c r="I227" s="4">
        <v>0.003775</v>
      </c>
      <c r="J227" s="4">
        <v>0.004678</v>
      </c>
      <c r="K227" s="4">
        <v>0.002477</v>
      </c>
      <c r="L227" s="4">
        <v>6.27E-4</v>
      </c>
      <c r="M227" s="4">
        <v>-3.66E-4</v>
      </c>
      <c r="N227" s="4">
        <v>0.00754</v>
      </c>
      <c r="O227" s="4">
        <v>-0.003494</v>
      </c>
      <c r="P227" s="4">
        <v>0.003908</v>
      </c>
      <c r="Q227" s="4">
        <v>0.013655</v>
      </c>
      <c r="R227" s="4">
        <v>0.006632</v>
      </c>
      <c r="S227" s="4">
        <v>0.011263</v>
      </c>
      <c r="T227" s="4">
        <v>-0.0053</v>
      </c>
      <c r="U227" s="4">
        <v>-5.66E-4</v>
      </c>
      <c r="V227" s="4">
        <v>-0.0180232851632627</v>
      </c>
      <c r="W227" s="4">
        <v>0.0031136079617957</v>
      </c>
      <c r="X227" s="4">
        <v>0.0</v>
      </c>
      <c r="Y227" s="4">
        <v>0.0065001821146382</v>
      </c>
      <c r="Z227" s="4">
        <v>0.0134773496813063</v>
      </c>
      <c r="AA227" s="4">
        <v>-0.0050073489724962</v>
      </c>
      <c r="AB227" s="4">
        <v>-0.0023908541520318</v>
      </c>
      <c r="AC227" s="4">
        <v>0.0</v>
      </c>
      <c r="AD227" s="4">
        <v>0.0</v>
      </c>
      <c r="AE227" s="4">
        <v>-0.0120098497556798</v>
      </c>
      <c r="AF227" s="4">
        <v>0.0071054360800928</v>
      </c>
      <c r="AG227" s="4">
        <v>0.023201940776387</v>
      </c>
      <c r="AH227" s="4">
        <v>0.0090395664391766</v>
      </c>
      <c r="AI227" s="4">
        <v>-8.8868252964E-4</v>
      </c>
      <c r="AJ227" s="4">
        <v>-0.006793</v>
      </c>
      <c r="AK227" s="4">
        <f>Weights!E283</f>
        <v>0.00197381223</v>
      </c>
      <c r="AL227" s="5">
        <v>0.00609078375502258</v>
      </c>
      <c r="AM227" s="5">
        <v>0.00556834299754305</v>
      </c>
      <c r="AN227" s="5">
        <v>0.00391557373520501</v>
      </c>
      <c r="AO227" s="5">
        <v>0.00383354656125933</v>
      </c>
      <c r="AP227" s="6">
        <f t="shared" si="3"/>
        <v>1.139521105</v>
      </c>
      <c r="AQ227" s="4">
        <f t="shared" si="4"/>
        <v>1.101134824</v>
      </c>
      <c r="AR227" s="5">
        <f t="shared" si="5"/>
        <v>1.103010009</v>
      </c>
      <c r="AS227" s="5">
        <f t="shared" ref="AS227:AU227" si="229">AS226*(1+AM227)</f>
        <v>1.144190059</v>
      </c>
      <c r="AT227" s="5">
        <f t="shared" si="229"/>
        <v>1.022983368</v>
      </c>
      <c r="AU227" s="5">
        <f t="shared" si="229"/>
        <v>1.010610126</v>
      </c>
    </row>
    <row r="228" ht="15.75" customHeight="1">
      <c r="A228" s="3">
        <v>44158.0</v>
      </c>
      <c r="B228" s="4">
        <v>0.001595</v>
      </c>
      <c r="C228" s="4">
        <v>0.003165</v>
      </c>
      <c r="D228" s="4">
        <v>0.001969</v>
      </c>
      <c r="E228" s="4">
        <v>-0.002789</v>
      </c>
      <c r="F228" s="4">
        <v>1.9E-4</v>
      </c>
      <c r="G228" s="4">
        <v>-0.010112</v>
      </c>
      <c r="H228" s="4">
        <v>-0.003877</v>
      </c>
      <c r="I228" s="4">
        <v>0.02359</v>
      </c>
      <c r="J228" s="4">
        <v>-4.9E-4</v>
      </c>
      <c r="K228" s="4">
        <v>0.013873</v>
      </c>
      <c r="L228" s="4">
        <v>0.01229</v>
      </c>
      <c r="M228" s="4">
        <v>0.009732</v>
      </c>
      <c r="N228" s="4">
        <v>-0.002862</v>
      </c>
      <c r="O228" s="4">
        <v>-0.006871</v>
      </c>
      <c r="P228" s="4">
        <v>-0.048175</v>
      </c>
      <c r="Q228" s="4">
        <v>-0.049741</v>
      </c>
      <c r="R228" s="4">
        <v>0.031059</v>
      </c>
      <c r="S228" s="4">
        <v>-0.04092</v>
      </c>
      <c r="T228" s="4">
        <v>0.021313</v>
      </c>
      <c r="U228" s="4">
        <v>-2.83E-4</v>
      </c>
      <c r="V228" s="4">
        <v>0.0106573210533986</v>
      </c>
      <c r="W228" s="4">
        <v>0.0257880789324029</v>
      </c>
      <c r="X228" s="4">
        <v>0.0096952534340535</v>
      </c>
      <c r="Y228" s="4">
        <v>0.0035095881059585</v>
      </c>
      <c r="Z228" s="4">
        <v>0.0087893678500514</v>
      </c>
      <c r="AA228" s="4">
        <v>-7.189601885075E-4</v>
      </c>
      <c r="AB228" s="4">
        <v>0.016432995912939</v>
      </c>
      <c r="AC228" s="4">
        <v>-0.0017299860107996</v>
      </c>
      <c r="AD228" s="4">
        <v>0.007504420165399</v>
      </c>
      <c r="AE228" s="4">
        <v>7.056492528854E-4</v>
      </c>
      <c r="AF228" s="4">
        <v>0.0177913944926491</v>
      </c>
      <c r="AG228" s="4">
        <v>0.0347889224407895</v>
      </c>
      <c r="AH228" s="4">
        <v>0.0145576834791811</v>
      </c>
      <c r="AI228" s="4">
        <v>0.0</v>
      </c>
      <c r="AJ228" s="4">
        <v>0.005636</v>
      </c>
      <c r="AK228" s="4">
        <f>Weights!E284</f>
        <v>0.00532979499</v>
      </c>
      <c r="AL228" s="5">
        <v>-0.00288724149598307</v>
      </c>
      <c r="AM228" s="5">
        <v>-0.00526603921453427</v>
      </c>
      <c r="AN228" s="5">
        <v>-0.00351019505933414</v>
      </c>
      <c r="AO228" s="5">
        <v>-0.00293788600186628</v>
      </c>
      <c r="AP228" s="6">
        <f t="shared" si="3"/>
        <v>1.145594519</v>
      </c>
      <c r="AQ228" s="4">
        <f t="shared" si="4"/>
        <v>1.10734082</v>
      </c>
      <c r="AR228" s="5">
        <f t="shared" si="5"/>
        <v>1.099825352</v>
      </c>
      <c r="AS228" s="5">
        <f t="shared" ref="AS228:AU228" si="230">AS227*(1+AM228)</f>
        <v>1.138164709</v>
      </c>
      <c r="AT228" s="5">
        <f t="shared" si="230"/>
        <v>1.019392497</v>
      </c>
      <c r="AU228" s="5">
        <f t="shared" si="230"/>
        <v>1.007641069</v>
      </c>
    </row>
    <row r="229" ht="15.75" customHeight="1">
      <c r="A229" s="3">
        <v>44159.0</v>
      </c>
      <c r="B229" s="4">
        <v>0.016454</v>
      </c>
      <c r="C229" s="4">
        <v>0.006807</v>
      </c>
      <c r="D229" s="4">
        <v>0.024241</v>
      </c>
      <c r="E229" s="4">
        <v>0.007062</v>
      </c>
      <c r="F229" s="4">
        <v>0.010251</v>
      </c>
      <c r="G229" s="4">
        <v>0.0</v>
      </c>
      <c r="H229" s="4">
        <v>-0.003243</v>
      </c>
      <c r="I229" s="4">
        <v>0.046092</v>
      </c>
      <c r="J229" s="4">
        <v>-0.002452</v>
      </c>
      <c r="K229" s="4">
        <v>0.027179</v>
      </c>
      <c r="L229" s="4">
        <v>0.026387</v>
      </c>
      <c r="M229" s="4">
        <v>0.046988</v>
      </c>
      <c r="N229" s="4">
        <v>0.020545</v>
      </c>
      <c r="O229" s="4">
        <v>-0.014506</v>
      </c>
      <c r="P229" s="4">
        <v>-0.030845</v>
      </c>
      <c r="Q229" s="4">
        <v>-0.068702</v>
      </c>
      <c r="R229" s="4">
        <v>0.05477</v>
      </c>
      <c r="S229" s="4">
        <v>-0.029538</v>
      </c>
      <c r="T229" s="4">
        <v>0.051239</v>
      </c>
      <c r="U229" s="4">
        <v>-0.009631</v>
      </c>
      <c r="V229" s="4">
        <v>0.0333919644934737</v>
      </c>
      <c r="W229" s="4">
        <v>-0.0034917526477293</v>
      </c>
      <c r="X229" s="4">
        <v>0.0109739859705999</v>
      </c>
      <c r="Y229" s="4">
        <v>-0.0031477571226863</v>
      </c>
      <c r="Z229" s="4">
        <v>0.0024956406549314</v>
      </c>
      <c r="AA229" s="4">
        <v>0.0052159093137091</v>
      </c>
      <c r="AB229" s="4">
        <v>0.016166997116324</v>
      </c>
      <c r="AC229" s="4">
        <v>0.0103985624722897</v>
      </c>
      <c r="AD229" s="4">
        <v>0.0</v>
      </c>
      <c r="AE229" s="4">
        <v>-0.0181817403975635</v>
      </c>
      <c r="AF229" s="4">
        <v>-0.0048222182513185</v>
      </c>
      <c r="AG229" s="4">
        <v>-0.086157634504108</v>
      </c>
      <c r="AH229" s="4">
        <v>-0.0375276362258866</v>
      </c>
      <c r="AI229" s="4">
        <v>0.0017791448312778</v>
      </c>
      <c r="AJ229" s="4">
        <v>0.016162</v>
      </c>
      <c r="AK229" s="4">
        <f>Weights!E285</f>
        <v>0.002408339612</v>
      </c>
      <c r="AL229" s="5">
        <v>0.00373623569163727</v>
      </c>
      <c r="AM229" s="5">
        <v>0.00818647354967216</v>
      </c>
      <c r="AN229" s="5">
        <v>0.00234845867084154</v>
      </c>
      <c r="AO229" s="5">
        <v>0.00176800250146458</v>
      </c>
      <c r="AP229" s="6">
        <f t="shared" si="3"/>
        <v>1.1483535</v>
      </c>
      <c r="AQ229" s="4">
        <f t="shared" si="4"/>
        <v>1.125237662</v>
      </c>
      <c r="AR229" s="5">
        <f t="shared" si="5"/>
        <v>1.103934559</v>
      </c>
      <c r="AS229" s="5">
        <f t="shared" ref="AS229:AU229" si="231">AS228*(1+AM229)</f>
        <v>1.147482265</v>
      </c>
      <c r="AT229" s="5">
        <f t="shared" si="231"/>
        <v>1.021786498</v>
      </c>
      <c r="AU229" s="5">
        <f t="shared" si="231"/>
        <v>1.00942258</v>
      </c>
    </row>
    <row r="230" ht="15.75" customHeight="1">
      <c r="A230" s="3">
        <v>44160.0</v>
      </c>
      <c r="B230" s="4">
        <v>0.003133</v>
      </c>
      <c r="C230" s="4">
        <v>-0.003793</v>
      </c>
      <c r="D230" s="4">
        <v>-0.004478</v>
      </c>
      <c r="E230" s="4">
        <v>9.03E-4</v>
      </c>
      <c r="F230" s="4">
        <v>-0.005449</v>
      </c>
      <c r="G230" s="4">
        <v>-0.001321</v>
      </c>
      <c r="H230" s="4">
        <v>0.002675</v>
      </c>
      <c r="I230" s="4">
        <v>0.015964</v>
      </c>
      <c r="J230" s="4">
        <v>-9.83E-4</v>
      </c>
      <c r="K230" s="4">
        <v>-0.002007</v>
      </c>
      <c r="L230" s="4">
        <v>8.45E-4</v>
      </c>
      <c r="M230" s="4">
        <v>-0.01496</v>
      </c>
      <c r="N230" s="4">
        <v>-0.010042</v>
      </c>
      <c r="O230" s="4">
        <v>-0.002421</v>
      </c>
      <c r="P230" s="4">
        <v>0.016001</v>
      </c>
      <c r="Q230" s="4">
        <v>0.016393</v>
      </c>
      <c r="R230" s="4">
        <v>0.018607</v>
      </c>
      <c r="S230" s="4">
        <v>0.002862</v>
      </c>
      <c r="T230" s="4">
        <v>-0.029068</v>
      </c>
      <c r="U230" s="4">
        <v>-0.007341</v>
      </c>
      <c r="V230" s="4">
        <v>-0.0153061295230879</v>
      </c>
      <c r="W230" s="4">
        <v>0.0144826210957693</v>
      </c>
      <c r="X230" s="4">
        <v>0.0067841442136424</v>
      </c>
      <c r="Y230" s="4">
        <v>0.0010524488638372</v>
      </c>
      <c r="Z230" s="4">
        <v>-0.0013806169128381</v>
      </c>
      <c r="AA230" s="4">
        <v>-0.0114510480797949</v>
      </c>
      <c r="AB230" s="4">
        <v>0.0046401757097573</v>
      </c>
      <c r="AC230" s="4">
        <v>-0.0017151489652963</v>
      </c>
      <c r="AD230" s="4">
        <v>0.0055866874552721</v>
      </c>
      <c r="AE230" s="4">
        <v>0.0040710296337236</v>
      </c>
      <c r="AF230" s="4">
        <v>0.0036341885387893</v>
      </c>
      <c r="AG230" s="4">
        <v>-0.0117665142069872</v>
      </c>
      <c r="AH230" s="4">
        <v>0.0114679476015009</v>
      </c>
      <c r="AI230" s="4">
        <v>0.0013323361985246</v>
      </c>
      <c r="AJ230" s="4">
        <v>-0.001584</v>
      </c>
      <c r="AK230" s="4">
        <f>Weights!E286</f>
        <v>-0.0001445214452</v>
      </c>
      <c r="AL230" s="5">
        <v>0.0158198567029475</v>
      </c>
      <c r="AM230" s="5">
        <v>0.0154820133525781</v>
      </c>
      <c r="AN230" s="5">
        <v>0.00585692233072054</v>
      </c>
      <c r="AO230" s="5">
        <v>0.00647072267432635</v>
      </c>
      <c r="AP230" s="6">
        <f t="shared" si="3"/>
        <v>1.148187538</v>
      </c>
      <c r="AQ230" s="4">
        <f t="shared" si="4"/>
        <v>1.123455286</v>
      </c>
      <c r="AR230" s="5">
        <f t="shared" si="5"/>
        <v>1.121398646</v>
      </c>
      <c r="AS230" s="5">
        <f t="shared" ref="AS230:AU230" si="232">AS229*(1+AM230)</f>
        <v>1.1652476</v>
      </c>
      <c r="AT230" s="5">
        <f t="shared" si="232"/>
        <v>1.027771023</v>
      </c>
      <c r="AU230" s="5">
        <f t="shared" si="232"/>
        <v>1.015954274</v>
      </c>
    </row>
    <row r="231" ht="15.75" customHeight="1">
      <c r="A231" s="3">
        <v>44162.0</v>
      </c>
      <c r="B231" s="4">
        <v>0.010932</v>
      </c>
      <c r="C231" s="4">
        <v>0.002814</v>
      </c>
      <c r="D231" s="4">
        <v>0.005569</v>
      </c>
      <c r="E231" s="4">
        <v>0.003052</v>
      </c>
      <c r="F231" s="4">
        <v>-0.004345</v>
      </c>
      <c r="G231" s="4">
        <v>0.002227</v>
      </c>
      <c r="H231" s="4">
        <v>-5.05E-4</v>
      </c>
      <c r="I231" s="4">
        <v>0.001257</v>
      </c>
      <c r="J231" s="4">
        <v>7.38E-4</v>
      </c>
      <c r="K231" s="4">
        <v>-0.001463</v>
      </c>
      <c r="L231" s="4">
        <v>0.003497</v>
      </c>
      <c r="M231" s="4">
        <v>0.010514</v>
      </c>
      <c r="N231" s="4">
        <v>0.006615</v>
      </c>
      <c r="O231" s="4">
        <v>0.017522</v>
      </c>
      <c r="P231" s="4">
        <v>0.012115</v>
      </c>
      <c r="Q231" s="4">
        <v>0.004608</v>
      </c>
      <c r="R231" s="4">
        <v>-8.5E-4</v>
      </c>
      <c r="S231" s="4">
        <v>0.011933</v>
      </c>
      <c r="T231" s="4">
        <v>0.005294</v>
      </c>
      <c r="U231" s="4">
        <v>0.002497</v>
      </c>
      <c r="V231" s="4">
        <v>-0.0477835311822978</v>
      </c>
      <c r="W231" s="4">
        <v>-0.0237162773854788</v>
      </c>
      <c r="X231" s="4">
        <v>-0.0067384297345497</v>
      </c>
      <c r="Y231" s="4">
        <v>0.0016826608850608</v>
      </c>
      <c r="Z231" s="4">
        <v>2.722709946796E-4</v>
      </c>
      <c r="AA231" s="4">
        <v>-0.0063348296726821</v>
      </c>
      <c r="AB231" s="4">
        <v>-0.0049486766887119</v>
      </c>
      <c r="AC231" s="4">
        <v>-0.0051545319628697</v>
      </c>
      <c r="AD231" s="4">
        <v>-0.0074073552600435</v>
      </c>
      <c r="AE231" s="4">
        <v>0.0109518787483562</v>
      </c>
      <c r="AF231" s="4">
        <v>-0.0111647289568875</v>
      </c>
      <c r="AG231" s="4">
        <v>-0.0043706824574121</v>
      </c>
      <c r="AH231" s="4">
        <v>-0.0317460950342641</v>
      </c>
      <c r="AI231" s="4">
        <v>0.0013300678494185</v>
      </c>
      <c r="AJ231" s="4">
        <v>0.002397</v>
      </c>
      <c r="AK231" s="4">
        <f>Weights!E287</f>
        <v>-0.002736849628</v>
      </c>
      <c r="AL231" s="5">
        <v>-8.24612057338747E-4</v>
      </c>
      <c r="AM231" s="5">
        <v>-3.73258042251189E-4</v>
      </c>
      <c r="AN231" s="5">
        <v>0.0050465782292457</v>
      </c>
      <c r="AO231" s="5">
        <v>0.00525997073752582</v>
      </c>
      <c r="AP231" s="6">
        <f t="shared" si="3"/>
        <v>1.145045121</v>
      </c>
      <c r="AQ231" s="4">
        <f t="shared" si="4"/>
        <v>1.126148208</v>
      </c>
      <c r="AR231" s="5">
        <f t="shared" si="5"/>
        <v>1.120473927</v>
      </c>
      <c r="AS231" s="5">
        <f t="shared" ref="AS231:AU231" si="233">AS230*(1+AM231)</f>
        <v>1.164812662</v>
      </c>
      <c r="AT231" s="5">
        <f t="shared" si="233"/>
        <v>1.032957749</v>
      </c>
      <c r="AU231" s="5">
        <f t="shared" si="233"/>
        <v>1.021298164</v>
      </c>
    </row>
    <row r="232" ht="15.75" customHeight="1">
      <c r="A232" s="3">
        <v>44165.0</v>
      </c>
      <c r="B232" s="4">
        <v>-0.005149</v>
      </c>
      <c r="C232" s="4">
        <v>-0.002806</v>
      </c>
      <c r="D232" s="4">
        <v>0.003621</v>
      </c>
      <c r="E232" s="4">
        <v>-0.002559</v>
      </c>
      <c r="F232" s="4">
        <v>-0.013093</v>
      </c>
      <c r="G232" s="4">
        <v>0.004722</v>
      </c>
      <c r="H232" s="4">
        <v>0.001876</v>
      </c>
      <c r="I232" s="4">
        <v>-0.020402</v>
      </c>
      <c r="J232" s="4">
        <v>-0.010079</v>
      </c>
      <c r="K232" s="4">
        <v>-0.016114</v>
      </c>
      <c r="L232" s="4">
        <v>-0.014782</v>
      </c>
      <c r="M232" s="4">
        <v>-0.013873</v>
      </c>
      <c r="N232" s="4">
        <v>-0.025411</v>
      </c>
      <c r="O232" s="4">
        <v>-1.91E-4</v>
      </c>
      <c r="P232" s="4">
        <v>0.005814</v>
      </c>
      <c r="Q232" s="4">
        <v>-0.001147</v>
      </c>
      <c r="R232" s="4">
        <v>-0.005527</v>
      </c>
      <c r="S232" s="4">
        <v>0.003333</v>
      </c>
      <c r="T232" s="4">
        <v>-0.024877</v>
      </c>
      <c r="U232" s="4">
        <v>-0.003832</v>
      </c>
      <c r="V232" s="4">
        <v>0.00423221844963617</v>
      </c>
      <c r="W232" s="4">
        <v>0.0113207910215382</v>
      </c>
      <c r="X232" s="4">
        <v>0.0</v>
      </c>
      <c r="Y232" s="4">
        <v>-0.0034291669290801</v>
      </c>
      <c r="Z232" s="4">
        <v>-0.0136175242639677</v>
      </c>
      <c r="AA232" s="4">
        <v>0.0032787547747199</v>
      </c>
      <c r="AB232" s="4">
        <v>0.0036473888202361</v>
      </c>
      <c r="AC232" s="4">
        <v>0.0</v>
      </c>
      <c r="AD232" s="4">
        <v>0.0</v>
      </c>
      <c r="AE232" s="4">
        <v>3.954217263517E-4</v>
      </c>
      <c r="AF232" s="4">
        <v>0.033262118281395</v>
      </c>
      <c r="AG232" s="4">
        <v>0.0049952978876071</v>
      </c>
      <c r="AH232" s="4">
        <v>-0.029273977714004</v>
      </c>
      <c r="AI232" s="4">
        <v>0.0017716620779781</v>
      </c>
      <c r="AJ232" s="4">
        <v>-0.004595</v>
      </c>
      <c r="AK232" s="4">
        <f>Weights!E288</f>
        <v>-0.004799590028</v>
      </c>
      <c r="AL232" s="5">
        <v>0.00449252506852571</v>
      </c>
      <c r="AM232" s="5">
        <v>0.00351972261508914</v>
      </c>
      <c r="AN232" s="5">
        <v>0.0108598146748468</v>
      </c>
      <c r="AO232" s="5">
        <v>0.0116278032655643</v>
      </c>
      <c r="AP232" s="6">
        <f t="shared" si="3"/>
        <v>1.139549374</v>
      </c>
      <c r="AQ232" s="4">
        <f t="shared" si="4"/>
        <v>1.120973557</v>
      </c>
      <c r="AR232" s="5">
        <f t="shared" si="5"/>
        <v>1.125507684</v>
      </c>
      <c r="AS232" s="5">
        <f t="shared" ref="AS232:AU232" si="234">AS231*(1+AM232)</f>
        <v>1.16891248</v>
      </c>
      <c r="AT232" s="5">
        <f t="shared" si="234"/>
        <v>1.044175479</v>
      </c>
      <c r="AU232" s="5">
        <f t="shared" si="234"/>
        <v>1.033173618</v>
      </c>
    </row>
    <row r="233" ht="15.75" customHeight="1">
      <c r="A233" s="3">
        <v>44166.0</v>
      </c>
      <c r="B233" s="4">
        <v>-0.001035</v>
      </c>
      <c r="C233" s="4">
        <v>0.002814</v>
      </c>
      <c r="D233" s="4">
        <v>-0.015705</v>
      </c>
      <c r="E233" s="4">
        <v>0.012757</v>
      </c>
      <c r="F233" s="4">
        <v>0.008527</v>
      </c>
      <c r="G233" s="4">
        <v>0.019146</v>
      </c>
      <c r="H233" s="4">
        <v>0.0036</v>
      </c>
      <c r="I233" s="4">
        <v>0.004165</v>
      </c>
      <c r="J233" s="4">
        <v>-0.004718</v>
      </c>
      <c r="K233" s="4">
        <v>0.017495</v>
      </c>
      <c r="L233" s="4">
        <v>0.008295</v>
      </c>
      <c r="M233" s="4">
        <v>0.008792</v>
      </c>
      <c r="N233" s="4">
        <v>-0.007642</v>
      </c>
      <c r="O233" s="4">
        <v>0.00959</v>
      </c>
      <c r="P233" s="4">
        <v>0.023631</v>
      </c>
      <c r="Q233" s="4">
        <v>0.092997</v>
      </c>
      <c r="R233" s="4">
        <v>0.010688</v>
      </c>
      <c r="S233" s="4">
        <v>0.046244</v>
      </c>
      <c r="T233" s="4">
        <v>0.022905</v>
      </c>
      <c r="U233" s="4">
        <v>-0.007405</v>
      </c>
      <c r="V233" s="4">
        <v>-0.0150512074575887</v>
      </c>
      <c r="W233" s="4">
        <v>0.0209888008916099</v>
      </c>
      <c r="X233" s="4">
        <v>-0.0040759813631299</v>
      </c>
      <c r="Y233" s="4">
        <v>0.0016151761846845</v>
      </c>
      <c r="Z233" s="4">
        <v>-0.0114392640266336</v>
      </c>
      <c r="AA233" s="4">
        <v>-9.079680165779E-4</v>
      </c>
      <c r="AB233" s="4">
        <v>-0.0042947921911981</v>
      </c>
      <c r="AC233" s="4">
        <v>0.0069566246859578</v>
      </c>
      <c r="AD233" s="4">
        <v>-0.003697203642394</v>
      </c>
      <c r="AE233" s="4">
        <v>-0.0044264777006345</v>
      </c>
      <c r="AF233" s="4">
        <v>-0.0026579874141507</v>
      </c>
      <c r="AG233" s="4">
        <v>0.0058745245801041</v>
      </c>
      <c r="AH233" s="4">
        <v>0.0337756299973712</v>
      </c>
      <c r="AI233" s="4">
        <v>-0.001768528842494</v>
      </c>
      <c r="AJ233" s="4">
        <v>0.011271</v>
      </c>
      <c r="AK233" s="4">
        <f>Weights!E289</f>
        <v>0.006834639091</v>
      </c>
      <c r="AL233" s="5">
        <v>-0.00565898255301011</v>
      </c>
      <c r="AM233" s="5">
        <v>-0.00786494461166931</v>
      </c>
      <c r="AN233" s="5">
        <v>0.00231047410481832</v>
      </c>
      <c r="AO233" s="5">
        <v>0.00229914295349176</v>
      </c>
      <c r="AP233" s="6">
        <f t="shared" si="3"/>
        <v>1.147337783</v>
      </c>
      <c r="AQ233" s="4">
        <f t="shared" si="4"/>
        <v>1.13360805</v>
      </c>
      <c r="AR233" s="5">
        <f t="shared" si="5"/>
        <v>1.119138456</v>
      </c>
      <c r="AS233" s="5">
        <f t="shared" ref="AS233:AU233" si="235">AS232*(1+AM233)</f>
        <v>1.159719048</v>
      </c>
      <c r="AT233" s="5">
        <f t="shared" si="235"/>
        <v>1.04658802</v>
      </c>
      <c r="AU233" s="5">
        <f t="shared" si="235"/>
        <v>1.035549032</v>
      </c>
    </row>
    <row r="234" ht="15.75" customHeight="1">
      <c r="A234" s="3">
        <v>44167.0</v>
      </c>
      <c r="B234" s="4">
        <v>0.003627</v>
      </c>
      <c r="C234" s="4">
        <v>0.012876</v>
      </c>
      <c r="D234" s="4">
        <v>0.001509</v>
      </c>
      <c r="E234" s="4">
        <v>-0.009927</v>
      </c>
      <c r="F234" s="4">
        <v>0.001345</v>
      </c>
      <c r="G234" s="4">
        <v>0.00468</v>
      </c>
      <c r="H234" s="4">
        <v>-0.007247</v>
      </c>
      <c r="I234" s="4">
        <v>0.026484</v>
      </c>
      <c r="J234" s="4">
        <v>-0.005489</v>
      </c>
      <c r="K234" s="4">
        <v>0.001829</v>
      </c>
      <c r="L234" s="4">
        <v>-0.005807</v>
      </c>
      <c r="M234" s="4">
        <v>0.010459</v>
      </c>
      <c r="N234" s="4">
        <v>0.003171</v>
      </c>
      <c r="O234" s="4">
        <v>-0.011105</v>
      </c>
      <c r="P234" s="4">
        <v>-0.004152</v>
      </c>
      <c r="Q234" s="4">
        <v>-0.030462</v>
      </c>
      <c r="R234" s="4">
        <v>0.018613</v>
      </c>
      <c r="S234" s="4">
        <v>0.010256</v>
      </c>
      <c r="T234" s="4">
        <v>0.003095</v>
      </c>
      <c r="U234" s="4">
        <v>-0.014727</v>
      </c>
      <c r="V234" s="4">
        <v>0.0171149082114647</v>
      </c>
      <c r="W234" s="4">
        <v>0.0559616192876168</v>
      </c>
      <c r="X234" s="4">
        <v>0.0054570046783763</v>
      </c>
      <c r="Y234" s="4">
        <v>0.0105161780222131</v>
      </c>
      <c r="Z234" s="4">
        <v>-0.0146157031162637</v>
      </c>
      <c r="AA234" s="4">
        <v>-0.0041793664854637</v>
      </c>
      <c r="AB234" s="4">
        <v>0.0318513957092667</v>
      </c>
      <c r="AC234" s="4">
        <v>-0.0034544051803369</v>
      </c>
      <c r="AD234" s="4">
        <v>-0.0074210993250748</v>
      </c>
      <c r="AE234" s="4">
        <v>-0.0061138202325325</v>
      </c>
      <c r="AF234" s="4">
        <v>0.0482675843985009</v>
      </c>
      <c r="AG234" s="4">
        <v>0.0247079843031921</v>
      </c>
      <c r="AH234" s="4">
        <v>0.0291715705455404</v>
      </c>
      <c r="AI234" s="4">
        <v>9.768987064231E-4</v>
      </c>
      <c r="AJ234" s="4">
        <v>0.001791</v>
      </c>
      <c r="AK234" s="4">
        <f>Weights!E290</f>
        <v>0.007320780468</v>
      </c>
      <c r="AL234" s="5">
        <v>0.0108318019919122</v>
      </c>
      <c r="AM234" s="5">
        <v>0.0126944404456554</v>
      </c>
      <c r="AN234" s="5">
        <v>3.84135910428629E-4</v>
      </c>
      <c r="AO234" s="5">
        <v>0.00114627945786605</v>
      </c>
      <c r="AP234" s="6">
        <f t="shared" si="3"/>
        <v>1.155737191</v>
      </c>
      <c r="AQ234" s="4">
        <f t="shared" si="4"/>
        <v>1.135638342</v>
      </c>
      <c r="AR234" s="5">
        <f t="shared" si="5"/>
        <v>1.131260742</v>
      </c>
      <c r="AS234" s="5">
        <f t="shared" ref="AS234:AU234" si="236">AS233*(1+AM234)</f>
        <v>1.174441032</v>
      </c>
      <c r="AT234" s="5">
        <f t="shared" si="236"/>
        <v>1.046990052</v>
      </c>
      <c r="AU234" s="5">
        <f t="shared" si="236"/>
        <v>1.03673606</v>
      </c>
    </row>
    <row r="235" ht="15.75" customHeight="1">
      <c r="A235" s="3">
        <v>44168.0</v>
      </c>
      <c r="B235" s="4">
        <v>0.018069</v>
      </c>
      <c r="C235" s="4">
        <v>0.006193</v>
      </c>
      <c r="D235" s="4">
        <v>0.022174</v>
      </c>
      <c r="E235" s="4">
        <v>0.005895</v>
      </c>
      <c r="F235" s="4">
        <v>0.012857</v>
      </c>
      <c r="G235" s="4">
        <v>0.005805</v>
      </c>
      <c r="H235" s="4">
        <v>-0.007372</v>
      </c>
      <c r="I235" s="4">
        <v>0.017408</v>
      </c>
      <c r="J235" s="4">
        <v>0.0143</v>
      </c>
      <c r="K235" s="4">
        <v>0.003104</v>
      </c>
      <c r="L235" s="4">
        <v>3.65E-4</v>
      </c>
      <c r="M235" s="4">
        <v>0.011501</v>
      </c>
      <c r="N235" s="4">
        <v>-0.007451</v>
      </c>
      <c r="O235" s="4">
        <v>-0.008888</v>
      </c>
      <c r="P235" s="4">
        <v>-0.007505</v>
      </c>
      <c r="Q235" s="4">
        <v>-0.021668</v>
      </c>
      <c r="R235" s="4">
        <v>0.012874</v>
      </c>
      <c r="S235" s="4">
        <v>-0.018371</v>
      </c>
      <c r="T235" s="4">
        <v>-0.005445</v>
      </c>
      <c r="U235" s="4">
        <v>-0.004425</v>
      </c>
      <c r="V235" s="4">
        <v>-0.00180284460083646</v>
      </c>
      <c r="W235" s="4">
        <v>-0.0028120911414345</v>
      </c>
      <c r="X235" s="4">
        <v>0.0054273873999437</v>
      </c>
      <c r="Y235" s="4">
        <v>-0.0031222178699394</v>
      </c>
      <c r="Z235" s="4">
        <v>7.08221024070532E-5</v>
      </c>
      <c r="AA235" s="4">
        <v>-0.0067518392577297</v>
      </c>
      <c r="AB235" s="4">
        <v>-0.0016079120900692</v>
      </c>
      <c r="AC235" s="4">
        <v>-0.0086654961510133</v>
      </c>
      <c r="AD235" s="4">
        <v>0.0093459181534512</v>
      </c>
      <c r="AE235" s="4">
        <v>0.0057518804673657</v>
      </c>
      <c r="AF235" s="4">
        <v>-0.0149716925404116</v>
      </c>
      <c r="AG235" s="4">
        <v>-0.011690989367036</v>
      </c>
      <c r="AH235" s="4">
        <v>-0.0045351564334663</v>
      </c>
      <c r="AI235" s="4">
        <v>4.432249330934E-4</v>
      </c>
      <c r="AJ235" s="4">
        <v>-6.24E-4</v>
      </c>
      <c r="AK235" s="4">
        <f>Weights!E291</f>
        <v>0.000357990589</v>
      </c>
      <c r="AL235" s="5">
        <v>9.98783465218311E-4</v>
      </c>
      <c r="AM235" s="5">
        <v>8.4610099592508E-4</v>
      </c>
      <c r="AN235" s="5">
        <v>0.00345614505733604</v>
      </c>
      <c r="AO235" s="5">
        <v>0.00372285641787217</v>
      </c>
      <c r="AP235" s="6">
        <f t="shared" si="3"/>
        <v>1.156150934</v>
      </c>
      <c r="AQ235" s="4">
        <f t="shared" si="4"/>
        <v>1.134929704</v>
      </c>
      <c r="AR235" s="5">
        <f t="shared" si="5"/>
        <v>1.132390626</v>
      </c>
      <c r="AS235" s="5">
        <f t="shared" ref="AS235:AU235" si="237">AS234*(1+AM235)</f>
        <v>1.175434728</v>
      </c>
      <c r="AT235" s="5">
        <f t="shared" si="237"/>
        <v>1.050608601</v>
      </c>
      <c r="AU235" s="5">
        <f t="shared" si="237"/>
        <v>1.04059568</v>
      </c>
    </row>
    <row r="236" ht="15.75" customHeight="1">
      <c r="A236" s="3">
        <v>44169.0</v>
      </c>
      <c r="B236" s="4">
        <v>0.009635</v>
      </c>
      <c r="C236" s="4">
        <v>-0.003077</v>
      </c>
      <c r="D236" s="4">
        <v>0.006529</v>
      </c>
      <c r="E236" s="4">
        <v>0.009692</v>
      </c>
      <c r="F236" s="4">
        <v>0.020273</v>
      </c>
      <c r="G236" s="4">
        <v>0.008524</v>
      </c>
      <c r="H236" s="4">
        <v>9.47E-4</v>
      </c>
      <c r="I236" s="4">
        <v>0.01986</v>
      </c>
      <c r="J236" s="4">
        <v>0.011378</v>
      </c>
      <c r="K236" s="4">
        <v>0.009647</v>
      </c>
      <c r="L236" s="4">
        <v>0.001095</v>
      </c>
      <c r="M236" s="4">
        <v>0.036384</v>
      </c>
      <c r="N236" s="4">
        <v>0.018198</v>
      </c>
      <c r="O236" s="4">
        <v>0.011042</v>
      </c>
      <c r="P236" s="4">
        <v>-0.001176</v>
      </c>
      <c r="Q236" s="4">
        <v>-0.036545</v>
      </c>
      <c r="R236" s="4">
        <v>0.02747</v>
      </c>
      <c r="S236" s="4">
        <v>-0.012066</v>
      </c>
      <c r="T236" s="4">
        <v>0.029562</v>
      </c>
      <c r="U236" s="4">
        <v>9.88E-4</v>
      </c>
      <c r="V236" s="4">
        <v>0.0307043748631949</v>
      </c>
      <c r="W236" s="4">
        <v>-0.0167026454277371</v>
      </c>
      <c r="X236" s="4">
        <v>0.0013494329184797</v>
      </c>
      <c r="Y236" s="4">
        <v>-0.0098822349348275</v>
      </c>
      <c r="Z236" s="4">
        <v>-0.0045979991849529</v>
      </c>
      <c r="AA236" s="4">
        <v>7.349428906142E-4</v>
      </c>
      <c r="AB236" s="4">
        <v>-0.0054747991865689</v>
      </c>
      <c r="AC236" s="4">
        <v>0.0069929448944889</v>
      </c>
      <c r="AD236" s="4">
        <v>-0.0074073552600435</v>
      </c>
      <c r="AE236" s="4">
        <v>0.0018269476814523</v>
      </c>
      <c r="AF236" s="4">
        <v>-0.0200745737315316</v>
      </c>
      <c r="AG236" s="4">
        <v>0.0</v>
      </c>
      <c r="AH236" s="4">
        <v>0.0</v>
      </c>
      <c r="AI236" s="4">
        <v>0.0013298764847808</v>
      </c>
      <c r="AJ236" s="4">
        <v>0.008836</v>
      </c>
      <c r="AK236" s="4">
        <f>Weights!E292</f>
        <v>0.005069791217</v>
      </c>
      <c r="AL236" s="5">
        <v>8.16458956098165E-4</v>
      </c>
      <c r="AM236" s="5">
        <v>0.0020080817668433</v>
      </c>
      <c r="AN236" s="5">
        <v>-0.0114809698918436</v>
      </c>
      <c r="AO236" s="5">
        <v>-0.00941494658934638</v>
      </c>
      <c r="AP236" s="6">
        <f t="shared" si="3"/>
        <v>1.162012378</v>
      </c>
      <c r="AQ236" s="4">
        <f t="shared" si="4"/>
        <v>1.144957943</v>
      </c>
      <c r="AR236" s="5">
        <f t="shared" si="5"/>
        <v>1.133315177</v>
      </c>
      <c r="AS236" s="5">
        <f t="shared" ref="AS236:AU236" si="238">AS235*(1+AM236)</f>
        <v>1.177795097</v>
      </c>
      <c r="AT236" s="5">
        <f t="shared" si="238"/>
        <v>1.038546595</v>
      </c>
      <c r="AU236" s="5">
        <f t="shared" si="238"/>
        <v>1.030798527</v>
      </c>
    </row>
    <row r="237" ht="15.75" customHeight="1">
      <c r="A237" s="3">
        <v>44172.0</v>
      </c>
      <c r="B237" s="4">
        <v>0.006529</v>
      </c>
      <c r="C237" s="4">
        <v>-0.003249</v>
      </c>
      <c r="D237" s="4">
        <v>-0.015275</v>
      </c>
      <c r="E237" s="4">
        <v>-0.003291</v>
      </c>
      <c r="F237" s="4">
        <v>-0.01597</v>
      </c>
      <c r="G237" s="4">
        <v>-0.008651</v>
      </c>
      <c r="H237" s="4">
        <v>0.001528</v>
      </c>
      <c r="I237" s="4">
        <v>-0.002996</v>
      </c>
      <c r="J237" s="4">
        <v>0.002446</v>
      </c>
      <c r="K237" s="4">
        <v>3.61E-4</v>
      </c>
      <c r="L237" s="4">
        <v>0.003159</v>
      </c>
      <c r="M237" s="4">
        <v>-0.012068</v>
      </c>
      <c r="N237" s="4">
        <v>-0.002681</v>
      </c>
      <c r="O237" s="4">
        <v>-0.002289</v>
      </c>
      <c r="P237" s="4">
        <v>0.033647</v>
      </c>
      <c r="Q237" s="4">
        <v>0.048276</v>
      </c>
      <c r="R237" s="4">
        <v>-0.019154</v>
      </c>
      <c r="S237" s="4">
        <v>0.044367</v>
      </c>
      <c r="T237" s="4">
        <v>-0.008508</v>
      </c>
      <c r="U237" s="4">
        <v>0.00967</v>
      </c>
      <c r="V237" s="4">
        <v>-0.00700947580724364</v>
      </c>
      <c r="W237" s="4">
        <v>-4.412689942178E-4</v>
      </c>
      <c r="X237" s="4">
        <v>0.0</v>
      </c>
      <c r="Y237" s="4">
        <v>-0.0048499449619293</v>
      </c>
      <c r="Z237" s="4">
        <v>-8.290821090056E-4</v>
      </c>
      <c r="AA237" s="4">
        <v>-7.34403146243E-4</v>
      </c>
      <c r="AB237" s="4">
        <v>-0.0119819435945475</v>
      </c>
      <c r="AC237" s="4">
        <v>0.0</v>
      </c>
      <c r="AD237" s="4">
        <v>0.0</v>
      </c>
      <c r="AE237" s="4">
        <v>0.0015856595066445</v>
      </c>
      <c r="AF237" s="4">
        <v>-0.0125841258093721</v>
      </c>
      <c r="AG237" s="4">
        <v>0.0035489530984498</v>
      </c>
      <c r="AH237" s="4">
        <v>-0.0410022921311823</v>
      </c>
      <c r="AI237" s="4">
        <v>0.0030986607053395</v>
      </c>
      <c r="AJ237" s="4">
        <v>-0.001936</v>
      </c>
      <c r="AK237" s="4">
        <f>Weights!E293</f>
        <v>-0.001696519754</v>
      </c>
      <c r="AL237" s="5">
        <v>0.00997114045350722</v>
      </c>
      <c r="AM237" s="5">
        <v>0.0100206311156352</v>
      </c>
      <c r="AN237" s="5">
        <v>0.00193580272076743</v>
      </c>
      <c r="AO237" s="5">
        <v>0.00316820610443269</v>
      </c>
      <c r="AP237" s="6">
        <f t="shared" si="3"/>
        <v>1.160041001</v>
      </c>
      <c r="AQ237" s="4">
        <f t="shared" si="4"/>
        <v>1.142741304</v>
      </c>
      <c r="AR237" s="5">
        <f t="shared" si="5"/>
        <v>1.144615622</v>
      </c>
      <c r="AS237" s="5">
        <f t="shared" ref="AS237:AU237" si="239">AS236*(1+AM237)</f>
        <v>1.189597347</v>
      </c>
      <c r="AT237" s="5">
        <f t="shared" si="239"/>
        <v>1.040557017</v>
      </c>
      <c r="AU237" s="5">
        <f t="shared" si="239"/>
        <v>1.034064309</v>
      </c>
    </row>
    <row r="238" ht="15.75" customHeight="1">
      <c r="A238" s="3">
        <v>44173.0</v>
      </c>
      <c r="B238" s="4">
        <v>-0.004491</v>
      </c>
      <c r="C238" s="4">
        <v>0.00163</v>
      </c>
      <c r="D238" s="4">
        <v>-0.001487</v>
      </c>
      <c r="E238" s="4">
        <v>0.001032</v>
      </c>
      <c r="F238" s="4">
        <v>0.003586</v>
      </c>
      <c r="G238" s="4">
        <v>0.017319</v>
      </c>
      <c r="H238" s="4">
        <v>0.002687</v>
      </c>
      <c r="I238" s="4">
        <v>0.004207</v>
      </c>
      <c r="J238" s="4">
        <v>-0.00122</v>
      </c>
      <c r="K238" s="4">
        <v>0.005767</v>
      </c>
      <c r="L238" s="4">
        <v>1.21E-4</v>
      </c>
      <c r="M238" s="4">
        <v>0.002221</v>
      </c>
      <c r="N238" s="4">
        <v>-6.72E-4</v>
      </c>
      <c r="O238" s="4">
        <v>0.013862</v>
      </c>
      <c r="P238" s="4">
        <v>0.001139</v>
      </c>
      <c r="Q238" s="4">
        <v>0.008772</v>
      </c>
      <c r="R238" s="4">
        <v>-0.004475</v>
      </c>
      <c r="S238" s="4">
        <v>0.008115</v>
      </c>
      <c r="T238" s="4">
        <v>0.010726</v>
      </c>
      <c r="U238" s="4">
        <v>0.006744</v>
      </c>
      <c r="V238" s="4">
        <v>-0.0117645899381255</v>
      </c>
      <c r="W238" s="4">
        <v>-0.0229529719570698</v>
      </c>
      <c r="X238" s="4">
        <v>0.0108106794545081</v>
      </c>
      <c r="Y238" s="4">
        <v>-0.0394122327625752</v>
      </c>
      <c r="Z238" s="4">
        <v>-0.0052869808330592</v>
      </c>
      <c r="AA238" s="4">
        <v>-0.0106559660863999</v>
      </c>
      <c r="AB238" s="4">
        <v>-0.0098329405384134</v>
      </c>
      <c r="AC238" s="4">
        <v>0.0086807056484297</v>
      </c>
      <c r="AD238" s="4">
        <v>0.0037243152888923</v>
      </c>
      <c r="AE238" s="4">
        <v>0.0115570385309817</v>
      </c>
      <c r="AF238" s="4">
        <v>-0.0071132722942302</v>
      </c>
      <c r="AG238" s="4">
        <v>-0.0011788222522052</v>
      </c>
      <c r="AH238" s="4">
        <v>0.0023752663095861</v>
      </c>
      <c r="AI238" s="4">
        <v>-4.412702639638E-4</v>
      </c>
      <c r="AJ238" s="4">
        <v>0.002787</v>
      </c>
      <c r="AK238" s="4">
        <f>Weights!E294</f>
        <v>-0.0002835021733</v>
      </c>
      <c r="AL238" s="5">
        <v>-0.00367983798739313</v>
      </c>
      <c r="AM238" s="5">
        <v>-0.00109659826452368</v>
      </c>
      <c r="AN238" s="5">
        <v>0.0057959369470717</v>
      </c>
      <c r="AO238" s="5">
        <v>0.00430656290398245</v>
      </c>
      <c r="AP238" s="6">
        <f t="shared" si="3"/>
        <v>1.159712127</v>
      </c>
      <c r="AQ238" s="4">
        <f t="shared" si="4"/>
        <v>1.145926124</v>
      </c>
      <c r="AR238" s="5">
        <f t="shared" si="5"/>
        <v>1.140403622</v>
      </c>
      <c r="AS238" s="5">
        <f t="shared" ref="AS238:AU238" si="240">AS237*(1+AM238)</f>
        <v>1.188292837</v>
      </c>
      <c r="AT238" s="5">
        <f t="shared" si="240"/>
        <v>1.04658802</v>
      </c>
      <c r="AU238" s="5">
        <f t="shared" si="240"/>
        <v>1.038517572</v>
      </c>
    </row>
    <row r="239" ht="15.75" customHeight="1">
      <c r="A239" s="3">
        <v>44174.0</v>
      </c>
      <c r="B239" s="4">
        <v>0.016541</v>
      </c>
      <c r="C239" s="4">
        <v>1.63E-4</v>
      </c>
      <c r="D239" s="4">
        <v>0.012981</v>
      </c>
      <c r="E239" s="4">
        <v>0.001168</v>
      </c>
      <c r="F239" s="4">
        <v>0.002821</v>
      </c>
      <c r="G239" s="4">
        <v>0.010228</v>
      </c>
      <c r="H239" s="4">
        <v>-0.01188</v>
      </c>
      <c r="I239" s="4">
        <v>0.00389</v>
      </c>
      <c r="J239" s="4">
        <v>0.003175</v>
      </c>
      <c r="K239" s="4">
        <v>0.012363</v>
      </c>
      <c r="L239" s="4">
        <v>0.003997</v>
      </c>
      <c r="M239" s="4">
        <v>5.54E-4</v>
      </c>
      <c r="N239" s="4">
        <v>0.003587</v>
      </c>
      <c r="O239" s="4">
        <v>-0.001603</v>
      </c>
      <c r="P239" s="4">
        <v>-0.024874</v>
      </c>
      <c r="Q239" s="4">
        <v>-0.046739</v>
      </c>
      <c r="R239" s="4">
        <v>-4.09E-4</v>
      </c>
      <c r="S239" s="4">
        <v>-0.033144</v>
      </c>
      <c r="T239" s="4">
        <v>-0.001946</v>
      </c>
      <c r="U239" s="4">
        <v>-0.008737</v>
      </c>
      <c r="V239" s="4">
        <v>-0.0148809859608601</v>
      </c>
      <c r="W239" s="4">
        <v>0.0521798084709135</v>
      </c>
      <c r="X239" s="4">
        <v>0.0</v>
      </c>
      <c r="Y239" s="4">
        <v>0.0133819265340773</v>
      </c>
      <c r="Z239" s="4">
        <v>-0.004766664349499</v>
      </c>
      <c r="AA239" s="4">
        <v>-0.0035282670246419</v>
      </c>
      <c r="AB239" s="4">
        <v>0.0089375128831663</v>
      </c>
      <c r="AC239" s="4">
        <v>-0.0051637304293971</v>
      </c>
      <c r="AD239" s="4">
        <v>-0.0018550343895741</v>
      </c>
      <c r="AE239" s="4">
        <v>-0.0024259354854415</v>
      </c>
      <c r="AF239" s="4">
        <v>0.0205970617483794</v>
      </c>
      <c r="AG239" s="4">
        <v>-0.0036878619930313</v>
      </c>
      <c r="AH239" s="4">
        <v>0.106635112927499</v>
      </c>
      <c r="AI239" s="4">
        <v>4.414650693715E-4</v>
      </c>
      <c r="AJ239" s="4">
        <v>-0.007949</v>
      </c>
      <c r="AK239" s="4">
        <f>Weights!E295</f>
        <v>0.005497179409</v>
      </c>
      <c r="AL239" s="5">
        <v>0.00324311004294419</v>
      </c>
      <c r="AM239" s="5">
        <v>0.00433872524428546</v>
      </c>
      <c r="AN239" s="5">
        <v>3.84135910428629E-4</v>
      </c>
      <c r="AO239" s="5">
        <v>0.00257303175077128</v>
      </c>
      <c r="AP239" s="6">
        <f t="shared" si="3"/>
        <v>1.166087272</v>
      </c>
      <c r="AQ239" s="4">
        <f t="shared" si="4"/>
        <v>1.136817157</v>
      </c>
      <c r="AR239" s="5">
        <f t="shared" si="5"/>
        <v>1.144102076</v>
      </c>
      <c r="AS239" s="5">
        <f t="shared" ref="AS239:AU239" si="241">AS238*(1+AM239)</f>
        <v>1.193448513</v>
      </c>
      <c r="AT239" s="5">
        <f t="shared" si="241"/>
        <v>1.046990052</v>
      </c>
      <c r="AU239" s="5">
        <f t="shared" si="241"/>
        <v>1.041189711</v>
      </c>
    </row>
    <row r="240" ht="15.75" customHeight="1">
      <c r="A240" s="3">
        <v>44175.0</v>
      </c>
      <c r="B240" s="4">
        <v>9.13E-4</v>
      </c>
      <c r="C240" s="4">
        <v>-0.015457</v>
      </c>
      <c r="D240" s="4">
        <v>0.002101</v>
      </c>
      <c r="E240" s="4">
        <v>-0.007001</v>
      </c>
      <c r="F240" s="4">
        <v>-0.00525</v>
      </c>
      <c r="G240" s="4">
        <v>-0.005552</v>
      </c>
      <c r="H240" s="4">
        <v>-0.006598</v>
      </c>
      <c r="I240" s="4">
        <v>0.020268</v>
      </c>
      <c r="J240" s="4">
        <v>0.008279</v>
      </c>
      <c r="K240" s="4">
        <v>0.005841</v>
      </c>
      <c r="L240" s="4">
        <v>0.008203</v>
      </c>
      <c r="M240" s="4">
        <v>0.0</v>
      </c>
      <c r="N240" s="4">
        <v>6.7E-4</v>
      </c>
      <c r="O240" s="4">
        <v>-0.014355</v>
      </c>
      <c r="P240" s="4">
        <v>-0.006669</v>
      </c>
      <c r="Q240" s="4">
        <v>0.018244</v>
      </c>
      <c r="R240" s="4">
        <v>0.016353</v>
      </c>
      <c r="S240" s="4">
        <v>9.79E-4</v>
      </c>
      <c r="T240" s="4">
        <v>0.01205</v>
      </c>
      <c r="U240" s="4">
        <v>-0.002253</v>
      </c>
      <c r="V240" s="4">
        <v>0.00302108106450527</v>
      </c>
      <c r="W240" s="4">
        <v>0.021468516911048</v>
      </c>
      <c r="X240" s="4">
        <v>-0.0013368934145535</v>
      </c>
      <c r="Y240" s="4">
        <v>-0.0018863558701843</v>
      </c>
      <c r="Z240" s="4">
        <v>-0.0059871981883323</v>
      </c>
      <c r="AA240" s="4">
        <v>-0.0074545325510678</v>
      </c>
      <c r="AB240" s="4">
        <v>-0.0127155606148763</v>
      </c>
      <c r="AC240" s="4">
        <v>0.0</v>
      </c>
      <c r="AD240" s="4">
        <v>-0.0055764093666461</v>
      </c>
      <c r="AE240" s="4">
        <v>0.0057264734339472</v>
      </c>
      <c r="AF240" s="4">
        <v>-0.0263233990238769</v>
      </c>
      <c r="AG240" s="4">
        <v>0.0309447077637403</v>
      </c>
      <c r="AH240" s="4">
        <v>0.0149892915854068</v>
      </c>
      <c r="AI240" s="4">
        <v>-0.0017655731056597</v>
      </c>
      <c r="AJ240" s="4">
        <v>-0.001285</v>
      </c>
      <c r="AK240" s="4">
        <f>Weights!E296</f>
        <v>0.002926509442</v>
      </c>
      <c r="AL240" s="5">
        <v>-0.00619571373667127</v>
      </c>
      <c r="AM240" s="5">
        <v>-0.00983711248342811</v>
      </c>
      <c r="AN240" s="5">
        <v>0.00729636165373226</v>
      </c>
      <c r="AO240" s="5">
        <v>0.00741373997754601</v>
      </c>
      <c r="AP240" s="6">
        <f t="shared" si="3"/>
        <v>1.169499838</v>
      </c>
      <c r="AQ240" s="4">
        <f t="shared" si="4"/>
        <v>1.135356347</v>
      </c>
      <c r="AR240" s="5">
        <f t="shared" si="5"/>
        <v>1.137013547</v>
      </c>
      <c r="AS240" s="5">
        <f t="shared" ref="AS240:AU240" si="242">AS239*(1+AM240)</f>
        <v>1.181708426</v>
      </c>
      <c r="AT240" s="5">
        <f t="shared" si="242"/>
        <v>1.05462927</v>
      </c>
      <c r="AU240" s="5">
        <f t="shared" si="242"/>
        <v>1.048908821</v>
      </c>
    </row>
    <row r="241" ht="15.75" customHeight="1">
      <c r="A241" s="3">
        <v>44176.0</v>
      </c>
      <c r="B241" s="4">
        <v>0.001994</v>
      </c>
      <c r="C241" s="4">
        <v>-0.002644</v>
      </c>
      <c r="D241" s="4">
        <v>-0.004402</v>
      </c>
      <c r="E241" s="4">
        <v>0.002074</v>
      </c>
      <c r="F241" s="4">
        <v>0.005655</v>
      </c>
      <c r="G241" s="4">
        <v>0.004598</v>
      </c>
      <c r="H241" s="4">
        <v>0.00738</v>
      </c>
      <c r="I241" s="4">
        <v>-0.003798</v>
      </c>
      <c r="J241" s="4">
        <v>0.002656</v>
      </c>
      <c r="K241" s="4">
        <v>-0.008622</v>
      </c>
      <c r="L241" s="4">
        <v>-0.00323</v>
      </c>
      <c r="M241" s="4">
        <v>-0.01052</v>
      </c>
      <c r="N241" s="4">
        <v>-0.00625</v>
      </c>
      <c r="O241" s="4">
        <v>-0.020122</v>
      </c>
      <c r="P241" s="4">
        <v>-0.005238</v>
      </c>
      <c r="Q241" s="4">
        <v>-0.014558</v>
      </c>
      <c r="R241" s="4">
        <v>-0.010056</v>
      </c>
      <c r="S241" s="4">
        <v>0.003669</v>
      </c>
      <c r="T241" s="4">
        <v>-0.00823</v>
      </c>
      <c r="U241" s="4">
        <v>0.002258</v>
      </c>
      <c r="V241" s="4">
        <v>-0.0252012653490613</v>
      </c>
      <c r="W241" s="4">
        <v>0.0414039068662064</v>
      </c>
      <c r="X241" s="4">
        <v>-0.0093706928071412</v>
      </c>
      <c r="Y241" s="4">
        <v>-3.632788894696E-4</v>
      </c>
      <c r="Z241" s="4">
        <v>0.0057098053396034</v>
      </c>
      <c r="AA241" s="4">
        <v>0.010890055585025</v>
      </c>
      <c r="AB241" s="4">
        <v>0.0010115373751291</v>
      </c>
      <c r="AC241" s="4">
        <v>0.0051905329422961</v>
      </c>
      <c r="AD241" s="4">
        <v>-0.0018687960476869</v>
      </c>
      <c r="AE241" s="4">
        <v>-1.560911836328E-4</v>
      </c>
      <c r="AF241" s="4">
        <v>0.0306396930835184</v>
      </c>
      <c r="AG241" s="4">
        <v>0.0415050073589329</v>
      </c>
      <c r="AH241" s="4">
        <v>-0.0295358615301128</v>
      </c>
      <c r="AI241" s="4">
        <v>0.0022103522682996</v>
      </c>
      <c r="AJ241" s="4">
        <v>-0.001265</v>
      </c>
      <c r="AK241" s="4">
        <f>Weights!E297</f>
        <v>0.0001436551349</v>
      </c>
      <c r="AL241" s="5">
        <v>9.03397681567996E-4</v>
      </c>
      <c r="AM241" s="5">
        <v>0.00147197767796103</v>
      </c>
      <c r="AN241" s="5">
        <v>0.00381248247780741</v>
      </c>
      <c r="AO241" s="5">
        <v>0.00367952887051448</v>
      </c>
      <c r="AP241" s="6">
        <f t="shared" si="3"/>
        <v>1.169667842</v>
      </c>
      <c r="AQ241" s="4">
        <f t="shared" si="4"/>
        <v>1.133920122</v>
      </c>
      <c r="AR241" s="5">
        <f t="shared" si="5"/>
        <v>1.138040722</v>
      </c>
      <c r="AS241" s="5">
        <f t="shared" ref="AS241:AU241" si="243">AS240*(1+AM241)</f>
        <v>1.183447874</v>
      </c>
      <c r="AT241" s="5">
        <f t="shared" si="243"/>
        <v>1.058650025</v>
      </c>
      <c r="AU241" s="5">
        <f t="shared" si="243"/>
        <v>1.052768311</v>
      </c>
    </row>
    <row r="242" ht="15.75" customHeight="1">
      <c r="A242" s="3">
        <v>44179.0</v>
      </c>
      <c r="B242" s="4">
        <v>-0.007463</v>
      </c>
      <c r="C242" s="4">
        <v>-0.006131</v>
      </c>
      <c r="D242" s="4">
        <v>-0.008844</v>
      </c>
      <c r="E242" s="4">
        <v>-0.005105</v>
      </c>
      <c r="F242" s="4">
        <v>-0.001499</v>
      </c>
      <c r="G242" s="4">
        <v>-0.025368</v>
      </c>
      <c r="H242" s="4">
        <v>-0.004835</v>
      </c>
      <c r="I242" s="4">
        <v>-0.021994</v>
      </c>
      <c r="J242" s="4">
        <v>9.63E-4</v>
      </c>
      <c r="K242" s="4">
        <v>-0.003017</v>
      </c>
      <c r="L242" s="4">
        <v>-0.013684</v>
      </c>
      <c r="M242" s="4">
        <v>-0.017348</v>
      </c>
      <c r="N242" s="4">
        <v>-0.005391</v>
      </c>
      <c r="O242" s="4">
        <v>0.009045</v>
      </c>
      <c r="P242" s="4">
        <v>-0.022252</v>
      </c>
      <c r="Q242" s="4">
        <v>-0.015909</v>
      </c>
      <c r="R242" s="4">
        <v>-0.032914</v>
      </c>
      <c r="S242" s="4">
        <v>-0.019498</v>
      </c>
      <c r="T242" s="4">
        <v>-0.017302</v>
      </c>
      <c r="U242" s="4">
        <v>-0.008716</v>
      </c>
      <c r="V242" s="4">
        <v>-0.0148331681408037</v>
      </c>
      <c r="W242" s="4">
        <v>0.0232089657938681</v>
      </c>
      <c r="X242" s="4">
        <v>0.0</v>
      </c>
      <c r="Y242" s="4">
        <v>0.0108356696759366</v>
      </c>
      <c r="Z242" s="4">
        <v>0.0210332469497844</v>
      </c>
      <c r="AA242" s="4">
        <v>0.0079868140815104</v>
      </c>
      <c r="AB242" s="4">
        <v>0.0030311497268724</v>
      </c>
      <c r="AC242" s="4">
        <v>0.0</v>
      </c>
      <c r="AD242" s="4">
        <v>0.0</v>
      </c>
      <c r="AE242" s="4">
        <v>-1.56115551894E-4</v>
      </c>
      <c r="AF242" s="4">
        <v>0.0128242043328539</v>
      </c>
      <c r="AG242" s="4">
        <v>0.0273030186713953</v>
      </c>
      <c r="AH242" s="4">
        <v>0.0532608307630451</v>
      </c>
      <c r="AI242" s="4">
        <v>-0.0030873338944817</v>
      </c>
      <c r="AJ242" s="4">
        <v>-0.004359</v>
      </c>
      <c r="AK242" s="4">
        <f>Weights!E298</f>
        <v>-0.0005589581909</v>
      </c>
      <c r="AL242" s="5">
        <v>-0.00279829360829553</v>
      </c>
      <c r="AM242" s="5">
        <v>-0.00178471932247392</v>
      </c>
      <c r="AN242" s="5">
        <v>0.00493728013186256</v>
      </c>
      <c r="AO242" s="5">
        <v>0.00394819839017279</v>
      </c>
      <c r="AP242" s="6">
        <f t="shared" si="3"/>
        <v>1.169014047</v>
      </c>
      <c r="AQ242" s="4">
        <f t="shared" si="4"/>
        <v>1.128977364</v>
      </c>
      <c r="AR242" s="5">
        <f t="shared" si="5"/>
        <v>1.13485615</v>
      </c>
      <c r="AS242" s="5">
        <f t="shared" ref="AS242:AU242" si="244">AS241*(1+AM242)</f>
        <v>1.181335752</v>
      </c>
      <c r="AT242" s="5">
        <f t="shared" si="244"/>
        <v>1.063876877</v>
      </c>
      <c r="AU242" s="5">
        <f t="shared" si="244"/>
        <v>1.056924849</v>
      </c>
    </row>
    <row r="243" ht="15.75" customHeight="1">
      <c r="A243" s="3">
        <v>44180.0</v>
      </c>
      <c r="B243" s="4">
        <v>0.006516</v>
      </c>
      <c r="C243" s="4">
        <v>0.009503</v>
      </c>
      <c r="D243" s="4">
        <v>8.5E-4</v>
      </c>
      <c r="E243" s="4">
        <v>0.003744</v>
      </c>
      <c r="F243" s="4">
        <v>0.0107</v>
      </c>
      <c r="G243" s="4">
        <v>0.010062</v>
      </c>
      <c r="H243" s="4">
        <v>0.005889</v>
      </c>
      <c r="I243" s="4">
        <v>0.010795</v>
      </c>
      <c r="J243" s="4">
        <v>0.009625</v>
      </c>
      <c r="K243" s="4">
        <v>0.008546</v>
      </c>
      <c r="L243" s="4">
        <v>9.74E-4</v>
      </c>
      <c r="M243" s="4">
        <v>0.006834</v>
      </c>
      <c r="N243" s="4">
        <v>0.012647</v>
      </c>
      <c r="O243" s="4">
        <v>0.010999</v>
      </c>
      <c r="P243" s="4">
        <v>0.025712</v>
      </c>
      <c r="Q243" s="4">
        <v>0.061201</v>
      </c>
      <c r="R243" s="4">
        <v>0.021008</v>
      </c>
      <c r="S243" s="4">
        <v>0.030326</v>
      </c>
      <c r="T243" s="4">
        <v>0.016349</v>
      </c>
      <c r="U243" s="4">
        <v>0.014325</v>
      </c>
      <c r="V243" s="4">
        <v>-6.27427840428462E-4</v>
      </c>
      <c r="W243" s="4">
        <v>0.0104534237245548</v>
      </c>
      <c r="X243" s="4">
        <v>0.0027026026101695</v>
      </c>
      <c r="Y243" s="4">
        <v>0.0019422085107472</v>
      </c>
      <c r="Z243" s="4">
        <v>0.005091131296443</v>
      </c>
      <c r="AA243" s="4">
        <v>-0.0011056644441587</v>
      </c>
      <c r="AB243" s="4">
        <v>-0.0016788918950386</v>
      </c>
      <c r="AC243" s="4">
        <v>0.0017303966607262</v>
      </c>
      <c r="AD243" s="4">
        <v>0.0037595340360498</v>
      </c>
      <c r="AE243" s="4">
        <v>-0.0097525145492356</v>
      </c>
      <c r="AF243" s="4">
        <v>0.0077698785867277</v>
      </c>
      <c r="AG243" s="4">
        <v>-0.0116781080760901</v>
      </c>
      <c r="AH243" s="4">
        <v>-0.0423116711555709</v>
      </c>
      <c r="AI243" s="4">
        <v>4.425404406478E-4</v>
      </c>
      <c r="AJ243" s="4">
        <v>0.012921</v>
      </c>
      <c r="AK243" s="4">
        <f>Weights!E299</f>
        <v>0.004353155792</v>
      </c>
      <c r="AL243" s="7">
        <v>-5.45991878073692E-5</v>
      </c>
      <c r="AM243" s="5">
        <v>-0.00283921380285212</v>
      </c>
      <c r="AN243" s="5">
        <v>-0.00226768760332962</v>
      </c>
      <c r="AO243" s="5">
        <v>-0.00365162224300719</v>
      </c>
      <c r="AP243" s="6">
        <f t="shared" si="3"/>
        <v>1.174102947</v>
      </c>
      <c r="AQ243" s="4">
        <f t="shared" si="4"/>
        <v>1.14356488</v>
      </c>
      <c r="AR243" s="7">
        <f t="shared" si="5"/>
        <v>1.134794188</v>
      </c>
      <c r="AS243" s="5">
        <f t="shared" ref="AS243:AU243" si="245">AS242*(1+AM243)</f>
        <v>1.177981687</v>
      </c>
      <c r="AT243" s="5">
        <f t="shared" si="245"/>
        <v>1.061464337</v>
      </c>
      <c r="AU243" s="5">
        <f t="shared" si="245"/>
        <v>1.053065359</v>
      </c>
    </row>
    <row r="244" ht="15.75" customHeight="1">
      <c r="A244" s="3">
        <v>44181.0</v>
      </c>
      <c r="B244" s="4">
        <v>0.0</v>
      </c>
      <c r="C244" s="4">
        <v>-0.01057</v>
      </c>
      <c r="D244" s="4">
        <v>-0.005307</v>
      </c>
      <c r="E244" s="4">
        <v>8.29E-4</v>
      </c>
      <c r="F244" s="4">
        <v>-0.014487</v>
      </c>
      <c r="G244" s="4">
        <v>-0.005977</v>
      </c>
      <c r="H244" s="4">
        <v>0.004537</v>
      </c>
      <c r="I244" s="4">
        <v>-0.013052</v>
      </c>
      <c r="J244" s="4">
        <v>-0.006911</v>
      </c>
      <c r="K244" s="4">
        <v>-0.002118</v>
      </c>
      <c r="L244" s="4">
        <v>-0.001581</v>
      </c>
      <c r="M244" s="4">
        <v>-0.001697</v>
      </c>
      <c r="N244" s="4">
        <v>0.002007</v>
      </c>
      <c r="O244" s="4">
        <v>0.008914</v>
      </c>
      <c r="P244" s="4">
        <v>0.020325</v>
      </c>
      <c r="Q244" s="4">
        <v>-0.001088</v>
      </c>
      <c r="R244" s="4">
        <v>0.003704</v>
      </c>
      <c r="S244" s="4">
        <v>0.006996</v>
      </c>
      <c r="T244" s="4">
        <v>-0.002298</v>
      </c>
      <c r="U244" s="4">
        <v>-0.008376</v>
      </c>
      <c r="V244" s="4">
        <v>0.0100439966492633</v>
      </c>
      <c r="W244" s="4">
        <v>-0.0117119492120211</v>
      </c>
      <c r="X244" s="4">
        <v>-0.0080862229969604</v>
      </c>
      <c r="Y244" s="4">
        <v>0.0053717052445241</v>
      </c>
      <c r="Z244" s="4">
        <v>0.00721320295837</v>
      </c>
      <c r="AA244" s="4">
        <v>0.0033203991140642</v>
      </c>
      <c r="AB244" s="4">
        <v>-0.0084089719104756</v>
      </c>
      <c r="AC244" s="4">
        <v>0.0</v>
      </c>
      <c r="AD244" s="4">
        <v>-0.007491013620466</v>
      </c>
      <c r="AE244" s="4">
        <v>-0.0016547520080462</v>
      </c>
      <c r="AF244" s="4">
        <v>0.0194174127430211</v>
      </c>
      <c r="AG244" s="4">
        <v>0.0031239727666156</v>
      </c>
      <c r="AH244" s="4">
        <v>-0.016163778153561</v>
      </c>
      <c r="AI244" s="4">
        <v>8.841962325842E-4</v>
      </c>
      <c r="AJ244" s="4">
        <v>0.001773</v>
      </c>
      <c r="AK244" s="4">
        <f>Weights!E300</f>
        <v>-0.001415478408</v>
      </c>
      <c r="AL244" s="5">
        <v>0.0108506973424027</v>
      </c>
      <c r="AM244" s="5">
        <v>0.0137101574681473</v>
      </c>
      <c r="AN244" s="5">
        <v>7.57750564028381E-4</v>
      </c>
      <c r="AO244" s="5">
        <v>0.00169137109338213</v>
      </c>
      <c r="AP244" s="6">
        <f t="shared" si="3"/>
        <v>1.17244103</v>
      </c>
      <c r="AQ244" s="4">
        <f t="shared" si="4"/>
        <v>1.145592421</v>
      </c>
      <c r="AR244" s="7">
        <f t="shared" si="5"/>
        <v>1.147107496</v>
      </c>
      <c r="AS244" s="5">
        <f t="shared" ref="AS244:AU244" si="246">AS243*(1+AM244)</f>
        <v>1.194132001</v>
      </c>
      <c r="AT244" s="5">
        <f t="shared" si="246"/>
        <v>1.062268662</v>
      </c>
      <c r="AU244" s="5">
        <f t="shared" si="246"/>
        <v>1.054846483</v>
      </c>
    </row>
    <row r="245" ht="15.75" customHeight="1">
      <c r="A245" s="3">
        <v>44182.0</v>
      </c>
      <c r="B245" s="4">
        <v>-0.005976</v>
      </c>
      <c r="C245" s="4">
        <v>0.001669</v>
      </c>
      <c r="D245" s="4">
        <v>-0.002134</v>
      </c>
      <c r="E245" s="4">
        <v>0.00566</v>
      </c>
      <c r="F245" s="4">
        <v>0.003958</v>
      </c>
      <c r="G245" s="4">
        <v>0.026391</v>
      </c>
      <c r="H245" s="4">
        <v>0.007139</v>
      </c>
      <c r="I245" s="4">
        <v>-0.003907</v>
      </c>
      <c r="J245" s="4">
        <v>0.00432</v>
      </c>
      <c r="K245" s="4">
        <v>3.54E-4</v>
      </c>
      <c r="L245" s="4">
        <v>-6.09E-4</v>
      </c>
      <c r="M245" s="4">
        <v>5.67E-4</v>
      </c>
      <c r="N245" s="4">
        <v>-0.008458</v>
      </c>
      <c r="O245" s="4">
        <v>0.015296</v>
      </c>
      <c r="P245" s="4">
        <v>0.02324</v>
      </c>
      <c r="Q245" s="4">
        <v>0.06427</v>
      </c>
      <c r="R245" s="4">
        <v>0.01353</v>
      </c>
      <c r="S245" s="4">
        <v>0.031864</v>
      </c>
      <c r="T245" s="4">
        <v>-0.017541</v>
      </c>
      <c r="U245" s="4">
        <v>0.006286</v>
      </c>
      <c r="V245" s="4">
        <v>0.0217525158012747</v>
      </c>
      <c r="W245" s="4">
        <v>-0.0140230833446581</v>
      </c>
      <c r="X245" s="4">
        <v>0.0054348521876357</v>
      </c>
      <c r="Y245" s="4">
        <v>0.0163508058911041</v>
      </c>
      <c r="Z245" s="4">
        <v>0.0097105621283235</v>
      </c>
      <c r="AA245" s="4">
        <v>-0.002022535282897</v>
      </c>
      <c r="AB245" s="4">
        <v>-0.0023745588020467</v>
      </c>
      <c r="AC245" s="4">
        <v>0.001726997619885</v>
      </c>
      <c r="AD245" s="4">
        <v>0.0</v>
      </c>
      <c r="AE245" s="4">
        <v>-0.006471298473874</v>
      </c>
      <c r="AF245" s="4">
        <v>-5.600914868557E-4</v>
      </c>
      <c r="AG245" s="4">
        <v>-0.0044681810047987</v>
      </c>
      <c r="AH245" s="4">
        <v>0.0306681243364654</v>
      </c>
      <c r="AI245" s="4">
        <v>4.423480730464E-4</v>
      </c>
      <c r="AJ245" s="4">
        <v>0.005758</v>
      </c>
      <c r="AK245" s="4">
        <f>Weights!E301</f>
        <v>0.005617997172</v>
      </c>
      <c r="AL245" s="5">
        <v>0.00234536839464727</v>
      </c>
      <c r="AM245" s="5">
        <v>0.00140443686744706</v>
      </c>
      <c r="AN245" s="5">
        <v>-0.00264950431998822</v>
      </c>
      <c r="AO245" s="5">
        <v>-0.00225135358347083</v>
      </c>
      <c r="AP245" s="6">
        <f t="shared" si="3"/>
        <v>1.1790278</v>
      </c>
      <c r="AQ245" s="4">
        <f t="shared" si="4"/>
        <v>1.152188742</v>
      </c>
      <c r="AR245" s="7">
        <f t="shared" si="5"/>
        <v>1.149797886</v>
      </c>
      <c r="AS245" s="5">
        <f t="shared" ref="AS245:AU245" si="247">AS244*(1+AM245)</f>
        <v>1.195809084</v>
      </c>
      <c r="AT245" s="5">
        <f t="shared" si="247"/>
        <v>1.059454176</v>
      </c>
      <c r="AU245" s="5">
        <f t="shared" si="247"/>
        <v>1.052471651</v>
      </c>
    </row>
    <row r="246" ht="15.75" customHeight="1">
      <c r="A246" s="3">
        <v>44183.0</v>
      </c>
      <c r="B246" s="4">
        <v>-0.003507</v>
      </c>
      <c r="C246" s="4">
        <v>0.007499</v>
      </c>
      <c r="D246" s="4">
        <v>-0.001925</v>
      </c>
      <c r="E246" s="4">
        <v>0.008373</v>
      </c>
      <c r="F246" s="4">
        <v>0.008823</v>
      </c>
      <c r="G246" s="4">
        <v>0.005794</v>
      </c>
      <c r="H246" s="4">
        <v>0.005714</v>
      </c>
      <c r="I246" s="4">
        <v>-0.010561</v>
      </c>
      <c r="J246" s="4">
        <v>-0.016726</v>
      </c>
      <c r="K246" s="4">
        <v>-0.007427</v>
      </c>
      <c r="L246" s="4">
        <v>-0.008651</v>
      </c>
      <c r="M246" s="4">
        <v>-0.016987</v>
      </c>
      <c r="N246" s="4">
        <v>-0.019978</v>
      </c>
      <c r="O246" s="4">
        <v>0.022084</v>
      </c>
      <c r="P246" s="4">
        <v>-0.018494</v>
      </c>
      <c r="Q246" s="4">
        <v>-0.008188</v>
      </c>
      <c r="R246" s="4">
        <v>-0.003641</v>
      </c>
      <c r="S246" s="4">
        <v>-0.025308</v>
      </c>
      <c r="T246" s="4">
        <v>-0.027412</v>
      </c>
      <c r="U246" s="4">
        <v>-0.013763</v>
      </c>
      <c r="V246" s="4">
        <v>0.0285889692570158</v>
      </c>
      <c r="W246" s="4">
        <v>0.0020032809780752</v>
      </c>
      <c r="X246" s="4">
        <v>-0.005405474234169</v>
      </c>
      <c r="Y246" s="4">
        <v>-0.0114308031651582</v>
      </c>
      <c r="Z246" s="4">
        <v>-0.0076661465072709</v>
      </c>
      <c r="AA246" s="4">
        <v>5.529516692814E-4</v>
      </c>
      <c r="AB246" s="4">
        <v>-0.0020401121342312</v>
      </c>
      <c r="AC246" s="4">
        <v>0.005172306263389</v>
      </c>
      <c r="AD246" s="4">
        <v>-0.001886643584988</v>
      </c>
      <c r="AE246" s="4">
        <v>-0.0022241389018321</v>
      </c>
      <c r="AF246" s="4">
        <v>-0.0053252545496733</v>
      </c>
      <c r="AG246" s="4">
        <v>-0.0179515783886003</v>
      </c>
      <c r="AH246" s="4">
        <v>-0.0350690679125577</v>
      </c>
      <c r="AI246" s="4">
        <v>8.832215098268E-4</v>
      </c>
      <c r="AJ246" s="4">
        <v>-0.003511</v>
      </c>
      <c r="AK246" s="4">
        <f>Weights!E302</f>
        <v>-0.006863883623</v>
      </c>
      <c r="AL246" s="5">
        <v>0.00773931752691825</v>
      </c>
      <c r="AM246" s="5">
        <v>0.00784357186592399</v>
      </c>
      <c r="AN246" s="5">
        <v>-0.0102466183013094</v>
      </c>
      <c r="AO246" s="5">
        <v>-0.00987324748123141</v>
      </c>
      <c r="AP246" s="6">
        <f t="shared" si="3"/>
        <v>1.170935091</v>
      </c>
      <c r="AQ246" s="4">
        <f t="shared" si="4"/>
        <v>1.148143407</v>
      </c>
      <c r="AR246" s="7">
        <f t="shared" si="5"/>
        <v>1.158696537</v>
      </c>
      <c r="AS246" s="5">
        <f t="shared" ref="AS246:AU246" si="248">AS245*(1+AM246)</f>
        <v>1.205188499</v>
      </c>
      <c r="AT246" s="5">
        <f t="shared" si="248"/>
        <v>1.048598354</v>
      </c>
      <c r="AU246" s="5">
        <f t="shared" si="248"/>
        <v>1.042080338</v>
      </c>
    </row>
    <row r="247" ht="15.75" customHeight="1">
      <c r="A247" s="3">
        <v>44186.0</v>
      </c>
      <c r="B247" s="4">
        <v>-0.009552</v>
      </c>
      <c r="C247" s="4">
        <v>-0.016044</v>
      </c>
      <c r="D247" s="4">
        <v>-0.011999</v>
      </c>
      <c r="E247" s="4">
        <v>-0.010413</v>
      </c>
      <c r="F247" s="4">
        <v>-0.017306</v>
      </c>
      <c r="G247" s="4">
        <v>-0.009643</v>
      </c>
      <c r="H247" s="4">
        <v>-0.010932</v>
      </c>
      <c r="I247" s="4">
        <v>-0.014029</v>
      </c>
      <c r="J247" s="4">
        <v>-0.015067</v>
      </c>
      <c r="K247" s="4">
        <v>-0.008908</v>
      </c>
      <c r="L247" s="4">
        <v>-0.00762</v>
      </c>
      <c r="M247" s="4">
        <v>-0.003456</v>
      </c>
      <c r="N247" s="4">
        <v>-0.008016</v>
      </c>
      <c r="O247" s="4">
        <v>-0.022797</v>
      </c>
      <c r="P247" s="4">
        <v>0.003636</v>
      </c>
      <c r="Q247" s="4">
        <v>-0.012384</v>
      </c>
      <c r="R247" s="4">
        <v>0.009338</v>
      </c>
      <c r="S247" s="4">
        <v>0.014531</v>
      </c>
      <c r="T247" s="4">
        <v>0.003894</v>
      </c>
      <c r="U247" s="4">
        <v>0.005938</v>
      </c>
      <c r="V247" s="4">
        <v>-0.0141929694273568</v>
      </c>
      <c r="W247" s="4">
        <v>-0.0231908336719007</v>
      </c>
      <c r="X247" s="4">
        <v>0.0</v>
      </c>
      <c r="Y247" s="4">
        <v>0.0051392192634223</v>
      </c>
      <c r="Z247" s="4">
        <v>2.079511171741E-4</v>
      </c>
      <c r="AA247" s="4">
        <v>-0.0044192233474489</v>
      </c>
      <c r="AB247" s="4">
        <v>-0.0010222214426544</v>
      </c>
      <c r="AC247" s="4">
        <v>0.0</v>
      </c>
      <c r="AD247" s="4">
        <v>0.0</v>
      </c>
      <c r="AE247" s="4">
        <v>0.0018309161029861</v>
      </c>
      <c r="AF247" s="4">
        <v>0.0107073917512594</v>
      </c>
      <c r="AG247" s="4">
        <v>-0.0087248422153383</v>
      </c>
      <c r="AH247" s="4">
        <v>-0.016519808172821</v>
      </c>
      <c r="AI247" s="4">
        <v>-0.0013242044317349</v>
      </c>
      <c r="AJ247" s="4">
        <v>-0.003906</v>
      </c>
      <c r="AK247" s="4">
        <f>Weights!E303</f>
        <v>-0.005701768408</v>
      </c>
      <c r="AL247" s="5">
        <v>-0.00303627744494661</v>
      </c>
      <c r="AM247" s="5">
        <v>-0.00283476833066886</v>
      </c>
      <c r="AN247" s="5">
        <v>0.00651845484456625</v>
      </c>
      <c r="AO247" s="5">
        <v>0.00712284694663756</v>
      </c>
      <c r="AP247" s="6">
        <f t="shared" si="3"/>
        <v>1.16425869</v>
      </c>
      <c r="AQ247" s="4">
        <f t="shared" si="4"/>
        <v>1.143658759</v>
      </c>
      <c r="AR247" s="7">
        <f t="shared" si="5"/>
        <v>1.155178413</v>
      </c>
      <c r="AS247" s="5">
        <f t="shared" ref="AS247:AU247" si="249">AS246*(1+AM247)</f>
        <v>1.201772069</v>
      </c>
      <c r="AT247" s="5">
        <f t="shared" si="249"/>
        <v>1.055433595</v>
      </c>
      <c r="AU247" s="5">
        <f t="shared" si="249"/>
        <v>1.049502916</v>
      </c>
    </row>
    <row r="248" ht="15.75" customHeight="1">
      <c r="A248" s="3">
        <v>44187.0</v>
      </c>
      <c r="B248" s="4">
        <v>-0.001015</v>
      </c>
      <c r="C248" s="4">
        <v>-0.008405</v>
      </c>
      <c r="D248" s="4">
        <v>-0.008675</v>
      </c>
      <c r="E248" s="4">
        <v>-0.009491</v>
      </c>
      <c r="F248" s="4">
        <v>-9.47E-4</v>
      </c>
      <c r="G248" s="4">
        <v>-0.001961</v>
      </c>
      <c r="H248" s="4">
        <v>-0.007054</v>
      </c>
      <c r="I248" s="4">
        <v>-0.0133</v>
      </c>
      <c r="J248" s="4">
        <v>-0.003454</v>
      </c>
      <c r="K248" s="4">
        <v>-0.011325</v>
      </c>
      <c r="L248" s="4">
        <v>-0.007555</v>
      </c>
      <c r="M248" s="4">
        <v>-0.00578</v>
      </c>
      <c r="N248" s="4">
        <v>-0.010159</v>
      </c>
      <c r="O248" s="4">
        <v>-0.008432</v>
      </c>
      <c r="P248" s="4">
        <v>-0.021574</v>
      </c>
      <c r="Q248" s="4">
        <v>-0.032393</v>
      </c>
      <c r="R248" s="4">
        <v>-0.024537</v>
      </c>
      <c r="S248" s="4">
        <v>-0.029819</v>
      </c>
      <c r="T248" s="4">
        <v>-0.019394</v>
      </c>
      <c r="U248" s="4">
        <v>0.010626</v>
      </c>
      <c r="V248" s="4">
        <v>0.0</v>
      </c>
      <c r="W248" s="4">
        <v>-0.0155546520619904</v>
      </c>
      <c r="X248" s="4">
        <v>0.0040926629811666</v>
      </c>
      <c r="Y248" s="4">
        <v>-0.0084503963615885</v>
      </c>
      <c r="Z248" s="4">
        <v>-0.0111465422439923</v>
      </c>
      <c r="AA248" s="4">
        <v>0.0088774126942214</v>
      </c>
      <c r="AB248" s="4">
        <v>-0.0061391236443492</v>
      </c>
      <c r="AC248" s="4">
        <v>-0.0017092851903064</v>
      </c>
      <c r="AD248" s="4">
        <v>0.0</v>
      </c>
      <c r="AE248" s="4">
        <v>0.0011124699670441</v>
      </c>
      <c r="AF248" s="4">
        <v>0.0342903745928615</v>
      </c>
      <c r="AG248" s="4">
        <v>-0.025984921985106</v>
      </c>
      <c r="AH248" s="4">
        <v>-0.0011198064030473</v>
      </c>
      <c r="AI248" s="4">
        <v>-0.0013253690315159</v>
      </c>
      <c r="AJ248" s="4">
        <v>-0.002073</v>
      </c>
      <c r="AK248" s="4">
        <f>Weights!E304</f>
        <v>-0.006383119516</v>
      </c>
      <c r="AL248" s="5">
        <v>-0.00680766444003055</v>
      </c>
      <c r="AM248" s="5">
        <v>-0.00289438465619773</v>
      </c>
      <c r="AN248" s="5">
        <v>0.00380941212523344</v>
      </c>
      <c r="AO248" s="5">
        <v>0.003394409267649</v>
      </c>
      <c r="AP248" s="6">
        <f t="shared" si="3"/>
        <v>1.156827088</v>
      </c>
      <c r="AQ248" s="4">
        <f t="shared" si="4"/>
        <v>1.141287955</v>
      </c>
      <c r="AR248" s="7">
        <f t="shared" si="5"/>
        <v>1.147314346</v>
      </c>
      <c r="AS248" s="5">
        <f t="shared" ref="AS248:AU248" si="250">AS247*(1+AM248)</f>
        <v>1.198293678</v>
      </c>
      <c r="AT248" s="5">
        <f t="shared" si="250"/>
        <v>1.059454176</v>
      </c>
      <c r="AU248" s="5">
        <f t="shared" si="250"/>
        <v>1.053065359</v>
      </c>
    </row>
    <row r="249" ht="15.75" customHeight="1">
      <c r="A249" s="3">
        <v>44188.0</v>
      </c>
      <c r="B249" s="4">
        <v>0.010163</v>
      </c>
      <c r="C249" s="4">
        <v>-5.09E-4</v>
      </c>
      <c r="D249" s="4">
        <v>0.015095</v>
      </c>
      <c r="E249" s="4">
        <v>0.002708</v>
      </c>
      <c r="F249" s="4">
        <v>0.006065</v>
      </c>
      <c r="G249" s="4">
        <v>-0.005107</v>
      </c>
      <c r="H249" s="4">
        <v>-0.001538</v>
      </c>
      <c r="I249" s="4">
        <v>0.00627</v>
      </c>
      <c r="J249" s="4">
        <v>0.005942</v>
      </c>
      <c r="K249" s="4">
        <v>0.013091</v>
      </c>
      <c r="L249" s="4">
        <v>0.016972</v>
      </c>
      <c r="M249" s="4">
        <v>0.016279</v>
      </c>
      <c r="N249" s="4">
        <v>0.015862</v>
      </c>
      <c r="O249" s="4">
        <v>-0.007984</v>
      </c>
      <c r="P249" s="4">
        <v>0.006228</v>
      </c>
      <c r="Q249" s="4">
        <v>0.017279</v>
      </c>
      <c r="R249" s="4">
        <v>0.025155</v>
      </c>
      <c r="S249" s="4">
        <v>0.019119</v>
      </c>
      <c r="T249" s="4">
        <v>-0.009795</v>
      </c>
      <c r="U249" s="4">
        <v>-0.014505</v>
      </c>
      <c r="V249" s="4">
        <v>0.022195660378258</v>
      </c>
      <c r="W249" s="4">
        <v>0.0182950535387851</v>
      </c>
      <c r="X249" s="4">
        <v>-0.0067933623776346</v>
      </c>
      <c r="Y249" s="4">
        <v>0.0069467819551674</v>
      </c>
      <c r="Z249" s="4">
        <v>0.0031572745437931</v>
      </c>
      <c r="AA249" s="4">
        <v>0.0018332273693169</v>
      </c>
      <c r="AB249" s="4">
        <v>0.013383759465992</v>
      </c>
      <c r="AC249" s="4">
        <v>0.0017122118486621</v>
      </c>
      <c r="AD249" s="4">
        <v>-0.001886643584988</v>
      </c>
      <c r="AE249" s="4">
        <v>0.0040485038202906</v>
      </c>
      <c r="AF249" s="4">
        <v>0.0226415491905125</v>
      </c>
      <c r="AG249" s="4">
        <v>0.0024383565957655</v>
      </c>
      <c r="AH249" s="4">
        <v>0.0347533159593371</v>
      </c>
      <c r="AI249" s="4">
        <v>-0.0026550453014393</v>
      </c>
      <c r="AJ249" s="4">
        <v>7.46E-4</v>
      </c>
      <c r="AK249" s="4">
        <f>Weights!E305</f>
        <v>0.008431276406</v>
      </c>
      <c r="AL249" s="5">
        <v>-7.21600729672311E-4</v>
      </c>
      <c r="AM249" s="5">
        <v>2.07251364475302E-4</v>
      </c>
      <c r="AN249" s="5">
        <v>0.00493377908089165</v>
      </c>
      <c r="AO249" s="5">
        <v>0.00479258618738143</v>
      </c>
      <c r="AP249" s="6">
        <f t="shared" si="3"/>
        <v>1.166580617</v>
      </c>
      <c r="AQ249" s="4">
        <f t="shared" si="4"/>
        <v>1.142139355</v>
      </c>
      <c r="AR249" s="7">
        <f t="shared" si="5"/>
        <v>1.146486443</v>
      </c>
      <c r="AS249" s="5">
        <f t="shared" ref="AS249:AU249" si="251">AS248*(1+AM249)</f>
        <v>1.198542026</v>
      </c>
      <c r="AT249" s="5">
        <f t="shared" si="251"/>
        <v>1.064681289</v>
      </c>
      <c r="AU249" s="5">
        <f t="shared" si="251"/>
        <v>1.058112265</v>
      </c>
    </row>
    <row r="250" ht="15.75" customHeight="1">
      <c r="A250" s="3">
        <v>44189.0</v>
      </c>
      <c r="B250" s="4">
        <v>0.004024</v>
      </c>
      <c r="C250" s="4">
        <v>-0.002035</v>
      </c>
      <c r="D250" s="4">
        <v>0.007759</v>
      </c>
      <c r="E250" s="4">
        <v>0.004501</v>
      </c>
      <c r="F250" s="4">
        <v>0.006782</v>
      </c>
      <c r="G250" s="4">
        <v>0.003488</v>
      </c>
      <c r="H250" s="4">
        <v>0.010122</v>
      </c>
      <c r="I250" s="4">
        <v>0.002804</v>
      </c>
      <c r="J250" s="4">
        <v>0.008614</v>
      </c>
      <c r="K250" s="4">
        <v>0.006461</v>
      </c>
      <c r="L250" s="4">
        <v>0.004663</v>
      </c>
      <c r="M250" s="4">
        <v>0.002288</v>
      </c>
      <c r="N250" s="4">
        <v>0.005741</v>
      </c>
      <c r="O250" s="4">
        <v>0.01162</v>
      </c>
      <c r="P250" s="4">
        <v>0.01171</v>
      </c>
      <c r="Q250" s="4">
        <v>0.006369</v>
      </c>
      <c r="R250" s="4">
        <v>-0.002816</v>
      </c>
      <c r="S250" s="4">
        <v>0.007362</v>
      </c>
      <c r="T250" s="4">
        <v>-0.002473</v>
      </c>
      <c r="U250" s="4">
        <v>0.002568</v>
      </c>
      <c r="V250" s="4">
        <v>0.0164320318488033</v>
      </c>
      <c r="W250" s="4">
        <v>-8.165705421926E-4</v>
      </c>
      <c r="X250" s="4">
        <v>0.0109437789556174</v>
      </c>
      <c r="Y250" s="4">
        <v>-8.536672875049E-4</v>
      </c>
      <c r="Z250" s="4">
        <v>0.0077863364588635</v>
      </c>
      <c r="AA250" s="4">
        <v>-0.0029275855784514</v>
      </c>
      <c r="AB250" s="4">
        <v>0.0213342072830666</v>
      </c>
      <c r="AC250" s="4">
        <v>0.0119658889516427</v>
      </c>
      <c r="AD250" s="4">
        <v>0.0</v>
      </c>
      <c r="AE250" s="4">
        <v>0.0060084063713321</v>
      </c>
      <c r="AF250" s="4">
        <v>0.0105429132200887</v>
      </c>
      <c r="AG250" s="4">
        <v>-0.0081556218759849</v>
      </c>
      <c r="AH250" s="4">
        <v>-0.0032502290871967</v>
      </c>
      <c r="AI250" s="4">
        <v>0.0039927742638108</v>
      </c>
      <c r="AJ250" s="4">
        <v>0.003537</v>
      </c>
      <c r="AK250" s="4">
        <f>Weights!E306</f>
        <v>0.004807246458</v>
      </c>
      <c r="AL250" s="5">
        <v>0.00297858725980026</v>
      </c>
      <c r="AM250" s="5">
        <v>0.00171029306349335</v>
      </c>
      <c r="AN250" s="5">
        <v>-0.00679775930314141</v>
      </c>
      <c r="AO250" s="5">
        <v>-0.00673382541728773</v>
      </c>
      <c r="AP250" s="6">
        <f t="shared" si="3"/>
        <v>1.172188657</v>
      </c>
      <c r="AQ250" s="4">
        <f t="shared" si="4"/>
        <v>1.146179102</v>
      </c>
      <c r="AR250" s="7">
        <f t="shared" si="5"/>
        <v>1.149901353</v>
      </c>
      <c r="AS250" s="5">
        <f t="shared" ref="AS250:AU250" si="252">AS249*(1+AM250)</f>
        <v>1.200591884</v>
      </c>
      <c r="AT250" s="5">
        <f t="shared" si="252"/>
        <v>1.057443842</v>
      </c>
      <c r="AU250" s="5">
        <f t="shared" si="252"/>
        <v>1.050987122</v>
      </c>
    </row>
    <row r="251" ht="15.75" customHeight="1">
      <c r="A251" s="3">
        <v>44193.0</v>
      </c>
      <c r="B251" s="4">
        <v>0.002004</v>
      </c>
      <c r="C251" s="4">
        <v>0.002379</v>
      </c>
      <c r="D251" s="4">
        <v>-4.28E-4</v>
      </c>
      <c r="E251" s="4">
        <v>0.012753</v>
      </c>
      <c r="F251" s="4">
        <v>0.013473</v>
      </c>
      <c r="G251" s="4">
        <v>0.004722</v>
      </c>
      <c r="H251" s="4">
        <v>0.006971</v>
      </c>
      <c r="I251" s="4">
        <v>-0.012116</v>
      </c>
      <c r="J251" s="4">
        <v>-0.002684</v>
      </c>
      <c r="K251" s="4">
        <v>-7.13E-4</v>
      </c>
      <c r="L251" s="4">
        <v>-7.33E-4</v>
      </c>
      <c r="M251" s="4">
        <v>0.004566</v>
      </c>
      <c r="N251" s="4">
        <v>0.002283</v>
      </c>
      <c r="O251" s="4">
        <v>-0.004661</v>
      </c>
      <c r="P251" s="4">
        <v>-0.010913</v>
      </c>
      <c r="Q251" s="4">
        <v>-0.013713</v>
      </c>
      <c r="R251" s="4">
        <v>-0.006454</v>
      </c>
      <c r="S251" s="4">
        <v>-0.016737</v>
      </c>
      <c r="T251" s="4">
        <v>-0.006293</v>
      </c>
      <c r="U251" s="4">
        <v>-3.94E-4</v>
      </c>
      <c r="V251" s="4">
        <v>-0.00346419516236884</v>
      </c>
      <c r="W251" s="4">
        <v>0.0132816720096429</v>
      </c>
      <c r="X251" s="4">
        <v>0.0013532646623275</v>
      </c>
      <c r="Y251" s="4">
        <v>0.0069760985925393</v>
      </c>
      <c r="Z251" s="4">
        <v>0.0100396547855483</v>
      </c>
      <c r="AA251" s="4">
        <v>-0.0018354218976247</v>
      </c>
      <c r="AB251" s="4">
        <v>-0.0142573001409417</v>
      </c>
      <c r="AC251" s="4">
        <v>0.0067567768036842</v>
      </c>
      <c r="AD251" s="4">
        <v>0.0056711736264349</v>
      </c>
      <c r="AE251" s="4">
        <v>0.0073085261078853</v>
      </c>
      <c r="AF251" s="4">
        <v>0.0</v>
      </c>
      <c r="AG251" s="4">
        <v>0.0038951006205001</v>
      </c>
      <c r="AH251" s="4">
        <v>0.0108695546541865</v>
      </c>
      <c r="AI251" s="4">
        <v>-0.0013253690315159</v>
      </c>
      <c r="AJ251" s="4">
        <v>0.008723</v>
      </c>
      <c r="AK251" s="4">
        <f>Weights!E307</f>
        <v>0.0004160684626</v>
      </c>
      <c r="AL251" s="5">
        <v>0.00278941784190722</v>
      </c>
      <c r="AM251" s="5">
        <v>0.00167288312780411</v>
      </c>
      <c r="AN251" s="5">
        <v>-7.60384666733671E-4</v>
      </c>
      <c r="AO251" s="5">
        <v>-0.00112993336208466</v>
      </c>
      <c r="AP251" s="6">
        <f t="shared" si="3"/>
        <v>1.172676368</v>
      </c>
      <c r="AQ251" s="4">
        <f t="shared" si="4"/>
        <v>1.156177223</v>
      </c>
      <c r="AR251" s="7">
        <f t="shared" si="5"/>
        <v>1.153108908</v>
      </c>
      <c r="AS251" s="5">
        <f t="shared" ref="AS251:AU251" si="253">AS250*(1+AM251)</f>
        <v>1.202600334</v>
      </c>
      <c r="AT251" s="5">
        <f t="shared" si="253"/>
        <v>1.056639778</v>
      </c>
      <c r="AU251" s="5">
        <f t="shared" si="253"/>
        <v>1.049799577</v>
      </c>
    </row>
    <row r="252" ht="15.75" customHeight="1">
      <c r="A252" s="3">
        <v>44194.0</v>
      </c>
      <c r="B252" s="4">
        <v>-0.0035</v>
      </c>
      <c r="C252" s="4">
        <v>-0.002882</v>
      </c>
      <c r="D252" s="4">
        <v>0.001712</v>
      </c>
      <c r="E252" s="4">
        <v>0.003471</v>
      </c>
      <c r="F252" s="4">
        <v>-5.54E-4</v>
      </c>
      <c r="G252" s="4">
        <v>0.006201</v>
      </c>
      <c r="H252" s="4">
        <v>-0.001875</v>
      </c>
      <c r="I252" s="4">
        <v>9.43E-4</v>
      </c>
      <c r="J252" s="4">
        <v>0.00367</v>
      </c>
      <c r="K252" s="4">
        <v>0.004461</v>
      </c>
      <c r="L252" s="4">
        <v>0.002934</v>
      </c>
      <c r="M252" s="4">
        <v>0.002841</v>
      </c>
      <c r="N252" s="4">
        <v>2.28E-4</v>
      </c>
      <c r="O252" s="4">
        <v>-8.04E-4</v>
      </c>
      <c r="P252" s="4">
        <v>-0.001505</v>
      </c>
      <c r="Q252" s="4">
        <v>0.001069</v>
      </c>
      <c r="R252" s="4">
        <v>0.004466</v>
      </c>
      <c r="S252" s="4">
        <v>-7.19E-4</v>
      </c>
      <c r="T252" s="4">
        <v>-5.76E-4</v>
      </c>
      <c r="U252" s="4">
        <v>2.96E-4</v>
      </c>
      <c r="V252" s="4">
        <v>0.0133254354985006</v>
      </c>
      <c r="W252" s="4">
        <v>-0.0223837189999673</v>
      </c>
      <c r="X252" s="4">
        <v>0.0</v>
      </c>
      <c r="Y252" s="4">
        <v>5.654175054337E-4</v>
      </c>
      <c r="Z252" s="4">
        <v>0.0070998240570223</v>
      </c>
      <c r="AA252" s="4">
        <v>-9.192218461709E-4</v>
      </c>
      <c r="AB252" s="4">
        <v>-0.0134545131944557</v>
      </c>
      <c r="AC252" s="4">
        <v>0.0</v>
      </c>
      <c r="AD252" s="4">
        <v>0.0</v>
      </c>
      <c r="AE252" s="4">
        <v>-0.0085038691081442</v>
      </c>
      <c r="AF252" s="4">
        <v>0.0083464378286213</v>
      </c>
      <c r="AG252" s="4">
        <v>-5.749057280429E-4</v>
      </c>
      <c r="AH252" s="4">
        <v>0.0193548457390146</v>
      </c>
      <c r="AI252" s="4">
        <v>0.0030968950435172</v>
      </c>
      <c r="AJ252" s="4">
        <v>-0.002227</v>
      </c>
      <c r="AK252" s="4">
        <f>Weights!E308</f>
        <v>0.001376894175</v>
      </c>
      <c r="AL252" s="5">
        <v>0.00592245056970708</v>
      </c>
      <c r="AM252" s="5">
        <v>0.00632727940707877</v>
      </c>
      <c r="AN252" s="5">
        <v>0.00266353626676263</v>
      </c>
      <c r="AO252" s="5">
        <v>0.00254531830909776</v>
      </c>
      <c r="AP252" s="6">
        <f t="shared" si="3"/>
        <v>1.174291019</v>
      </c>
      <c r="AQ252" s="4">
        <f t="shared" si="4"/>
        <v>1.153602416</v>
      </c>
      <c r="AR252" s="7">
        <f t="shared" si="5"/>
        <v>1.159938139</v>
      </c>
      <c r="AS252" s="5">
        <f t="shared" ref="AS252:AU252" si="254">AS251*(1+AM252)</f>
        <v>1.210209522</v>
      </c>
      <c r="AT252" s="5">
        <f t="shared" si="254"/>
        <v>1.059454176</v>
      </c>
      <c r="AU252" s="5">
        <f t="shared" si="254"/>
        <v>1.052471651</v>
      </c>
    </row>
    <row r="253" ht="15.75" customHeight="1">
      <c r="A253" s="3">
        <v>44195.0</v>
      </c>
      <c r="B253" s="4">
        <v>-0.004516</v>
      </c>
      <c r="C253" s="4">
        <v>-0.011393</v>
      </c>
      <c r="D253" s="4">
        <v>-0.002136</v>
      </c>
      <c r="E253" s="4">
        <v>-7.46E-4</v>
      </c>
      <c r="F253" s="4">
        <v>0.005727</v>
      </c>
      <c r="G253" s="4">
        <v>0.012391</v>
      </c>
      <c r="H253" s="4">
        <v>-0.004696</v>
      </c>
      <c r="I253" s="4">
        <v>0.004398</v>
      </c>
      <c r="J253" s="4">
        <v>9.75E-4</v>
      </c>
      <c r="K253" s="4">
        <v>0.002487</v>
      </c>
      <c r="L253" s="4">
        <v>8.53E-4</v>
      </c>
      <c r="M253" s="4">
        <v>-5.67E-4</v>
      </c>
      <c r="N253" s="4">
        <v>0.004099</v>
      </c>
      <c r="O253" s="4">
        <v>-0.00729</v>
      </c>
      <c r="P253" s="4">
        <v>0.01105</v>
      </c>
      <c r="Q253" s="4">
        <v>0.028846</v>
      </c>
      <c r="R253" s="4">
        <v>0.072353</v>
      </c>
      <c r="S253" s="4">
        <v>0.02999</v>
      </c>
      <c r="T253" s="4">
        <v>0.024289</v>
      </c>
      <c r="U253" s="4">
        <v>0.003547</v>
      </c>
      <c r="V253" s="4">
        <v>-0.00228680645719925</v>
      </c>
      <c r="W253" s="4">
        <v>0.0028879797776535</v>
      </c>
      <c r="X253" s="4">
        <v>-0.0081301397816503</v>
      </c>
      <c r="Y253" s="4">
        <v>-0.0087605404293784</v>
      </c>
      <c r="Z253" s="4">
        <v>-0.0075957232052961</v>
      </c>
      <c r="AA253" s="4">
        <v>-0.0044166956167013</v>
      </c>
      <c r="AB253" s="4">
        <v>-0.0129559533492067</v>
      </c>
      <c r="AC253" s="4">
        <v>-0.0202702502233428</v>
      </c>
      <c r="AD253" s="4">
        <v>-0.0055968946331365</v>
      </c>
      <c r="AE253" s="4">
        <v>0.0059015128720665</v>
      </c>
      <c r="AF253" s="4">
        <v>0.0046559469893623</v>
      </c>
      <c r="AG253" s="4">
        <v>-0.0120775223795096</v>
      </c>
      <c r="AH253" s="4">
        <v>-0.0073839968195767</v>
      </c>
      <c r="AI253" s="4">
        <v>8.826434408715E-4</v>
      </c>
      <c r="AJ253" s="4">
        <v>0.001342</v>
      </c>
      <c r="AK253" s="4">
        <f>Weights!E309</f>
        <v>0.001406763959</v>
      </c>
      <c r="AL253" s="5">
        <v>3.56873716566452E-4</v>
      </c>
      <c r="AM253" s="5">
        <v>-0.00417448685810462</v>
      </c>
      <c r="AN253" s="5">
        <v>0.00113841273372594</v>
      </c>
      <c r="AO253" s="5">
        <v>0.00253867196359758</v>
      </c>
      <c r="AP253" s="6">
        <f t="shared" si="3"/>
        <v>1.175942969</v>
      </c>
      <c r="AQ253" s="4">
        <f t="shared" si="4"/>
        <v>1.15515055</v>
      </c>
      <c r="AR253" s="7">
        <f t="shared" si="5"/>
        <v>1.16035209</v>
      </c>
      <c r="AS253" s="5">
        <f t="shared" ref="AS253:AU253" si="255">AS252*(1+AM253)</f>
        <v>1.205157519</v>
      </c>
      <c r="AT253" s="5">
        <f t="shared" si="255"/>
        <v>1.060660273</v>
      </c>
      <c r="AU253" s="5">
        <f t="shared" si="255"/>
        <v>1.055143531</v>
      </c>
    </row>
    <row r="254" ht="15.75" customHeight="1">
      <c r="A254" s="3">
        <v>44196.0</v>
      </c>
      <c r="B254" s="4">
        <v>-0.002016</v>
      </c>
      <c r="C254" s="4">
        <v>0.010492</v>
      </c>
      <c r="D254" s="4">
        <v>-0.002783</v>
      </c>
      <c r="E254" s="4">
        <v>0.006721</v>
      </c>
      <c r="F254" s="4">
        <v>0.007348</v>
      </c>
      <c r="G254" s="4">
        <v>0.008523</v>
      </c>
      <c r="H254" s="4">
        <v>0.009944</v>
      </c>
      <c r="I254" s="4">
        <v>6.26E-4</v>
      </c>
      <c r="J254" s="4">
        <v>-0.005845</v>
      </c>
      <c r="K254" s="4">
        <v>-1.77E-4</v>
      </c>
      <c r="L254" s="4">
        <v>-7.31E-4</v>
      </c>
      <c r="M254" s="4">
        <v>0.010204</v>
      </c>
      <c r="N254" s="4">
        <v>0.008392</v>
      </c>
      <c r="O254" s="4">
        <v>0.013542</v>
      </c>
      <c r="P254" s="4">
        <v>-0.00828</v>
      </c>
      <c r="Q254" s="4">
        <v>-0.037383</v>
      </c>
      <c r="R254" s="4">
        <v>-0.019224</v>
      </c>
      <c r="S254" s="4">
        <v>-0.02772</v>
      </c>
      <c r="T254" s="4">
        <v>0.004722</v>
      </c>
      <c r="U254" s="4">
        <v>0.007168</v>
      </c>
      <c r="V254" s="4">
        <v>-0.0108882962815133</v>
      </c>
      <c r="W254" s="4">
        <v>-0.0076101634487951</v>
      </c>
      <c r="X254" s="4">
        <v>0.0163934708586002</v>
      </c>
      <c r="Y254" s="4">
        <v>0.0020667617292831</v>
      </c>
      <c r="Z254" s="4">
        <v>0.0054997638171483</v>
      </c>
      <c r="AA254" s="4">
        <v>-0.003696774647117</v>
      </c>
      <c r="AB254" s="4">
        <v>-3.453402051676E-4</v>
      </c>
      <c r="AC254" s="4">
        <v>0.0068965720447138</v>
      </c>
      <c r="AD254" s="4">
        <v>0.0</v>
      </c>
      <c r="AE254" s="4">
        <v>0.0141581934504788</v>
      </c>
      <c r="AF254" s="4">
        <v>0.0069516802089988</v>
      </c>
      <c r="AG254" s="4">
        <v>-0.0216852015471713</v>
      </c>
      <c r="AH254" s="4">
        <v>-0.0244420853138204</v>
      </c>
      <c r="AI254" s="4">
        <v>0.0022037290125842</v>
      </c>
      <c r="AJ254" s="4">
        <v>0.006439</v>
      </c>
      <c r="AK254" s="4">
        <f>Weights!E310</f>
        <v>-0.001632177199</v>
      </c>
      <c r="AL254" s="5">
        <v>0.00133759948922218</v>
      </c>
      <c r="AM254" s="5">
        <v>0.00269093594283775</v>
      </c>
      <c r="AN254" s="5">
        <v>0.00227464675234045</v>
      </c>
      <c r="AO254" s="5">
        <v>0.00168822351288255</v>
      </c>
      <c r="AP254" s="6">
        <f t="shared" si="3"/>
        <v>1.174023622</v>
      </c>
      <c r="AQ254" s="4">
        <f t="shared" si="4"/>
        <v>1.162588565</v>
      </c>
      <c r="AR254" s="7">
        <f t="shared" si="5"/>
        <v>1.161904177</v>
      </c>
      <c r="AS254" s="5">
        <f t="shared" ref="AS254:AU254" si="256">AS253*(1+AM254)</f>
        <v>1.20840052</v>
      </c>
      <c r="AT254" s="5">
        <f t="shared" si="256"/>
        <v>1.0630729</v>
      </c>
      <c r="AU254" s="5">
        <f t="shared" si="256"/>
        <v>1.056924849</v>
      </c>
    </row>
    <row r="255" ht="15.75" customHeight="1">
      <c r="A255" s="3">
        <v>44200.0</v>
      </c>
      <c r="B255" s="4">
        <v>0.005556</v>
      </c>
      <c r="C255" s="4">
        <v>0.001702</v>
      </c>
      <c r="D255" s="4">
        <v>0.018459</v>
      </c>
      <c r="E255" s="4">
        <v>-0.027175</v>
      </c>
      <c r="F255" s="4">
        <v>-0.037929</v>
      </c>
      <c r="G255" s="4">
        <v>-0.005592</v>
      </c>
      <c r="H255" s="4">
        <v>-0.009487</v>
      </c>
      <c r="I255" s="4">
        <v>-6.25E-4</v>
      </c>
      <c r="J255" s="4">
        <v>-2.45E-4</v>
      </c>
      <c r="K255" s="4">
        <v>-0.002836</v>
      </c>
      <c r="L255" s="4">
        <v>-0.002315</v>
      </c>
      <c r="M255" s="4">
        <v>-0.015152</v>
      </c>
      <c r="N255" s="4">
        <v>-0.006073</v>
      </c>
      <c r="O255" s="4">
        <v>-0.001788</v>
      </c>
      <c r="P255" s="4">
        <v>0.054433</v>
      </c>
      <c r="Q255" s="4">
        <v>0.134844</v>
      </c>
      <c r="R255" s="4">
        <v>0.043044</v>
      </c>
      <c r="S255" s="4">
        <v>0.084331</v>
      </c>
      <c r="T255" s="4">
        <v>-0.012784</v>
      </c>
      <c r="U255" s="4">
        <v>-0.013454</v>
      </c>
      <c r="V255" s="4">
        <v>-0.00173826045441172</v>
      </c>
      <c r="W255" s="4">
        <v>0.0205180790253196</v>
      </c>
      <c r="X255" s="4">
        <v>0.0080644852005278</v>
      </c>
      <c r="Y255" s="4">
        <v>-0.0041253515810822</v>
      </c>
      <c r="Z255" s="4">
        <v>6.611081484004E-4</v>
      </c>
      <c r="AA255" s="4">
        <v>-0.0050093328046972</v>
      </c>
      <c r="AB255" s="4">
        <v>0.0131304666448817</v>
      </c>
      <c r="AC255" s="4">
        <v>0.0068492538254896</v>
      </c>
      <c r="AD255" s="4">
        <v>-0.0056288284370655</v>
      </c>
      <c r="AE255" s="4">
        <v>-0.0139605374604413</v>
      </c>
      <c r="AF255" s="4">
        <v>0.0063921810713212</v>
      </c>
      <c r="AG255" s="4">
        <v>0.0117522494696951</v>
      </c>
      <c r="AH255" s="4">
        <v>0.0403050121663601</v>
      </c>
      <c r="AI255" s="4">
        <v>-4.396197519594E-4</v>
      </c>
      <c r="AJ255" s="4">
        <v>-0.014755</v>
      </c>
      <c r="AK255" s="4">
        <f>Weights!E311</f>
        <v>0.007206206744</v>
      </c>
      <c r="AL255" s="5">
        <v>0.00106866465681298</v>
      </c>
      <c r="AM255" s="5">
        <v>0.00459353148793906</v>
      </c>
      <c r="AN255" s="5">
        <v>-0.00453864145493942</v>
      </c>
      <c r="AO255" s="5">
        <v>-0.00393267142319075</v>
      </c>
      <c r="AP255" s="6">
        <f t="shared" si="3"/>
        <v>1.182483879</v>
      </c>
      <c r="AQ255" s="4">
        <f t="shared" si="4"/>
        <v>1.14543457</v>
      </c>
      <c r="AR255" s="7">
        <f t="shared" si="5"/>
        <v>1.163145863</v>
      </c>
      <c r="AS255" s="5">
        <f t="shared" ref="AS255:AU255" si="257">AS254*(1+AM255)</f>
        <v>1.213951346</v>
      </c>
      <c r="AT255" s="5">
        <f t="shared" si="257"/>
        <v>1.058247993</v>
      </c>
      <c r="AU255" s="5">
        <f t="shared" si="257"/>
        <v>1.052768311</v>
      </c>
    </row>
    <row r="256" ht="15.75" customHeight="1">
      <c r="A256" s="3">
        <v>44201.0</v>
      </c>
      <c r="B256" s="4">
        <v>0.02009</v>
      </c>
      <c r="C256" s="4">
        <v>-0.004588</v>
      </c>
      <c r="D256" s="4">
        <v>0.014963</v>
      </c>
      <c r="E256" s="4">
        <v>0.00298</v>
      </c>
      <c r="F256" s="4">
        <v>-0.010993</v>
      </c>
      <c r="G256" s="4">
        <v>0.011757</v>
      </c>
      <c r="H256" s="4">
        <v>0.006385</v>
      </c>
      <c r="I256" s="4">
        <v>0.042853</v>
      </c>
      <c r="J256" s="4">
        <v>-0.010292</v>
      </c>
      <c r="K256" s="4">
        <v>0.013686</v>
      </c>
      <c r="L256" s="4">
        <v>0.015024</v>
      </c>
      <c r="M256" s="4">
        <v>0.021652</v>
      </c>
      <c r="N256" s="4">
        <v>0.012446</v>
      </c>
      <c r="O256" s="4">
        <v>0.011453</v>
      </c>
      <c r="P256" s="4">
        <v>0.004434</v>
      </c>
      <c r="Q256" s="4">
        <v>-0.029468</v>
      </c>
      <c r="R256" s="4">
        <v>0.045321</v>
      </c>
      <c r="S256" s="4">
        <v>0.001105</v>
      </c>
      <c r="T256" s="4">
        <v>0.029709</v>
      </c>
      <c r="U256" s="4">
        <v>0.005139</v>
      </c>
      <c r="V256" s="4">
        <v>0.0</v>
      </c>
      <c r="W256" s="4">
        <v>-0.0109664921777419</v>
      </c>
      <c r="X256" s="4">
        <v>-0.0066667297793068</v>
      </c>
      <c r="Y256" s="4">
        <v>0.0049283553839896</v>
      </c>
      <c r="Z256" s="4">
        <v>0.003530013824728</v>
      </c>
      <c r="AA256" s="4">
        <v>0.006153322111611</v>
      </c>
      <c r="AB256" s="4">
        <v>0.0081856585415129</v>
      </c>
      <c r="AC256" s="4">
        <v>0.0017006449856564</v>
      </c>
      <c r="AD256" s="4">
        <v>-0.0056602567878415</v>
      </c>
      <c r="AE256" s="4">
        <v>-0.0016425983611416</v>
      </c>
      <c r="AF256" s="4">
        <v>0.0198170357987064</v>
      </c>
      <c r="AG256" s="4">
        <v>-5.879416303796E-4</v>
      </c>
      <c r="AH256" s="4">
        <v>-0.0282722622884027</v>
      </c>
      <c r="AI256" s="4">
        <v>0.0</v>
      </c>
      <c r="AJ256" s="4">
        <v>0.007083</v>
      </c>
      <c r="AK256" s="4">
        <f>Weights!E312</f>
        <v>0.005115816417</v>
      </c>
      <c r="AL256" s="5">
        <v>-0.00693894109655524</v>
      </c>
      <c r="AM256" s="5">
        <v>-0.0142314881317947</v>
      </c>
      <c r="AN256" s="5">
        <v>-0.00151969596539924</v>
      </c>
      <c r="AO256" s="5">
        <v>4.54411928678233E-4</v>
      </c>
      <c r="AP256" s="6">
        <f t="shared" si="3"/>
        <v>1.188533249</v>
      </c>
      <c r="AQ256" s="4">
        <f t="shared" si="4"/>
        <v>1.153547684</v>
      </c>
      <c r="AR256" s="7">
        <f t="shared" si="5"/>
        <v>1.155074862</v>
      </c>
      <c r="AS256" s="5">
        <f t="shared" ref="AS256:AU256" si="258">AS255*(1+AM256)</f>
        <v>1.196675012</v>
      </c>
      <c r="AT256" s="5">
        <f t="shared" si="258"/>
        <v>1.056639778</v>
      </c>
      <c r="AU256" s="5">
        <f t="shared" si="258"/>
        <v>1.053246701</v>
      </c>
    </row>
    <row r="257" ht="15.75" customHeight="1">
      <c r="A257" s="3">
        <v>44202.0</v>
      </c>
      <c r="B257" s="4">
        <v>0.022157</v>
      </c>
      <c r="C257" s="4">
        <v>0.01212</v>
      </c>
      <c r="D257" s="4">
        <v>0.003322</v>
      </c>
      <c r="E257" s="4">
        <v>-0.012232</v>
      </c>
      <c r="F257" s="4">
        <v>-0.031813</v>
      </c>
      <c r="G257" s="4">
        <v>0.00941</v>
      </c>
      <c r="H257" s="4">
        <v>0.010526</v>
      </c>
      <c r="I257" s="4">
        <v>-0.010798</v>
      </c>
      <c r="J257" s="4">
        <v>0.005694</v>
      </c>
      <c r="K257" s="4">
        <v>0.03016</v>
      </c>
      <c r="L257" s="4">
        <v>0.015042</v>
      </c>
      <c r="M257" s="4">
        <v>0.035694</v>
      </c>
      <c r="N257" s="4">
        <v>0.05409</v>
      </c>
      <c r="O257" s="4">
        <v>-0.006523</v>
      </c>
      <c r="P257" s="4">
        <v>0.028535</v>
      </c>
      <c r="Q257" s="4">
        <v>-0.024486</v>
      </c>
      <c r="R257" s="4">
        <v>0.063095</v>
      </c>
      <c r="S257" s="4">
        <v>0.001986</v>
      </c>
      <c r="T257" s="4">
        <v>0.054559</v>
      </c>
      <c r="U257" s="4">
        <v>0.014355</v>
      </c>
      <c r="V257" s="4">
        <v>0.0336622849427548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  <c r="AD257" s="4">
        <v>0.0</v>
      </c>
      <c r="AE257" s="4">
        <v>0.0</v>
      </c>
      <c r="AF257" s="4">
        <v>0.0</v>
      </c>
      <c r="AG257" s="4">
        <v>0.0</v>
      </c>
      <c r="AH257" s="4">
        <v>0.0</v>
      </c>
      <c r="AI257" s="4">
        <v>0.0</v>
      </c>
      <c r="AJ257" s="4">
        <v>0.00571</v>
      </c>
      <c r="AK257" s="4">
        <f>Weights!E313</f>
        <v>0.009270775785</v>
      </c>
      <c r="AL257" s="5">
        <v>0.00770388746066386</v>
      </c>
      <c r="AM257" s="5">
        <v>0.0080785923310056</v>
      </c>
      <c r="AN257" s="5">
        <v>-0.00799085591978043</v>
      </c>
      <c r="AO257" s="5">
        <v>-0.00709419357877894</v>
      </c>
      <c r="AP257" s="6">
        <f t="shared" si="3"/>
        <v>1.199551875</v>
      </c>
      <c r="AQ257" s="4">
        <f t="shared" si="4"/>
        <v>1.160134441</v>
      </c>
      <c r="AR257" s="7">
        <f t="shared" si="5"/>
        <v>1.163973429</v>
      </c>
      <c r="AS257" s="5">
        <f t="shared" ref="AS257:AU257" si="259">AS256*(1+AM257)</f>
        <v>1.206342462</v>
      </c>
      <c r="AT257" s="5">
        <f t="shared" si="259"/>
        <v>1.048196322</v>
      </c>
      <c r="AU257" s="5">
        <f t="shared" si="259"/>
        <v>1.045774765</v>
      </c>
    </row>
    <row r="258" ht="15.75" customHeight="1">
      <c r="A258" s="3">
        <v>44203.0</v>
      </c>
      <c r="B258" s="4">
        <v>-9.63E-4</v>
      </c>
      <c r="C258" s="4">
        <v>-0.012818</v>
      </c>
      <c r="D258" s="4">
        <v>-0.014694</v>
      </c>
      <c r="E258" s="4">
        <v>-0.003218</v>
      </c>
      <c r="F258" s="4">
        <v>-0.011085</v>
      </c>
      <c r="G258" s="4">
        <v>0.003379</v>
      </c>
      <c r="H258" s="4">
        <v>-0.009346</v>
      </c>
      <c r="I258" s="4">
        <v>0.021831</v>
      </c>
      <c r="J258" s="4">
        <v>-0.009109</v>
      </c>
      <c r="K258" s="4">
        <v>0.005641</v>
      </c>
      <c r="L258" s="4">
        <v>0.010077</v>
      </c>
      <c r="M258" s="4">
        <v>0.018848</v>
      </c>
      <c r="N258" s="4">
        <v>0.014631</v>
      </c>
      <c r="O258" s="4">
        <v>0.009615</v>
      </c>
      <c r="P258" s="4">
        <v>-0.001533</v>
      </c>
      <c r="Q258" s="4">
        <v>-0.018072</v>
      </c>
      <c r="R258" s="4">
        <v>0.033488</v>
      </c>
      <c r="S258" s="4">
        <v>0.0</v>
      </c>
      <c r="T258" s="4">
        <v>-0.014556</v>
      </c>
      <c r="U258" s="4">
        <v>0.008045</v>
      </c>
      <c r="V258" s="4">
        <v>0.00505332937042246</v>
      </c>
      <c r="W258" s="4">
        <v>0.0</v>
      </c>
      <c r="X258" s="4">
        <v>-0.0066934154558113</v>
      </c>
      <c r="Y258" s="4">
        <v>0.0</v>
      </c>
      <c r="Z258" s="4">
        <v>0.0</v>
      </c>
      <c r="AA258" s="4">
        <v>0.0</v>
      </c>
      <c r="AB258" s="4">
        <v>0.0</v>
      </c>
      <c r="AC258" s="4">
        <v>0.0101867880036192</v>
      </c>
      <c r="AD258" s="4">
        <v>-0.0094337613130691</v>
      </c>
      <c r="AE258" s="4">
        <v>0.0</v>
      </c>
      <c r="AF258" s="4">
        <v>0.0</v>
      </c>
      <c r="AG258" s="4">
        <v>0.0016180950803104</v>
      </c>
      <c r="AH258" s="4">
        <v>0.0053879902803319</v>
      </c>
      <c r="AI258" s="4">
        <v>0.0</v>
      </c>
      <c r="AJ258" s="4">
        <v>0.014847</v>
      </c>
      <c r="AK258" s="4">
        <f>Weights!E314</f>
        <v>0.002169863405</v>
      </c>
      <c r="AL258" s="5">
        <v>0.0060450971960988</v>
      </c>
      <c r="AM258" s="5">
        <v>0.00899594464930131</v>
      </c>
      <c r="AN258" s="5">
        <v>0.00575369588041652</v>
      </c>
      <c r="AO258" s="5">
        <v>0.00485830639799744</v>
      </c>
      <c r="AP258" s="6">
        <f t="shared" si="3"/>
        <v>1.202154738</v>
      </c>
      <c r="AQ258" s="4">
        <f t="shared" si="4"/>
        <v>1.177358957</v>
      </c>
      <c r="AR258" s="7">
        <f t="shared" si="5"/>
        <v>1.171009761</v>
      </c>
      <c r="AS258" s="5">
        <f t="shared" ref="AS258:AU258" si="260">AS257*(1+AM258)</f>
        <v>1.217194652</v>
      </c>
      <c r="AT258" s="5">
        <f t="shared" si="260"/>
        <v>1.054227325</v>
      </c>
      <c r="AU258" s="5">
        <f t="shared" si="260"/>
        <v>1.05085546</v>
      </c>
    </row>
    <row r="259" ht="15.75" customHeight="1">
      <c r="A259" s="3">
        <v>44204.0</v>
      </c>
      <c r="B259" s="4">
        <v>0.008679</v>
      </c>
      <c r="C259" s="4">
        <v>-0.012472</v>
      </c>
      <c r="D259" s="4">
        <v>0.006301</v>
      </c>
      <c r="E259" s="4">
        <v>0.012002</v>
      </c>
      <c r="F259" s="4">
        <v>0.022418</v>
      </c>
      <c r="G259" s="4">
        <v>-0.002058</v>
      </c>
      <c r="H259" s="4">
        <v>-4.32E-4</v>
      </c>
      <c r="I259" s="4">
        <v>-0.010386</v>
      </c>
      <c r="J259" s="4">
        <v>0.001491</v>
      </c>
      <c r="K259" s="4">
        <v>-0.002565</v>
      </c>
      <c r="L259" s="4">
        <v>-0.002817</v>
      </c>
      <c r="M259" s="4">
        <v>-0.002114</v>
      </c>
      <c r="N259" s="4">
        <v>-0.001045</v>
      </c>
      <c r="O259" s="4">
        <v>0.017096</v>
      </c>
      <c r="P259" s="4">
        <v>-0.036076</v>
      </c>
      <c r="Q259" s="4">
        <v>-0.039877</v>
      </c>
      <c r="R259" s="4">
        <v>-6.42E-4</v>
      </c>
      <c r="S259" s="4">
        <v>-0.044053</v>
      </c>
      <c r="T259" s="4">
        <v>-0.003025</v>
      </c>
      <c r="U259" s="4">
        <v>0.012885</v>
      </c>
      <c r="V259" s="4">
        <v>-0.00614523754337237</v>
      </c>
      <c r="W259" s="4">
        <v>0.0162216532054724</v>
      </c>
      <c r="X259" s="4">
        <v>-0.0013476144032426</v>
      </c>
      <c r="Y259" s="4">
        <v>0.002345475052305</v>
      </c>
      <c r="Z259" s="4">
        <v>0.0095769867511164</v>
      </c>
      <c r="AA259" s="4">
        <v>0.0022238550190345</v>
      </c>
      <c r="AB259" s="4">
        <v>0.0050743195486115</v>
      </c>
      <c r="AC259" s="4">
        <v>0.0252101195673983</v>
      </c>
      <c r="AD259" s="4">
        <v>0.0095236047269027</v>
      </c>
      <c r="AE259" s="4">
        <v>0.0128493790185237</v>
      </c>
      <c r="AF259" s="4">
        <v>0.0139512153262226</v>
      </c>
      <c r="AG259" s="4">
        <v>-0.0026438809630973</v>
      </c>
      <c r="AH259" s="4">
        <v>0.0021435950594712</v>
      </c>
      <c r="AI259" s="4">
        <v>0.0</v>
      </c>
      <c r="AJ259" s="4">
        <v>0.005492</v>
      </c>
      <c r="AK259" s="4">
        <f>Weights!E315</f>
        <v>0.0001050657815</v>
      </c>
      <c r="AL259" s="5">
        <v>0.0114872618658881</v>
      </c>
      <c r="AM259" s="5">
        <v>0.0160380997090552</v>
      </c>
      <c r="AN259" s="5">
        <v>0.00953471631275637</v>
      </c>
      <c r="AO259" s="5">
        <v>0.010239098576199</v>
      </c>
      <c r="AP259" s="6">
        <f t="shared" si="3"/>
        <v>1.202281044</v>
      </c>
      <c r="AQ259" s="4">
        <f t="shared" si="4"/>
        <v>1.183825012</v>
      </c>
      <c r="AR259" s="7">
        <f t="shared" si="5"/>
        <v>1.184461457</v>
      </c>
      <c r="AS259" s="5">
        <f t="shared" ref="AS259:AU259" si="261">AS258*(1+AM259)</f>
        <v>1.236716141</v>
      </c>
      <c r="AT259" s="5">
        <f t="shared" si="261"/>
        <v>1.064279083</v>
      </c>
      <c r="AU259" s="5">
        <f t="shared" si="261"/>
        <v>1.061615272</v>
      </c>
    </row>
    <row r="260" ht="15.75" customHeight="1">
      <c r="A260" s="3">
        <v>44207.0</v>
      </c>
      <c r="B260" s="4">
        <v>-0.004302</v>
      </c>
      <c r="C260" s="4">
        <v>-0.005882</v>
      </c>
      <c r="D260" s="4">
        <v>-0.004592</v>
      </c>
      <c r="E260" s="4">
        <v>-0.014496</v>
      </c>
      <c r="F260" s="4">
        <v>-0.017228</v>
      </c>
      <c r="G260" s="4">
        <v>-0.004186</v>
      </c>
      <c r="H260" s="4">
        <v>-0.006773</v>
      </c>
      <c r="I260" s="4">
        <v>-0.003298</v>
      </c>
      <c r="J260" s="4">
        <v>-0.010419</v>
      </c>
      <c r="K260" s="4">
        <v>-0.002743</v>
      </c>
      <c r="L260" s="4">
        <v>-0.006591</v>
      </c>
      <c r="M260" s="4">
        <v>-0.006886</v>
      </c>
      <c r="N260" s="4">
        <v>-0.012762</v>
      </c>
      <c r="O260" s="4">
        <v>0.006212</v>
      </c>
      <c r="P260" s="4">
        <v>-0.013378</v>
      </c>
      <c r="Q260" s="4">
        <v>-0.028754</v>
      </c>
      <c r="R260" s="4">
        <v>-0.026645</v>
      </c>
      <c r="S260" s="4">
        <v>-0.015438</v>
      </c>
      <c r="T260" s="4">
        <v>0.013924</v>
      </c>
      <c r="U260" s="4">
        <v>-0.014714</v>
      </c>
      <c r="V260" s="4">
        <v>-0.0191117485107771</v>
      </c>
      <c r="W260" s="4">
        <v>-0.0129317805649998</v>
      </c>
      <c r="X260" s="4">
        <v>0.0</v>
      </c>
      <c r="Y260" s="4">
        <v>-0.0098561366326676</v>
      </c>
      <c r="Z260" s="4">
        <v>0.0036946552603118</v>
      </c>
      <c r="AA260" s="4">
        <v>0.0042530492840455</v>
      </c>
      <c r="AB260" s="4">
        <v>0.0070684501733051</v>
      </c>
      <c r="AC260" s="4">
        <v>0.0131147150600272</v>
      </c>
      <c r="AD260" s="4">
        <v>0.0075475524385846</v>
      </c>
      <c r="AE260" s="4">
        <v>-0.0179469620005782</v>
      </c>
      <c r="AF260" s="4">
        <v>0.0113021160330892</v>
      </c>
      <c r="AG260" s="4">
        <v>-0.0022091067447076</v>
      </c>
      <c r="AH260" s="4">
        <v>-0.0096256719945569</v>
      </c>
      <c r="AI260" s="4">
        <v>6.170922183004E-4</v>
      </c>
      <c r="AJ260" s="4">
        <v>-0.006555</v>
      </c>
      <c r="AK260" s="4">
        <f>Weights!E316</f>
        <v>-0.005812101055</v>
      </c>
      <c r="AL260" s="5">
        <v>0.00733818854644696</v>
      </c>
      <c r="AM260" s="5">
        <v>0.00484135652617534</v>
      </c>
      <c r="AN260" s="5">
        <v>0.00982241470045952</v>
      </c>
      <c r="AO260" s="5">
        <v>0.0087275217646443</v>
      </c>
      <c r="AP260" s="6">
        <f t="shared" si="3"/>
        <v>1.195293265</v>
      </c>
      <c r="AQ260" s="4">
        <f t="shared" si="4"/>
        <v>1.176065039</v>
      </c>
      <c r="AR260" s="7">
        <f t="shared" si="5"/>
        <v>1.193153258</v>
      </c>
      <c r="AS260" s="5">
        <f t="shared" ref="AS260:AU260" si="262">AS259*(1+AM260)</f>
        <v>1.242703525</v>
      </c>
      <c r="AT260" s="5">
        <f t="shared" si="262"/>
        <v>1.074732874</v>
      </c>
      <c r="AU260" s="5">
        <f t="shared" si="262"/>
        <v>1.070880543</v>
      </c>
    </row>
    <row r="261" ht="15.75" customHeight="1">
      <c r="A261" s="3">
        <v>44208.0</v>
      </c>
      <c r="B261" s="4">
        <v>-0.004801</v>
      </c>
      <c r="C261" s="4">
        <v>-0.003481</v>
      </c>
      <c r="D261" s="4">
        <v>-0.003984</v>
      </c>
      <c r="E261" s="4">
        <v>-0.004645</v>
      </c>
      <c r="F261" s="4">
        <v>-0.001793</v>
      </c>
      <c r="G261" s="4">
        <v>-0.007781</v>
      </c>
      <c r="H261" s="4">
        <v>-0.005803</v>
      </c>
      <c r="I261" s="4">
        <v>0.01444</v>
      </c>
      <c r="J261" s="4">
        <v>0.009777</v>
      </c>
      <c r="K261" s="4">
        <v>0.012208</v>
      </c>
      <c r="L261" s="4">
        <v>0.010782</v>
      </c>
      <c r="M261" s="4">
        <v>0.012267</v>
      </c>
      <c r="N261" s="4">
        <v>0.010595</v>
      </c>
      <c r="O261" s="4">
        <v>-0.015524</v>
      </c>
      <c r="P261" s="4">
        <v>0.008717</v>
      </c>
      <c r="Q261" s="4">
        <v>0.029605</v>
      </c>
      <c r="R261" s="4">
        <v>0.022098</v>
      </c>
      <c r="S261" s="4">
        <v>-0.002574</v>
      </c>
      <c r="T261" s="4">
        <v>0.022887</v>
      </c>
      <c r="U261" s="4">
        <v>-0.007708</v>
      </c>
      <c r="V261" s="4">
        <v>0.00343824707560491</v>
      </c>
      <c r="W261" s="4">
        <v>-0.0073695961476201</v>
      </c>
      <c r="X261" s="4">
        <v>-0.0067477018939789</v>
      </c>
      <c r="Y261" s="4">
        <v>0.0021486623802566</v>
      </c>
      <c r="Z261" s="4">
        <v>-0.0090002236880922</v>
      </c>
      <c r="AA261" s="4">
        <v>-0.0038668425348611</v>
      </c>
      <c r="AB261" s="4">
        <v>0.0143715843602856</v>
      </c>
      <c r="AC261" s="4">
        <v>-0.0048544218815772</v>
      </c>
      <c r="AD261" s="4">
        <v>-0.007491013620466</v>
      </c>
      <c r="AE261" s="4">
        <v>0.0014967206350089</v>
      </c>
      <c r="AF261" s="4">
        <v>-0.0332846688988444</v>
      </c>
      <c r="AG261" s="4">
        <v>0.0081180987383948</v>
      </c>
      <c r="AH261" s="4">
        <v>-0.0097192260768131</v>
      </c>
      <c r="AI261" s="4">
        <v>0.0030853230863114</v>
      </c>
      <c r="AJ261" s="4">
        <v>4.16E-4</v>
      </c>
      <c r="AK261" s="4">
        <f>Weights!E317</f>
        <v>0.002463299818</v>
      </c>
      <c r="AL261" s="5">
        <v>-0.00919264952123188</v>
      </c>
      <c r="AM261" s="5">
        <v>-0.00597229202582882</v>
      </c>
      <c r="AN261" s="5">
        <v>0.0119716547549149</v>
      </c>
      <c r="AO261" s="5">
        <v>0.0117222061147386</v>
      </c>
      <c r="AP261" s="6">
        <f t="shared" si="3"/>
        <v>1.19823763</v>
      </c>
      <c r="AQ261" s="4">
        <f t="shared" si="4"/>
        <v>1.176554282</v>
      </c>
      <c r="AR261" s="7">
        <f t="shared" si="5"/>
        <v>1.182185019</v>
      </c>
      <c r="AS261" s="5">
        <f t="shared" ref="AS261:AU261" si="263">AS260*(1+AM261)</f>
        <v>1.235281736</v>
      </c>
      <c r="AT261" s="5">
        <f t="shared" si="263"/>
        <v>1.087599205</v>
      </c>
      <c r="AU261" s="5">
        <f t="shared" si="263"/>
        <v>1.083433625</v>
      </c>
    </row>
    <row r="262" ht="15.75" customHeight="1">
      <c r="A262" s="3">
        <v>44209.0</v>
      </c>
      <c r="B262" s="4">
        <v>-0.004342</v>
      </c>
      <c r="C262" s="4">
        <v>-0.003493</v>
      </c>
      <c r="D262" s="4">
        <v>0.009474</v>
      </c>
      <c r="E262" s="4">
        <v>0.008202</v>
      </c>
      <c r="F262" s="4">
        <v>9.98E-4</v>
      </c>
      <c r="G262" s="4">
        <v>-0.001518</v>
      </c>
      <c r="H262" s="4">
        <v>0.001532</v>
      </c>
      <c r="I262" s="4">
        <v>0.026097</v>
      </c>
      <c r="J262" s="4">
        <v>0.005958</v>
      </c>
      <c r="K262" s="4">
        <v>-0.002378</v>
      </c>
      <c r="L262" s="4">
        <v>0.001524</v>
      </c>
      <c r="M262" s="4">
        <v>0.010537</v>
      </c>
      <c r="N262" s="4">
        <v>2.1E-4</v>
      </c>
      <c r="O262" s="4">
        <v>-0.001844</v>
      </c>
      <c r="P262" s="4">
        <v>-0.006721</v>
      </c>
      <c r="Q262" s="4">
        <v>-0.021299</v>
      </c>
      <c r="R262" s="4">
        <v>-0.013875</v>
      </c>
      <c r="S262" s="4">
        <v>-0.034256</v>
      </c>
      <c r="T262" s="4">
        <v>-0.023924</v>
      </c>
      <c r="U262" s="4">
        <v>-0.002136</v>
      </c>
      <c r="V262" s="4">
        <v>-0.00685321141280093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0.0</v>
      </c>
      <c r="AG262" s="4">
        <v>0.0</v>
      </c>
      <c r="AH262" s="4">
        <v>0.0</v>
      </c>
      <c r="AI262" s="4">
        <v>0.0</v>
      </c>
      <c r="AJ262" s="4">
        <v>0.002276</v>
      </c>
      <c r="AK262" s="4">
        <f>Weights!E318</f>
        <v>-0.000522752528</v>
      </c>
      <c r="AL262" s="5">
        <v>0.0028009072059465</v>
      </c>
      <c r="AM262" s="5">
        <v>0.00353415767780407</v>
      </c>
      <c r="AN262" s="5">
        <v>0.0014787637189586</v>
      </c>
      <c r="AO262" s="5">
        <v>2.75544104199942E-4</v>
      </c>
      <c r="AP262" s="6">
        <f t="shared" si="3"/>
        <v>1.197611249</v>
      </c>
      <c r="AQ262" s="4">
        <f t="shared" si="4"/>
        <v>1.17923212</v>
      </c>
      <c r="AR262" s="7">
        <f t="shared" si="5"/>
        <v>1.185496209</v>
      </c>
      <c r="AS262" s="5">
        <f t="shared" ref="AS262:AU262" si="264">AS261*(1+AM262)</f>
        <v>1.239647417</v>
      </c>
      <c r="AT262" s="5">
        <f t="shared" si="264"/>
        <v>1.089207507</v>
      </c>
      <c r="AU262" s="5">
        <f t="shared" si="264"/>
        <v>1.083732159</v>
      </c>
    </row>
    <row r="263" ht="15.75" customHeight="1">
      <c r="A263" s="3">
        <v>44210.0</v>
      </c>
      <c r="B263" s="4">
        <v>0.004845</v>
      </c>
      <c r="C263" s="4">
        <v>-3.51E-4</v>
      </c>
      <c r="D263" s="4">
        <v>-0.005005</v>
      </c>
      <c r="E263" s="4">
        <v>-0.005821</v>
      </c>
      <c r="F263" s="4">
        <v>-0.018541</v>
      </c>
      <c r="G263" s="4">
        <v>0.01748</v>
      </c>
      <c r="H263" s="4">
        <v>-0.010637</v>
      </c>
      <c r="I263" s="4">
        <v>0.028902</v>
      </c>
      <c r="J263" s="4">
        <v>0.010859</v>
      </c>
      <c r="K263" s="4">
        <v>0.018389</v>
      </c>
      <c r="L263" s="4">
        <v>0.001639</v>
      </c>
      <c r="M263" s="4">
        <v>0.013556</v>
      </c>
      <c r="N263" s="4">
        <v>-0.011111</v>
      </c>
      <c r="O263" s="4">
        <v>-0.014782</v>
      </c>
      <c r="P263" s="4">
        <v>0.0203</v>
      </c>
      <c r="Q263" s="4">
        <v>-0.003264</v>
      </c>
      <c r="R263" s="4">
        <v>0.046793</v>
      </c>
      <c r="S263" s="4">
        <v>-9.72E-4</v>
      </c>
      <c r="T263" s="4">
        <v>-5.29E-4</v>
      </c>
      <c r="U263" s="4">
        <v>-0.010412</v>
      </c>
      <c r="V263" s="4">
        <v>-0.0115007663708672</v>
      </c>
      <c r="W263" s="4">
        <v>0.0608372622517439</v>
      </c>
      <c r="X263" s="4">
        <v>0.0110041766418573</v>
      </c>
      <c r="Y263" s="4">
        <v>6.427076067505E-4</v>
      </c>
      <c r="Z263" s="4">
        <v>-0.0017438488508741</v>
      </c>
      <c r="AA263" s="4">
        <v>-0.0079483406678232</v>
      </c>
      <c r="AB263" s="4">
        <v>-0.0154860736483087</v>
      </c>
      <c r="AC263" s="4">
        <v>0.0082644478951461</v>
      </c>
      <c r="AD263" s="4">
        <v>0.0113209482861864</v>
      </c>
      <c r="AE263" s="4">
        <v>-0.0030674647647586</v>
      </c>
      <c r="AF263" s="4">
        <v>0.0369439573416214</v>
      </c>
      <c r="AG263" s="4">
        <v>0.0247434953968659</v>
      </c>
      <c r="AH263" s="4">
        <v>0.0</v>
      </c>
      <c r="AI263" s="4">
        <v>-4.398515686672E-4</v>
      </c>
      <c r="AJ263" s="4">
        <v>-0.003753</v>
      </c>
      <c r="AK263" s="4">
        <f>Weights!E319</f>
        <v>0.005957654559</v>
      </c>
      <c r="AL263" s="5">
        <v>0.00157106094797554</v>
      </c>
      <c r="AM263" s="5">
        <v>0.00110679791325463</v>
      </c>
      <c r="AN263" s="5">
        <v>-0.00442974061716705</v>
      </c>
      <c r="AO263" s="5">
        <v>-0.00523985703552098</v>
      </c>
      <c r="AP263" s="6">
        <f t="shared" si="3"/>
        <v>1.204746203</v>
      </c>
      <c r="AQ263" s="4">
        <f t="shared" si="4"/>
        <v>1.174806462</v>
      </c>
      <c r="AR263" s="7">
        <f t="shared" si="5"/>
        <v>1.187358696</v>
      </c>
      <c r="AS263" s="5">
        <f t="shared" ref="AS263:AU263" si="265">AS262*(1+AM263)</f>
        <v>1.241019456</v>
      </c>
      <c r="AT263" s="5">
        <f t="shared" si="265"/>
        <v>1.0843826</v>
      </c>
      <c r="AU263" s="5">
        <f t="shared" si="265"/>
        <v>1.078053557</v>
      </c>
    </row>
    <row r="264" ht="15.75" customHeight="1">
      <c r="A264" s="3">
        <v>44211.0</v>
      </c>
      <c r="B264" s="4">
        <v>0.004822</v>
      </c>
      <c r="C264" s="4">
        <v>0.005961</v>
      </c>
      <c r="D264" s="4">
        <v>-0.002306</v>
      </c>
      <c r="E264" s="4">
        <v>-0.00261</v>
      </c>
      <c r="F264" s="4">
        <v>-0.010766</v>
      </c>
      <c r="G264" s="4">
        <v>-0.002179</v>
      </c>
      <c r="H264" s="4">
        <v>-0.007511</v>
      </c>
      <c r="I264" s="4">
        <v>-0.009551</v>
      </c>
      <c r="J264" s="4">
        <v>2.44E-4</v>
      </c>
      <c r="K264" s="4">
        <v>-0.009196</v>
      </c>
      <c r="L264" s="4">
        <v>-0.006076</v>
      </c>
      <c r="M264" s="4">
        <v>-0.021091</v>
      </c>
      <c r="N264" s="4">
        <v>-0.009328</v>
      </c>
      <c r="O264" s="4">
        <v>-0.007783</v>
      </c>
      <c r="P264" s="4">
        <v>-0.023212</v>
      </c>
      <c r="Q264" s="4">
        <v>-0.029476</v>
      </c>
      <c r="R264" s="4">
        <v>-0.051266</v>
      </c>
      <c r="S264" s="4">
        <v>-0.029912</v>
      </c>
      <c r="T264" s="4">
        <v>-0.021348</v>
      </c>
      <c r="U264" s="4">
        <v>0.001672</v>
      </c>
      <c r="V264" s="4">
        <v>-0.0116347151429273</v>
      </c>
      <c r="W264" s="4">
        <v>0.005832163104515</v>
      </c>
      <c r="X264" s="4">
        <v>0.0027211683988035</v>
      </c>
      <c r="Y264" s="4">
        <v>0.0044990212960536</v>
      </c>
      <c r="Z264" s="4">
        <v>0.0152916013042152</v>
      </c>
      <c r="AA264" s="4">
        <v>-0.0152786061932608</v>
      </c>
      <c r="AB264" s="4">
        <v>0.00736274797882</v>
      </c>
      <c r="AC264" s="4">
        <v>0.0</v>
      </c>
      <c r="AD264" s="4">
        <v>0.0</v>
      </c>
      <c r="AE264" s="4">
        <v>7.890339761489E-4</v>
      </c>
      <c r="AF264" s="4">
        <v>-0.0111488370336064</v>
      </c>
      <c r="AG264" s="4">
        <v>0.0067154174579815</v>
      </c>
      <c r="AH264" s="4">
        <v>0.0414394632279966</v>
      </c>
      <c r="AI264" s="4">
        <v>-0.0013183751891212</v>
      </c>
      <c r="AJ264" s="4">
        <v>-0.00719</v>
      </c>
      <c r="AK264" s="4">
        <f>Weights!E320</f>
        <v>-0.003823262305</v>
      </c>
      <c r="AL264" s="5">
        <v>-7.84404648712544E-4</v>
      </c>
      <c r="AM264" s="5">
        <v>-9.54732558631876E-4</v>
      </c>
      <c r="AN264" s="5">
        <v>0.00185397785324004</v>
      </c>
      <c r="AO264" s="5">
        <v>0.00304946726459487</v>
      </c>
      <c r="AP264" s="6">
        <f t="shared" si="3"/>
        <v>1.200140142</v>
      </c>
      <c r="AQ264" s="4">
        <f t="shared" si="4"/>
        <v>1.166359603</v>
      </c>
      <c r="AR264" s="7">
        <f t="shared" si="5"/>
        <v>1.186427326</v>
      </c>
      <c r="AS264" s="5">
        <f t="shared" ref="AS264:AU264" si="266">AS263*(1+AM264)</f>
        <v>1.239834614</v>
      </c>
      <c r="AT264" s="5">
        <f t="shared" si="266"/>
        <v>1.086393021</v>
      </c>
      <c r="AU264" s="5">
        <f t="shared" si="266"/>
        <v>1.081341046</v>
      </c>
    </row>
    <row r="265" ht="15.75" customHeight="1">
      <c r="A265" s="3">
        <v>44215.0</v>
      </c>
      <c r="B265" s="4">
        <v>-9.6E-4</v>
      </c>
      <c r="C265" s="4">
        <v>-0.005751</v>
      </c>
      <c r="D265" s="4">
        <v>-0.005882</v>
      </c>
      <c r="E265" s="4">
        <v>0.004739</v>
      </c>
      <c r="F265" s="4">
        <v>-0.003901</v>
      </c>
      <c r="G265" s="4">
        <v>0.015471</v>
      </c>
      <c r="H265" s="4">
        <v>-0.008755</v>
      </c>
      <c r="I265" s="4">
        <v>-0.005105</v>
      </c>
      <c r="J265" s="4">
        <v>0.00122</v>
      </c>
      <c r="K265" s="4">
        <v>-0.006581</v>
      </c>
      <c r="L265" s="4">
        <v>-0.004585</v>
      </c>
      <c r="M265" s="4">
        <v>0.014714</v>
      </c>
      <c r="N265" s="4">
        <v>0.029103</v>
      </c>
      <c r="O265" s="4">
        <v>0.015499</v>
      </c>
      <c r="P265" s="4">
        <v>-1.62E-4</v>
      </c>
      <c r="Q265" s="4">
        <v>0.014623</v>
      </c>
      <c r="R265" s="4">
        <v>0.04481</v>
      </c>
      <c r="S265" s="4">
        <v>0.009777</v>
      </c>
      <c r="T265" s="4">
        <v>0.007391</v>
      </c>
      <c r="U265" s="4">
        <v>0.006184</v>
      </c>
      <c r="V265" s="4">
        <v>-0.00412013311210357</v>
      </c>
      <c r="W265" s="4">
        <v>0.0655198017944542</v>
      </c>
      <c r="X265" s="4">
        <v>-0.0081410810999157</v>
      </c>
      <c r="Y265" s="4">
        <v>0.0169202569497108</v>
      </c>
      <c r="Z265" s="4">
        <v>0.0202907179040032</v>
      </c>
      <c r="AA265" s="4">
        <v>-0.005865499412505</v>
      </c>
      <c r="AB265" s="4">
        <v>0.0162792239634448</v>
      </c>
      <c r="AC265" s="4">
        <v>0.0098360168396418</v>
      </c>
      <c r="AD265" s="4">
        <v>-0.0018658464665082</v>
      </c>
      <c r="AE265" s="4">
        <v>-0.0068587719752325</v>
      </c>
      <c r="AF265" s="4">
        <v>0.0328430856564083</v>
      </c>
      <c r="AG265" s="4">
        <v>0.0298040032755253</v>
      </c>
      <c r="AH265" s="4">
        <v>0.0910995534270142</v>
      </c>
      <c r="AI265" s="4">
        <v>-0.0030809551440741</v>
      </c>
      <c r="AJ265" s="4">
        <v>0.008136</v>
      </c>
      <c r="AK265" s="4">
        <f>Weights!E321</f>
        <v>0.01194415089</v>
      </c>
      <c r="AL265" s="5">
        <v>-0.00968073589118623</v>
      </c>
      <c r="AM265" s="5">
        <v>-0.00870279548397945</v>
      </c>
      <c r="AN265" s="5">
        <v>-0.00222068842302525</v>
      </c>
      <c r="AO265" s="5">
        <v>-0.00248744418709356</v>
      </c>
      <c r="AP265" s="6">
        <f t="shared" si="3"/>
        <v>1.214474797</v>
      </c>
      <c r="AQ265" s="4">
        <f t="shared" si="4"/>
        <v>1.175849105</v>
      </c>
      <c r="AR265" s="7">
        <f t="shared" si="5"/>
        <v>1.174941837</v>
      </c>
      <c r="AS265" s="5">
        <f t="shared" ref="AS265:AU265" si="267">AS264*(1+AM265)</f>
        <v>1.229044587</v>
      </c>
      <c r="AT265" s="5">
        <f t="shared" si="267"/>
        <v>1.083980481</v>
      </c>
      <c r="AU265" s="5">
        <f t="shared" si="267"/>
        <v>1.078651271</v>
      </c>
    </row>
    <row r="266" ht="15.75" customHeight="1">
      <c r="A266" s="3">
        <v>44216.0</v>
      </c>
      <c r="B266" s="4">
        <v>0.001441</v>
      </c>
      <c r="C266" s="4">
        <v>0.003681</v>
      </c>
      <c r="D266" s="4">
        <v>0.004015</v>
      </c>
      <c r="E266" s="4">
        <v>-0.005139</v>
      </c>
      <c r="F266" s="4">
        <v>0.003504</v>
      </c>
      <c r="G266" s="4">
        <v>-0.002457</v>
      </c>
      <c r="H266" s="4">
        <v>-0.0125</v>
      </c>
      <c r="I266" s="4">
        <v>0.013683</v>
      </c>
      <c r="J266" s="4">
        <v>0.005851</v>
      </c>
      <c r="K266" s="4">
        <v>0.005436</v>
      </c>
      <c r="L266" s="4">
        <v>0.009094</v>
      </c>
      <c r="M266" s="4">
        <v>0.004143</v>
      </c>
      <c r="N266" s="4">
        <v>0.012892</v>
      </c>
      <c r="O266" s="4">
        <v>0.014239</v>
      </c>
      <c r="P266" s="4">
        <v>0.027001</v>
      </c>
      <c r="Q266" s="4">
        <v>0.037694</v>
      </c>
      <c r="R266" s="4">
        <v>-0.023336</v>
      </c>
      <c r="S266" s="4">
        <v>0.025571</v>
      </c>
      <c r="T266" s="4">
        <v>-0.002148</v>
      </c>
      <c r="U266" s="4">
        <v>0.004</v>
      </c>
      <c r="V266" s="4">
        <v>0.00413717883963138</v>
      </c>
      <c r="W266" s="4">
        <v>0.0226736487788152</v>
      </c>
      <c r="X266" s="4">
        <v>0.0123118534472781</v>
      </c>
      <c r="Y266" s="4">
        <v>0.0070611099239707</v>
      </c>
      <c r="Z266" s="4">
        <v>0.0288666212592856</v>
      </c>
      <c r="AA266" s="4">
        <v>-0.0123714770146199</v>
      </c>
      <c r="AB266" s="4">
        <v>0.0029420461856295</v>
      </c>
      <c r="AC266" s="4">
        <v>0.0097403660779038</v>
      </c>
      <c r="AD266" s="4">
        <v>0.0168223942875433</v>
      </c>
      <c r="AE266" s="4">
        <v>0.0080965104442711</v>
      </c>
      <c r="AF266" s="4">
        <v>-0.0018984482093148</v>
      </c>
      <c r="AG266" s="4">
        <v>0.0197080191179817</v>
      </c>
      <c r="AH266" s="4">
        <v>0.0278310202690101</v>
      </c>
      <c r="AI266" s="4">
        <v>8.82895141739E-4</v>
      </c>
      <c r="AJ266" s="4">
        <v>0.013936</v>
      </c>
      <c r="AK266" s="4">
        <f>Weights!E322</f>
        <v>0.008352983845</v>
      </c>
      <c r="AL266" s="5">
        <v>0.0081022054714035</v>
      </c>
      <c r="AM266" s="5">
        <v>0.00913431772568529</v>
      </c>
      <c r="AN266" s="5">
        <v>0.00148353978244886</v>
      </c>
      <c r="AO266" s="5">
        <v>8.31435272776071E-4</v>
      </c>
      <c r="AP266" s="6">
        <f t="shared" si="3"/>
        <v>1.224619285</v>
      </c>
      <c r="AQ266" s="4">
        <f t="shared" si="4"/>
        <v>1.192235738</v>
      </c>
      <c r="AR266" s="7">
        <f t="shared" si="5"/>
        <v>1.184461457</v>
      </c>
      <c r="AS266" s="5">
        <f t="shared" ref="AS266:AU266" si="268">AS265*(1+AM266)</f>
        <v>1.240271071</v>
      </c>
      <c r="AT266" s="5">
        <f t="shared" si="268"/>
        <v>1.085588609</v>
      </c>
      <c r="AU266" s="5">
        <f t="shared" si="268"/>
        <v>1.0795481</v>
      </c>
    </row>
    <row r="267" ht="15.75" customHeight="1">
      <c r="A267" s="3">
        <v>44217.0</v>
      </c>
      <c r="B267" s="4">
        <v>9.59E-4</v>
      </c>
      <c r="C267" s="4">
        <v>1.75E-4</v>
      </c>
      <c r="D267" s="4">
        <v>0.011156</v>
      </c>
      <c r="E267" s="4">
        <v>-0.01217</v>
      </c>
      <c r="F267" s="4">
        <v>0.005546</v>
      </c>
      <c r="G267" s="4">
        <v>-0.004003</v>
      </c>
      <c r="H267" s="4">
        <v>-9.8E-4</v>
      </c>
      <c r="I267" s="4">
        <v>-0.014342</v>
      </c>
      <c r="J267" s="4">
        <v>4.85E-4</v>
      </c>
      <c r="K267" s="4">
        <v>-0.003886</v>
      </c>
      <c r="L267" s="4">
        <v>-0.001287</v>
      </c>
      <c r="M267" s="4">
        <v>-0.005673</v>
      </c>
      <c r="N267" s="4">
        <v>-0.005338</v>
      </c>
      <c r="O267" s="4">
        <v>-0.004083</v>
      </c>
      <c r="P267" s="4">
        <v>-0.019049</v>
      </c>
      <c r="Q267" s="4">
        <v>0.030983</v>
      </c>
      <c r="R267" s="4">
        <v>-0.030029</v>
      </c>
      <c r="S267" s="4">
        <v>-0.010651</v>
      </c>
      <c r="T267" s="4">
        <v>-0.024032</v>
      </c>
      <c r="U267" s="4">
        <v>9.7E-5</v>
      </c>
      <c r="V267" s="4">
        <v>0.0135373437488079</v>
      </c>
      <c r="W267" s="4">
        <v>0.0014189618739641</v>
      </c>
      <c r="X267" s="4">
        <v>0.0</v>
      </c>
      <c r="Y267" s="4">
        <v>0.0228394824616262</v>
      </c>
      <c r="Z267" s="4">
        <v>0.0193715034488604</v>
      </c>
      <c r="AA267" s="4">
        <v>0.0053961491853349</v>
      </c>
      <c r="AB267" s="4">
        <v>-0.0019555850868</v>
      </c>
      <c r="AC267" s="4">
        <v>0.0</v>
      </c>
      <c r="AD267" s="4">
        <v>0.0</v>
      </c>
      <c r="AE267" s="4">
        <v>-7.084040326253E-4</v>
      </c>
      <c r="AF267" s="4">
        <v>-0.0019019430067612</v>
      </c>
      <c r="AG267" s="4">
        <v>0.01175813393098</v>
      </c>
      <c r="AH267" s="4">
        <v>0.0317460688482078</v>
      </c>
      <c r="AI267" s="4">
        <v>-8.821163255208E-4</v>
      </c>
      <c r="AJ267" s="4">
        <v>3.17E-4</v>
      </c>
      <c r="AK267" s="4">
        <f>Weights!E323</f>
        <v>0.001441336073</v>
      </c>
      <c r="AL267" s="5">
        <v>0.0117932863069856</v>
      </c>
      <c r="AM267" s="5">
        <v>0.0126217798127439</v>
      </c>
      <c r="AN267" s="5">
        <v>-0.00148134215243445</v>
      </c>
      <c r="AO267" s="5">
        <v>-0.00221503956449409</v>
      </c>
      <c r="AP267" s="6">
        <f t="shared" si="3"/>
        <v>1.226384373</v>
      </c>
      <c r="AQ267" s="4">
        <f t="shared" si="4"/>
        <v>1.192613677</v>
      </c>
      <c r="AR267" s="7">
        <f t="shared" si="5"/>
        <v>1.19843015</v>
      </c>
      <c r="AS267" s="5">
        <f t="shared" ref="AS267:AU267" si="269">AS266*(1+AM267)</f>
        <v>1.255925499</v>
      </c>
      <c r="AT267" s="5">
        <f t="shared" si="269"/>
        <v>1.083980481</v>
      </c>
      <c r="AU267" s="5">
        <f t="shared" si="269"/>
        <v>1.077156858</v>
      </c>
    </row>
    <row r="268" ht="15.75" customHeight="1">
      <c r="A268" s="3">
        <v>44218.0</v>
      </c>
      <c r="B268" s="4">
        <v>-0.004792</v>
      </c>
      <c r="C268" s="4">
        <v>0.003492</v>
      </c>
      <c r="D268" s="4">
        <v>0.005204</v>
      </c>
      <c r="E268" s="4">
        <v>-0.007306</v>
      </c>
      <c r="F268" s="4">
        <v>-0.009397</v>
      </c>
      <c r="G268" s="4">
        <v>0.011253</v>
      </c>
      <c r="H268" s="4">
        <v>-0.007709</v>
      </c>
      <c r="I268" s="4">
        <v>-0.011127</v>
      </c>
      <c r="J268" s="4">
        <v>-0.008236</v>
      </c>
      <c r="K268" s="4">
        <v>-0.019674</v>
      </c>
      <c r="L268" s="4">
        <v>-0.012071</v>
      </c>
      <c r="M268" s="4">
        <v>-0.016598</v>
      </c>
      <c r="N268" s="4">
        <v>-0.014861</v>
      </c>
      <c r="O268" s="4">
        <v>-0.007141</v>
      </c>
      <c r="P268" s="4">
        <v>-0.008987</v>
      </c>
      <c r="Q268" s="4">
        <v>-0.00829</v>
      </c>
      <c r="R268" s="4">
        <v>0.01498</v>
      </c>
      <c r="S268" s="4">
        <v>-0.011011</v>
      </c>
      <c r="T268" s="4">
        <v>0.006615</v>
      </c>
      <c r="U268" s="4">
        <v>3.89E-4</v>
      </c>
      <c r="V268" s="4">
        <v>0.0255517680465211</v>
      </c>
      <c r="W268" s="4">
        <v>-0.0228479258220175</v>
      </c>
      <c r="X268" s="4">
        <v>0.0067114733586097</v>
      </c>
      <c r="Y268" s="4">
        <v>-0.0112668945793986</v>
      </c>
      <c r="Z268" s="4">
        <v>-0.0278576606431327</v>
      </c>
      <c r="AA268" s="4">
        <v>0.0017250259007024</v>
      </c>
      <c r="AB268" s="4">
        <v>0.0052255467489403</v>
      </c>
      <c r="AC268" s="4">
        <v>0.0255182662000514</v>
      </c>
      <c r="AD268" s="4">
        <v>0.0127739756155931</v>
      </c>
      <c r="AE268" s="4">
        <v>-0.0094555652840282</v>
      </c>
      <c r="AF268" s="4">
        <v>-0.0123868274824399</v>
      </c>
      <c r="AG268" s="4">
        <v>0.0161635906862374</v>
      </c>
      <c r="AH268" s="4">
        <v>0.0244343438397174</v>
      </c>
      <c r="AI268" s="4">
        <v>4.414966806227E-4</v>
      </c>
      <c r="AJ268" s="4">
        <v>-0.003011</v>
      </c>
      <c r="AK268" s="4">
        <f>Weights!E324</f>
        <v>-0.001381591714</v>
      </c>
      <c r="AL268" s="5">
        <v>-1.72459830031224E-4</v>
      </c>
      <c r="AM268" s="5">
        <v>-7.44451038499072E-4</v>
      </c>
      <c r="AN268" s="5">
        <v>0.00148353978244886</v>
      </c>
      <c r="AO268" s="5">
        <v>0.00221995685676335</v>
      </c>
      <c r="AP268" s="6">
        <f t="shared" si="3"/>
        <v>1.224690011</v>
      </c>
      <c r="AQ268" s="4">
        <f t="shared" si="4"/>
        <v>1.189022717</v>
      </c>
      <c r="AR268" s="7">
        <f t="shared" si="5"/>
        <v>1.198223469</v>
      </c>
      <c r="AS268" s="5">
        <f t="shared" ref="AS268:AU268" si="270">AS267*(1+AM268)</f>
        <v>1.254990524</v>
      </c>
      <c r="AT268" s="5">
        <f t="shared" si="270"/>
        <v>1.085588609</v>
      </c>
      <c r="AU268" s="5">
        <f t="shared" si="270"/>
        <v>1.0795481</v>
      </c>
    </row>
    <row r="269" ht="15.75" customHeight="1">
      <c r="A269" s="3">
        <v>44221.0</v>
      </c>
      <c r="B269" s="4">
        <v>0.013962</v>
      </c>
      <c r="C269" s="4">
        <v>0.01653</v>
      </c>
      <c r="D269" s="4">
        <v>0.013874</v>
      </c>
      <c r="E269" s="4">
        <v>0.011473</v>
      </c>
      <c r="F269" s="4">
        <v>0.005981</v>
      </c>
      <c r="G269" s="4">
        <v>0.014858</v>
      </c>
      <c r="H269" s="4">
        <v>0.017231</v>
      </c>
      <c r="I269" s="4">
        <v>-0.002308</v>
      </c>
      <c r="J269" s="4">
        <v>0.003664</v>
      </c>
      <c r="K269" s="4">
        <v>-0.002422</v>
      </c>
      <c r="L269" s="4">
        <v>-6.17E-4</v>
      </c>
      <c r="M269" s="4">
        <v>-0.009494</v>
      </c>
      <c r="N269" s="4">
        <v>-0.006285</v>
      </c>
      <c r="O269" s="4">
        <v>0.028582</v>
      </c>
      <c r="P269" s="4">
        <v>-0.001781</v>
      </c>
      <c r="Q269" s="4">
        <v>0.009404</v>
      </c>
      <c r="R269" s="4">
        <v>-0.049524</v>
      </c>
      <c r="S269" s="4">
        <v>-0.002721</v>
      </c>
      <c r="T269" s="4">
        <v>-0.004746</v>
      </c>
      <c r="U269" s="4">
        <v>-0.009615</v>
      </c>
      <c r="V269" s="4">
        <v>-0.0135902097036347</v>
      </c>
      <c r="W269" s="4">
        <v>-0.0088816894505194</v>
      </c>
      <c r="X269" s="4">
        <v>0.0</v>
      </c>
      <c r="Y269" s="4">
        <v>-0.0045302522871877</v>
      </c>
      <c r="Z269" s="4">
        <v>-0.0048976511719976</v>
      </c>
      <c r="AA269" s="4">
        <v>-0.0095676988737262</v>
      </c>
      <c r="AB269" s="4">
        <v>-3.250373208676E-4</v>
      </c>
      <c r="AC269" s="4">
        <v>-0.0046654595858642</v>
      </c>
      <c r="AD269" s="4">
        <v>0.0</v>
      </c>
      <c r="AE269" s="4">
        <v>6.364493302375E-4</v>
      </c>
      <c r="AF269" s="4">
        <v>-0.0120599069358767</v>
      </c>
      <c r="AG269" s="4">
        <v>0.0024977219511368</v>
      </c>
      <c r="AH269" s="4">
        <v>0.0053003905683963</v>
      </c>
      <c r="AI269" s="4">
        <v>-8.823091661582E-4</v>
      </c>
      <c r="AJ269" s="4">
        <v>0.003616</v>
      </c>
      <c r="AK269" s="4">
        <f>Weights!E325</f>
        <v>-0.001348835619</v>
      </c>
      <c r="AL269" s="5">
        <v>-0.00388610938270228</v>
      </c>
      <c r="AM269" s="5">
        <v>-0.00164022252879358</v>
      </c>
      <c r="AN269" s="5">
        <v>-0.00148134215243445</v>
      </c>
      <c r="AO269" s="5">
        <v>2.76535846639891E-4</v>
      </c>
      <c r="AP269" s="6">
        <f t="shared" si="3"/>
        <v>1.223038105</v>
      </c>
      <c r="AQ269" s="4">
        <f t="shared" si="4"/>
        <v>1.193322223</v>
      </c>
      <c r="AR269" s="7">
        <f t="shared" si="5"/>
        <v>1.193567041</v>
      </c>
      <c r="AS269" s="5">
        <f t="shared" ref="AS269:AU269" si="271">AS268*(1+AM269)</f>
        <v>1.25293206</v>
      </c>
      <c r="AT269" s="5">
        <f t="shared" si="271"/>
        <v>1.083980481</v>
      </c>
      <c r="AU269" s="5">
        <f t="shared" si="271"/>
        <v>1.079846633</v>
      </c>
    </row>
    <row r="270" ht="15.75" customHeight="1">
      <c r="A270" s="3">
        <v>44222.0</v>
      </c>
      <c r="B270" s="4">
        <v>0.008072</v>
      </c>
      <c r="C270" s="4">
        <v>-0.031667</v>
      </c>
      <c r="D270" s="4">
        <v>0.004289</v>
      </c>
      <c r="E270" s="4">
        <v>0.011557</v>
      </c>
      <c r="F270" s="4">
        <v>0.010455</v>
      </c>
      <c r="G270" s="4">
        <v>0.027112</v>
      </c>
      <c r="H270" s="4">
        <v>0.006428</v>
      </c>
      <c r="I270" s="4">
        <v>0.008097</v>
      </c>
      <c r="J270" s="4">
        <v>0.006084</v>
      </c>
      <c r="K270" s="4">
        <v>0.007804</v>
      </c>
      <c r="L270" s="4">
        <v>7.19E-4</v>
      </c>
      <c r="M270" s="4">
        <v>0.001065</v>
      </c>
      <c r="N270" s="4">
        <v>-0.001265</v>
      </c>
      <c r="O270" s="4">
        <v>0.002707</v>
      </c>
      <c r="P270" s="4">
        <v>-0.002596</v>
      </c>
      <c r="Q270" s="4">
        <v>0.011387</v>
      </c>
      <c r="R270" s="4">
        <v>-0.067978</v>
      </c>
      <c r="S270" s="4">
        <v>-0.015133</v>
      </c>
      <c r="T270" s="4">
        <v>-0.031548</v>
      </c>
      <c r="U270" s="4">
        <v>-0.003629</v>
      </c>
      <c r="V270" s="4">
        <v>-0.0223880109843341</v>
      </c>
      <c r="W270" s="4">
        <v>-0.0031090616325112</v>
      </c>
      <c r="X270" s="4">
        <v>0.0</v>
      </c>
      <c r="Y270" s="4">
        <v>-0.0042753286519674</v>
      </c>
      <c r="Z270" s="4">
        <v>-0.0038643045406491</v>
      </c>
      <c r="AA270" s="4">
        <v>0.0119785946221577</v>
      </c>
      <c r="AB270" s="4">
        <v>-0.0032499021171346</v>
      </c>
      <c r="AC270" s="4">
        <v>0.0062498697325692</v>
      </c>
      <c r="AD270" s="4">
        <v>-0.009009229663072</v>
      </c>
      <c r="AE270" s="4">
        <v>0.001589862326736</v>
      </c>
      <c r="AF270" s="4">
        <v>-0.0078123802510536</v>
      </c>
      <c r="AG270" s="4">
        <v>-0.0175715334828293</v>
      </c>
      <c r="AH270" s="4">
        <v>-0.0439366887640322</v>
      </c>
      <c r="AI270" s="4">
        <v>0.0013246816160503</v>
      </c>
      <c r="AJ270" s="4">
        <v>-0.001489</v>
      </c>
      <c r="AK270" s="4">
        <f>Weights!E326</f>
        <v>-0.004524506775</v>
      </c>
      <c r="AL270" s="5">
        <v>0.00234076208713096</v>
      </c>
      <c r="AM270" s="5">
        <v>0.00283753114104778</v>
      </c>
      <c r="AN270" s="5">
        <v>0.00185458531907456</v>
      </c>
      <c r="AO270" s="5">
        <v>0.00276782460138047</v>
      </c>
      <c r="AP270" s="6">
        <f t="shared" si="3"/>
        <v>1.217504461</v>
      </c>
      <c r="AQ270" s="4">
        <f t="shared" si="4"/>
        <v>1.191545366</v>
      </c>
      <c r="AR270" s="7">
        <f t="shared" si="5"/>
        <v>1.196360898</v>
      </c>
      <c r="AS270" s="5">
        <f t="shared" ref="AS270:AU270" si="272">AS269*(1+AM270)</f>
        <v>1.256487294</v>
      </c>
      <c r="AT270" s="5">
        <f t="shared" si="272"/>
        <v>1.085990815</v>
      </c>
      <c r="AU270" s="5">
        <f t="shared" si="272"/>
        <v>1.082835459</v>
      </c>
    </row>
    <row r="271" ht="15.75" customHeight="1">
      <c r="A271" s="3">
        <v>44223.0</v>
      </c>
      <c r="B271" s="4">
        <v>-0.018841</v>
      </c>
      <c r="C271" s="4">
        <v>-0.025455</v>
      </c>
      <c r="D271" s="4">
        <v>-0.013626</v>
      </c>
      <c r="E271" s="4">
        <v>-0.026516</v>
      </c>
      <c r="F271" s="4">
        <v>-0.015419</v>
      </c>
      <c r="G271" s="4">
        <v>-0.015251</v>
      </c>
      <c r="H271" s="4">
        <v>-0.03539</v>
      </c>
      <c r="I271" s="4">
        <v>-0.02926</v>
      </c>
      <c r="J271" s="4">
        <v>-0.025157</v>
      </c>
      <c r="K271" s="4">
        <v>-0.019274</v>
      </c>
      <c r="L271" s="4">
        <v>-0.025521</v>
      </c>
      <c r="M271" s="4">
        <v>-0.034574</v>
      </c>
      <c r="N271" s="4">
        <v>-0.027444</v>
      </c>
      <c r="O271" s="4">
        <v>-0.03698</v>
      </c>
      <c r="P271" s="4">
        <v>-0.042128</v>
      </c>
      <c r="Q271" s="4">
        <v>-0.032753</v>
      </c>
      <c r="R271" s="4">
        <v>-0.045168</v>
      </c>
      <c r="S271" s="4">
        <v>-0.060453</v>
      </c>
      <c r="T271" s="4">
        <v>-0.027841</v>
      </c>
      <c r="U271" s="4">
        <v>-0.022441</v>
      </c>
      <c r="V271" s="4">
        <v>0.0311215527352479</v>
      </c>
      <c r="W271" s="4">
        <v>0.0321042469963324</v>
      </c>
      <c r="X271" s="4">
        <v>-0.0040000732578499</v>
      </c>
      <c r="Y271" s="4">
        <v>-0.0165514264787945</v>
      </c>
      <c r="Z271" s="4">
        <v>-0.0216925182656724</v>
      </c>
      <c r="AA271" s="4">
        <v>0.0040091373382349</v>
      </c>
      <c r="AB271" s="4">
        <v>0.0013041993671381</v>
      </c>
      <c r="AC271" s="4">
        <v>0.0031056731608496</v>
      </c>
      <c r="AD271" s="4">
        <v>0.0</v>
      </c>
      <c r="AE271" s="4">
        <v>-0.0131757313258807</v>
      </c>
      <c r="AF271" s="4">
        <v>-0.010334662590332</v>
      </c>
      <c r="AG271" s="4">
        <v>0.0017355181511311</v>
      </c>
      <c r="AH271" s="4">
        <v>0.0376837198029629</v>
      </c>
      <c r="AI271" s="4">
        <v>0.0</v>
      </c>
      <c r="AJ271" s="4">
        <v>-0.025678</v>
      </c>
      <c r="AK271" s="4">
        <f>Weights!E327</f>
        <v>-0.01247215428</v>
      </c>
      <c r="AL271" s="5">
        <v>-0.00138389458025056</v>
      </c>
      <c r="AM271" s="5">
        <v>-0.00362357756390618</v>
      </c>
      <c r="AN271" s="5">
        <v>-0.00555361689188205</v>
      </c>
      <c r="AO271" s="5">
        <v>-0.00552048911068159</v>
      </c>
      <c r="AP271" s="6">
        <f t="shared" si="3"/>
        <v>1.202319558</v>
      </c>
      <c r="AQ271" s="4">
        <f t="shared" si="4"/>
        <v>1.160948865</v>
      </c>
      <c r="AR271" s="7">
        <f t="shared" si="5"/>
        <v>1.194705261</v>
      </c>
      <c r="AS271" s="5">
        <f t="shared" ref="AS271:AU271" si="273">AS270*(1+AM271)</f>
        <v>1.251934315</v>
      </c>
      <c r="AT271" s="5">
        <f t="shared" si="273"/>
        <v>1.079959638</v>
      </c>
      <c r="AU271" s="5">
        <f t="shared" si="273"/>
        <v>1.076857678</v>
      </c>
    </row>
    <row r="272" ht="15.75" customHeight="1">
      <c r="A272" s="3">
        <v>44224.0</v>
      </c>
      <c r="B272" s="4">
        <v>0.010562</v>
      </c>
      <c r="C272" s="4">
        <v>0.004353</v>
      </c>
      <c r="D272" s="4">
        <v>-0.053402</v>
      </c>
      <c r="E272" s="4">
        <v>0.008331</v>
      </c>
      <c r="F272" s="4">
        <v>0.012776</v>
      </c>
      <c r="G272" s="4">
        <v>0.007624</v>
      </c>
      <c r="H272" s="4">
        <v>0.015423</v>
      </c>
      <c r="I272" s="4">
        <v>0.004728</v>
      </c>
      <c r="J272" s="4">
        <v>4.96E-4</v>
      </c>
      <c r="K272" s="4">
        <v>0.011581</v>
      </c>
      <c r="L272" s="4">
        <v>0.009836</v>
      </c>
      <c r="M272" s="4">
        <v>0.014325</v>
      </c>
      <c r="N272" s="4">
        <v>0.013241</v>
      </c>
      <c r="O272" s="4">
        <v>0.008736</v>
      </c>
      <c r="P272" s="4">
        <v>0.014264</v>
      </c>
      <c r="Q272" s="4">
        <v>0.044444</v>
      </c>
      <c r="R272" s="4">
        <v>0.077549</v>
      </c>
      <c r="S272" s="4">
        <v>0.079357</v>
      </c>
      <c r="T272" s="4">
        <v>-0.019482</v>
      </c>
      <c r="U272" s="4">
        <v>0.002114</v>
      </c>
      <c r="V272" s="4">
        <v>-0.0364464576688996</v>
      </c>
      <c r="W272" s="4">
        <v>-0.0531460946729073</v>
      </c>
      <c r="X272" s="4">
        <v>0.0</v>
      </c>
      <c r="Y272" s="4">
        <v>7.749631038E-4</v>
      </c>
      <c r="Z272" s="4">
        <v>0.0061802775971711</v>
      </c>
      <c r="AA272" s="4">
        <v>0.0100777431378122</v>
      </c>
      <c r="AB272" s="4">
        <v>0.0208400868915512</v>
      </c>
      <c r="AC272" s="4">
        <v>0.0</v>
      </c>
      <c r="AD272" s="4">
        <v>0.0</v>
      </c>
      <c r="AE272" s="4">
        <v>-0.0093299405564326</v>
      </c>
      <c r="AF272" s="4">
        <v>-0.0114371814172724</v>
      </c>
      <c r="AG272" s="4">
        <v>0.0161223159511427</v>
      </c>
      <c r="AH272" s="4">
        <v>-0.0283436201064795</v>
      </c>
      <c r="AI272" s="4">
        <v>8.822144583859E-4</v>
      </c>
      <c r="AJ272" s="4">
        <v>0.009761</v>
      </c>
      <c r="AK272" s="4">
        <f>Weights!E328</f>
        <v>0.004326963614</v>
      </c>
      <c r="AL272" s="5">
        <v>-0.0239909170306661</v>
      </c>
      <c r="AM272" s="5">
        <v>-0.0240124855123352</v>
      </c>
      <c r="AN272" s="5">
        <v>-0.00409524620841361</v>
      </c>
      <c r="AO272" s="5">
        <v>-0.00388543390334894</v>
      </c>
      <c r="AP272" s="6">
        <f t="shared" si="3"/>
        <v>1.207521951</v>
      </c>
      <c r="AQ272" s="4">
        <f t="shared" si="4"/>
        <v>1.172280886</v>
      </c>
      <c r="AR272" s="7">
        <f t="shared" si="5"/>
        <v>1.166043186</v>
      </c>
      <c r="AS272" s="5">
        <f t="shared" ref="AS272:AU272" si="274">AS271*(1+AM272)</f>
        <v>1.22187226</v>
      </c>
      <c r="AT272" s="5">
        <f t="shared" si="274"/>
        <v>1.075536938</v>
      </c>
      <c r="AU272" s="5">
        <f t="shared" si="274"/>
        <v>1.072673619</v>
      </c>
    </row>
    <row r="273" ht="15.75" customHeight="1">
      <c r="A273" s="3">
        <v>44225.0</v>
      </c>
      <c r="B273" s="4">
        <v>-0.019952</v>
      </c>
      <c r="C273" s="4">
        <v>-0.011197</v>
      </c>
      <c r="D273" s="4">
        <v>-0.018079</v>
      </c>
      <c r="E273" s="4">
        <v>-0.018823</v>
      </c>
      <c r="F273" s="4">
        <v>-0.020346</v>
      </c>
      <c r="G273" s="4">
        <v>-0.035647</v>
      </c>
      <c r="H273" s="4">
        <v>-0.016493</v>
      </c>
      <c r="I273" s="4">
        <v>-0.011765</v>
      </c>
      <c r="J273" s="4">
        <v>0.002728</v>
      </c>
      <c r="K273" s="4">
        <v>-0.018387</v>
      </c>
      <c r="L273" s="4">
        <v>-0.015341</v>
      </c>
      <c r="M273" s="4">
        <v>-0.017925</v>
      </c>
      <c r="N273" s="4">
        <v>-0.008997</v>
      </c>
      <c r="O273" s="4">
        <v>-0.066503</v>
      </c>
      <c r="P273" s="4">
        <v>-0.002176</v>
      </c>
      <c r="Q273" s="4">
        <v>-0.054711</v>
      </c>
      <c r="R273" s="4">
        <v>-0.031666</v>
      </c>
      <c r="S273" s="4">
        <v>0.020119</v>
      </c>
      <c r="T273" s="4">
        <v>-0.03179</v>
      </c>
      <c r="U273" s="4">
        <v>-0.010248</v>
      </c>
      <c r="V273" s="4">
        <v>0.0183214719560096</v>
      </c>
      <c r="W273" s="4">
        <v>0.0043175693186316</v>
      </c>
      <c r="X273" s="4">
        <v>0.0013439916775799</v>
      </c>
      <c r="Y273" s="4">
        <v>-0.0039403571465207</v>
      </c>
      <c r="Z273" s="4">
        <v>0.0040509208149532</v>
      </c>
      <c r="AA273" s="4">
        <v>0.0077183545519676</v>
      </c>
      <c r="AB273" s="4">
        <v>0.0092503515577493</v>
      </c>
      <c r="AC273" s="4">
        <v>-0.0030211571352365</v>
      </c>
      <c r="AD273" s="4">
        <v>0.0544464384033771</v>
      </c>
      <c r="AE273" s="4">
        <v>0.0186733922679487</v>
      </c>
      <c r="AF273" s="4">
        <v>-0.0040241138393818</v>
      </c>
      <c r="AG273" s="4">
        <v>0.0</v>
      </c>
      <c r="AH273" s="4">
        <v>0.0</v>
      </c>
      <c r="AI273" s="4">
        <v>-4.406203746626E-4</v>
      </c>
      <c r="AJ273" s="4">
        <v>-0.019312</v>
      </c>
      <c r="AK273" s="4">
        <f>Weights!E329</f>
        <v>-0.005487722308</v>
      </c>
      <c r="AL273" s="5">
        <v>0.006921627378073</v>
      </c>
      <c r="AM273" s="5">
        <v>0.00786070749101752</v>
      </c>
      <c r="AN273" s="5">
        <v>0.00336465488191772</v>
      </c>
      <c r="AO273" s="5">
        <v>0.00306488216233047</v>
      </c>
      <c r="AP273" s="6">
        <f t="shared" si="3"/>
        <v>1.200895406</v>
      </c>
      <c r="AQ273" s="4">
        <f t="shared" si="4"/>
        <v>1.149641798</v>
      </c>
      <c r="AR273" s="7">
        <f t="shared" si="5"/>
        <v>1.174114102</v>
      </c>
      <c r="AS273" s="5">
        <f t="shared" ref="AS273:AU273" si="275">AS272*(1+AM273)</f>
        <v>1.231477041</v>
      </c>
      <c r="AT273" s="5">
        <f t="shared" si="275"/>
        <v>1.079155748</v>
      </c>
      <c r="AU273" s="5">
        <f t="shared" si="275"/>
        <v>1.075961237</v>
      </c>
    </row>
    <row r="274" ht="15.75" customHeight="1">
      <c r="A274" s="3">
        <v>44228.0</v>
      </c>
      <c r="B274" s="4">
        <v>-4.85E-4</v>
      </c>
      <c r="C274" s="4">
        <v>-0.008584</v>
      </c>
      <c r="D274" s="4">
        <v>0.001331</v>
      </c>
      <c r="E274" s="4">
        <v>0.003002</v>
      </c>
      <c r="F274" s="4">
        <v>0.006854</v>
      </c>
      <c r="G274" s="4">
        <v>-0.002575</v>
      </c>
      <c r="H274" s="4">
        <v>0.005928</v>
      </c>
      <c r="I274" s="4">
        <v>0.00744</v>
      </c>
      <c r="J274" s="4">
        <v>-0.001484</v>
      </c>
      <c r="K274" s="4">
        <v>-5.3E-4</v>
      </c>
      <c r="L274" s="4">
        <v>0.004946</v>
      </c>
      <c r="M274" s="4">
        <v>0.007743</v>
      </c>
      <c r="N274" s="4">
        <v>0.009944</v>
      </c>
      <c r="O274" s="4">
        <v>0.005457</v>
      </c>
      <c r="P274" s="4">
        <v>0.004698</v>
      </c>
      <c r="Q274" s="4">
        <v>0.036442</v>
      </c>
      <c r="R274" s="4">
        <v>0.049052</v>
      </c>
      <c r="S274" s="4">
        <v>0.053811</v>
      </c>
      <c r="T274" s="4">
        <v>0.005951</v>
      </c>
      <c r="U274" s="4">
        <v>-0.001117</v>
      </c>
      <c r="V274" s="4">
        <v>-0.0133487808469755</v>
      </c>
      <c r="W274" s="4">
        <v>-0.0183175884620716</v>
      </c>
      <c r="X274" s="4">
        <v>-0.0040268305734864</v>
      </c>
      <c r="Y274" s="4">
        <v>-0.0121504609612724</v>
      </c>
      <c r="Z274" s="4">
        <v>-0.0192953421655084</v>
      </c>
      <c r="AA274" s="4">
        <v>-0.0074721886575348</v>
      </c>
      <c r="AB274" s="4">
        <v>-0.0132741949240565</v>
      </c>
      <c r="AC274" s="4">
        <v>-0.0090907927016451</v>
      </c>
      <c r="AD274" s="4">
        <v>-0.0258175953543179</v>
      </c>
      <c r="AE274" s="4">
        <v>-0.0180918804238389</v>
      </c>
      <c r="AF274" s="4">
        <v>-0.0078283109002527</v>
      </c>
      <c r="AG274" s="4">
        <v>-0.0112769800035736</v>
      </c>
      <c r="AH274" s="4">
        <v>-0.0045578807826694</v>
      </c>
      <c r="AI274" s="4">
        <v>0.0022046615703239</v>
      </c>
      <c r="AJ274" s="4">
        <v>0.016052</v>
      </c>
      <c r="AK274" s="4">
        <f>Weights!E330</f>
        <v>-0.0004560368879</v>
      </c>
      <c r="AL274" s="5">
        <v>-0.0174495610613458</v>
      </c>
      <c r="AM274" s="5">
        <v>-0.0175230584948736</v>
      </c>
      <c r="AN274" s="5">
        <v>-0.00856937879504604</v>
      </c>
      <c r="AO274" s="5">
        <v>-0.00666661062673257</v>
      </c>
      <c r="AP274" s="6">
        <f t="shared" si="3"/>
        <v>1.200347753</v>
      </c>
      <c r="AQ274" s="4">
        <f t="shared" si="4"/>
        <v>1.168095848</v>
      </c>
      <c r="AR274" s="7">
        <f t="shared" si="5"/>
        <v>1.153626327</v>
      </c>
      <c r="AS274" s="5">
        <f t="shared" ref="AS274:AU274" si="276">AS273*(1+AM274)</f>
        <v>1.209897797</v>
      </c>
      <c r="AT274" s="5">
        <f t="shared" si="276"/>
        <v>1.069908054</v>
      </c>
      <c r="AU274" s="5">
        <f t="shared" si="276"/>
        <v>1.068788222</v>
      </c>
    </row>
    <row r="275" ht="15.75" customHeight="1">
      <c r="A275" s="3">
        <v>44229.0</v>
      </c>
      <c r="B275" s="4">
        <v>0.011639</v>
      </c>
      <c r="C275" s="4">
        <v>0.004053</v>
      </c>
      <c r="D275" s="4">
        <v>0.023483</v>
      </c>
      <c r="E275" s="4">
        <v>0.010221</v>
      </c>
      <c r="F275" s="4">
        <v>0.009901</v>
      </c>
      <c r="G275" s="4">
        <v>-0.008973</v>
      </c>
      <c r="H275" s="4">
        <v>-0.001396</v>
      </c>
      <c r="I275" s="4">
        <v>0.017725</v>
      </c>
      <c r="J275" s="4">
        <v>0.010651</v>
      </c>
      <c r="K275" s="4">
        <v>0.021216</v>
      </c>
      <c r="L275" s="4">
        <v>0.014766</v>
      </c>
      <c r="M275" s="4">
        <v>0.015368</v>
      </c>
      <c r="N275" s="4">
        <v>0.02226</v>
      </c>
      <c r="O275" s="4">
        <v>0.019737</v>
      </c>
      <c r="P275" s="4">
        <v>-0.004175</v>
      </c>
      <c r="Q275" s="4">
        <v>-0.050672</v>
      </c>
      <c r="R275" s="4">
        <v>-0.003188</v>
      </c>
      <c r="S275" s="4">
        <v>-0.049908</v>
      </c>
      <c r="T275" s="4">
        <v>0.02958</v>
      </c>
      <c r="U275" s="4">
        <v>0.015244</v>
      </c>
      <c r="V275" s="4">
        <v>0.00882358166594499</v>
      </c>
      <c r="W275" s="4">
        <v>0.0186593833675545</v>
      </c>
      <c r="X275" s="4">
        <v>-0.0026953182360693</v>
      </c>
      <c r="Y275" s="4">
        <v>-0.0045050152013312</v>
      </c>
      <c r="Z275" s="4">
        <v>0.0021687857701484</v>
      </c>
      <c r="AA275" s="4">
        <v>-0.0050820218899789</v>
      </c>
      <c r="AB275" s="4">
        <v>-0.0076874905363331</v>
      </c>
      <c r="AC275" s="4">
        <v>-0.0015290201343607</v>
      </c>
      <c r="AD275" s="4">
        <v>-0.0141345827120988</v>
      </c>
      <c r="AE275" s="4">
        <v>0.0018669012608192</v>
      </c>
      <c r="AF275" s="4">
        <v>-0.0030542353406403</v>
      </c>
      <c r="AG275" s="4">
        <v>-0.0019895411009864</v>
      </c>
      <c r="AH275" s="4">
        <v>-0.0018314782388463</v>
      </c>
      <c r="AI275" s="4">
        <v>-8.799834162616E-4</v>
      </c>
      <c r="AJ275" s="4">
        <v>0.013898</v>
      </c>
      <c r="AK275" s="4">
        <f>Weights!E331</f>
        <v>0.003302363571</v>
      </c>
      <c r="AL275" s="5">
        <v>0.0150685141439728</v>
      </c>
      <c r="AM275" s="5">
        <v>0.0170625696728987</v>
      </c>
      <c r="AN275" s="5">
        <v>-0.0202930822561767</v>
      </c>
      <c r="AO275" s="5">
        <v>-0.0201341786954222</v>
      </c>
      <c r="AP275" s="6">
        <f t="shared" si="3"/>
        <v>1.204311738</v>
      </c>
      <c r="AQ275" s="4">
        <f t="shared" si="4"/>
        <v>1.184330044</v>
      </c>
      <c r="AR275" s="7">
        <f t="shared" si="5"/>
        <v>1.171009761</v>
      </c>
      <c r="AS275" s="5">
        <f t="shared" ref="AS275:AU275" si="277">AS274*(1+AM275)</f>
        <v>1.230541762</v>
      </c>
      <c r="AT275" s="5">
        <f t="shared" si="277"/>
        <v>1.048196322</v>
      </c>
      <c r="AU275" s="5">
        <f t="shared" si="277"/>
        <v>1.047269049</v>
      </c>
    </row>
    <row r="276" ht="15.75" customHeight="1">
      <c r="A276" s="3">
        <v>44230.0</v>
      </c>
      <c r="B276" s="4">
        <v>0.003835</v>
      </c>
      <c r="C276" s="4">
        <v>0.005321</v>
      </c>
      <c r="D276" s="4">
        <v>0.006493</v>
      </c>
      <c r="E276" s="4">
        <v>-0.002602</v>
      </c>
      <c r="F276" s="4">
        <v>-0.003881</v>
      </c>
      <c r="G276" s="4">
        <v>-0.004651</v>
      </c>
      <c r="H276" s="4">
        <v>0.001242</v>
      </c>
      <c r="I276" s="4">
        <v>0.011611</v>
      </c>
      <c r="J276" s="4">
        <v>-0.005637</v>
      </c>
      <c r="K276" s="4">
        <v>0.004675</v>
      </c>
      <c r="L276" s="4">
        <v>4.85E-4</v>
      </c>
      <c r="M276" s="4">
        <v>0.003784</v>
      </c>
      <c r="N276" s="4">
        <v>-0.005653</v>
      </c>
      <c r="O276" s="4">
        <v>-0.016742</v>
      </c>
      <c r="P276" s="4">
        <v>-0.012074</v>
      </c>
      <c r="Q276" s="4">
        <v>0.0</v>
      </c>
      <c r="R276" s="4">
        <v>0.037669</v>
      </c>
      <c r="S276" s="4">
        <v>-0.010214</v>
      </c>
      <c r="T276" s="4">
        <v>0.023578</v>
      </c>
      <c r="U276" s="4">
        <v>-0.007608</v>
      </c>
      <c r="V276" s="4">
        <v>0.0285714346828325</v>
      </c>
      <c r="W276" s="4">
        <v>-0.0026167196119483</v>
      </c>
      <c r="X276" s="4">
        <v>-0.0013514358119998</v>
      </c>
      <c r="Y276" s="4">
        <v>-0.0173118918101965</v>
      </c>
      <c r="Z276" s="4">
        <v>-0.0165761364073083</v>
      </c>
      <c r="AA276" s="4">
        <v>0.0018918379963814</v>
      </c>
      <c r="AB276" s="4">
        <v>-0.0096837694084942</v>
      </c>
      <c r="AC276" s="4">
        <v>-0.0076569534794658</v>
      </c>
      <c r="AD276" s="4">
        <v>-0.0017917670995927</v>
      </c>
      <c r="AE276" s="4">
        <v>0.0134488319186534</v>
      </c>
      <c r="AF276" s="4">
        <v>0.0155731671676608</v>
      </c>
      <c r="AG276" s="4">
        <v>-0.0089631411876223</v>
      </c>
      <c r="AH276" s="4">
        <v>0.0174311317565554</v>
      </c>
      <c r="AI276" s="4">
        <v>-0.003962972290933</v>
      </c>
      <c r="AJ276" s="4">
        <v>0.001009</v>
      </c>
      <c r="AK276" s="4">
        <f>Weights!E332</f>
        <v>0.001634960355</v>
      </c>
      <c r="AL276" s="5">
        <v>0.0126359736738086</v>
      </c>
      <c r="AM276" s="5">
        <v>0.0143434570811933</v>
      </c>
      <c r="AN276" s="5">
        <v>0.0164939946198863</v>
      </c>
      <c r="AO276" s="5">
        <v>0.0136986985850795</v>
      </c>
      <c r="AP276" s="6">
        <f t="shared" si="3"/>
        <v>1.20628074</v>
      </c>
      <c r="AQ276" s="4">
        <f t="shared" si="4"/>
        <v>1.185525033</v>
      </c>
      <c r="AR276" s="7">
        <f t="shared" si="5"/>
        <v>1.18580661</v>
      </c>
      <c r="AS276" s="5">
        <f t="shared" ref="AS276:AU276" si="278">AS275*(1+AM276)</f>
        <v>1.248191985</v>
      </c>
      <c r="AT276" s="5">
        <f t="shared" si="278"/>
        <v>1.065485266</v>
      </c>
      <c r="AU276" s="5">
        <f t="shared" si="278"/>
        <v>1.061615272</v>
      </c>
    </row>
    <row r="277" ht="15.75" customHeight="1">
      <c r="A277" s="3">
        <v>44231.0</v>
      </c>
      <c r="B277" s="4">
        <v>-0.004298</v>
      </c>
      <c r="C277" s="4">
        <v>0.006388</v>
      </c>
      <c r="D277" s="4">
        <v>-0.003441</v>
      </c>
      <c r="E277" s="4">
        <v>0.012027</v>
      </c>
      <c r="F277" s="4">
        <v>0.004921</v>
      </c>
      <c r="G277" s="4">
        <v>0.009284</v>
      </c>
      <c r="H277" s="4">
        <v>6.2E-4</v>
      </c>
      <c r="I277" s="4">
        <v>0.012052</v>
      </c>
      <c r="J277" s="4">
        <v>-0.001972</v>
      </c>
      <c r="K277" s="4">
        <v>0.003619</v>
      </c>
      <c r="L277" s="4">
        <v>0.004363</v>
      </c>
      <c r="M277" s="4">
        <v>0.008616</v>
      </c>
      <c r="N277" s="4">
        <v>0.001685</v>
      </c>
      <c r="O277" s="4">
        <v>0.004183</v>
      </c>
      <c r="P277" s="4">
        <v>-0.021219</v>
      </c>
      <c r="Q277" s="4">
        <v>-0.019608</v>
      </c>
      <c r="R277" s="4">
        <v>0.020548</v>
      </c>
      <c r="S277" s="4">
        <v>-0.024079</v>
      </c>
      <c r="T277" s="4">
        <v>0.006969</v>
      </c>
      <c r="U277" s="4">
        <v>-0.002925</v>
      </c>
      <c r="V277" s="4">
        <v>-0.00680277484615476</v>
      </c>
      <c r="W277" s="4">
        <v>-0.0151801344019617</v>
      </c>
      <c r="X277" s="4">
        <v>0.0</v>
      </c>
      <c r="Y277" s="4">
        <v>-0.0058481111440238</v>
      </c>
      <c r="Z277" s="4">
        <v>-0.0206435415960141</v>
      </c>
      <c r="AA277" s="4">
        <v>0.0054758254565674</v>
      </c>
      <c r="AB277" s="4">
        <v>-0.0120600671027036</v>
      </c>
      <c r="AC277" s="4">
        <v>0.0</v>
      </c>
      <c r="AD277" s="4">
        <v>0.0</v>
      </c>
      <c r="AE277" s="4">
        <v>-0.0115916513337833</v>
      </c>
      <c r="AF277" s="4">
        <v>-0.0135747631698214</v>
      </c>
      <c r="AG277" s="4">
        <v>5.400938172051E-4</v>
      </c>
      <c r="AH277" s="4">
        <v>-0.0162308450874699</v>
      </c>
      <c r="AI277" s="4">
        <v>0.0022103127207953</v>
      </c>
      <c r="AJ277" s="4">
        <v>0.010853</v>
      </c>
      <c r="AK277" s="4">
        <f>Weights!E333</f>
        <v>-0.0021636131</v>
      </c>
      <c r="AL277" s="5">
        <v>0.00130888658450878</v>
      </c>
      <c r="AM277" s="5">
        <v>0.00149901920133199</v>
      </c>
      <c r="AN277" s="5">
        <v>-0.0181130536013428</v>
      </c>
      <c r="AO277" s="5">
        <v>-0.016610509429079</v>
      </c>
      <c r="AP277" s="6">
        <f t="shared" si="3"/>
        <v>1.203670815</v>
      </c>
      <c r="AQ277" s="4">
        <f t="shared" si="4"/>
        <v>1.198391536</v>
      </c>
      <c r="AR277" s="7">
        <f t="shared" si="5"/>
        <v>1.187358696</v>
      </c>
      <c r="AS277" s="5">
        <f t="shared" ref="AS277:AU277" si="279">AS276*(1+AM277)</f>
        <v>1.250063049</v>
      </c>
      <c r="AT277" s="5">
        <f t="shared" si="279"/>
        <v>1.046186075</v>
      </c>
      <c r="AU277" s="5">
        <f t="shared" si="279"/>
        <v>1.043981302</v>
      </c>
    </row>
    <row r="278" ht="15.75" customHeight="1">
      <c r="A278" s="3">
        <v>44232.0</v>
      </c>
      <c r="B278" s="4">
        <v>0.01295</v>
      </c>
      <c r="C278" s="4">
        <v>0.003264</v>
      </c>
      <c r="D278" s="4">
        <v>4.32E-4</v>
      </c>
      <c r="E278" s="4">
        <v>0.009164</v>
      </c>
      <c r="F278" s="4">
        <v>0.013059</v>
      </c>
      <c r="G278" s="4">
        <v>0.015186</v>
      </c>
      <c r="H278" s="4">
        <v>0.004185</v>
      </c>
      <c r="I278" s="4">
        <v>-0.002835</v>
      </c>
      <c r="J278" s="4">
        <v>-0.002223</v>
      </c>
      <c r="K278" s="4">
        <v>0.003434</v>
      </c>
      <c r="L278" s="4">
        <v>0.007844</v>
      </c>
      <c r="M278" s="4">
        <v>0.009076</v>
      </c>
      <c r="N278" s="4">
        <v>0.003153</v>
      </c>
      <c r="O278" s="4">
        <v>-0.009262</v>
      </c>
      <c r="P278" s="4">
        <v>0.028443</v>
      </c>
      <c r="Q278" s="4">
        <v>0.032222</v>
      </c>
      <c r="R278" s="4">
        <v>0.064765</v>
      </c>
      <c r="S278" s="4">
        <v>0.023162</v>
      </c>
      <c r="T278" s="4">
        <v>0.018454</v>
      </c>
      <c r="U278" s="4">
        <v>9.11E-4</v>
      </c>
      <c r="V278" s="4">
        <v>0.0222602242563594</v>
      </c>
      <c r="W278" s="4">
        <v>-0.0428163117080464</v>
      </c>
      <c r="X278" s="4">
        <v>0.0027211683988035</v>
      </c>
      <c r="Y278" s="4">
        <v>0.0116912062701974</v>
      </c>
      <c r="Z278" s="4">
        <v>0.0159363943561579</v>
      </c>
      <c r="AA278" s="4">
        <v>-0.0024414490079223</v>
      </c>
      <c r="AB278" s="4">
        <v>-0.0039589149535941</v>
      </c>
      <c r="AC278" s="4">
        <v>0.0092878060279948</v>
      </c>
      <c r="AD278" s="4">
        <v>0.0127037961170661</v>
      </c>
      <c r="AE278" s="4">
        <v>0.0029926066749912</v>
      </c>
      <c r="AF278" s="4">
        <v>-0.0372068430783205</v>
      </c>
      <c r="AG278" s="4">
        <v>-0.0122774366502974</v>
      </c>
      <c r="AH278" s="4">
        <v>-0.0467461052925104</v>
      </c>
      <c r="AI278" s="4">
        <v>4.45523208127962E-5</v>
      </c>
      <c r="AJ278" s="4">
        <v>0.003897</v>
      </c>
      <c r="AK278" s="4">
        <f>Weights!E334</f>
        <v>0.002471908793</v>
      </c>
      <c r="AL278" s="5">
        <v>0.0087145988035755</v>
      </c>
      <c r="AM278" s="5">
        <v>0.0126727424796972</v>
      </c>
      <c r="AN278" s="5">
        <v>0.015756954458038</v>
      </c>
      <c r="AO278" s="5">
        <v>0.0186086772382261</v>
      </c>
      <c r="AP278" s="6">
        <f t="shared" si="3"/>
        <v>1.206646179</v>
      </c>
      <c r="AQ278" s="4">
        <f t="shared" si="4"/>
        <v>1.203061668</v>
      </c>
      <c r="AR278" s="7">
        <f t="shared" si="5"/>
        <v>1.197706051</v>
      </c>
      <c r="AS278" s="5">
        <f t="shared" ref="AS278:AU278" si="280">AS277*(1+AM278)</f>
        <v>1.265904776</v>
      </c>
      <c r="AT278" s="5">
        <f t="shared" si="280"/>
        <v>1.062670781</v>
      </c>
      <c r="AU278" s="5">
        <f t="shared" si="280"/>
        <v>1.063408413</v>
      </c>
    </row>
    <row r="279" ht="15.75" customHeight="1">
      <c r="A279" s="3">
        <v>44235.0</v>
      </c>
      <c r="B279" s="4">
        <v>0.012784</v>
      </c>
      <c r="C279" s="4">
        <v>-0.004881</v>
      </c>
      <c r="D279" s="4">
        <v>0.008197</v>
      </c>
      <c r="E279" s="4">
        <v>-0.003973</v>
      </c>
      <c r="F279" s="4">
        <v>0.005438</v>
      </c>
      <c r="G279" s="4">
        <v>0.002858</v>
      </c>
      <c r="H279" s="4">
        <v>-0.003087</v>
      </c>
      <c r="I279" s="4">
        <v>0.018197</v>
      </c>
      <c r="J279" s="4">
        <v>0.00198</v>
      </c>
      <c r="K279" s="4">
        <v>0.009069</v>
      </c>
      <c r="L279" s="4">
        <v>0.006825</v>
      </c>
      <c r="M279" s="4">
        <v>0.015873</v>
      </c>
      <c r="N279" s="4">
        <v>0.006287</v>
      </c>
      <c r="O279" s="4">
        <v>-0.003067</v>
      </c>
      <c r="P279" s="4">
        <v>0.018887</v>
      </c>
      <c r="Q279" s="4">
        <v>0.016146</v>
      </c>
      <c r="R279" s="4">
        <v>0.012291</v>
      </c>
      <c r="S279" s="4">
        <v>0.02436</v>
      </c>
      <c r="T279" s="4">
        <v>0.01359</v>
      </c>
      <c r="U279" s="4">
        <v>1.01E-4</v>
      </c>
      <c r="V279" s="4">
        <v>-0.00558339244737593</v>
      </c>
      <c r="W279" s="4">
        <v>-0.0017891174641451</v>
      </c>
      <c r="X279" s="4">
        <v>-0.0094981080224763</v>
      </c>
      <c r="Y279" s="4">
        <v>-0.009593661723472</v>
      </c>
      <c r="Z279" s="4">
        <v>-0.0103057293129465</v>
      </c>
      <c r="AA279" s="4">
        <v>-0.0013176421663574</v>
      </c>
      <c r="AB279" s="4">
        <v>-0.0056308972800594</v>
      </c>
      <c r="AC279" s="4">
        <v>-0.0061347696601824</v>
      </c>
      <c r="AD279" s="4">
        <v>0.0</v>
      </c>
      <c r="AE279" s="4">
        <v>-4.034021822103E-4</v>
      </c>
      <c r="AF279" s="4">
        <v>0.0153520249366216</v>
      </c>
      <c r="AG279" s="4">
        <v>0.0139324514428249</v>
      </c>
      <c r="AH279" s="4">
        <v>0.0</v>
      </c>
      <c r="AI279" s="4">
        <v>-0.0013264028449411</v>
      </c>
      <c r="AJ279" s="4">
        <v>0.007399</v>
      </c>
      <c r="AK279" s="4">
        <f>Weights!E335</f>
        <v>0.00389381186</v>
      </c>
      <c r="AL279" s="5">
        <v>0.00388757733929079</v>
      </c>
      <c r="AM279" s="5">
        <v>0.00561666555499407</v>
      </c>
      <c r="AN279" s="5">
        <v>0.0139991532591863</v>
      </c>
      <c r="AO279" s="5">
        <v>0.010399207556764</v>
      </c>
      <c r="AP279" s="6">
        <f t="shared" si="3"/>
        <v>1.211344632</v>
      </c>
      <c r="AQ279" s="4">
        <f t="shared" si="4"/>
        <v>1.211963121</v>
      </c>
      <c r="AR279" s="7">
        <f t="shared" si="5"/>
        <v>1.202362226</v>
      </c>
      <c r="AS279" s="5">
        <f t="shared" ref="AS279:AU279" si="281">AS278*(1+AM279)</f>
        <v>1.27301494</v>
      </c>
      <c r="AT279" s="5">
        <f t="shared" si="281"/>
        <v>1.077547272</v>
      </c>
      <c r="AU279" s="5">
        <f t="shared" si="281"/>
        <v>1.074467018</v>
      </c>
    </row>
    <row r="280" ht="15.75" customHeight="1">
      <c r="A280" s="3">
        <v>44236.0</v>
      </c>
      <c r="B280" s="4">
        <v>0.002805</v>
      </c>
      <c r="C280" s="4">
        <v>-9.08E-4</v>
      </c>
      <c r="D280" s="4">
        <v>-0.017544</v>
      </c>
      <c r="E280" s="4">
        <v>-0.005698</v>
      </c>
      <c r="F280" s="4">
        <v>-0.004407</v>
      </c>
      <c r="G280" s="4">
        <v>0.008186</v>
      </c>
      <c r="H280" s="4">
        <v>-0.003871</v>
      </c>
      <c r="I280" s="4">
        <v>-0.002234</v>
      </c>
      <c r="J280" s="4">
        <v>0.004941</v>
      </c>
      <c r="K280" s="4">
        <v>0.002374</v>
      </c>
      <c r="L280" s="4">
        <v>0.002022</v>
      </c>
      <c r="M280" s="4">
        <v>0.0125</v>
      </c>
      <c r="N280" s="4">
        <v>0.009788</v>
      </c>
      <c r="O280" s="4">
        <v>-0.008385</v>
      </c>
      <c r="P280" s="4">
        <v>-0.006786</v>
      </c>
      <c r="Q280" s="4">
        <v>-0.005297</v>
      </c>
      <c r="R280" s="4">
        <v>-0.003113</v>
      </c>
      <c r="S280" s="4">
        <v>-0.004084</v>
      </c>
      <c r="T280" s="4">
        <v>0.01825</v>
      </c>
      <c r="U280" s="4">
        <v>-0.002324</v>
      </c>
      <c r="V280" s="4">
        <v>-0.00168444312347415</v>
      </c>
      <c r="W280" s="4">
        <v>-0.0621390587474345</v>
      </c>
      <c r="X280" s="4">
        <v>0.0</v>
      </c>
      <c r="Y280" s="4">
        <v>-0.0473325446926286</v>
      </c>
      <c r="Z280" s="4">
        <v>-0.0251110868082212</v>
      </c>
      <c r="AA280" s="4">
        <v>-0.0030162444497753</v>
      </c>
      <c r="AB280" s="4">
        <v>-0.0156563048771339</v>
      </c>
      <c r="AC280" s="4">
        <v>0.0138886721676023</v>
      </c>
      <c r="AD280" s="4">
        <v>0.0017921799967237</v>
      </c>
      <c r="AE280" s="4">
        <v>-0.0132298908926027</v>
      </c>
      <c r="AF280" s="4">
        <v>-0.0284150080875413</v>
      </c>
      <c r="AG280" s="4">
        <v>-0.0243839422750915</v>
      </c>
      <c r="AH280" s="4">
        <v>-0.0249999083005428</v>
      </c>
      <c r="AI280" s="4">
        <v>-4.428525204814E-4</v>
      </c>
      <c r="AJ280" s="4">
        <v>-0.001113</v>
      </c>
      <c r="AK280" s="4">
        <f>Weights!E336</f>
        <v>-0.00678089887</v>
      </c>
      <c r="AL280" s="5">
        <v>0.0078315182743478</v>
      </c>
      <c r="AM280" s="5">
        <v>0.00896562732152306</v>
      </c>
      <c r="AN280" s="5">
        <v>0.0018657384016345</v>
      </c>
      <c r="AO280" s="5">
        <v>0.00417252371846688</v>
      </c>
      <c r="AP280" s="6">
        <f t="shared" si="3"/>
        <v>1.203130627</v>
      </c>
      <c r="AQ280" s="4">
        <f t="shared" si="4"/>
        <v>1.210614206</v>
      </c>
      <c r="AR280" s="7">
        <f t="shared" si="5"/>
        <v>1.211778547</v>
      </c>
      <c r="AS280" s="5">
        <f t="shared" ref="AS280:AU280" si="282">AS279*(1+AM280)</f>
        <v>1.284428317</v>
      </c>
      <c r="AT280" s="5">
        <f t="shared" si="282"/>
        <v>1.079557693</v>
      </c>
      <c r="AU280" s="5">
        <f t="shared" si="282"/>
        <v>1.078950257</v>
      </c>
    </row>
    <row r="281" ht="15.75" customHeight="1">
      <c r="A281" s="3">
        <v>44237.0</v>
      </c>
      <c r="B281" s="4">
        <v>-0.006527</v>
      </c>
      <c r="C281" s="4">
        <v>-7.27E-4</v>
      </c>
      <c r="D281" s="4">
        <v>6.53E-4</v>
      </c>
      <c r="E281" s="4">
        <v>-0.01361</v>
      </c>
      <c r="F281" s="4">
        <v>-0.002012</v>
      </c>
      <c r="G281" s="4">
        <v>0.003248</v>
      </c>
      <c r="H281" s="4">
        <v>-0.003497</v>
      </c>
      <c r="I281" s="4">
        <v>0.009796</v>
      </c>
      <c r="J281" s="4">
        <v>0.003196</v>
      </c>
      <c r="K281" s="4">
        <v>-0.001692</v>
      </c>
      <c r="L281" s="4">
        <v>-0.010325</v>
      </c>
      <c r="M281" s="4">
        <v>-0.005144</v>
      </c>
      <c r="N281" s="4">
        <v>2.06E-4</v>
      </c>
      <c r="O281" s="4">
        <v>0.004653</v>
      </c>
      <c r="P281" s="4">
        <v>-0.005166</v>
      </c>
      <c r="Q281" s="4">
        <v>0.033014</v>
      </c>
      <c r="R281" s="4">
        <v>-0.02436</v>
      </c>
      <c r="S281" s="4">
        <v>-0.011819</v>
      </c>
      <c r="T281" s="4">
        <v>0.005121</v>
      </c>
      <c r="U281" s="4">
        <v>-0.002532</v>
      </c>
      <c r="V281" s="4">
        <v>0.0168728525952688</v>
      </c>
      <c r="W281" s="4">
        <v>0.0388618286679238</v>
      </c>
      <c r="X281" s="4">
        <v>0.0</v>
      </c>
      <c r="Y281" s="4">
        <v>0.0253428012612475</v>
      </c>
      <c r="Z281" s="4">
        <v>0.0508543289709546</v>
      </c>
      <c r="AA281" s="4">
        <v>0.0079413230817004</v>
      </c>
      <c r="AB281" s="4">
        <v>0.0020305260657498</v>
      </c>
      <c r="AC281" s="4">
        <v>0.0045662601948224</v>
      </c>
      <c r="AD281" s="4">
        <v>0.0125226107559965</v>
      </c>
      <c r="AE281" s="4">
        <v>0.0204382014014072</v>
      </c>
      <c r="AF281" s="4">
        <v>0.0375638119160672</v>
      </c>
      <c r="AG281" s="4">
        <v>0.0026238626661962</v>
      </c>
      <c r="AH281" s="4">
        <v>0.042406292275062</v>
      </c>
      <c r="AI281" s="4">
        <v>0.0</v>
      </c>
      <c r="AJ281" s="4">
        <v>-3.45E-4</v>
      </c>
      <c r="AK281" s="4">
        <f>Weights!E337</f>
        <v>0.007609163537</v>
      </c>
      <c r="AL281" s="5">
        <v>0.0027324351937652</v>
      </c>
      <c r="AM281" s="5">
        <v>3.88676469521787E-4</v>
      </c>
      <c r="AN281" s="5">
        <v>0.00782129877467752</v>
      </c>
      <c r="AO281" s="5">
        <v>0.00664802233774786</v>
      </c>
      <c r="AP281" s="6">
        <f t="shared" si="3"/>
        <v>1.212285445</v>
      </c>
      <c r="AQ281" s="4">
        <f t="shared" si="4"/>
        <v>1.210196545</v>
      </c>
      <c r="AR281" s="7">
        <f t="shared" si="5"/>
        <v>1.215089654</v>
      </c>
      <c r="AS281" s="5">
        <f t="shared" ref="AS281:AU281" si="283">AS280*(1+AM281)</f>
        <v>1.284927544</v>
      </c>
      <c r="AT281" s="5">
        <f t="shared" si="283"/>
        <v>1.088001237</v>
      </c>
      <c r="AU281" s="5">
        <f t="shared" si="283"/>
        <v>1.086123142</v>
      </c>
    </row>
    <row r="282" ht="15.75" customHeight="1">
      <c r="A282" s="3">
        <v>44238.0</v>
      </c>
      <c r="B282" s="4">
        <v>-0.007508</v>
      </c>
      <c r="C282" s="4">
        <v>-0.00655</v>
      </c>
      <c r="D282" s="4">
        <v>-0.010229</v>
      </c>
      <c r="E282" s="4">
        <v>-0.019826</v>
      </c>
      <c r="F282" s="4">
        <v>0.014113</v>
      </c>
      <c r="G282" s="4">
        <v>-0.004496</v>
      </c>
      <c r="H282" s="4">
        <v>8.58E-4</v>
      </c>
      <c r="I282" s="4">
        <v>-0.009488</v>
      </c>
      <c r="J282" s="4">
        <v>-0.001715</v>
      </c>
      <c r="K282" s="4">
        <v>0.00322</v>
      </c>
      <c r="L282" s="4">
        <v>-0.001199</v>
      </c>
      <c r="M282" s="4">
        <v>0.013444</v>
      </c>
      <c r="N282" s="4">
        <v>0.013608</v>
      </c>
      <c r="O282" s="4">
        <v>6.49E-4</v>
      </c>
      <c r="P282" s="4">
        <v>-0.022111</v>
      </c>
      <c r="Q282" s="4">
        <v>-0.031959</v>
      </c>
      <c r="R282" s="4">
        <v>-0.008003</v>
      </c>
      <c r="S282" s="4">
        <v>-0.026849</v>
      </c>
      <c r="T282" s="4">
        <v>-0.002001</v>
      </c>
      <c r="U282" s="4">
        <v>-0.001422</v>
      </c>
      <c r="V282" s="4">
        <v>0.0016592883320865</v>
      </c>
      <c r="W282" s="4">
        <v>-0.0130827573008073</v>
      </c>
      <c r="X282" s="4">
        <v>0.0</v>
      </c>
      <c r="Y282" s="4">
        <v>-0.026970176361555</v>
      </c>
      <c r="Z282" s="4">
        <v>-0.0338438464254354</v>
      </c>
      <c r="AA282" s="4">
        <v>0.003001083146443</v>
      </c>
      <c r="AB282" s="4">
        <v>-0.013846760746669</v>
      </c>
      <c r="AC282" s="4">
        <v>0.0</v>
      </c>
      <c r="AD282" s="4">
        <v>0.0</v>
      </c>
      <c r="AE282" s="4">
        <v>-0.0118571789162663</v>
      </c>
      <c r="AF282" s="4">
        <v>-0.0199121308477883</v>
      </c>
      <c r="AG282" s="4">
        <v>-0.0132213962429491</v>
      </c>
      <c r="AH282" s="4">
        <v>0.0340586678853005</v>
      </c>
      <c r="AI282" s="4">
        <v>-0.0017715067864013</v>
      </c>
      <c r="AJ282" s="4">
        <v>0.001662</v>
      </c>
      <c r="AK282" s="4">
        <f>Weights!E338</f>
        <v>-0.004210236434</v>
      </c>
      <c r="AL282" s="5">
        <v>-0.00102202689321284</v>
      </c>
      <c r="AM282" s="5">
        <v>-4.37061594010246E-4</v>
      </c>
      <c r="AN282" s="5">
        <v>0.00480416620800694</v>
      </c>
      <c r="AO282" s="5">
        <v>0.0052281436104955</v>
      </c>
      <c r="AP282" s="6">
        <f t="shared" si="3"/>
        <v>1.207181436</v>
      </c>
      <c r="AQ282" s="4">
        <f t="shared" si="4"/>
        <v>1.212207891</v>
      </c>
      <c r="AR282" s="7">
        <f t="shared" si="5"/>
        <v>1.213847799</v>
      </c>
      <c r="AS282" s="5">
        <f t="shared" ref="AS282:AU282" si="284">AS281*(1+AM282)</f>
        <v>1.284365952</v>
      </c>
      <c r="AT282" s="5">
        <f t="shared" si="284"/>
        <v>1.093228175</v>
      </c>
      <c r="AU282" s="5">
        <f t="shared" si="284"/>
        <v>1.09180155</v>
      </c>
    </row>
    <row r="283" ht="15.75" customHeight="1">
      <c r="A283" s="3">
        <v>44239.0</v>
      </c>
      <c r="B283" s="4">
        <v>-0.008983</v>
      </c>
      <c r="C283" s="4">
        <v>-0.007326</v>
      </c>
      <c r="D283" s="4">
        <v>-0.004617</v>
      </c>
      <c r="E283" s="4">
        <v>-0.00815</v>
      </c>
      <c r="F283" s="4">
        <v>0.007753</v>
      </c>
      <c r="G283" s="4">
        <v>0.003131</v>
      </c>
      <c r="H283" s="4">
        <v>-0.005533</v>
      </c>
      <c r="I283" s="4">
        <v>-0.014538</v>
      </c>
      <c r="J283" s="4">
        <v>0.005103</v>
      </c>
      <c r="K283" s="4">
        <v>0.003209</v>
      </c>
      <c r="L283" s="4">
        <v>0.003842</v>
      </c>
      <c r="M283" s="4">
        <v>-0.001531</v>
      </c>
      <c r="N283" s="4">
        <v>-0.00712</v>
      </c>
      <c r="O283" s="4">
        <v>1.0E-4</v>
      </c>
      <c r="P283" s="4">
        <v>0.009592</v>
      </c>
      <c r="Q283" s="4">
        <v>0.009585</v>
      </c>
      <c r="R283" s="4">
        <v>0.007744</v>
      </c>
      <c r="S283" s="4">
        <v>0.008528</v>
      </c>
      <c r="T283" s="4">
        <v>0.027165</v>
      </c>
      <c r="U283" s="4">
        <v>0.010475</v>
      </c>
      <c r="V283" s="4">
        <v>0.0198785433821429</v>
      </c>
      <c r="W283" s="4">
        <v>0.0321044916034696</v>
      </c>
      <c r="X283" s="4">
        <v>-0.0041492698188231</v>
      </c>
      <c r="Y283" s="4">
        <v>0.0162908486344701</v>
      </c>
      <c r="Z283" s="4">
        <v>0.0115676460359814</v>
      </c>
      <c r="AA283" s="4">
        <v>3.406588304057E-4</v>
      </c>
      <c r="AB283" s="4">
        <v>6.848475290464E-4</v>
      </c>
      <c r="AC283" s="4">
        <v>0.0061443384669233</v>
      </c>
      <c r="AD283" s="4">
        <v>-0.0159576103189019</v>
      </c>
      <c r="AE283" s="4">
        <v>0.0068104509409947</v>
      </c>
      <c r="AF283" s="4">
        <v>0.0071240320510539</v>
      </c>
      <c r="AG283" s="4">
        <v>-0.0026516371995014</v>
      </c>
      <c r="AH283" s="4">
        <v>-0.0146386382700628</v>
      </c>
      <c r="AI283" s="4">
        <v>0.002661926649548</v>
      </c>
      <c r="AJ283" s="4">
        <v>0.004711</v>
      </c>
      <c r="AK283" s="4">
        <f>Weights!E339</f>
        <v>0.002377190871</v>
      </c>
      <c r="AL283" s="5">
        <v>0.00340975617639016</v>
      </c>
      <c r="AM283" s="5">
        <v>0.00237970466406034</v>
      </c>
      <c r="AN283" s="5">
        <v>0.00992998146134893</v>
      </c>
      <c r="AO283" s="5">
        <v>0.0109503075210375</v>
      </c>
      <c r="AP283" s="6">
        <f t="shared" si="3"/>
        <v>1.210051137</v>
      </c>
      <c r="AQ283" s="4">
        <f t="shared" si="4"/>
        <v>1.217918603</v>
      </c>
      <c r="AR283" s="7">
        <f t="shared" si="5"/>
        <v>1.217986724</v>
      </c>
      <c r="AS283" s="5">
        <f t="shared" ref="AS283:AU283" si="285">AS282*(1+AM283)</f>
        <v>1.287422363</v>
      </c>
      <c r="AT283" s="5">
        <f t="shared" si="285"/>
        <v>1.104083911</v>
      </c>
      <c r="AU283" s="5">
        <f t="shared" si="285"/>
        <v>1.103757113</v>
      </c>
    </row>
    <row r="284" ht="15.75" customHeight="1">
      <c r="A284" s="3">
        <v>44243.0</v>
      </c>
      <c r="B284" s="4">
        <v>-0.003817</v>
      </c>
      <c r="C284" s="4">
        <v>-9.22E-4</v>
      </c>
      <c r="D284" s="4">
        <v>-0.001767</v>
      </c>
      <c r="E284" s="4">
        <v>0.00381</v>
      </c>
      <c r="F284" s="4">
        <v>-0.008286</v>
      </c>
      <c r="G284" s="4">
        <v>-0.009065</v>
      </c>
      <c r="H284" s="4">
        <v>0.002351</v>
      </c>
      <c r="I284" s="4">
        <v>0.005496</v>
      </c>
      <c r="J284" s="4">
        <v>0.002959</v>
      </c>
      <c r="K284" s="4">
        <v>0.003704</v>
      </c>
      <c r="L284" s="4">
        <v>0.00287</v>
      </c>
      <c r="M284" s="4">
        <v>-0.003066</v>
      </c>
      <c r="N284" s="4">
        <v>-0.003893</v>
      </c>
      <c r="O284" s="4">
        <v>-0.032162</v>
      </c>
      <c r="P284" s="4">
        <v>-0.019342</v>
      </c>
      <c r="Q284" s="4">
        <v>-0.045359</v>
      </c>
      <c r="R284" s="4">
        <v>0.053474</v>
      </c>
      <c r="S284" s="4">
        <v>-0.025864</v>
      </c>
      <c r="T284" s="4">
        <v>0.017749</v>
      </c>
      <c r="U284" s="4">
        <v>-0.010064</v>
      </c>
      <c r="V284" s="4">
        <v>0.00378992108468834</v>
      </c>
      <c r="W284" s="4">
        <v>-0.0250853533831264</v>
      </c>
      <c r="X284" s="4">
        <v>-0.006944601248078</v>
      </c>
      <c r="Y284" s="4">
        <v>0.0263618319608625</v>
      </c>
      <c r="Z284" s="4">
        <v>0.0442467617368036</v>
      </c>
      <c r="AA284" s="4">
        <v>0.0115422738168986</v>
      </c>
      <c r="AB284" s="4">
        <v>0.0164272641338671</v>
      </c>
      <c r="AC284" s="4">
        <v>-0.0106868738567521</v>
      </c>
      <c r="AD284" s="4">
        <v>0.0054049773739219</v>
      </c>
      <c r="AE284" s="4">
        <v>0.018521599425384</v>
      </c>
      <c r="AF284" s="4">
        <v>0.0047158448136075</v>
      </c>
      <c r="AG284" s="4">
        <v>0.0051774304989951</v>
      </c>
      <c r="AH284" s="4">
        <v>0.025998139803826</v>
      </c>
      <c r="AI284" s="4">
        <v>-8.849204642129E-4</v>
      </c>
      <c r="AJ284" s="4">
        <v>-5.69E-4</v>
      </c>
      <c r="AK284" s="4">
        <f>Weights!E340</f>
        <v>0.003445411878</v>
      </c>
      <c r="AL284" s="5">
        <v>0.00484251041092398</v>
      </c>
      <c r="AM284" s="5">
        <v>0.00518338118954719</v>
      </c>
      <c r="AN284" s="5">
        <v>0.00364171198539886</v>
      </c>
      <c r="AO284" s="5">
        <v>0.00433244471977301</v>
      </c>
      <c r="AP284" s="6">
        <f t="shared" si="3"/>
        <v>1.214220262</v>
      </c>
      <c r="AQ284" s="4">
        <f t="shared" si="4"/>
        <v>1.217225607</v>
      </c>
      <c r="AR284" s="7">
        <f t="shared" si="5"/>
        <v>1.223884838</v>
      </c>
      <c r="AS284" s="5">
        <f t="shared" ref="AS284:AU284" si="286">AS283*(1+AM284)</f>
        <v>1.294095564</v>
      </c>
      <c r="AT284" s="5">
        <f t="shared" si="286"/>
        <v>1.108104667</v>
      </c>
      <c r="AU284" s="5">
        <f t="shared" si="286"/>
        <v>1.108539079</v>
      </c>
    </row>
    <row r="285" ht="15.75" customHeight="1">
      <c r="A285" s="3">
        <v>44244.0</v>
      </c>
      <c r="B285" s="4">
        <v>-0.007184</v>
      </c>
      <c r="C285" s="4">
        <v>0.052447</v>
      </c>
      <c r="D285" s="4">
        <v>-0.014162</v>
      </c>
      <c r="E285" s="4">
        <v>5.95E-4</v>
      </c>
      <c r="F285" s="4">
        <v>-0.002785</v>
      </c>
      <c r="G285" s="4">
        <v>0.003574</v>
      </c>
      <c r="H285" s="4">
        <v>0.004221</v>
      </c>
      <c r="I285" s="4">
        <v>-0.006904</v>
      </c>
      <c r="J285" s="4">
        <v>-0.003442</v>
      </c>
      <c r="K285" s="4">
        <v>-0.002013</v>
      </c>
      <c r="L285" s="4">
        <v>0.008825</v>
      </c>
      <c r="M285" s="4">
        <v>0.012814</v>
      </c>
      <c r="N285" s="4">
        <v>-0.002879</v>
      </c>
      <c r="O285" s="4">
        <v>0.029006</v>
      </c>
      <c r="P285" s="4">
        <v>-0.014014</v>
      </c>
      <c r="Q285" s="4">
        <v>-0.039779</v>
      </c>
      <c r="R285" s="4">
        <v>0.037994</v>
      </c>
      <c r="S285" s="4">
        <v>-0.029104</v>
      </c>
      <c r="T285" s="4">
        <v>-0.00593</v>
      </c>
      <c r="U285" s="4">
        <v>-0.00122</v>
      </c>
      <c r="V285" s="4">
        <v>0.0382956231632591</v>
      </c>
      <c r="W285" s="4">
        <v>0.0047346991299568</v>
      </c>
      <c r="X285" s="4">
        <v>0.0027971921536438</v>
      </c>
      <c r="Y285" s="4">
        <v>-0.0099184890988832</v>
      </c>
      <c r="Z285" s="4">
        <v>-0.0110392206259108</v>
      </c>
      <c r="AA285" s="4">
        <v>-0.0134681452593887</v>
      </c>
      <c r="AB285" s="4">
        <v>0.0016834138737396</v>
      </c>
      <c r="AC285" s="4">
        <v>-0.0077162545726665</v>
      </c>
      <c r="AD285" s="4">
        <v>-0.007168203865481</v>
      </c>
      <c r="AE285" s="4">
        <v>0.0056926766772595</v>
      </c>
      <c r="AF285" s="4">
        <v>0.0096478277863758</v>
      </c>
      <c r="AG285" s="4">
        <v>0.019629816674678</v>
      </c>
      <c r="AH285" s="4">
        <v>0.0235294320718508</v>
      </c>
      <c r="AI285" s="4">
        <v>-0.0022140640003397</v>
      </c>
      <c r="AJ285" s="4">
        <v>-3.2E-4</v>
      </c>
      <c r="AK285" s="4">
        <f>Weights!E341</f>
        <v>0.002754614502</v>
      </c>
      <c r="AL285" s="5">
        <v>0.00236724813766819</v>
      </c>
      <c r="AM285" s="5">
        <v>-0.0017830361606399</v>
      </c>
      <c r="AN285" s="5">
        <v>0.0029026413376374</v>
      </c>
      <c r="AO285" s="5">
        <v>0.00296589638757649</v>
      </c>
      <c r="AP285" s="6">
        <f t="shared" si="3"/>
        <v>1.21756497</v>
      </c>
      <c r="AQ285" s="4">
        <f t="shared" si="4"/>
        <v>1.216836095</v>
      </c>
      <c r="AR285" s="7">
        <f t="shared" si="5"/>
        <v>1.226782077</v>
      </c>
      <c r="AS285" s="5">
        <f t="shared" ref="AS285:AU285" si="287">AS284*(1+AM285)</f>
        <v>1.291788145</v>
      </c>
      <c r="AT285" s="5">
        <f t="shared" si="287"/>
        <v>1.111321097</v>
      </c>
      <c r="AU285" s="5">
        <f t="shared" si="287"/>
        <v>1.111826892</v>
      </c>
    </row>
    <row r="286" ht="15.75" customHeight="1">
      <c r="A286" s="3">
        <v>44245.0</v>
      </c>
      <c r="B286" s="4">
        <v>4.82E-4</v>
      </c>
      <c r="C286" s="4">
        <v>-1.76E-4</v>
      </c>
      <c r="D286" s="4">
        <v>-0.003816</v>
      </c>
      <c r="E286" s="4">
        <v>0.006768</v>
      </c>
      <c r="F286" s="4">
        <v>0.012767</v>
      </c>
      <c r="G286" s="4">
        <v>4.83E-4</v>
      </c>
      <c r="H286" s="4">
        <v>0.008329</v>
      </c>
      <c r="I286" s="4">
        <v>-0.001738</v>
      </c>
      <c r="J286" s="4">
        <v>0.002961</v>
      </c>
      <c r="K286" s="4">
        <v>1.68E-4</v>
      </c>
      <c r="L286" s="4">
        <v>0.017496</v>
      </c>
      <c r="M286" s="4">
        <v>-0.004049</v>
      </c>
      <c r="N286" s="4">
        <v>0.004744</v>
      </c>
      <c r="O286" s="4">
        <v>7.51E-4</v>
      </c>
      <c r="P286" s="4">
        <v>0.006492</v>
      </c>
      <c r="Q286" s="4">
        <v>-0.002301</v>
      </c>
      <c r="R286" s="4">
        <v>-2.93E-4</v>
      </c>
      <c r="S286" s="4">
        <v>-0.006048</v>
      </c>
      <c r="T286" s="4">
        <v>-0.008772</v>
      </c>
      <c r="U286" s="4">
        <v>0.013945</v>
      </c>
      <c r="V286" s="4">
        <v>-5.19542853106624E-4</v>
      </c>
      <c r="W286" s="4">
        <v>-0.0100390837864713</v>
      </c>
      <c r="X286" s="4">
        <v>0.0348674637312245</v>
      </c>
      <c r="Y286" s="4">
        <v>5.230345117315E-4</v>
      </c>
      <c r="Z286" s="4">
        <v>0.0022281953107652</v>
      </c>
      <c r="AA286" s="4">
        <v>-0.0081529166476981</v>
      </c>
      <c r="AB286" s="4">
        <v>0.0070587878329109</v>
      </c>
      <c r="AC286" s="4">
        <v>0.0031104294365296</v>
      </c>
      <c r="AD286" s="4">
        <v>0.018050882701545</v>
      </c>
      <c r="AE286" s="4">
        <v>-0.0172169051000382</v>
      </c>
      <c r="AF286" s="4">
        <v>-0.0056817350153111</v>
      </c>
      <c r="AG286" s="4">
        <v>-0.0032767842846701</v>
      </c>
      <c r="AH286" s="4">
        <v>0.0070734004559254</v>
      </c>
      <c r="AI286" s="4">
        <v>-0.0017758318010936</v>
      </c>
      <c r="AJ286" s="4">
        <v>-0.004416</v>
      </c>
      <c r="AK286" s="4">
        <f>Weights!E342</f>
        <v>0.002142850931</v>
      </c>
      <c r="AL286" s="5">
        <v>-0.00168700605937333</v>
      </c>
      <c r="AM286" s="5">
        <v>-0.00207604798336336</v>
      </c>
      <c r="AN286" s="5">
        <v>0.0</v>
      </c>
      <c r="AO286" s="5">
        <v>-0.00295712585867458</v>
      </c>
      <c r="AP286" s="6">
        <f t="shared" si="3"/>
        <v>1.220174031</v>
      </c>
      <c r="AQ286" s="4">
        <f t="shared" si="4"/>
        <v>1.211462547</v>
      </c>
      <c r="AR286" s="7">
        <f t="shared" si="5"/>
        <v>1.224712488</v>
      </c>
      <c r="AS286" s="5">
        <f t="shared" ref="AS286:AU286" si="288">AS285*(1+AM286)</f>
        <v>1.289106331</v>
      </c>
      <c r="AT286" s="5">
        <f t="shared" si="288"/>
        <v>1.111321097</v>
      </c>
      <c r="AU286" s="5">
        <f t="shared" si="288"/>
        <v>1.108539079</v>
      </c>
    </row>
    <row r="287" ht="15.75" customHeight="1">
      <c r="A287" s="3">
        <v>44246.0</v>
      </c>
      <c r="B287" s="4">
        <v>-0.004822</v>
      </c>
      <c r="C287" s="4">
        <v>-0.009301</v>
      </c>
      <c r="D287" s="4">
        <v>-0.005408</v>
      </c>
      <c r="E287" s="4">
        <v>-0.021127</v>
      </c>
      <c r="F287" s="4">
        <v>-0.013</v>
      </c>
      <c r="G287" s="4">
        <v>-0.016653</v>
      </c>
      <c r="H287" s="4">
        <v>-0.018606</v>
      </c>
      <c r="I287" s="4">
        <v>0.005804</v>
      </c>
      <c r="J287" s="4">
        <v>-0.017958</v>
      </c>
      <c r="K287" s="4">
        <v>0.017479</v>
      </c>
      <c r="L287" s="4">
        <v>0.010457</v>
      </c>
      <c r="M287" s="4">
        <v>0.001016</v>
      </c>
      <c r="N287" s="4">
        <v>0.023404</v>
      </c>
      <c r="O287" s="4">
        <v>0.006504</v>
      </c>
      <c r="P287" s="4">
        <v>-0.012029</v>
      </c>
      <c r="Q287" s="4">
        <v>-0.026528</v>
      </c>
      <c r="R287" s="4">
        <v>0.098125</v>
      </c>
      <c r="S287" s="4">
        <v>-0.003968</v>
      </c>
      <c r="T287" s="4">
        <v>0.027257</v>
      </c>
      <c r="U287" s="4">
        <v>0.001907</v>
      </c>
      <c r="V287" s="4">
        <v>-0.00883573918140545</v>
      </c>
      <c r="W287" s="4">
        <v>0.0281456635374608</v>
      </c>
      <c r="X287" s="4">
        <v>0.0</v>
      </c>
      <c r="Y287" s="4">
        <v>0.0118809000948223</v>
      </c>
      <c r="Z287" s="4">
        <v>0.0103147983353493</v>
      </c>
      <c r="AA287" s="4">
        <v>-0.0093675797436191</v>
      </c>
      <c r="AB287" s="4">
        <v>0.0010012516233754</v>
      </c>
      <c r="AC287" s="4">
        <v>0.0</v>
      </c>
      <c r="AD287" s="4">
        <v>0.0</v>
      </c>
      <c r="AE287" s="4">
        <v>0.0032795657798789</v>
      </c>
      <c r="AF287" s="4">
        <v>0.0012986158440395</v>
      </c>
      <c r="AG287" s="4">
        <v>-0.0112329998156455</v>
      </c>
      <c r="AH287" s="4">
        <v>0.0272167667490874</v>
      </c>
      <c r="AI287" s="4">
        <v>-8.890513640343E-4</v>
      </c>
      <c r="AJ287" s="4">
        <v>-0.001855</v>
      </c>
      <c r="AK287" s="4">
        <f>Weights!E343</f>
        <v>0.003002403612</v>
      </c>
      <c r="AL287" s="5">
        <v>-0.00523812319271654</v>
      </c>
      <c r="AM287" s="5">
        <v>-0.0057574698516043</v>
      </c>
      <c r="AN287" s="5">
        <v>0.00397991340461567</v>
      </c>
      <c r="AO287" s="5">
        <v>0.00431398872502475</v>
      </c>
      <c r="AP287" s="6">
        <f t="shared" si="3"/>
        <v>1.223837485</v>
      </c>
      <c r="AQ287" s="4">
        <f t="shared" si="4"/>
        <v>1.209215284</v>
      </c>
      <c r="AR287" s="7">
        <f t="shared" si="5"/>
        <v>1.218297293</v>
      </c>
      <c r="AS287" s="5">
        <f t="shared" ref="AS287:AU287" si="289">AS286*(1+AM287)</f>
        <v>1.28168434</v>
      </c>
      <c r="AT287" s="5">
        <f t="shared" si="289"/>
        <v>1.115744059</v>
      </c>
      <c r="AU287" s="5">
        <f t="shared" si="289"/>
        <v>1.113321305</v>
      </c>
    </row>
    <row r="288" ht="15.75" customHeight="1">
      <c r="A288" s="3">
        <v>44249.0</v>
      </c>
      <c r="B288" s="4">
        <v>-0.006298</v>
      </c>
      <c r="C288" s="4">
        <v>0.0</v>
      </c>
      <c r="D288" s="4">
        <v>-0.011554</v>
      </c>
      <c r="E288" s="4">
        <v>-0.003924</v>
      </c>
      <c r="F288" s="4">
        <v>0.010377</v>
      </c>
      <c r="G288" s="4">
        <v>-6.14E-4</v>
      </c>
      <c r="H288" s="4">
        <v>-0.004248</v>
      </c>
      <c r="I288" s="4">
        <v>0.011541</v>
      </c>
      <c r="J288" s="4">
        <v>-0.005511</v>
      </c>
      <c r="K288" s="4">
        <v>0.006772</v>
      </c>
      <c r="L288" s="4">
        <v>0.010808</v>
      </c>
      <c r="M288" s="4">
        <v>0.002632</v>
      </c>
      <c r="N288" s="4">
        <v>0.006219</v>
      </c>
      <c r="O288" s="4">
        <v>-0.005766</v>
      </c>
      <c r="P288" s="4">
        <v>0.01447</v>
      </c>
      <c r="Q288" s="4">
        <v>0.07109</v>
      </c>
      <c r="R288" s="4">
        <v>0.015738</v>
      </c>
      <c r="S288" s="4">
        <v>0.056308</v>
      </c>
      <c r="T288" s="4">
        <v>0.03153</v>
      </c>
      <c r="U288" s="4">
        <v>-0.010922</v>
      </c>
      <c r="V288" s="4">
        <v>-0.00629265618675045</v>
      </c>
      <c r="W288" s="4">
        <v>0.0390498969036265</v>
      </c>
      <c r="X288" s="4">
        <v>0.0212765150141409</v>
      </c>
      <c r="Y288" s="4">
        <v>-2.951957473216E-4</v>
      </c>
      <c r="Z288" s="4">
        <v>-0.0035426082236695</v>
      </c>
      <c r="AA288" s="4">
        <v>-0.0019296718221032</v>
      </c>
      <c r="AB288" s="4">
        <v>0.0093366345271355</v>
      </c>
      <c r="AC288" s="4">
        <v>0.0124223240787486</v>
      </c>
      <c r="AD288" s="4">
        <v>-0.0070798002890151</v>
      </c>
      <c r="AE288" s="4">
        <v>-0.0041460699109407</v>
      </c>
      <c r="AF288" s="4">
        <v>0.0511025027814704</v>
      </c>
      <c r="AG288" s="4">
        <v>0.0110833982357376</v>
      </c>
      <c r="AH288" s="4">
        <v>-0.0085470007094481</v>
      </c>
      <c r="AI288" s="4">
        <v>0.0013353564210314</v>
      </c>
      <c r="AJ288" s="4">
        <v>-0.007733</v>
      </c>
      <c r="AK288" s="4">
        <f>Weights!E344</f>
        <v>0.00785863165</v>
      </c>
      <c r="AL288" s="5">
        <v>0.0</v>
      </c>
      <c r="AM288" s="5">
        <v>0.0022870497437466</v>
      </c>
      <c r="AN288" s="5">
        <v>0.00108113522396902</v>
      </c>
      <c r="AO288" s="5">
        <v>0.00161062272886014</v>
      </c>
      <c r="AP288" s="6">
        <f t="shared" si="3"/>
        <v>1.233455173</v>
      </c>
      <c r="AQ288" s="4">
        <f t="shared" si="4"/>
        <v>1.199864422</v>
      </c>
      <c r="AR288" s="7">
        <f t="shared" si="5"/>
        <v>1.218297293</v>
      </c>
      <c r="AS288" s="5">
        <f t="shared" ref="AS288:AU288" si="290">AS287*(1+AM288)</f>
        <v>1.284615616</v>
      </c>
      <c r="AT288" s="5">
        <f t="shared" si="290"/>
        <v>1.116950329</v>
      </c>
      <c r="AU288" s="5">
        <f t="shared" si="290"/>
        <v>1.115114445</v>
      </c>
    </row>
    <row r="289" ht="15.75" customHeight="1">
      <c r="A289" s="3">
        <v>44250.0</v>
      </c>
      <c r="B289" s="4">
        <v>-0.001463</v>
      </c>
      <c r="C289" s="4">
        <v>0.010275</v>
      </c>
      <c r="D289" s="4">
        <v>0.004813</v>
      </c>
      <c r="E289" s="4">
        <v>0.005985</v>
      </c>
      <c r="F289" s="4">
        <v>-0.001778</v>
      </c>
      <c r="G289" s="4">
        <v>-0.008834</v>
      </c>
      <c r="H289" s="4">
        <v>0.007426</v>
      </c>
      <c r="I289" s="4">
        <v>0.015973</v>
      </c>
      <c r="J289" s="4">
        <v>-0.003526</v>
      </c>
      <c r="K289" s="4">
        <v>0.017227</v>
      </c>
      <c r="L289" s="4">
        <v>0.011148</v>
      </c>
      <c r="M289" s="4">
        <v>-0.005632</v>
      </c>
      <c r="N289" s="4">
        <v>-0.008373</v>
      </c>
      <c r="O289" s="4">
        <v>3.5E-4</v>
      </c>
      <c r="P289" s="4">
        <v>-0.011306</v>
      </c>
      <c r="Q289" s="4">
        <v>-0.038717</v>
      </c>
      <c r="R289" s="4">
        <v>-0.00604</v>
      </c>
      <c r="S289" s="4">
        <v>-0.003269</v>
      </c>
      <c r="T289" s="4">
        <v>0.016536</v>
      </c>
      <c r="U289" s="4">
        <v>-0.011853</v>
      </c>
      <c r="V289" s="4">
        <v>-0.00158310998323329</v>
      </c>
      <c r="W289" s="4">
        <v>0.0034870195755805</v>
      </c>
      <c r="X289" s="4">
        <v>0.028646072513935</v>
      </c>
      <c r="Y289" s="4">
        <v>0.0065001399932254</v>
      </c>
      <c r="Z289" s="4">
        <v>-0.0035993216142025</v>
      </c>
      <c r="AA289" s="4">
        <v>-0.0030934992936667</v>
      </c>
      <c r="AB289" s="4">
        <v>0.0026427895357616</v>
      </c>
      <c r="AC289" s="4">
        <v>0.0076686987027858</v>
      </c>
      <c r="AD289" s="4">
        <v>0.0196079397699813</v>
      </c>
      <c r="AE289" s="4">
        <v>0.0087269396735281</v>
      </c>
      <c r="AF289" s="4">
        <v>-0.0118460309583494</v>
      </c>
      <c r="AG289" s="4">
        <v>0.0069884185314406</v>
      </c>
      <c r="AH289" s="4">
        <v>-0.0025862250578961</v>
      </c>
      <c r="AI289" s="4">
        <v>-8.887544593099E-4</v>
      </c>
      <c r="AJ289" s="4">
        <v>0.001256</v>
      </c>
      <c r="AK289" s="4">
        <f>Weights!E345</f>
        <v>0.00200651958</v>
      </c>
      <c r="AL289" s="5">
        <v>-0.00653989289750633</v>
      </c>
      <c r="AM289" s="5">
        <v>-0.0095160229417297</v>
      </c>
      <c r="AN289" s="5">
        <v>-0.0043198705316817</v>
      </c>
      <c r="AO289" s="5">
        <v>-0.00536034105404592</v>
      </c>
      <c r="AP289" s="6">
        <f t="shared" si="3"/>
        <v>1.235930125</v>
      </c>
      <c r="AQ289" s="4">
        <f t="shared" si="4"/>
        <v>1.201371451</v>
      </c>
      <c r="AR289" s="7">
        <f t="shared" si="5"/>
        <v>1.210329759</v>
      </c>
      <c r="AS289" s="5">
        <f t="shared" ref="AS289:AU289" si="291">AS288*(1+AM289)</f>
        <v>1.272391184</v>
      </c>
      <c r="AT289" s="5">
        <f t="shared" si="291"/>
        <v>1.112125248</v>
      </c>
      <c r="AU289" s="5">
        <f t="shared" si="291"/>
        <v>1.109137051</v>
      </c>
    </row>
    <row r="290" ht="15.75" customHeight="1">
      <c r="A290" s="3">
        <v>44251.0</v>
      </c>
      <c r="B290" s="4">
        <v>-0.007324</v>
      </c>
      <c r="C290" s="4">
        <v>0.001578</v>
      </c>
      <c r="D290" s="4">
        <v>0.004106</v>
      </c>
      <c r="E290" s="4">
        <v>-0.005197</v>
      </c>
      <c r="F290" s="4">
        <v>0.003364</v>
      </c>
      <c r="G290" s="4">
        <v>0.013401</v>
      </c>
      <c r="H290" s="4">
        <v>0.001098</v>
      </c>
      <c r="I290" s="4">
        <v>0.00365</v>
      </c>
      <c r="J290" s="4">
        <v>-0.003286</v>
      </c>
      <c r="K290" s="4">
        <v>0.025968</v>
      </c>
      <c r="L290" s="4">
        <v>0.005175</v>
      </c>
      <c r="M290" s="4">
        <v>0.053553</v>
      </c>
      <c r="N290" s="4">
        <v>0.018898</v>
      </c>
      <c r="O290" s="4">
        <v>0.004398</v>
      </c>
      <c r="P290" s="4">
        <v>0.004222</v>
      </c>
      <c r="Q290" s="4">
        <v>0.016111</v>
      </c>
      <c r="R290" s="4">
        <v>0.001057</v>
      </c>
      <c r="S290" s="4">
        <v>0.005045</v>
      </c>
      <c r="T290" s="4">
        <v>0.035656</v>
      </c>
      <c r="U290" s="4">
        <v>0.011175</v>
      </c>
      <c r="V290" s="4">
        <v>0.00845677029576408</v>
      </c>
      <c r="W290" s="4">
        <v>0.047490271221716</v>
      </c>
      <c r="X290" s="4">
        <v>0.0037973693668904</v>
      </c>
      <c r="Y290" s="4">
        <v>-0.0066051529603491</v>
      </c>
      <c r="Z290" s="4">
        <v>-0.0046760431582187</v>
      </c>
      <c r="AA290" s="4">
        <v>0.0048490576542841</v>
      </c>
      <c r="AB290" s="4">
        <v>0.0125206074996</v>
      </c>
      <c r="AC290" s="4">
        <v>0.0</v>
      </c>
      <c r="AD290" s="4">
        <v>0.0034963281555868</v>
      </c>
      <c r="AE290" s="4">
        <v>0.0114294682046707</v>
      </c>
      <c r="AF290" s="4">
        <v>-0.0269729259773341</v>
      </c>
      <c r="AG290" s="4">
        <v>0.0046264167039491</v>
      </c>
      <c r="AH290" s="4">
        <v>-0.0207432416211681</v>
      </c>
      <c r="AI290" s="4">
        <v>0.001333971981059</v>
      </c>
      <c r="AJ290" s="4">
        <v>0.011352</v>
      </c>
      <c r="AK290" s="4">
        <f>Weights!E346</f>
        <v>0.006723060053</v>
      </c>
      <c r="AL290" s="7">
        <v>-8.54864642374497E-5</v>
      </c>
      <c r="AM290" s="5">
        <v>-1.47043026794801E-4</v>
      </c>
      <c r="AN290" s="5">
        <v>-0.00433822145990137</v>
      </c>
      <c r="AO290" s="5">
        <v>-0.00646749436957072</v>
      </c>
      <c r="AP290" s="6">
        <f t="shared" si="3"/>
        <v>1.244239358</v>
      </c>
      <c r="AQ290" s="4">
        <f t="shared" si="4"/>
        <v>1.21500942</v>
      </c>
      <c r="AR290" s="7">
        <f t="shared" si="5"/>
        <v>1.210226293</v>
      </c>
      <c r="AS290" s="5">
        <f t="shared" ref="AS290:AU290" si="292">AS289*(1+AM290)</f>
        <v>1.272204088</v>
      </c>
      <c r="AT290" s="5">
        <f t="shared" si="292"/>
        <v>1.107300602</v>
      </c>
      <c r="AU290" s="5">
        <f t="shared" si="292"/>
        <v>1.101963714</v>
      </c>
    </row>
    <row r="291" ht="15.75" customHeight="1">
      <c r="A291" s="3">
        <v>44252.0</v>
      </c>
      <c r="B291" s="4">
        <v>-0.001967</v>
      </c>
      <c r="C291" s="4">
        <v>-0.010854</v>
      </c>
      <c r="D291" s="4">
        <v>0.001136</v>
      </c>
      <c r="E291" s="4">
        <v>-0.015823</v>
      </c>
      <c r="F291" s="4">
        <v>-0.010649</v>
      </c>
      <c r="G291" s="4">
        <v>0.001046</v>
      </c>
      <c r="H291" s="4">
        <v>-0.00846</v>
      </c>
      <c r="I291" s="4">
        <v>-0.021538</v>
      </c>
      <c r="J291" s="4">
        <v>-0.001014</v>
      </c>
      <c r="K291" s="4">
        <v>-0.024996</v>
      </c>
      <c r="L291" s="4">
        <v>-0.020481</v>
      </c>
      <c r="M291" s="4">
        <v>-0.001466</v>
      </c>
      <c r="N291" s="4">
        <v>-0.014009</v>
      </c>
      <c r="O291" s="4">
        <v>-0.029805</v>
      </c>
      <c r="P291" s="4">
        <v>-0.016819</v>
      </c>
      <c r="Q291" s="4">
        <v>-0.037373</v>
      </c>
      <c r="R291" s="4">
        <v>-0.058327</v>
      </c>
      <c r="S291" s="4">
        <v>-0.052209</v>
      </c>
      <c r="T291" s="4">
        <v>-0.024116</v>
      </c>
      <c r="U291" s="4">
        <v>0.003853</v>
      </c>
      <c r="V291" s="4">
        <v>-0.0167715138627733</v>
      </c>
      <c r="W291" s="4">
        <v>-0.0182453451662325</v>
      </c>
      <c r="X291" s="4">
        <v>0.0088272043576884</v>
      </c>
      <c r="Y291" s="4">
        <v>0.0144059535298137</v>
      </c>
      <c r="Z291" s="4">
        <v>0.0042083139947282</v>
      </c>
      <c r="AA291" s="4">
        <v>-3.863933137746E-4</v>
      </c>
      <c r="AB291" s="4">
        <v>-0.0045557856550123</v>
      </c>
      <c r="AC291" s="4">
        <v>-0.0060880819936949</v>
      </c>
      <c r="AD291" s="4">
        <v>0.0069688949543045</v>
      </c>
      <c r="AE291" s="4">
        <v>0.021580434661149</v>
      </c>
      <c r="AF291" s="4">
        <v>0.0282339834000882</v>
      </c>
      <c r="AG291" s="4">
        <v>-0.0031155569424357</v>
      </c>
      <c r="AH291" s="4">
        <v>0.0220652919685875</v>
      </c>
      <c r="AI291" s="4">
        <v>0.0</v>
      </c>
      <c r="AJ291" s="4">
        <v>-0.024479</v>
      </c>
      <c r="AK291" s="4">
        <f>Weights!E347</f>
        <v>-0.00636925125</v>
      </c>
      <c r="AL291" s="5">
        <v>0.00795133825232086</v>
      </c>
      <c r="AM291" s="5">
        <v>0.0112267308785314</v>
      </c>
      <c r="AN291" s="5">
        <v>0.00580973398286821</v>
      </c>
      <c r="AO291" s="5">
        <v>0.00623827406969068</v>
      </c>
      <c r="AP291" s="6">
        <f t="shared" si="3"/>
        <v>1.236314485</v>
      </c>
      <c r="AQ291" s="4">
        <f t="shared" si="4"/>
        <v>1.185267205</v>
      </c>
      <c r="AR291" s="7">
        <f t="shared" si="5"/>
        <v>1.219849211</v>
      </c>
      <c r="AS291" s="5">
        <f t="shared" ref="AS291:AU291" si="293">AS290*(1+AM291)</f>
        <v>1.286486781</v>
      </c>
      <c r="AT291" s="5">
        <f t="shared" si="293"/>
        <v>1.113733724</v>
      </c>
      <c r="AU291" s="5">
        <f t="shared" si="293"/>
        <v>1.108838065</v>
      </c>
    </row>
    <row r="292" ht="15.75" customHeight="1">
      <c r="A292" s="3">
        <v>44253.0</v>
      </c>
      <c r="B292" s="4">
        <v>-0.012321</v>
      </c>
      <c r="C292" s="4">
        <v>-0.021239</v>
      </c>
      <c r="D292" s="4">
        <v>-0.018607</v>
      </c>
      <c r="E292" s="4">
        <v>-0.006231</v>
      </c>
      <c r="F292" s="4">
        <v>-0.02352</v>
      </c>
      <c r="G292" s="4">
        <v>-0.026419</v>
      </c>
      <c r="H292" s="4">
        <v>-0.024095</v>
      </c>
      <c r="I292" s="4">
        <v>-0.033448</v>
      </c>
      <c r="J292" s="4">
        <v>-0.022595</v>
      </c>
      <c r="K292" s="4">
        <v>-0.026604</v>
      </c>
      <c r="L292" s="4">
        <v>-0.027765</v>
      </c>
      <c r="M292" s="4">
        <v>-0.024963</v>
      </c>
      <c r="N292" s="4">
        <v>-0.029435</v>
      </c>
      <c r="O292" s="4">
        <v>-0.011283</v>
      </c>
      <c r="P292" s="4">
        <v>-0.031005</v>
      </c>
      <c r="Q292" s="4">
        <v>-0.036471</v>
      </c>
      <c r="R292" s="4">
        <v>-0.049608</v>
      </c>
      <c r="S292" s="4">
        <v>-0.053496</v>
      </c>
      <c r="T292" s="4">
        <v>-0.027475</v>
      </c>
      <c r="U292" s="4">
        <v>-0.013332</v>
      </c>
      <c r="V292" s="4">
        <v>0.0133262607920512</v>
      </c>
      <c r="W292" s="4">
        <v>-1.878407438936E-4</v>
      </c>
      <c r="X292" s="4">
        <v>0.0</v>
      </c>
      <c r="Y292" s="4">
        <v>0.0231595170577683</v>
      </c>
      <c r="Z292" s="4">
        <v>0.0281145017212336</v>
      </c>
      <c r="AA292" s="4">
        <v>0.0040547126001642</v>
      </c>
      <c r="AB292" s="4">
        <v>0.0166721073580586</v>
      </c>
      <c r="AC292" s="4">
        <v>0.0</v>
      </c>
      <c r="AD292" s="4">
        <v>0.0</v>
      </c>
      <c r="AE292" s="4">
        <v>-0.0115225442460296</v>
      </c>
      <c r="AF292" s="4">
        <v>-0.0049925489850038</v>
      </c>
      <c r="AG292" s="4">
        <v>0.0082881789618256</v>
      </c>
      <c r="AH292" s="4">
        <v>0.0362694780568431</v>
      </c>
      <c r="AI292" s="4">
        <v>0.0</v>
      </c>
      <c r="AJ292" s="4">
        <v>-0.00475</v>
      </c>
      <c r="AK292" s="4">
        <f>Weights!E348</f>
        <v>-0.009480202243</v>
      </c>
      <c r="AL292" s="5">
        <v>-0.0212908289721075</v>
      </c>
      <c r="AM292" s="5">
        <v>-0.0261308434044418</v>
      </c>
      <c r="AN292" s="5">
        <v>0.00196321678396005</v>
      </c>
      <c r="AO292" s="5">
        <v>0.00242558564038386</v>
      </c>
      <c r="AP292" s="6">
        <f t="shared" si="3"/>
        <v>1.224593973</v>
      </c>
      <c r="AQ292" s="4">
        <f t="shared" si="4"/>
        <v>1.179637185</v>
      </c>
      <c r="AR292" s="7">
        <f t="shared" si="5"/>
        <v>1.19387761</v>
      </c>
      <c r="AS292" s="5">
        <f t="shared" ref="AS292:AU292" si="294">AS291*(1+AM292)</f>
        <v>1.252869796</v>
      </c>
      <c r="AT292" s="5">
        <f t="shared" si="294"/>
        <v>1.115920225</v>
      </c>
      <c r="AU292" s="5">
        <f t="shared" si="294"/>
        <v>1.111527647</v>
      </c>
    </row>
    <row r="293" ht="15.75" customHeight="1">
      <c r="A293" s="3">
        <v>44256.0</v>
      </c>
      <c r="B293" s="4">
        <v>0.024451</v>
      </c>
      <c r="C293" s="4">
        <v>0.001085</v>
      </c>
      <c r="D293" s="4">
        <v>0.014104</v>
      </c>
      <c r="E293" s="4">
        <v>0.011069</v>
      </c>
      <c r="F293" s="4">
        <v>0.018575</v>
      </c>
      <c r="G293" s="4">
        <v>0.005427</v>
      </c>
      <c r="H293" s="4">
        <v>0.006152</v>
      </c>
      <c r="I293" s="4">
        <v>0.027802</v>
      </c>
      <c r="J293" s="4">
        <v>0.01974</v>
      </c>
      <c r="K293" s="4">
        <v>0.01789</v>
      </c>
      <c r="L293" s="4">
        <v>0.019979</v>
      </c>
      <c r="M293" s="4">
        <v>0.032631</v>
      </c>
      <c r="N293" s="4">
        <v>0.013733</v>
      </c>
      <c r="O293" s="4">
        <v>0.014732</v>
      </c>
      <c r="P293" s="4">
        <v>0.004965</v>
      </c>
      <c r="Q293" s="4">
        <v>-0.003663</v>
      </c>
      <c r="R293" s="4">
        <v>0.029195</v>
      </c>
      <c r="S293" s="4">
        <v>-0.001679</v>
      </c>
      <c r="T293" s="4">
        <v>0.028419</v>
      </c>
      <c r="U293" s="4">
        <v>0.016788</v>
      </c>
      <c r="V293" s="4">
        <v>-0.0473435867589786</v>
      </c>
      <c r="W293" s="4">
        <v>0.0488173175934556</v>
      </c>
      <c r="X293" s="4">
        <v>0.0179640828011415</v>
      </c>
      <c r="Y293" s="4">
        <v>0.0</v>
      </c>
      <c r="Z293" s="4">
        <v>0.0</v>
      </c>
      <c r="AA293" s="4">
        <v>0.0</v>
      </c>
      <c r="AB293" s="4">
        <v>0.0</v>
      </c>
      <c r="AC293" s="4">
        <v>-0.0030722786139306</v>
      </c>
      <c r="AD293" s="4">
        <v>0.0221465223764285</v>
      </c>
      <c r="AE293" s="4">
        <v>0.0</v>
      </c>
      <c r="AF293" s="4">
        <v>2.509719109418E-4</v>
      </c>
      <c r="AG293" s="4">
        <v>0.0</v>
      </c>
      <c r="AH293" s="4">
        <v>0.0</v>
      </c>
      <c r="AI293" s="4">
        <v>0.0</v>
      </c>
      <c r="AJ293" s="4">
        <v>0.023791</v>
      </c>
      <c r="AK293" s="4">
        <f>Weights!E349</f>
        <v>0.008826486129</v>
      </c>
      <c r="AL293" s="5">
        <v>-0.00962053569382337</v>
      </c>
      <c r="AM293" s="5">
        <v>-0.0039824057215021</v>
      </c>
      <c r="AN293" s="5">
        <v>-0.00435419914441648</v>
      </c>
      <c r="AO293" s="5">
        <v>-0.00537763838421623</v>
      </c>
      <c r="AP293" s="6">
        <f t="shared" si="3"/>
        <v>1.235402835</v>
      </c>
      <c r="AQ293" s="4">
        <f t="shared" si="4"/>
        <v>1.207701934</v>
      </c>
      <c r="AR293" s="7">
        <f t="shared" si="5"/>
        <v>1.182391868</v>
      </c>
      <c r="AS293" s="5">
        <f t="shared" ref="AS293:AU293" si="295">AS292*(1+AM293)</f>
        <v>1.24788036</v>
      </c>
      <c r="AT293" s="5">
        <f t="shared" si="295"/>
        <v>1.111061286</v>
      </c>
      <c r="AU293" s="5">
        <f t="shared" si="295"/>
        <v>1.105550253</v>
      </c>
    </row>
    <row r="294" ht="15.75" customHeight="1">
      <c r="A294" s="3">
        <v>44257.0</v>
      </c>
      <c r="B294" s="4">
        <v>0.006819</v>
      </c>
      <c r="C294" s="4">
        <v>-0.006864</v>
      </c>
      <c r="D294" s="4">
        <v>0.018468</v>
      </c>
      <c r="E294" s="4">
        <v>0.003445</v>
      </c>
      <c r="F294" s="4">
        <v>0.004008</v>
      </c>
      <c r="G294" s="4">
        <v>-0.001883</v>
      </c>
      <c r="H294" s="4">
        <v>-0.003138</v>
      </c>
      <c r="I294" s="4">
        <v>0.00777</v>
      </c>
      <c r="J294" s="4">
        <v>0.007387</v>
      </c>
      <c r="K294" s="4">
        <v>0.011717</v>
      </c>
      <c r="L294" s="4">
        <v>6.91E-4</v>
      </c>
      <c r="M294" s="4">
        <v>4.86E-4</v>
      </c>
      <c r="N294" s="4">
        <v>0.028325</v>
      </c>
      <c r="O294" s="4">
        <v>-0.01232</v>
      </c>
      <c r="P294" s="4">
        <v>0.039341</v>
      </c>
      <c r="Q294" s="4">
        <v>0.058824</v>
      </c>
      <c r="R294" s="4">
        <v>0.008023</v>
      </c>
      <c r="S294" s="4">
        <v>0.033632</v>
      </c>
      <c r="T294" s="4">
        <v>0.004714</v>
      </c>
      <c r="U294" s="4">
        <v>0.003977</v>
      </c>
      <c r="V294" s="4">
        <v>-0.0441744583245641</v>
      </c>
      <c r="W294" s="4">
        <v>0.0091298027276702</v>
      </c>
      <c r="X294" s="4">
        <v>-0.0164705252308258</v>
      </c>
      <c r="Y294" s="4">
        <v>-0.00540961294411</v>
      </c>
      <c r="Z294" s="4">
        <v>-6.46323863388032E-5</v>
      </c>
      <c r="AA294" s="4">
        <v>-0.0051921883484779</v>
      </c>
      <c r="AB294" s="4">
        <v>0.0012860915341919</v>
      </c>
      <c r="AC294" s="4">
        <v>0.0</v>
      </c>
      <c r="AD294" s="4">
        <v>-0.0016668228243081</v>
      </c>
      <c r="AE294" s="4">
        <v>-0.0189616464888133</v>
      </c>
      <c r="AF294" s="4">
        <v>0.0112867357953985</v>
      </c>
      <c r="AG294" s="4">
        <v>-0.0495891724484421</v>
      </c>
      <c r="AH294" s="4">
        <v>0.0824999776482591</v>
      </c>
      <c r="AI294" s="4">
        <v>-0.0071074716410619</v>
      </c>
      <c r="AJ294" s="4">
        <v>-0.008081</v>
      </c>
      <c r="AK294" s="4">
        <f>Weights!E350</f>
        <v>0.00413914842</v>
      </c>
      <c r="AL294" s="5">
        <v>0.0228406558975693</v>
      </c>
      <c r="AM294" s="5">
        <v>0.0256895985201592</v>
      </c>
      <c r="AN294" s="5">
        <v>0.00801738673755969</v>
      </c>
      <c r="AO294" s="5">
        <v>0.0100028060869998</v>
      </c>
      <c r="AP294" s="6">
        <f t="shared" si="3"/>
        <v>1.240516351</v>
      </c>
      <c r="AQ294" s="4">
        <f t="shared" si="4"/>
        <v>1.197942494</v>
      </c>
      <c r="AR294" s="7">
        <f t="shared" si="5"/>
        <v>1.209398474</v>
      </c>
      <c r="AS294" s="5">
        <f t="shared" ref="AS294:AU294" si="296">AS293*(1+AM294)</f>
        <v>1.279937906</v>
      </c>
      <c r="AT294" s="5">
        <f t="shared" si="296"/>
        <v>1.119969094</v>
      </c>
      <c r="AU294" s="5">
        <f t="shared" si="296"/>
        <v>1.116608858</v>
      </c>
    </row>
    <row r="295" ht="15.75" customHeight="1">
      <c r="A295" s="3">
        <v>44258.0</v>
      </c>
      <c r="B295" s="4">
        <v>-0.003387</v>
      </c>
      <c r="C295" s="4">
        <v>0.007275</v>
      </c>
      <c r="D295" s="4">
        <v>8.95E-4</v>
      </c>
      <c r="E295" s="4">
        <v>-0.014725</v>
      </c>
      <c r="F295" s="4">
        <v>-0.002395</v>
      </c>
      <c r="G295" s="4">
        <v>-0.017608</v>
      </c>
      <c r="H295" s="4">
        <v>-0.005973</v>
      </c>
      <c r="I295" s="4">
        <v>0.003427</v>
      </c>
      <c r="J295" s="4">
        <v>-0.00708</v>
      </c>
      <c r="K295" s="4">
        <v>0.00386</v>
      </c>
      <c r="L295" s="4">
        <v>-0.001036</v>
      </c>
      <c r="M295" s="4">
        <v>0.003401</v>
      </c>
      <c r="N295" s="4">
        <v>-0.002395</v>
      </c>
      <c r="O295" s="4">
        <v>-0.015527</v>
      </c>
      <c r="P295" s="4">
        <v>-0.016197</v>
      </c>
      <c r="Q295" s="4">
        <v>-0.010417</v>
      </c>
      <c r="R295" s="4">
        <v>-0.005117</v>
      </c>
      <c r="S295" s="4">
        <v>-0.029013</v>
      </c>
      <c r="T295" s="4">
        <v>0.007927</v>
      </c>
      <c r="U295" s="4">
        <v>-0.001809</v>
      </c>
      <c r="V295" s="4">
        <v>0.0242634473356102</v>
      </c>
      <c r="W295" s="4">
        <v>-0.0138372021246878</v>
      </c>
      <c r="X295" s="4">
        <v>0.0047846703859779</v>
      </c>
      <c r="Y295" s="4">
        <v>-0.0103773250471075</v>
      </c>
      <c r="Z295" s="4">
        <v>-0.0047879407511736</v>
      </c>
      <c r="AA295" s="4">
        <v>-0.011791805990463</v>
      </c>
      <c r="AB295" s="4">
        <v>0.0057803935103299</v>
      </c>
      <c r="AC295" s="4">
        <v>0.0</v>
      </c>
      <c r="AD295" s="4">
        <v>-0.0217029517202862</v>
      </c>
      <c r="AE295" s="4">
        <v>0.0033270826662574</v>
      </c>
      <c r="AF295" s="4">
        <v>-0.0297619447933819</v>
      </c>
      <c r="AG295" s="4">
        <v>0.0309088317723149</v>
      </c>
      <c r="AH295" s="4">
        <v>0.0015396260297286</v>
      </c>
      <c r="AI295" s="4">
        <v>0.0022365496910787</v>
      </c>
      <c r="AJ295" s="4">
        <v>-0.013066</v>
      </c>
      <c r="AK295" s="4">
        <f>Weights!E351</f>
        <v>-0.00128749815</v>
      </c>
      <c r="AL295" s="5">
        <v>-0.00385013159668912</v>
      </c>
      <c r="AM295" s="5">
        <v>-0.00940446632655422</v>
      </c>
      <c r="AN295" s="5">
        <v>-0.0133766725795075</v>
      </c>
      <c r="AO295" s="5">
        <v>-0.014454083302833</v>
      </c>
      <c r="AP295" s="6">
        <f t="shared" si="3"/>
        <v>1.238919188</v>
      </c>
      <c r="AQ295" s="4">
        <f t="shared" si="4"/>
        <v>1.182290178</v>
      </c>
      <c r="AR295" s="7">
        <f t="shared" si="5"/>
        <v>1.204742131</v>
      </c>
      <c r="AS295" s="5">
        <f t="shared" ref="AS295:AU295" si="297">AS294*(1+AM295)</f>
        <v>1.267900773</v>
      </c>
      <c r="AT295" s="5">
        <f t="shared" si="297"/>
        <v>1.104987634</v>
      </c>
      <c r="AU295" s="5">
        <f t="shared" si="297"/>
        <v>1.100469301</v>
      </c>
    </row>
    <row r="296" ht="15.75" customHeight="1">
      <c r="A296" s="3">
        <v>44259.0</v>
      </c>
      <c r="B296" s="4">
        <v>-0.009223</v>
      </c>
      <c r="C296" s="4">
        <v>-0.010473</v>
      </c>
      <c r="D296" s="4">
        <v>0.011854</v>
      </c>
      <c r="E296" s="4">
        <v>0.005517</v>
      </c>
      <c r="F296" s="4">
        <v>-8.0E-4</v>
      </c>
      <c r="G296" s="4">
        <v>-0.020164</v>
      </c>
      <c r="H296" s="4">
        <v>-0.008201</v>
      </c>
      <c r="I296" s="4">
        <v>0.001707</v>
      </c>
      <c r="J296" s="4">
        <v>0.007639</v>
      </c>
      <c r="K296" s="4">
        <v>-0.007691</v>
      </c>
      <c r="L296" s="4">
        <v>2.3E-4</v>
      </c>
      <c r="M296" s="4">
        <v>-0.015496</v>
      </c>
      <c r="N296" s="4">
        <v>-0.014406</v>
      </c>
      <c r="O296" s="4">
        <v>-0.037643</v>
      </c>
      <c r="P296" s="4">
        <v>0.001627</v>
      </c>
      <c r="Q296" s="4">
        <v>0.045614</v>
      </c>
      <c r="R296" s="4">
        <v>-0.065714</v>
      </c>
      <c r="S296" s="4">
        <v>-0.004747</v>
      </c>
      <c r="T296" s="4">
        <v>-0.030498</v>
      </c>
      <c r="U296" s="4">
        <v>0.002416</v>
      </c>
      <c r="V296" s="4">
        <v>0.00394803259421783</v>
      </c>
      <c r="W296" s="4">
        <v>-0.0052166811083311</v>
      </c>
      <c r="X296" s="4">
        <v>-0.0071428294942138</v>
      </c>
      <c r="Y296" s="4">
        <v>-0.0101966934321808</v>
      </c>
      <c r="Z296" s="4">
        <v>-0.0120277368564782</v>
      </c>
      <c r="AA296" s="4">
        <v>-0.0029342348782063</v>
      </c>
      <c r="AB296" s="4">
        <v>0.0015964910371413</v>
      </c>
      <c r="AC296" s="4">
        <v>-0.0030816734530629</v>
      </c>
      <c r="AD296" s="4">
        <v>-0.0153582322841835</v>
      </c>
      <c r="AE296" s="4">
        <v>-0.0045004417361224</v>
      </c>
      <c r="AF296" s="4">
        <v>0.0063904848188283</v>
      </c>
      <c r="AG296" s="4">
        <v>-0.0163662894086693</v>
      </c>
      <c r="AH296" s="4">
        <v>-0.0107609978358154</v>
      </c>
      <c r="AI296" s="4">
        <v>-0.0022315586991596</v>
      </c>
      <c r="AJ296" s="4">
        <v>-0.013417</v>
      </c>
      <c r="AK296" s="4">
        <f>Weights!E352</f>
        <v>-0.005776086971</v>
      </c>
      <c r="AL296" s="5">
        <v>-0.0138279939852583</v>
      </c>
      <c r="AM296" s="5">
        <v>-0.0144130222814145</v>
      </c>
      <c r="AN296" s="5">
        <v>-0.0117257884401935</v>
      </c>
      <c r="AO296" s="5">
        <v>-0.0100489898233842</v>
      </c>
      <c r="AP296" s="6">
        <f t="shared" si="3"/>
        <v>1.231763083</v>
      </c>
      <c r="AQ296" s="4">
        <f t="shared" si="4"/>
        <v>1.16642739</v>
      </c>
      <c r="AR296" s="7">
        <f t="shared" si="5"/>
        <v>1.188082964</v>
      </c>
      <c r="AS296" s="5">
        <f t="shared" ref="AS296:AU296" si="298">AS295*(1+AM296)</f>
        <v>1.249626491</v>
      </c>
      <c r="AT296" s="5">
        <f t="shared" si="298"/>
        <v>1.092030783</v>
      </c>
      <c r="AU296" s="5">
        <f t="shared" si="298"/>
        <v>1.089410696</v>
      </c>
    </row>
    <row r="297" ht="15.75" customHeight="1">
      <c r="A297" s="3">
        <v>44260.0</v>
      </c>
      <c r="B297" s="4">
        <v>0.023028</v>
      </c>
      <c r="C297" s="4">
        <v>0.021898</v>
      </c>
      <c r="D297" s="4">
        <v>0.041114</v>
      </c>
      <c r="E297" s="4">
        <v>0.032601</v>
      </c>
      <c r="F297" s="4">
        <v>0.01702</v>
      </c>
      <c r="G297" s="4">
        <v>0.019795</v>
      </c>
      <c r="H297" s="4">
        <v>0.031355</v>
      </c>
      <c r="I297" s="4">
        <v>0.006818</v>
      </c>
      <c r="J297" s="4">
        <v>0.003538</v>
      </c>
      <c r="K297" s="4">
        <v>0.014371</v>
      </c>
      <c r="L297" s="4">
        <v>0.02466</v>
      </c>
      <c r="M297" s="4">
        <v>0.040826</v>
      </c>
      <c r="N297" s="4">
        <v>0.011977</v>
      </c>
      <c r="O297" s="4">
        <v>0.010926</v>
      </c>
      <c r="P297" s="4">
        <v>0.023818</v>
      </c>
      <c r="Q297" s="4">
        <v>0.048098</v>
      </c>
      <c r="R297" s="4">
        <v>0.070948</v>
      </c>
      <c r="S297" s="4">
        <v>0.015993</v>
      </c>
      <c r="T297" s="4">
        <v>0.041722</v>
      </c>
      <c r="U297" s="4">
        <v>0.021792</v>
      </c>
      <c r="V297" s="4">
        <v>0.038764028425887</v>
      </c>
      <c r="W297" s="4">
        <v>0.0379747915418187</v>
      </c>
      <c r="X297" s="4">
        <v>0.0</v>
      </c>
      <c r="Y297" s="4">
        <v>0.0071600949046948</v>
      </c>
      <c r="Z297" s="4">
        <v>0.017241182970318</v>
      </c>
      <c r="AA297" s="4">
        <v>-0.0166767595475472</v>
      </c>
      <c r="AB297" s="4">
        <v>-3.188492113745E-4</v>
      </c>
      <c r="AC297" s="4">
        <v>0.0</v>
      </c>
      <c r="AD297" s="4">
        <v>0.0</v>
      </c>
      <c r="AE297" s="4">
        <v>-0.0026964269362518</v>
      </c>
      <c r="AF297" s="4">
        <v>0.0251460863054804</v>
      </c>
      <c r="AG297" s="4">
        <v>-0.015380286043068</v>
      </c>
      <c r="AH297" s="4">
        <v>0.0450661153090115</v>
      </c>
      <c r="AI297" s="4">
        <v>-0.0058170154753944</v>
      </c>
      <c r="AJ297" s="4">
        <v>0.019496</v>
      </c>
      <c r="AK297" s="4">
        <f>Weights!E353</f>
        <v>0.01635195138</v>
      </c>
      <c r="AL297" s="5">
        <v>-0.0120187413909277</v>
      </c>
      <c r="AM297" s="5">
        <v>-0.0158213262251155</v>
      </c>
      <c r="AN297" s="5">
        <v>0.016314286515876</v>
      </c>
      <c r="AO297" s="5">
        <v>0.0150893905191338</v>
      </c>
      <c r="AP297" s="6">
        <f t="shared" si="3"/>
        <v>1.251904813</v>
      </c>
      <c r="AQ297" s="4">
        <f t="shared" si="4"/>
        <v>1.189168059</v>
      </c>
      <c r="AR297" s="7">
        <f t="shared" si="5"/>
        <v>1.173803702</v>
      </c>
      <c r="AS297" s="5">
        <f t="shared" ref="AS297:AU297" si="299">AS296*(1+AM297)</f>
        <v>1.229855743</v>
      </c>
      <c r="AT297" s="5">
        <f t="shared" si="299"/>
        <v>1.109846486</v>
      </c>
      <c r="AU297" s="5">
        <f t="shared" si="299"/>
        <v>1.105849239</v>
      </c>
    </row>
    <row r="298" ht="15.75" customHeight="1">
      <c r="A298" s="3">
        <v>44263.0</v>
      </c>
      <c r="B298" s="4">
        <v>0.014368</v>
      </c>
      <c r="C298" s="4">
        <v>0.014107</v>
      </c>
      <c r="D298" s="4">
        <v>0.010828</v>
      </c>
      <c r="E298" s="4">
        <v>-0.006765</v>
      </c>
      <c r="F298" s="4">
        <v>0.016736</v>
      </c>
      <c r="G298" s="4">
        <v>0.008328</v>
      </c>
      <c r="H298" s="4">
        <v>0.010557</v>
      </c>
      <c r="I298" s="4">
        <v>0.011569</v>
      </c>
      <c r="J298" s="4">
        <v>0.021405</v>
      </c>
      <c r="K298" s="4">
        <v>0.014804</v>
      </c>
      <c r="L298" s="4">
        <v>0.016982</v>
      </c>
      <c r="M298" s="4">
        <v>0.013705</v>
      </c>
      <c r="N298" s="4">
        <v>0.014243</v>
      </c>
      <c r="O298" s="4">
        <v>-0.030208</v>
      </c>
      <c r="P298" s="4">
        <v>-0.006169</v>
      </c>
      <c r="Q298" s="4">
        <v>0.013874</v>
      </c>
      <c r="R298" s="4">
        <v>-0.016848</v>
      </c>
      <c r="S298" s="4">
        <v>-0.015741</v>
      </c>
      <c r="T298" s="4">
        <v>0.054832</v>
      </c>
      <c r="U298" s="4">
        <v>0.004521</v>
      </c>
      <c r="V298" s="4">
        <v>-0.0156840532353512</v>
      </c>
      <c r="W298" s="4">
        <v>-0.0219513824018713</v>
      </c>
      <c r="X298" s="4">
        <v>0.0035628528009599</v>
      </c>
      <c r="Y298" s="4">
        <v>-0.0173375121996772</v>
      </c>
      <c r="Z298" s="4">
        <v>-0.0118384073928518</v>
      </c>
      <c r="AA298" s="4">
        <v>-9.974670433992E-4</v>
      </c>
      <c r="AB298" s="4">
        <v>0.0092475524546813</v>
      </c>
      <c r="AC298" s="4">
        <v>-0.0077279621158387</v>
      </c>
      <c r="AD298" s="4">
        <v>-0.0086059642560226</v>
      </c>
      <c r="AE298" s="4">
        <v>-0.0015903682312219</v>
      </c>
      <c r="AF298" s="4">
        <v>-0.0039642905759924</v>
      </c>
      <c r="AG298" s="4">
        <v>8.522470126341E-4</v>
      </c>
      <c r="AH298" s="4">
        <v>0.0185873424731255</v>
      </c>
      <c r="AI298" s="4">
        <v>-0.0022103771146901</v>
      </c>
      <c r="AJ298" s="4">
        <v>-0.005359</v>
      </c>
      <c r="AK298" s="4">
        <f>Weights!E354</f>
        <v>0.004358280374</v>
      </c>
      <c r="AL298" s="5">
        <v>0.0141925358544745</v>
      </c>
      <c r="AM298" s="5">
        <v>0.0180535835179511</v>
      </c>
      <c r="AN298" s="5">
        <v>0.0076614115954019</v>
      </c>
      <c r="AO298" s="5">
        <v>0.00675685701810535</v>
      </c>
      <c r="AP298" s="6">
        <f t="shared" si="3"/>
        <v>1.257360966</v>
      </c>
      <c r="AQ298" s="4">
        <f t="shared" si="4"/>
        <v>1.182795307</v>
      </c>
      <c r="AR298" s="7">
        <f t="shared" si="5"/>
        <v>1.190462953</v>
      </c>
      <c r="AS298" s="5">
        <f t="shared" ref="AS298:AU298" si="300">AS297*(1+AM298)</f>
        <v>1.252059046</v>
      </c>
      <c r="AT298" s="5">
        <f t="shared" si="300"/>
        <v>1.118349477</v>
      </c>
      <c r="AU298" s="5">
        <f t="shared" si="300"/>
        <v>1.113321305</v>
      </c>
    </row>
    <row r="299" ht="15.75" customHeight="1">
      <c r="A299" s="3">
        <v>44264.0</v>
      </c>
      <c r="B299" s="4">
        <v>9.44E-4</v>
      </c>
      <c r="C299" s="4">
        <v>-0.010389</v>
      </c>
      <c r="D299" s="4">
        <v>-0.032556</v>
      </c>
      <c r="E299" s="4">
        <v>9.08E-4</v>
      </c>
      <c r="F299" s="4">
        <v>-0.015105</v>
      </c>
      <c r="G299" s="4">
        <v>0.001906</v>
      </c>
      <c r="H299" s="4">
        <v>-0.008876</v>
      </c>
      <c r="I299" s="4">
        <v>-0.006416</v>
      </c>
      <c r="J299" s="4">
        <v>0.009862</v>
      </c>
      <c r="K299" s="4">
        <v>0.003137</v>
      </c>
      <c r="L299" s="4">
        <v>-9.95E-4</v>
      </c>
      <c r="M299" s="4">
        <v>-0.011189</v>
      </c>
      <c r="N299" s="4">
        <v>0.005934</v>
      </c>
      <c r="O299" s="4">
        <v>0.015602</v>
      </c>
      <c r="P299" s="4">
        <v>0.015251</v>
      </c>
      <c r="Q299" s="4">
        <v>0.013684</v>
      </c>
      <c r="R299" s="4">
        <v>-0.016555</v>
      </c>
      <c r="S299" s="4">
        <v>0.051066</v>
      </c>
      <c r="T299" s="4">
        <v>-0.007684</v>
      </c>
      <c r="U299" s="4">
        <v>0.002739</v>
      </c>
      <c r="V299" s="4">
        <v>-0.00494511083516968</v>
      </c>
      <c r="W299" s="4">
        <v>-0.0023154298462575</v>
      </c>
      <c r="X299" s="4">
        <v>0.040236691780668</v>
      </c>
      <c r="Y299" s="4">
        <v>0.0102611667634666</v>
      </c>
      <c r="Z299" s="4">
        <v>-7.418665031653E-4</v>
      </c>
      <c r="AA299" s="4">
        <v>-0.0017975366129152</v>
      </c>
      <c r="AB299" s="4">
        <v>0.0116903777107792</v>
      </c>
      <c r="AC299" s="4">
        <v>-0.0062304005986389</v>
      </c>
      <c r="AD299" s="4">
        <v>0.0173609395859064</v>
      </c>
      <c r="AE299" s="4">
        <v>-0.0135403697889679</v>
      </c>
      <c r="AF299" s="4">
        <v>-0.0074626820321607</v>
      </c>
      <c r="AG299" s="4">
        <v>-0.0119182898107239</v>
      </c>
      <c r="AH299" s="4">
        <v>-0.0058394278719845</v>
      </c>
      <c r="AI299" s="4">
        <v>-0.002260225930486</v>
      </c>
      <c r="AJ299" s="4">
        <v>0.014155</v>
      </c>
      <c r="AK299" s="4">
        <f>Weights!E355</f>
        <v>0.000633510483</v>
      </c>
      <c r="AL299" s="5">
        <v>-0.00495447034181029</v>
      </c>
      <c r="AM299" s="5">
        <v>-0.00488173130197933</v>
      </c>
      <c r="AN299" s="5">
        <v>-0.00579280647857904</v>
      </c>
      <c r="AO299" s="5">
        <v>-0.00510053741970528</v>
      </c>
      <c r="AP299" s="6">
        <f t="shared" si="3"/>
        <v>1.258157517</v>
      </c>
      <c r="AQ299" s="4">
        <f t="shared" si="4"/>
        <v>1.199537775</v>
      </c>
      <c r="AR299" s="7">
        <f t="shared" si="5"/>
        <v>1.18456484</v>
      </c>
      <c r="AS299" s="5">
        <f t="shared" ref="AS299:AU299" si="301">AS298*(1+AM299)</f>
        <v>1.24594683</v>
      </c>
      <c r="AT299" s="5">
        <f t="shared" si="301"/>
        <v>1.111871095</v>
      </c>
      <c r="AU299" s="5">
        <f t="shared" si="301"/>
        <v>1.107642768</v>
      </c>
    </row>
    <row r="300" ht="15.75" customHeight="1">
      <c r="A300" s="3">
        <v>44265.0</v>
      </c>
      <c r="B300" s="4">
        <v>0.00401</v>
      </c>
      <c r="C300" s="4">
        <v>0.015658</v>
      </c>
      <c r="D300" s="4">
        <v>0.011941</v>
      </c>
      <c r="E300" s="4">
        <v>0.010057</v>
      </c>
      <c r="F300" s="4">
        <v>0.011404</v>
      </c>
      <c r="G300" s="4">
        <v>0.009195</v>
      </c>
      <c r="H300" s="4">
        <v>0.009193</v>
      </c>
      <c r="I300" s="4">
        <v>0.008142</v>
      </c>
      <c r="J300" s="4">
        <v>0.007568</v>
      </c>
      <c r="K300" s="4">
        <v>0.005629</v>
      </c>
      <c r="L300" s="4">
        <v>0.016936</v>
      </c>
      <c r="M300" s="4">
        <v>0.012258</v>
      </c>
      <c r="N300" s="4">
        <v>0.010027</v>
      </c>
      <c r="O300" s="4">
        <v>0.017173</v>
      </c>
      <c r="P300" s="4">
        <v>0.016245</v>
      </c>
      <c r="Q300" s="4">
        <v>-0.032191</v>
      </c>
      <c r="R300" s="4">
        <v>0.01772</v>
      </c>
      <c r="S300" s="4">
        <v>8.01E-4</v>
      </c>
      <c r="T300" s="4">
        <v>0.024294</v>
      </c>
      <c r="U300" s="4">
        <v>0.004</v>
      </c>
      <c r="V300" s="4">
        <v>0.0231917577327971</v>
      </c>
      <c r="W300" s="4">
        <v>0.0146401293591953</v>
      </c>
      <c r="X300" s="4">
        <v>0.0147897042104452</v>
      </c>
      <c r="Y300" s="4">
        <v>0.011179938878199</v>
      </c>
      <c r="Z300" s="4">
        <v>-8.297655390581E-4</v>
      </c>
      <c r="AA300" s="4">
        <v>-4.001613556916E-4</v>
      </c>
      <c r="AB300" s="4">
        <v>-9.368361996855E-4</v>
      </c>
      <c r="AC300" s="4">
        <v>-0.0031350285533586</v>
      </c>
      <c r="AD300" s="4">
        <v>-0.0187712273984785</v>
      </c>
      <c r="AE300" s="4">
        <v>-0.0055712252851951</v>
      </c>
      <c r="AF300" s="4">
        <v>0.0255639186130705</v>
      </c>
      <c r="AG300" s="4">
        <v>0.0109131786879217</v>
      </c>
      <c r="AH300" s="4">
        <v>0.0198238398275263</v>
      </c>
      <c r="AI300" s="4">
        <v>-0.0036244935933932</v>
      </c>
      <c r="AJ300" s="4">
        <v>0.00603</v>
      </c>
      <c r="AK300" s="4">
        <f>Weights!E356</f>
        <v>0.00793414844</v>
      </c>
      <c r="AL300" s="5">
        <v>0.0155485546217819</v>
      </c>
      <c r="AM300" s="5">
        <v>0.0155177502195578</v>
      </c>
      <c r="AN300" s="5">
        <v>-0.00874003361087727</v>
      </c>
      <c r="AO300" s="5">
        <v>-0.0102541891054213</v>
      </c>
      <c r="AP300" s="6">
        <f t="shared" si="3"/>
        <v>1.268139925</v>
      </c>
      <c r="AQ300" s="4">
        <f t="shared" si="4"/>
        <v>1.206770987</v>
      </c>
      <c r="AR300" s="7">
        <f t="shared" si="5"/>
        <v>1.202983111</v>
      </c>
      <c r="AS300" s="5">
        <f t="shared" ref="AS300:AU300" si="302">AS299*(1+AM300)</f>
        <v>1.265281122</v>
      </c>
      <c r="AT300" s="5">
        <f t="shared" si="302"/>
        <v>1.102153304</v>
      </c>
      <c r="AU300" s="5">
        <f t="shared" si="302"/>
        <v>1.096284789</v>
      </c>
    </row>
    <row r="301" ht="15.75" customHeight="1">
      <c r="A301" s="3">
        <v>44266.0</v>
      </c>
      <c r="B301" s="4">
        <v>0.006179</v>
      </c>
      <c r="C301" s="4">
        <v>-0.027505</v>
      </c>
      <c r="D301" s="4">
        <v>0.010942</v>
      </c>
      <c r="E301" s="4">
        <v>-0.002695</v>
      </c>
      <c r="F301" s="4">
        <v>-0.010886</v>
      </c>
      <c r="G301" s="4">
        <v>-6.3E-5</v>
      </c>
      <c r="H301" s="4">
        <v>-0.003377</v>
      </c>
      <c r="I301" s="4">
        <v>0.011974</v>
      </c>
      <c r="J301" s="4">
        <v>0.007027</v>
      </c>
      <c r="K301" s="4">
        <v>0.009019</v>
      </c>
      <c r="L301" s="4">
        <v>0.00947</v>
      </c>
      <c r="M301" s="4">
        <v>0.00885</v>
      </c>
      <c r="N301" s="4">
        <v>0.003699</v>
      </c>
      <c r="O301" s="4">
        <v>0.00712</v>
      </c>
      <c r="P301" s="4">
        <v>0.004641</v>
      </c>
      <c r="Q301" s="4">
        <v>0.03899</v>
      </c>
      <c r="R301" s="4">
        <v>0.087348</v>
      </c>
      <c r="S301" s="4">
        <v>0.017871</v>
      </c>
      <c r="T301" s="4">
        <v>0.005485</v>
      </c>
      <c r="U301" s="4">
        <v>-0.006803</v>
      </c>
      <c r="V301" s="4">
        <v>0.0188881124095692</v>
      </c>
      <c r="W301" s="4">
        <v>0.0394157219416897</v>
      </c>
      <c r="X301" s="4">
        <v>0.020179292635674</v>
      </c>
      <c r="Y301" s="4">
        <v>0.0091055120627159</v>
      </c>
      <c r="Z301" s="4">
        <v>5.901118908877E-4</v>
      </c>
      <c r="AA301" s="4">
        <v>0.0126100813027898</v>
      </c>
      <c r="AB301" s="4">
        <v>0.0065645171731998</v>
      </c>
      <c r="AC301" s="4">
        <v>-0.0031445146658926</v>
      </c>
      <c r="AD301" s="4">
        <v>0.0330435746006025</v>
      </c>
      <c r="AE301" s="4">
        <v>-0.0045729860870182</v>
      </c>
      <c r="AF301" s="4">
        <v>-0.004887681997813</v>
      </c>
      <c r="AG301" s="4">
        <v>-0.0151984491079906</v>
      </c>
      <c r="AH301" s="4">
        <v>0.0928725292288035</v>
      </c>
      <c r="AI301" s="4">
        <v>-0.0100047483882922</v>
      </c>
      <c r="AJ301" s="4">
        <v>0.010395</v>
      </c>
      <c r="AK301" s="4">
        <f>Weights!E357</f>
        <v>0.01163712987</v>
      </c>
      <c r="AL301" s="5">
        <v>0.00567705300756937</v>
      </c>
      <c r="AM301" s="5">
        <v>0.00714733688806479</v>
      </c>
      <c r="AN301" s="5">
        <v>0.0150624819007063</v>
      </c>
      <c r="AO301" s="5">
        <v>0.014449793033074</v>
      </c>
      <c r="AP301" s="6">
        <f t="shared" si="3"/>
        <v>1.282897434</v>
      </c>
      <c r="AQ301" s="4">
        <f t="shared" si="4"/>
        <v>1.219315372</v>
      </c>
      <c r="AR301" s="7">
        <f t="shared" si="5"/>
        <v>1.20981251</v>
      </c>
      <c r="AS301" s="5">
        <f t="shared" ref="AS301:AU301" si="303">AS300*(1+AM301)</f>
        <v>1.274324512</v>
      </c>
      <c r="AT301" s="5">
        <f t="shared" si="303"/>
        <v>1.118754468</v>
      </c>
      <c r="AU301" s="5">
        <f t="shared" si="303"/>
        <v>1.112125877</v>
      </c>
    </row>
    <row r="302" ht="15.75" customHeight="1">
      <c r="A302" s="3">
        <v>44267.0</v>
      </c>
      <c r="B302" s="4">
        <v>0.00803</v>
      </c>
      <c r="C302" s="4">
        <v>0.002162</v>
      </c>
      <c r="D302" s="4">
        <v>0.012946</v>
      </c>
      <c r="E302" s="4">
        <v>-0.001351</v>
      </c>
      <c r="F302" s="4">
        <v>-0.001965</v>
      </c>
      <c r="G302" s="4">
        <v>0.002891</v>
      </c>
      <c r="H302" s="4">
        <v>0.009692</v>
      </c>
      <c r="I302" s="4">
        <v>0.001926</v>
      </c>
      <c r="J302" s="4">
        <v>0.01179</v>
      </c>
      <c r="K302" s="4">
        <v>0.009092</v>
      </c>
      <c r="L302" s="4">
        <v>0.006793</v>
      </c>
      <c r="M302" s="4">
        <v>0.006002</v>
      </c>
      <c r="N302" s="4">
        <v>0.003103</v>
      </c>
      <c r="O302" s="4">
        <v>-0.008516</v>
      </c>
      <c r="P302" s="4">
        <v>0.009239</v>
      </c>
      <c r="Q302" s="4">
        <v>-0.01584</v>
      </c>
      <c r="R302" s="4">
        <v>-0.001334</v>
      </c>
      <c r="S302" s="4">
        <v>0.02804</v>
      </c>
      <c r="T302" s="4">
        <v>0.028453</v>
      </c>
      <c r="U302" s="4">
        <v>0.007828</v>
      </c>
      <c r="V302" s="4">
        <v>0.00794509205835347</v>
      </c>
      <c r="W302" s="4">
        <v>-0.0612831718695906</v>
      </c>
      <c r="X302" s="4">
        <v>0.0</v>
      </c>
      <c r="Y302" s="4">
        <v>-0.0052278067354653</v>
      </c>
      <c r="Z302" s="4">
        <v>-0.0093708452359966</v>
      </c>
      <c r="AA302" s="4">
        <v>-0.0088950204318066</v>
      </c>
      <c r="AB302" s="4">
        <v>0.0114906236706497</v>
      </c>
      <c r="AC302" s="4">
        <v>0.0</v>
      </c>
      <c r="AD302" s="4">
        <v>0.0</v>
      </c>
      <c r="AE302" s="4">
        <v>-0.0033635361852203</v>
      </c>
      <c r="AF302" s="4">
        <v>-0.0265224354407582</v>
      </c>
      <c r="AG302" s="4">
        <v>-0.0173088530025459</v>
      </c>
      <c r="AH302" s="4">
        <v>-0.0382081477428725</v>
      </c>
      <c r="AI302" s="4">
        <v>0.0128617104940713</v>
      </c>
      <c r="AJ302" s="4">
        <v>0.001015</v>
      </c>
      <c r="AK302" s="4">
        <f>Weights!E358</f>
        <v>-0.001014698749</v>
      </c>
      <c r="AL302" s="5">
        <v>0.00932249559354669</v>
      </c>
      <c r="AM302" s="5">
        <v>0.0130680076645095</v>
      </c>
      <c r="AN302" s="5">
        <v>0.00398132184802291</v>
      </c>
      <c r="AO302" s="5">
        <v>0.00456845248987169</v>
      </c>
      <c r="AP302" s="6">
        <f t="shared" si="3"/>
        <v>1.28159568</v>
      </c>
      <c r="AQ302" s="4">
        <f t="shared" si="4"/>
        <v>1.220552977</v>
      </c>
      <c r="AR302" s="7">
        <f t="shared" si="5"/>
        <v>1.221090981</v>
      </c>
      <c r="AS302" s="5">
        <f t="shared" ref="AS302:AU302" si="304">AS301*(1+AM302)</f>
        <v>1.290977395</v>
      </c>
      <c r="AT302" s="5">
        <f t="shared" si="304"/>
        <v>1.12320859</v>
      </c>
      <c r="AU302" s="5">
        <f t="shared" si="304"/>
        <v>1.117206572</v>
      </c>
    </row>
    <row r="303" ht="15.75" customHeight="1">
      <c r="A303" s="3">
        <v>44270.0</v>
      </c>
      <c r="B303" s="4">
        <v>-0.014527</v>
      </c>
      <c r="C303" s="4">
        <v>1.8E-4</v>
      </c>
      <c r="D303" s="4">
        <v>0.035407</v>
      </c>
      <c r="E303" s="4">
        <v>-7.5E-5</v>
      </c>
      <c r="F303" s="4">
        <v>0.013304</v>
      </c>
      <c r="G303" s="4">
        <v>0.005138</v>
      </c>
      <c r="H303" s="4">
        <v>0.003278</v>
      </c>
      <c r="I303" s="4">
        <v>0.005218</v>
      </c>
      <c r="J303" s="4">
        <v>0.009037</v>
      </c>
      <c r="K303" s="4">
        <v>0.004734</v>
      </c>
      <c r="L303" s="4">
        <v>-0.004391</v>
      </c>
      <c r="M303" s="4">
        <v>-0.011014</v>
      </c>
      <c r="N303" s="4">
        <v>-0.005414</v>
      </c>
      <c r="O303" s="4">
        <v>0.010642</v>
      </c>
      <c r="P303" s="4">
        <v>0.041193</v>
      </c>
      <c r="Q303" s="4">
        <v>0.022532</v>
      </c>
      <c r="R303" s="4">
        <v>-0.012293</v>
      </c>
      <c r="S303" s="4">
        <v>0.018863</v>
      </c>
      <c r="T303" s="4">
        <v>-0.003727</v>
      </c>
      <c r="U303" s="4">
        <v>0.004563</v>
      </c>
      <c r="V303" s="4">
        <v>0.00840769294876864</v>
      </c>
      <c r="W303" s="4">
        <v>0.0452659676395506</v>
      </c>
      <c r="X303" s="4">
        <v>-0.0234898457094123</v>
      </c>
      <c r="Y303" s="4">
        <v>0.0193650490763159</v>
      </c>
      <c r="Z303" s="4">
        <v>0.0298995600881193</v>
      </c>
      <c r="AA303" s="4">
        <v>0.0165538449949376</v>
      </c>
      <c r="AB303" s="4">
        <v>0.0217989456635123</v>
      </c>
      <c r="AC303" s="4">
        <v>0.0079364935839387</v>
      </c>
      <c r="AD303" s="4">
        <v>-0.01533226063538</v>
      </c>
      <c r="AE303" s="4">
        <v>0.0032101590443616</v>
      </c>
      <c r="AF303" s="4">
        <v>0.0121090094957554</v>
      </c>
      <c r="AG303" s="4">
        <v>0.0168795538436083</v>
      </c>
      <c r="AH303" s="4">
        <v>-0.0095890806906432</v>
      </c>
      <c r="AI303" s="4">
        <v>9.069200713163E-4</v>
      </c>
      <c r="AJ303" s="4">
        <v>0.006492</v>
      </c>
      <c r="AK303" s="4">
        <f>Weights!E359</f>
        <v>0.006506216806</v>
      </c>
      <c r="AL303" s="5">
        <v>8.47468786818739E-4</v>
      </c>
      <c r="AM303" s="5">
        <v>0.00198057755696257</v>
      </c>
      <c r="AN303" s="5">
        <v>0.00576774621699671</v>
      </c>
      <c r="AO303" s="5">
        <v>0.00668816795663218</v>
      </c>
      <c r="AP303" s="6">
        <f t="shared" si="3"/>
        <v>1.289934019</v>
      </c>
      <c r="AQ303" s="4">
        <f t="shared" si="4"/>
        <v>1.228476807</v>
      </c>
      <c r="AR303" s="7">
        <f t="shared" si="5"/>
        <v>1.222125818</v>
      </c>
      <c r="AS303" s="5">
        <f t="shared" ref="AS303:AU303" si="305">AS302*(1+AM303)</f>
        <v>1.293534276</v>
      </c>
      <c r="AT303" s="5">
        <f t="shared" si="305"/>
        <v>1.129686972</v>
      </c>
      <c r="AU303" s="5">
        <f t="shared" si="305"/>
        <v>1.124678637</v>
      </c>
    </row>
    <row r="304" ht="15.75" customHeight="1">
      <c r="A304" s="3">
        <v>44271.0</v>
      </c>
      <c r="B304" s="4">
        <v>-0.010937</v>
      </c>
      <c r="C304" s="4">
        <v>0.0</v>
      </c>
      <c r="D304" s="4">
        <v>0.057264</v>
      </c>
      <c r="E304" s="4">
        <v>0.007367</v>
      </c>
      <c r="F304" s="4">
        <v>0.003723</v>
      </c>
      <c r="G304" s="4">
        <v>0.005922</v>
      </c>
      <c r="H304" s="4">
        <v>0.002956</v>
      </c>
      <c r="I304" s="4">
        <v>-0.004098</v>
      </c>
      <c r="J304" s="4">
        <v>0.007542</v>
      </c>
      <c r="K304" s="4">
        <v>0.003496</v>
      </c>
      <c r="L304" s="4">
        <v>0.002905</v>
      </c>
      <c r="M304" s="4">
        <v>-0.004176</v>
      </c>
      <c r="N304" s="4">
        <v>5.83E-4</v>
      </c>
      <c r="O304" s="4">
        <v>0.026191</v>
      </c>
      <c r="P304" s="4">
        <v>0.006513</v>
      </c>
      <c r="Q304" s="4">
        <v>0.006296</v>
      </c>
      <c r="R304" s="4">
        <v>-0.053301</v>
      </c>
      <c r="S304" s="4">
        <v>-0.009257</v>
      </c>
      <c r="T304" s="4">
        <v>-0.008489</v>
      </c>
      <c r="U304" s="4">
        <v>0.005026</v>
      </c>
      <c r="V304" s="4">
        <v>-0.00729557709382244</v>
      </c>
      <c r="W304" s="4">
        <v>0.020531400454141</v>
      </c>
      <c r="X304" s="4">
        <v>0.0252005144358233</v>
      </c>
      <c r="Y304" s="4">
        <v>-0.0013414803363037</v>
      </c>
      <c r="Z304" s="4">
        <v>-0.0095700133463006</v>
      </c>
      <c r="AA304" s="4">
        <v>0.0143219608830658</v>
      </c>
      <c r="AB304" s="4">
        <v>-0.0098043557632586</v>
      </c>
      <c r="AC304" s="4">
        <v>0.0173228484199181</v>
      </c>
      <c r="AD304" s="4">
        <v>0.0155709992543002</v>
      </c>
      <c r="AE304" s="4">
        <v>0.0045126479081116</v>
      </c>
      <c r="AF304" s="4">
        <v>-0.0286641295743773</v>
      </c>
      <c r="AG304" s="4">
        <v>-0.0049076168654724</v>
      </c>
      <c r="AH304" s="4">
        <v>-0.0214384637269459</v>
      </c>
      <c r="AI304" s="4">
        <v>-9.0609831257E-4</v>
      </c>
      <c r="AJ304" s="4">
        <v>-0.00157</v>
      </c>
      <c r="AK304" s="4">
        <f>Weights!E360</f>
        <v>0.0004704389577</v>
      </c>
      <c r="AL304" s="5">
        <v>0.00440252755092918</v>
      </c>
      <c r="AM304" s="5">
        <v>0.00699122598165113</v>
      </c>
      <c r="AN304" s="5">
        <v>0.00537632544566757</v>
      </c>
      <c r="AO304" s="5">
        <v>0.00558048343817052</v>
      </c>
      <c r="AP304" s="6">
        <f t="shared" si="3"/>
        <v>1.290540855</v>
      </c>
      <c r="AQ304" s="4">
        <f t="shared" si="4"/>
        <v>1.226548098</v>
      </c>
      <c r="AR304" s="7">
        <f t="shared" si="5"/>
        <v>1.22750626</v>
      </c>
      <c r="AS304" s="5">
        <f t="shared" ref="AS304:AU304" si="306">AS303*(1+AM304)</f>
        <v>1.302577666</v>
      </c>
      <c r="AT304" s="5">
        <f t="shared" si="306"/>
        <v>1.135760537</v>
      </c>
      <c r="AU304" s="5">
        <f t="shared" si="306"/>
        <v>1.130954887</v>
      </c>
    </row>
    <row r="305" ht="15.75" customHeight="1">
      <c r="A305" s="3">
        <v>44272.0</v>
      </c>
      <c r="B305" s="4">
        <v>0.00625</v>
      </c>
      <c r="C305" s="4">
        <v>0.001977</v>
      </c>
      <c r="D305" s="4">
        <v>-0.04823</v>
      </c>
      <c r="E305" s="4">
        <v>-0.00291</v>
      </c>
      <c r="F305" s="4">
        <v>3.9E-4</v>
      </c>
      <c r="G305" s="4">
        <v>-0.003718</v>
      </c>
      <c r="H305" s="4">
        <v>-0.004033</v>
      </c>
      <c r="I305" s="4">
        <v>0.004938</v>
      </c>
      <c r="J305" s="4">
        <v>-4.68E-4</v>
      </c>
      <c r="K305" s="4">
        <v>0.003938</v>
      </c>
      <c r="L305" s="4">
        <v>0.005363</v>
      </c>
      <c r="M305" s="4">
        <v>0.013048</v>
      </c>
      <c r="N305" s="4">
        <v>-9.71E-4</v>
      </c>
      <c r="O305" s="4">
        <v>-0.002708</v>
      </c>
      <c r="P305" s="4">
        <v>0.018602</v>
      </c>
      <c r="Q305" s="4">
        <v>0.01147</v>
      </c>
      <c r="R305" s="4">
        <v>0.032009</v>
      </c>
      <c r="S305" s="4">
        <v>0.013131</v>
      </c>
      <c r="T305" s="4">
        <v>0.0193</v>
      </c>
      <c r="U305" s="4">
        <v>-0.01981</v>
      </c>
      <c r="V305" s="4">
        <v>-0.00157467133582089</v>
      </c>
      <c r="W305" s="4">
        <v>0.0092983315448571</v>
      </c>
      <c r="X305" s="4">
        <v>0.0022346282561698</v>
      </c>
      <c r="Y305" s="4">
        <v>-0.0036776834717932</v>
      </c>
      <c r="Z305" s="4">
        <v>-0.0125376871541332</v>
      </c>
      <c r="AA305" s="4">
        <v>-0.0083173790857711</v>
      </c>
      <c r="AB305" s="4">
        <v>-0.0119925153601541</v>
      </c>
      <c r="AC305" s="4">
        <v>0.0061918951802333</v>
      </c>
      <c r="AD305" s="4">
        <v>0.0034071799328161</v>
      </c>
      <c r="AE305" s="4">
        <v>0.0080859535394477</v>
      </c>
      <c r="AF305" s="4">
        <v>-0.01360015130155</v>
      </c>
      <c r="AG305" s="4">
        <v>0.0013054061654187</v>
      </c>
      <c r="AH305" s="4">
        <v>0.0388693061766423</v>
      </c>
      <c r="AI305" s="4">
        <v>-0.0022675010465235</v>
      </c>
      <c r="AJ305" s="4">
        <v>0.002879</v>
      </c>
      <c r="AK305" s="4">
        <f>Weights!E361</f>
        <v>0.002656192381</v>
      </c>
      <c r="AL305" s="5">
        <v>0.00134884978098592</v>
      </c>
      <c r="AM305" s="5">
        <v>-0.00402194636834862</v>
      </c>
      <c r="AN305" s="5">
        <v>0.00748675846747293</v>
      </c>
      <c r="AO305" s="5">
        <v>0.0087207635126536</v>
      </c>
      <c r="AP305" s="6">
        <f t="shared" si="3"/>
        <v>1.293968779</v>
      </c>
      <c r="AQ305" s="4">
        <f t="shared" si="4"/>
        <v>1.23007933</v>
      </c>
      <c r="AR305" s="7">
        <f t="shared" si="5"/>
        <v>1.229161982</v>
      </c>
      <c r="AS305" s="5">
        <f t="shared" ref="AS305:AU305" si="307">AS304*(1+AM305)</f>
        <v>1.297338768</v>
      </c>
      <c r="AT305" s="5">
        <f t="shared" si="307"/>
        <v>1.144263702</v>
      </c>
      <c r="AU305" s="5">
        <f t="shared" si="307"/>
        <v>1.140817678</v>
      </c>
    </row>
    <row r="306" ht="15.75" customHeight="1">
      <c r="A306" s="3">
        <v>44273.0</v>
      </c>
      <c r="B306" s="4">
        <v>-0.001911</v>
      </c>
      <c r="C306" s="4">
        <v>0.010045</v>
      </c>
      <c r="D306" s="4">
        <v>-0.015886</v>
      </c>
      <c r="E306" s="4">
        <v>-0.008157</v>
      </c>
      <c r="F306" s="4">
        <v>-0.013076</v>
      </c>
      <c r="G306" s="4">
        <v>-0.001866</v>
      </c>
      <c r="H306" s="4">
        <v>0.00218</v>
      </c>
      <c r="I306" s="4">
        <v>-0.021567</v>
      </c>
      <c r="J306" s="4">
        <v>-0.007255</v>
      </c>
      <c r="K306" s="4">
        <v>4.53E-4</v>
      </c>
      <c r="L306" s="4">
        <v>-0.002241</v>
      </c>
      <c r="M306" s="4">
        <v>0.0046</v>
      </c>
      <c r="N306" s="4">
        <v>-0.006223</v>
      </c>
      <c r="O306" s="4">
        <v>-0.033321</v>
      </c>
      <c r="P306" s="4">
        <v>-0.011275</v>
      </c>
      <c r="Q306" s="4">
        <v>0.005155</v>
      </c>
      <c r="R306" s="4">
        <v>-0.019108</v>
      </c>
      <c r="S306" s="4">
        <v>-0.017697</v>
      </c>
      <c r="T306" s="4">
        <v>0.002278</v>
      </c>
      <c r="U306" s="4">
        <v>0.017757</v>
      </c>
      <c r="V306" s="4">
        <v>0.0141955507415429</v>
      </c>
      <c r="W306" s="4">
        <v>-0.032830768729233</v>
      </c>
      <c r="X306" s="4">
        <v>-0.007803760393116</v>
      </c>
      <c r="Y306" s="4">
        <v>-0.0214351579226603</v>
      </c>
      <c r="Z306" s="4">
        <v>-0.0259845499178851</v>
      </c>
      <c r="AA306" s="4">
        <v>-0.0015601868596319</v>
      </c>
      <c r="AB306" s="4">
        <v>-0.0096483445061278</v>
      </c>
      <c r="AC306" s="4">
        <v>-0.0107692995321392</v>
      </c>
      <c r="AD306" s="4">
        <v>-0.0271649816069061</v>
      </c>
      <c r="AE306" s="4">
        <v>-0.0017821665931315</v>
      </c>
      <c r="AF306" s="4">
        <v>-0.0561915072967168</v>
      </c>
      <c r="AG306" s="4">
        <v>0.0020281168089466</v>
      </c>
      <c r="AH306" s="4">
        <v>0.054421715747644</v>
      </c>
      <c r="AI306" s="4">
        <v>-0.0081821392947735</v>
      </c>
      <c r="AJ306" s="4">
        <v>-0.014761</v>
      </c>
      <c r="AK306" s="4">
        <f>Weights!E362</f>
        <v>-0.00468623242</v>
      </c>
      <c r="AL306" s="5">
        <v>0.00353562729593859</v>
      </c>
      <c r="AM306" s="5">
        <v>0.00379806283109851</v>
      </c>
      <c r="AN306" s="5">
        <v>7.07559422782999E-4</v>
      </c>
      <c r="AO306" s="5">
        <v>5.24387353045607E-4</v>
      </c>
      <c r="AP306" s="6">
        <f t="shared" si="3"/>
        <v>1.287904941</v>
      </c>
      <c r="AQ306" s="4">
        <f t="shared" si="4"/>
        <v>1.211922129</v>
      </c>
      <c r="AR306" s="7">
        <f t="shared" si="5"/>
        <v>1.233507841</v>
      </c>
      <c r="AS306" s="5">
        <f t="shared" ref="AS306:AU306" si="308">AS305*(1+AM306)</f>
        <v>1.302266143</v>
      </c>
      <c r="AT306" s="5">
        <f t="shared" si="308"/>
        <v>1.145073336</v>
      </c>
      <c r="AU306" s="5">
        <f t="shared" si="308"/>
        <v>1.141415908</v>
      </c>
    </row>
    <row r="307" ht="15.75" customHeight="1">
      <c r="A307" s="3">
        <v>44274.0</v>
      </c>
      <c r="B307" s="4">
        <v>-0.001436</v>
      </c>
      <c r="C307" s="4">
        <v>-0.001243</v>
      </c>
      <c r="D307" s="4">
        <v>-0.01083</v>
      </c>
      <c r="E307" s="4">
        <v>0.014865</v>
      </c>
      <c r="F307" s="4">
        <v>0.004746</v>
      </c>
      <c r="G307" s="4">
        <v>-0.00268</v>
      </c>
      <c r="H307" s="4">
        <v>-0.005361</v>
      </c>
      <c r="I307" s="4">
        <v>0.011998</v>
      </c>
      <c r="J307" s="4">
        <v>0.008251</v>
      </c>
      <c r="K307" s="4">
        <v>-0.00739</v>
      </c>
      <c r="L307" s="4">
        <v>-0.003422</v>
      </c>
      <c r="M307" s="4">
        <v>-0.005495</v>
      </c>
      <c r="N307" s="4">
        <v>0.012329</v>
      </c>
      <c r="O307" s="4">
        <v>0.002755</v>
      </c>
      <c r="P307" s="4">
        <v>-0.0053</v>
      </c>
      <c r="Q307" s="4">
        <v>0.029744</v>
      </c>
      <c r="R307" s="4">
        <v>-0.01214</v>
      </c>
      <c r="S307" s="4">
        <v>-0.004567</v>
      </c>
      <c r="T307" s="4">
        <v>0.013068</v>
      </c>
      <c r="U307" s="4">
        <v>-0.008386</v>
      </c>
      <c r="V307" s="4">
        <v>-0.0171073338371559</v>
      </c>
      <c r="W307" s="4">
        <v>0.0091791378448751</v>
      </c>
      <c r="X307" s="4">
        <v>0.0</v>
      </c>
      <c r="Y307" s="4">
        <v>0.0293758593435748</v>
      </c>
      <c r="Z307" s="4">
        <v>0.0318244846932547</v>
      </c>
      <c r="AA307" s="4">
        <v>0.004688338006006</v>
      </c>
      <c r="AB307" s="4">
        <v>-0.0087995582068008</v>
      </c>
      <c r="AC307" s="4">
        <v>0.0</v>
      </c>
      <c r="AD307" s="4">
        <v>0.0</v>
      </c>
      <c r="AE307" s="4">
        <v>0.0094968064254343</v>
      </c>
      <c r="AF307" s="4">
        <v>-0.0135060648008302</v>
      </c>
      <c r="AG307" s="4">
        <v>0.0211072038757327</v>
      </c>
      <c r="AH307" s="4">
        <v>0.0025806889251183</v>
      </c>
      <c r="AI307" s="4">
        <v>0.0</v>
      </c>
      <c r="AJ307" s="4">
        <v>-6.03E-4</v>
      </c>
      <c r="AK307" s="4">
        <f>Weights!E363</f>
        <v>0.003190548403</v>
      </c>
      <c r="AL307" s="5">
        <v>-0.0139249906786572</v>
      </c>
      <c r="AM307" s="5">
        <v>-0.0181992567267257</v>
      </c>
      <c r="AN307" s="5">
        <v>0.00530423571901317</v>
      </c>
      <c r="AO307" s="5">
        <v>0.00602231315643542</v>
      </c>
      <c r="AP307" s="6">
        <f t="shared" si="3"/>
        <v>1.292014064</v>
      </c>
      <c r="AQ307" s="4">
        <f t="shared" si="4"/>
        <v>1.21119134</v>
      </c>
      <c r="AR307" s="7">
        <f t="shared" si="5"/>
        <v>1.216331255</v>
      </c>
      <c r="AS307" s="5">
        <f t="shared" ref="AS307:AU307" si="309">AS306*(1+AM307)</f>
        <v>1.278565867</v>
      </c>
      <c r="AT307" s="5">
        <f t="shared" si="309"/>
        <v>1.151147075</v>
      </c>
      <c r="AU307" s="5">
        <f t="shared" si="309"/>
        <v>1.148289872</v>
      </c>
    </row>
    <row r="308" ht="15.75" customHeight="1">
      <c r="A308" s="3">
        <v>44277.0</v>
      </c>
      <c r="B308" s="4">
        <v>0.009108</v>
      </c>
      <c r="C308" s="4">
        <v>0.006223</v>
      </c>
      <c r="D308" s="4">
        <v>0.003512</v>
      </c>
      <c r="E308" s="4">
        <v>0.024535</v>
      </c>
      <c r="F308" s="4">
        <v>0.003739</v>
      </c>
      <c r="G308" s="4">
        <v>0.002874</v>
      </c>
      <c r="H308" s="4">
        <v>0.016952</v>
      </c>
      <c r="I308" s="4">
        <v>0.0</v>
      </c>
      <c r="J308" s="4">
        <v>0.003741</v>
      </c>
      <c r="K308" s="4">
        <v>-0.003646</v>
      </c>
      <c r="L308" s="4">
        <v>-0.006223</v>
      </c>
      <c r="M308" s="4">
        <v>-0.009208</v>
      </c>
      <c r="N308" s="4">
        <v>-0.005799</v>
      </c>
      <c r="O308" s="4">
        <v>0.022575</v>
      </c>
      <c r="P308" s="4">
        <v>-0.016793</v>
      </c>
      <c r="Q308" s="4">
        <v>-0.027888</v>
      </c>
      <c r="R308" s="4">
        <v>5.71E-4</v>
      </c>
      <c r="S308" s="4">
        <v>-7.65E-4</v>
      </c>
      <c r="T308" s="4">
        <v>-0.024818</v>
      </c>
      <c r="U308" s="4">
        <v>0.006416</v>
      </c>
      <c r="V308" s="4">
        <v>0.00580167466779424</v>
      </c>
      <c r="W308" s="4">
        <v>0.0360390609910485</v>
      </c>
      <c r="X308" s="4">
        <v>0.0200444664090033</v>
      </c>
      <c r="Y308" s="4">
        <v>0.0113441844784951</v>
      </c>
      <c r="Z308" s="4">
        <v>0.0026138841176899</v>
      </c>
      <c r="AA308" s="4">
        <v>0.0116663808118897</v>
      </c>
      <c r="AB308" s="4">
        <v>0.0149016745435444</v>
      </c>
      <c r="AC308" s="4">
        <v>-0.0030816734530629</v>
      </c>
      <c r="AD308" s="4">
        <v>0.0</v>
      </c>
      <c r="AE308" s="4">
        <v>0.0114977630603323</v>
      </c>
      <c r="AF308" s="4">
        <v>0.0301761179086674</v>
      </c>
      <c r="AG308" s="4">
        <v>0.0155742746897129</v>
      </c>
      <c r="AH308" s="4">
        <v>0.0270269855614846</v>
      </c>
      <c r="AI308" s="4">
        <v>4.584429624692E-4</v>
      </c>
      <c r="AJ308" s="4">
        <v>0.007025</v>
      </c>
      <c r="AK308" s="4">
        <f>Weights!E364</f>
        <v>0.005864899607</v>
      </c>
      <c r="AL308" s="5">
        <v>3.40189448493122E-4</v>
      </c>
      <c r="AM308" s="5">
        <v>0.00126829765030378</v>
      </c>
      <c r="AN308" s="5">
        <v>-0.00351754990649633</v>
      </c>
      <c r="AO308" s="5">
        <v>-0.00468506214905917</v>
      </c>
      <c r="AP308" s="6">
        <f t="shared" si="3"/>
        <v>1.299591597</v>
      </c>
      <c r="AQ308" s="4">
        <f t="shared" si="4"/>
        <v>1.219699959</v>
      </c>
      <c r="AR308" s="7">
        <f t="shared" si="5"/>
        <v>1.216745038</v>
      </c>
      <c r="AS308" s="5">
        <f t="shared" ref="AS308:AU308" si="310">AS307*(1+AM308)</f>
        <v>1.280187469</v>
      </c>
      <c r="AT308" s="5">
        <f t="shared" si="310"/>
        <v>1.147097858</v>
      </c>
      <c r="AU308" s="5">
        <f t="shared" si="310"/>
        <v>1.142910063</v>
      </c>
    </row>
    <row r="309" ht="15.75" customHeight="1">
      <c r="A309" s="3">
        <v>44278.0</v>
      </c>
      <c r="B309" s="4">
        <v>-0.005701</v>
      </c>
      <c r="C309" s="4">
        <v>0.005655</v>
      </c>
      <c r="D309" s="4">
        <v>-0.001647</v>
      </c>
      <c r="E309" s="4">
        <v>0.012046</v>
      </c>
      <c r="F309" s="4">
        <v>0.007647</v>
      </c>
      <c r="G309" s="4">
        <v>-9.35E-4</v>
      </c>
      <c r="H309" s="4">
        <v>0.01859</v>
      </c>
      <c r="I309" s="4">
        <v>-0.00193</v>
      </c>
      <c r="J309" s="4">
        <v>-0.001165</v>
      </c>
      <c r="K309" s="4">
        <v>-0.009912</v>
      </c>
      <c r="L309" s="4">
        <v>-0.006586</v>
      </c>
      <c r="M309" s="4">
        <v>-0.019517</v>
      </c>
      <c r="N309" s="4">
        <v>-0.013416</v>
      </c>
      <c r="O309" s="4">
        <v>0.005006</v>
      </c>
      <c r="P309" s="4">
        <v>-0.012646</v>
      </c>
      <c r="Q309" s="4">
        <v>-0.056352</v>
      </c>
      <c r="R309" s="4">
        <v>-0.080263</v>
      </c>
      <c r="S309" s="4">
        <v>-0.028061</v>
      </c>
      <c r="T309" s="4">
        <v>-0.029331</v>
      </c>
      <c r="U309" s="4">
        <v>0.010625</v>
      </c>
      <c r="V309" s="4">
        <v>-0.0241216670393173</v>
      </c>
      <c r="W309" s="4">
        <v>-0.0440616004026825</v>
      </c>
      <c r="X309" s="4">
        <v>0.0480350433187881</v>
      </c>
      <c r="Y309" s="4">
        <v>-0.0010846313724979</v>
      </c>
      <c r="Z309" s="4">
        <v>0.0161632843060939</v>
      </c>
      <c r="AA309" s="4">
        <v>3.843036666528E-4</v>
      </c>
      <c r="AB309" s="4">
        <v>0.0153077877902949</v>
      </c>
      <c r="AC309" s="4">
        <v>0.0</v>
      </c>
      <c r="AD309" s="4">
        <v>0.0086504333438002</v>
      </c>
      <c r="AE309" s="4">
        <v>0.0082671380026699</v>
      </c>
      <c r="AF309" s="4">
        <v>0.0225114628856402</v>
      </c>
      <c r="AG309" s="4">
        <v>-0.0069704828910248</v>
      </c>
      <c r="AH309" s="4">
        <v>-0.0313282917861063</v>
      </c>
      <c r="AI309" s="4">
        <v>0.0032066157588896</v>
      </c>
      <c r="AJ309" s="4">
        <v>-0.007631</v>
      </c>
      <c r="AK309" s="4">
        <f>Weights!E365</f>
        <v>-0.005193074443</v>
      </c>
      <c r="AL309" s="5">
        <v>0.0043371685673319</v>
      </c>
      <c r="AM309" s="5">
        <v>0.00540777536553482</v>
      </c>
      <c r="AN309" s="5">
        <v>0.00600060959874459</v>
      </c>
      <c r="AO309" s="5">
        <v>0.00601455308858867</v>
      </c>
      <c r="AP309" s="6">
        <f t="shared" si="3"/>
        <v>1.292842721</v>
      </c>
      <c r="AQ309" s="4">
        <f t="shared" si="4"/>
        <v>1.210392429</v>
      </c>
      <c r="AR309" s="7">
        <f t="shared" si="5"/>
        <v>1.222022267</v>
      </c>
      <c r="AS309" s="5">
        <f t="shared" ref="AS309:AU309" si="311">AS308*(1+AM309)</f>
        <v>1.287110435</v>
      </c>
      <c r="AT309" s="5">
        <f t="shared" si="311"/>
        <v>1.153981144</v>
      </c>
      <c r="AU309" s="5">
        <f t="shared" si="311"/>
        <v>1.149784156</v>
      </c>
    </row>
    <row r="310" ht="15.75" customHeight="1">
      <c r="A310" s="3">
        <v>44279.0</v>
      </c>
      <c r="B310" s="4">
        <v>-0.006211</v>
      </c>
      <c r="C310" s="4">
        <v>0.001757</v>
      </c>
      <c r="D310" s="4">
        <v>-0.004742</v>
      </c>
      <c r="E310" s="4">
        <v>-0.004661</v>
      </c>
      <c r="F310" s="4">
        <v>0.00253</v>
      </c>
      <c r="G310" s="4">
        <v>0.009729</v>
      </c>
      <c r="H310" s="4">
        <v>-3.02E-4</v>
      </c>
      <c r="I310" s="4">
        <v>0.017127</v>
      </c>
      <c r="J310" s="4">
        <v>-2.33E-4</v>
      </c>
      <c r="K310" s="4">
        <v>-3.08E-4</v>
      </c>
      <c r="L310" s="4">
        <v>0.004456</v>
      </c>
      <c r="M310" s="4">
        <v>0.005213</v>
      </c>
      <c r="N310" s="4">
        <v>-7.88E-4</v>
      </c>
      <c r="O310" s="4">
        <v>0.007549</v>
      </c>
      <c r="P310" s="4">
        <v>0.004158</v>
      </c>
      <c r="Q310" s="4">
        <v>-0.02063</v>
      </c>
      <c r="R310" s="4">
        <v>-0.018323</v>
      </c>
      <c r="S310" s="4">
        <v>-0.004199</v>
      </c>
      <c r="T310" s="4">
        <v>0.029033</v>
      </c>
      <c r="U310" s="4">
        <v>0.010704</v>
      </c>
      <c r="V310" s="4">
        <v>0.0102095419418983</v>
      </c>
      <c r="W310" s="4">
        <v>-0.0098768691368916</v>
      </c>
      <c r="X310" s="4">
        <v>0.0312499481587937</v>
      </c>
      <c r="Y310" s="4">
        <v>0.0119083108938182</v>
      </c>
      <c r="Z310" s="4">
        <v>0.0052807051030336</v>
      </c>
      <c r="AA310" s="4">
        <v>0.0063403066374669</v>
      </c>
      <c r="AB310" s="4">
        <v>0.0055384899138868</v>
      </c>
      <c r="AC310" s="4">
        <v>-0.0077279621158387</v>
      </c>
      <c r="AD310" s="4">
        <v>0.008576442702836</v>
      </c>
      <c r="AE310" s="4">
        <v>0.0085146684795067</v>
      </c>
      <c r="AF310" s="4">
        <v>-0.0050397932813858</v>
      </c>
      <c r="AG310" s="4">
        <v>0.020637169674883</v>
      </c>
      <c r="AH310" s="4">
        <v>-0.016817608553706</v>
      </c>
      <c r="AI310" s="4">
        <v>0.0013701023820102</v>
      </c>
      <c r="AJ310" s="4">
        <v>-0.005467</v>
      </c>
      <c r="AK310" s="4">
        <f>Weights!E366</f>
        <v>0.003845706921</v>
      </c>
      <c r="AL310" s="5">
        <v>-0.00931415677564107</v>
      </c>
      <c r="AM310" s="5">
        <v>-0.0113874342255129</v>
      </c>
      <c r="AN310" s="5">
        <v>-0.00491218897464851</v>
      </c>
      <c r="AO310" s="5">
        <v>-0.00753825229551985</v>
      </c>
      <c r="AP310" s="6">
        <f t="shared" si="3"/>
        <v>1.297814615</v>
      </c>
      <c r="AQ310" s="4">
        <f t="shared" si="4"/>
        <v>1.203775214</v>
      </c>
      <c r="AR310" s="7">
        <f t="shared" si="5"/>
        <v>1.21064016</v>
      </c>
      <c r="AS310" s="5">
        <f t="shared" ref="AS310:AU310" si="312">AS309*(1+AM310)</f>
        <v>1.27245355</v>
      </c>
      <c r="AT310" s="5">
        <f t="shared" si="312"/>
        <v>1.148312571</v>
      </c>
      <c r="AU310" s="5">
        <f t="shared" si="312"/>
        <v>1.141116793</v>
      </c>
    </row>
    <row r="311" ht="15.75" customHeight="1">
      <c r="A311" s="3">
        <v>44280.0</v>
      </c>
      <c r="B311" s="4">
        <v>0.0</v>
      </c>
      <c r="C311" s="4">
        <v>0.00649</v>
      </c>
      <c r="D311" s="4">
        <v>0.003522</v>
      </c>
      <c r="E311" s="4">
        <v>0.005907</v>
      </c>
      <c r="F311" s="4">
        <v>0.009705</v>
      </c>
      <c r="G311" s="4">
        <v>3.71E-4</v>
      </c>
      <c r="H311" s="4">
        <v>0.00694</v>
      </c>
      <c r="I311" s="4">
        <v>-0.003802</v>
      </c>
      <c r="J311" s="4">
        <v>0.003732</v>
      </c>
      <c r="K311" s="4">
        <v>0.002773</v>
      </c>
      <c r="L311" s="4">
        <v>-0.002705</v>
      </c>
      <c r="M311" s="4">
        <v>0.007544</v>
      </c>
      <c r="N311" s="4">
        <v>-0.003945</v>
      </c>
      <c r="O311" s="4">
        <v>-0.024196</v>
      </c>
      <c r="P311" s="4">
        <v>-0.008117</v>
      </c>
      <c r="Q311" s="4">
        <v>0.014412</v>
      </c>
      <c r="R311" s="4">
        <v>-0.015818</v>
      </c>
      <c r="S311" s="4">
        <v>-0.01107</v>
      </c>
      <c r="T311" s="4">
        <v>0.048222</v>
      </c>
      <c r="U311" s="4">
        <v>-0.00331</v>
      </c>
      <c r="V311" s="4">
        <v>-0.00585105089057502</v>
      </c>
      <c r="W311" s="4">
        <v>0.046377096552701</v>
      </c>
      <c r="X311" s="4">
        <v>-0.0171717856205196</v>
      </c>
      <c r="Y311" s="4">
        <v>-6.91983440356258E-5</v>
      </c>
      <c r="Z311" s="4">
        <v>-0.0028710558426007</v>
      </c>
      <c r="AA311" s="4">
        <v>0.0093546990588231</v>
      </c>
      <c r="AB311" s="4">
        <v>0.0097918374735139</v>
      </c>
      <c r="AC311" s="4">
        <v>0.0046728743915451</v>
      </c>
      <c r="AD311" s="4">
        <v>0.0085035128124275</v>
      </c>
      <c r="AE311" s="4">
        <v>3.90877755477E-4</v>
      </c>
      <c r="AF311" s="4">
        <v>0.0026659757989184</v>
      </c>
      <c r="AG311" s="4">
        <v>-0.0048141882842847</v>
      </c>
      <c r="AH311" s="4">
        <v>0.0046052431383289</v>
      </c>
      <c r="AI311" s="4">
        <v>-9.117815731256E-4</v>
      </c>
      <c r="AJ311" s="4">
        <v>0.00524</v>
      </c>
      <c r="AK311" s="4">
        <f>Weights!E367</f>
        <v>0.002166482141</v>
      </c>
      <c r="AL311" s="5">
        <v>-0.00547014818676083</v>
      </c>
      <c r="AM311" s="5">
        <v>-0.00828349524512572</v>
      </c>
      <c r="AN311" s="5">
        <v>-0.00141043242472571</v>
      </c>
      <c r="AO311" s="5">
        <v>5.239102112784E-4</v>
      </c>
      <c r="AP311" s="6">
        <f t="shared" si="3"/>
        <v>1.300626307</v>
      </c>
      <c r="AQ311" s="4">
        <f t="shared" si="4"/>
        <v>1.210082996</v>
      </c>
      <c r="AR311" s="7">
        <f t="shared" si="5"/>
        <v>1.204017779</v>
      </c>
      <c r="AS311" s="5">
        <f t="shared" ref="AS311:AU311" si="313">AS310*(1+AM311)</f>
        <v>1.261913187</v>
      </c>
      <c r="AT311" s="5">
        <f t="shared" si="313"/>
        <v>1.146692954</v>
      </c>
      <c r="AU311" s="5">
        <f t="shared" si="313"/>
        <v>1.141714635</v>
      </c>
    </row>
    <row r="312" ht="15.75" customHeight="1">
      <c r="A312" s="3">
        <v>44281.0</v>
      </c>
      <c r="B312" s="4">
        <v>-0.030288</v>
      </c>
      <c r="C312" s="4">
        <v>0.013942</v>
      </c>
      <c r="D312" s="4">
        <v>-0.017754</v>
      </c>
      <c r="E312" s="4">
        <v>0.021987</v>
      </c>
      <c r="F312" s="4">
        <v>0.019608</v>
      </c>
      <c r="G312" s="4">
        <v>0.018275</v>
      </c>
      <c r="H312" s="4">
        <v>0.014759</v>
      </c>
      <c r="I312" s="4">
        <v>0.010905</v>
      </c>
      <c r="J312" s="4">
        <v>0.010923</v>
      </c>
      <c r="K312" s="4">
        <v>0.012905</v>
      </c>
      <c r="L312" s="4">
        <v>0.010199</v>
      </c>
      <c r="M312" s="4">
        <v>0.008891</v>
      </c>
      <c r="N312" s="4">
        <v>0.007921</v>
      </c>
      <c r="O312" s="4">
        <v>0.01813</v>
      </c>
      <c r="P312" s="4">
        <v>0.027054</v>
      </c>
      <c r="Q312" s="4">
        <v>0.022951</v>
      </c>
      <c r="R312" s="4">
        <v>0.059466</v>
      </c>
      <c r="S312" s="4">
        <v>0.014925</v>
      </c>
      <c r="T312" s="4">
        <v>0.088987</v>
      </c>
      <c r="U312" s="4">
        <v>0.010436</v>
      </c>
      <c r="V312" s="4">
        <v>0.00802579517996937</v>
      </c>
      <c r="W312" s="4">
        <v>0.0093663233874252</v>
      </c>
      <c r="X312" s="4">
        <v>0.0</v>
      </c>
      <c r="Y312" s="4">
        <v>-0.0011079353039782</v>
      </c>
      <c r="Z312" s="4">
        <v>-0.007614078004014</v>
      </c>
      <c r="AA312" s="4">
        <v>0.0073762927965257</v>
      </c>
      <c r="AB312" s="4">
        <v>-0.0033332412451364</v>
      </c>
      <c r="AC312" s="4">
        <v>0.0</v>
      </c>
      <c r="AD312" s="4">
        <v>0.0</v>
      </c>
      <c r="AE312" s="4">
        <v>-2.344187950987E-4</v>
      </c>
      <c r="AF312" s="4">
        <v>-0.0037225071316118</v>
      </c>
      <c r="AG312" s="4">
        <v>0.0216999831334265</v>
      </c>
      <c r="AH312" s="4">
        <v>0.0707269440482945</v>
      </c>
      <c r="AI312" s="4">
        <v>-0.0068465735596542</v>
      </c>
      <c r="AJ312" s="4">
        <v>0.016631</v>
      </c>
      <c r="AK312" s="4">
        <f>Weights!E368</f>
        <v>0.01305580138</v>
      </c>
      <c r="AL312" s="5">
        <v>0.00575810907473783</v>
      </c>
      <c r="AM312" s="5">
        <v>0.00739867666389404</v>
      </c>
      <c r="AN312" s="5">
        <v>-0.0010593184155857</v>
      </c>
      <c r="AO312" s="5">
        <v>-0.00183244263176873</v>
      </c>
      <c r="AP312" s="6">
        <f t="shared" si="3"/>
        <v>1.317607026</v>
      </c>
      <c r="AQ312" s="4">
        <f t="shared" si="4"/>
        <v>1.230207886</v>
      </c>
      <c r="AR312" s="7">
        <f t="shared" si="5"/>
        <v>1.210950644</v>
      </c>
      <c r="AS312" s="5">
        <f t="shared" ref="AS312:AU312" si="314">AS311*(1+AM312)</f>
        <v>1.271249674</v>
      </c>
      <c r="AT312" s="5">
        <f t="shared" si="314"/>
        <v>1.145478241</v>
      </c>
      <c r="AU312" s="5">
        <f t="shared" si="314"/>
        <v>1.139622509</v>
      </c>
    </row>
    <row r="313" ht="15.75" customHeight="1">
      <c r="A313" s="3">
        <v>44284.0</v>
      </c>
      <c r="B313" s="4">
        <v>-0.007933</v>
      </c>
      <c r="C313" s="4">
        <v>0.011172</v>
      </c>
      <c r="D313" s="4">
        <v>0.008197</v>
      </c>
      <c r="E313" s="4">
        <v>0.014786</v>
      </c>
      <c r="F313" s="4">
        <v>0.015271</v>
      </c>
      <c r="G313" s="4">
        <v>0.00673</v>
      </c>
      <c r="H313" s="4">
        <v>0.015652</v>
      </c>
      <c r="I313" s="4">
        <v>0.003236</v>
      </c>
      <c r="J313" s="4">
        <v>0.006437</v>
      </c>
      <c r="K313" s="4">
        <v>-0.005915</v>
      </c>
      <c r="L313" s="4">
        <v>-8.59E-4</v>
      </c>
      <c r="M313" s="4">
        <v>-0.006957</v>
      </c>
      <c r="N313" s="4">
        <v>-0.002947</v>
      </c>
      <c r="O313" s="4">
        <v>6.29E-4</v>
      </c>
      <c r="P313" s="4">
        <v>0.010732</v>
      </c>
      <c r="Q313" s="4">
        <v>0.041667</v>
      </c>
      <c r="R313" s="4">
        <v>-0.026092</v>
      </c>
      <c r="S313" s="4">
        <v>0.004989</v>
      </c>
      <c r="T313" s="4">
        <v>-0.006936</v>
      </c>
      <c r="U313" s="4">
        <v>0.015211</v>
      </c>
      <c r="V313" s="4">
        <v>5.30654514574457E-4</v>
      </c>
      <c r="W313" s="4">
        <v>-0.0067938140745025</v>
      </c>
      <c r="X313" s="4">
        <v>-0.012307646237521</v>
      </c>
      <c r="Y313" s="4">
        <v>0.0073465264652039</v>
      </c>
      <c r="Z313" s="4">
        <v>-0.0013969896972539</v>
      </c>
      <c r="AA313" s="4">
        <v>0.0103268678080916</v>
      </c>
      <c r="AB313" s="4">
        <v>-0.0042565013757859</v>
      </c>
      <c r="AC313" s="4">
        <v>0.0108193083786833</v>
      </c>
      <c r="AD313" s="4">
        <v>0.0050762287085412</v>
      </c>
      <c r="AE313" s="4">
        <v>0.0091449634427824</v>
      </c>
      <c r="AF313" s="4">
        <v>-0.026687893803639</v>
      </c>
      <c r="AG313" s="4">
        <v>0.0142044336959392</v>
      </c>
      <c r="AH313" s="4">
        <v>-0.0171253806130259</v>
      </c>
      <c r="AI313" s="4">
        <v>-0.0013785102014333</v>
      </c>
      <c r="AJ313" s="4">
        <v>-8.68E-4</v>
      </c>
      <c r="AK313" s="4">
        <f>Weights!E369</f>
        <v>0.001633267411</v>
      </c>
      <c r="AL313" s="5">
        <v>0.0125609013398295</v>
      </c>
      <c r="AM313" s="5">
        <v>0.0163426439347029</v>
      </c>
      <c r="AN313" s="5">
        <v>-0.00530213282071045</v>
      </c>
      <c r="AO313" s="5">
        <v>-0.00681885615595556</v>
      </c>
      <c r="AP313" s="6">
        <f t="shared" si="3"/>
        <v>1.319759031</v>
      </c>
      <c r="AQ313" s="4">
        <f t="shared" si="4"/>
        <v>1.229140066</v>
      </c>
      <c r="AR313" s="7">
        <f t="shared" si="5"/>
        <v>1.226161276</v>
      </c>
      <c r="AS313" s="5">
        <f t="shared" ref="AS313:AU313" si="315">AS312*(1+AM313)</f>
        <v>1.292025255</v>
      </c>
      <c r="AT313" s="5">
        <f t="shared" si="315"/>
        <v>1.139404763</v>
      </c>
      <c r="AU313" s="5">
        <f t="shared" si="315"/>
        <v>1.131851587</v>
      </c>
    </row>
    <row r="314" ht="15.75" customHeight="1">
      <c r="A314" s="3">
        <v>44285.0</v>
      </c>
      <c r="B314" s="4">
        <v>0.001</v>
      </c>
      <c r="C314" s="4">
        <v>-0.00408</v>
      </c>
      <c r="D314" s="4">
        <v>-0.016677</v>
      </c>
      <c r="E314" s="4">
        <v>-0.015676</v>
      </c>
      <c r="F314" s="4">
        <v>-0.012999</v>
      </c>
      <c r="G314" s="4">
        <v>-0.006203</v>
      </c>
      <c r="H314" s="4">
        <v>-0.01541</v>
      </c>
      <c r="I314" s="4">
        <v>-0.015054</v>
      </c>
      <c r="J314" s="4">
        <v>-0.013476</v>
      </c>
      <c r="K314" s="4">
        <v>-0.001526</v>
      </c>
      <c r="L314" s="4">
        <v>-0.00344</v>
      </c>
      <c r="M314" s="4">
        <v>0.00794</v>
      </c>
      <c r="N314" s="4">
        <v>-9.85E-4</v>
      </c>
      <c r="O314" s="4">
        <v>-0.009108</v>
      </c>
      <c r="P314" s="4">
        <v>-0.03668</v>
      </c>
      <c r="Q314" s="4">
        <v>-0.046154</v>
      </c>
      <c r="R314" s="4">
        <v>0.018069</v>
      </c>
      <c r="S314" s="4">
        <v>-0.014372</v>
      </c>
      <c r="T314" s="4">
        <v>0.025968</v>
      </c>
      <c r="U314" s="4">
        <v>-0.003515</v>
      </c>
      <c r="V314" s="4">
        <v>-0.00530502808719812</v>
      </c>
      <c r="W314" s="4">
        <v>0.0036704272044374</v>
      </c>
      <c r="X314" s="4">
        <v>-0.0010384176637119</v>
      </c>
      <c r="Y314" s="4">
        <v>0.0066735229455336</v>
      </c>
      <c r="Z314" s="4">
        <v>0.0026041333814008</v>
      </c>
      <c r="AA314" s="4">
        <v>0.0063185484912773</v>
      </c>
      <c r="AB314" s="4">
        <v>-3.052899379626E-4</v>
      </c>
      <c r="AC314" s="4">
        <v>-0.0045872055747064</v>
      </c>
      <c r="AD314" s="4">
        <v>0.0016834656060926</v>
      </c>
      <c r="AE314" s="4">
        <v>0.0228486639011511</v>
      </c>
      <c r="AF314" s="4">
        <v>-0.0021936671350427</v>
      </c>
      <c r="AG314" s="4">
        <v>0.0013339170013868</v>
      </c>
      <c r="AH314" s="4">
        <v>0.0087119217375803</v>
      </c>
      <c r="AI314" s="4">
        <v>-0.0032215754136655</v>
      </c>
      <c r="AJ314" s="4">
        <v>-0.003158</v>
      </c>
      <c r="AK314" s="4">
        <f>Weights!E370</f>
        <v>-0.002463247126</v>
      </c>
      <c r="AL314" s="5">
        <v>-0.0013503293431778</v>
      </c>
      <c r="AM314" s="5">
        <v>-0.00469804879153457</v>
      </c>
      <c r="AN314" s="5">
        <v>-7.10729556556377E-4</v>
      </c>
      <c r="AO314" s="5">
        <v>-0.00211245305057394</v>
      </c>
      <c r="AP314" s="6">
        <f t="shared" si="3"/>
        <v>1.316508138</v>
      </c>
      <c r="AQ314" s="4">
        <f t="shared" si="4"/>
        <v>1.225258441</v>
      </c>
      <c r="AR314" s="7">
        <f t="shared" si="5"/>
        <v>1.224505555</v>
      </c>
      <c r="AS314" s="5">
        <f t="shared" ref="AS314:AU314" si="316">AS313*(1+AM314)</f>
        <v>1.285955257</v>
      </c>
      <c r="AT314" s="5">
        <f t="shared" si="316"/>
        <v>1.138594954</v>
      </c>
      <c r="AU314" s="5">
        <f t="shared" si="316"/>
        <v>1.129460604</v>
      </c>
    </row>
    <row r="315" ht="15.75" customHeight="1">
      <c r="A315" s="3">
        <v>44286.0</v>
      </c>
      <c r="B315" s="4">
        <v>-0.004993</v>
      </c>
      <c r="C315" s="4">
        <v>-0.00751</v>
      </c>
      <c r="D315" s="4">
        <v>-0.022684</v>
      </c>
      <c r="E315" s="4">
        <v>-0.007647</v>
      </c>
      <c r="F315" s="4">
        <v>-0.008279</v>
      </c>
      <c r="G315" s="4">
        <v>-0.004</v>
      </c>
      <c r="H315" s="4">
        <v>-1.48E-4</v>
      </c>
      <c r="I315" s="4">
        <v>-0.00655</v>
      </c>
      <c r="J315" s="4">
        <v>0.004168</v>
      </c>
      <c r="K315" s="4">
        <v>-0.003515</v>
      </c>
      <c r="L315" s="4">
        <v>-0.005393</v>
      </c>
      <c r="M315" s="4">
        <v>-0.003707</v>
      </c>
      <c r="N315" s="4">
        <v>-0.002959</v>
      </c>
      <c r="O315" s="4">
        <v>0.02488</v>
      </c>
      <c r="P315" s="4">
        <v>0.006513</v>
      </c>
      <c r="Q315" s="4">
        <v>0.02043</v>
      </c>
      <c r="R315" s="4">
        <v>0.00765</v>
      </c>
      <c r="S315" s="4">
        <v>0.01299</v>
      </c>
      <c r="T315" s="4">
        <v>-0.001493</v>
      </c>
      <c r="U315" s="4">
        <v>0.002228</v>
      </c>
      <c r="V315" s="4">
        <v>-0.00426659199060064</v>
      </c>
      <c r="W315" s="4">
        <v>-0.0393950833489027</v>
      </c>
      <c r="X315" s="4">
        <v>-0.0093555428406275</v>
      </c>
      <c r="Y315" s="4">
        <v>0.0018450560985665</v>
      </c>
      <c r="Z315" s="4">
        <v>0.0165932778574948</v>
      </c>
      <c r="AA315" s="4">
        <v>0.0031393937439605</v>
      </c>
      <c r="AB315" s="4">
        <v>3.053831683712E-4</v>
      </c>
      <c r="AC315" s="4">
        <v>-0.0015361393069653</v>
      </c>
      <c r="AD315" s="4">
        <v>-0.0252099319110444</v>
      </c>
      <c r="AE315" s="4">
        <v>-4.543173312234E-4</v>
      </c>
      <c r="AF315" s="4">
        <v>-0.0126407965986342</v>
      </c>
      <c r="AG315" s="4">
        <v>-0.0141199926723651</v>
      </c>
      <c r="AH315" s="4">
        <v>0.0123380507656529</v>
      </c>
      <c r="AI315" s="4">
        <v>-0.001385181320419</v>
      </c>
      <c r="AJ315" s="4">
        <v>0.003623</v>
      </c>
      <c r="AK315" s="4">
        <f>Weights!E371</f>
        <v>-0.002119270859</v>
      </c>
      <c r="AL315" s="5">
        <v>-0.00219698578088523</v>
      </c>
      <c r="AM315" s="5">
        <v>-2.91928829200038E-4</v>
      </c>
      <c r="AN315" s="5">
        <v>0.00106669969047823</v>
      </c>
      <c r="AO315" s="5">
        <v>0.00185232363544129</v>
      </c>
      <c r="AP315" s="6">
        <f t="shared" si="3"/>
        <v>1.313718101</v>
      </c>
      <c r="AQ315" s="4">
        <f t="shared" si="4"/>
        <v>1.229697553</v>
      </c>
      <c r="AR315" s="7">
        <f t="shared" si="5"/>
        <v>1.221815333</v>
      </c>
      <c r="AS315" s="5">
        <f t="shared" ref="AS315:AU315" si="317">AS314*(1+AM315)</f>
        <v>1.28557985</v>
      </c>
      <c r="AT315" s="5">
        <f t="shared" si="317"/>
        <v>1.139809493</v>
      </c>
      <c r="AU315" s="5">
        <f t="shared" si="317"/>
        <v>1.13155273</v>
      </c>
    </row>
    <row r="316" ht="15.75" customHeight="1">
      <c r="A316" s="3">
        <v>44287.0</v>
      </c>
      <c r="B316" s="4">
        <v>0.015053</v>
      </c>
      <c r="C316" s="4">
        <v>0.002579</v>
      </c>
      <c r="D316" s="4">
        <v>0.018221</v>
      </c>
      <c r="E316" s="4">
        <v>-0.001202</v>
      </c>
      <c r="F316" s="4">
        <v>-0.003794</v>
      </c>
      <c r="G316" s="4">
        <v>-0.009249</v>
      </c>
      <c r="H316" s="4">
        <v>-0.008491</v>
      </c>
      <c r="I316" s="4">
        <v>0.011813</v>
      </c>
      <c r="J316" s="4">
        <v>6.92E-4</v>
      </c>
      <c r="K316" s="4">
        <v>0.008128</v>
      </c>
      <c r="L316" s="4">
        <v>0.002928</v>
      </c>
      <c r="M316" s="4">
        <v>0.011163</v>
      </c>
      <c r="N316" s="4">
        <v>0.009693</v>
      </c>
      <c r="O316" s="4">
        <v>0.002165</v>
      </c>
      <c r="P316" s="4">
        <v>0.025552</v>
      </c>
      <c r="Q316" s="4">
        <v>0.068493</v>
      </c>
      <c r="R316" s="4">
        <v>0.025205</v>
      </c>
      <c r="S316" s="4">
        <v>0.044229</v>
      </c>
      <c r="T316" s="4">
        <v>-0.004859</v>
      </c>
      <c r="U316" s="4">
        <v>0.012965</v>
      </c>
      <c r="V316" s="4">
        <v>0.0101766653277322</v>
      </c>
      <c r="W316" s="4">
        <v>0.0046791888396826</v>
      </c>
      <c r="X316" s="4">
        <v>-0.0367260595564723</v>
      </c>
      <c r="Y316" s="4">
        <v>0.0088002586378503</v>
      </c>
      <c r="Z316" s="4">
        <v>0.0152457168369513</v>
      </c>
      <c r="AA316" s="4">
        <v>0.0031298308519907</v>
      </c>
      <c r="AB316" s="4">
        <v>0.0112974276949824</v>
      </c>
      <c r="AC316" s="4">
        <v>-0.0061537915480069</v>
      </c>
      <c r="AD316" s="4">
        <v>-0.0120693012838547</v>
      </c>
      <c r="AE316" s="4">
        <v>-0.0156817798461144</v>
      </c>
      <c r="AF316" s="4">
        <v>0.004731423761553</v>
      </c>
      <c r="AG316" s="4">
        <v>0.0063505550347913</v>
      </c>
      <c r="AH316" s="4">
        <v>0.0542352132175421</v>
      </c>
      <c r="AI316" s="4">
        <v>-0.0023113259270562</v>
      </c>
      <c r="AJ316" s="4">
        <v>0.011825</v>
      </c>
      <c r="AK316" s="4">
        <f>Weights!E372</f>
        <v>0.008073395809</v>
      </c>
      <c r="AL316" s="5">
        <v>0.00347220380000701</v>
      </c>
      <c r="AM316" s="5">
        <v>0.00608449287124956</v>
      </c>
      <c r="AN316" s="5">
        <v>0.00497341666829576</v>
      </c>
      <c r="AO316" s="5">
        <v>0.00528281290232701</v>
      </c>
      <c r="AP316" s="6">
        <f t="shared" si="3"/>
        <v>1.324324267</v>
      </c>
      <c r="AQ316" s="4">
        <f t="shared" si="4"/>
        <v>1.244238726</v>
      </c>
      <c r="AR316" s="7">
        <f t="shared" si="5"/>
        <v>1.226057725</v>
      </c>
      <c r="AS316" s="5">
        <f t="shared" ref="AS316:AU316" si="318">AS315*(1+AM316)</f>
        <v>1.293401951</v>
      </c>
      <c r="AT316" s="5">
        <f t="shared" si="318"/>
        <v>1.145478241</v>
      </c>
      <c r="AU316" s="5">
        <f t="shared" si="318"/>
        <v>1.137530512</v>
      </c>
    </row>
    <row r="317" ht="15.75" customHeight="1">
      <c r="A317" s="3">
        <v>44291.0</v>
      </c>
      <c r="B317" s="4">
        <v>0.001483</v>
      </c>
      <c r="C317" s="4">
        <v>0.009777</v>
      </c>
      <c r="D317" s="4">
        <v>-0.001065</v>
      </c>
      <c r="E317" s="4">
        <v>0.013307</v>
      </c>
      <c r="F317" s="4">
        <v>0.005713</v>
      </c>
      <c r="G317" s="4">
        <v>0.003685</v>
      </c>
      <c r="H317" s="4">
        <v>0.01616</v>
      </c>
      <c r="I317" s="4">
        <v>0.004073</v>
      </c>
      <c r="J317" s="4">
        <v>0.009908</v>
      </c>
      <c r="K317" s="4">
        <v>0.013995</v>
      </c>
      <c r="L317" s="4">
        <v>0.005839</v>
      </c>
      <c r="M317" s="4">
        <v>0.00598</v>
      </c>
      <c r="N317" s="4">
        <v>0.005094</v>
      </c>
      <c r="O317" s="4">
        <v>0.003446</v>
      </c>
      <c r="P317" s="4">
        <v>0.011001</v>
      </c>
      <c r="Q317" s="4">
        <v>0.009862</v>
      </c>
      <c r="R317" s="4">
        <v>0.047393</v>
      </c>
      <c r="S317" s="4">
        <v>0.00802</v>
      </c>
      <c r="T317" s="4">
        <v>0.007887</v>
      </c>
      <c r="U317" s="4">
        <v>0.008228</v>
      </c>
      <c r="V317" s="4">
        <v>-0.0233297470873151</v>
      </c>
      <c r="W317" s="4">
        <v>-0.0337638990313181</v>
      </c>
      <c r="X317" s="4">
        <v>0.0</v>
      </c>
      <c r="Y317" s="4">
        <v>-0.0089937701629747</v>
      </c>
      <c r="Z317" s="4">
        <v>-0.0135817410435102</v>
      </c>
      <c r="AA317" s="4">
        <v>0.0064228243551116</v>
      </c>
      <c r="AB317" s="4">
        <v>0.0018116971082815</v>
      </c>
      <c r="AC317" s="4">
        <v>0.0</v>
      </c>
      <c r="AD317" s="4">
        <v>0.0</v>
      </c>
      <c r="AE317" s="4">
        <v>3.848309036869E-4</v>
      </c>
      <c r="AF317" s="4">
        <v>-0.0296398073168909</v>
      </c>
      <c r="AG317" s="4">
        <v>-0.0174546526121844</v>
      </c>
      <c r="AH317" s="4">
        <v>0.0011560544674817</v>
      </c>
      <c r="AI317" s="4">
        <v>4.632334846588E-4</v>
      </c>
      <c r="AJ317" s="4">
        <v>0.014438</v>
      </c>
      <c r="AK317" s="4">
        <f>Weights!E373</f>
        <v>0.001398785646</v>
      </c>
      <c r="AL317" s="5">
        <v>0.0108869756405884</v>
      </c>
      <c r="AM317" s="5">
        <v>0.0125307635160061</v>
      </c>
      <c r="AN317" s="5">
        <v>-7.0703715869691E-4</v>
      </c>
      <c r="AO317" s="5">
        <v>-0.00183952357532046</v>
      </c>
      <c r="AP317" s="6">
        <f t="shared" si="3"/>
        <v>1.326176713</v>
      </c>
      <c r="AQ317" s="4">
        <f t="shared" si="4"/>
        <v>1.262203045</v>
      </c>
      <c r="AR317" s="7">
        <f t="shared" si="5"/>
        <v>1.239405786</v>
      </c>
      <c r="AS317" s="5">
        <f t="shared" ref="AS317:AU317" si="319">AS316*(1+AM317)</f>
        <v>1.309609265</v>
      </c>
      <c r="AT317" s="5">
        <f t="shared" si="319"/>
        <v>1.144668345</v>
      </c>
      <c r="AU317" s="5">
        <f t="shared" si="319"/>
        <v>1.135437997</v>
      </c>
    </row>
    <row r="318" ht="15.75" customHeight="1">
      <c r="A318" s="3">
        <v>44292.0</v>
      </c>
      <c r="B318" s="4">
        <v>0.003455</v>
      </c>
      <c r="C318" s="4">
        <v>0.004077</v>
      </c>
      <c r="D318" s="4">
        <v>0.009597</v>
      </c>
      <c r="E318" s="4">
        <v>0.003562</v>
      </c>
      <c r="F318" s="4">
        <v>0.007196</v>
      </c>
      <c r="G318" s="4">
        <v>-2.45E-4</v>
      </c>
      <c r="H318" s="4">
        <v>3.66E-4</v>
      </c>
      <c r="I318" s="4">
        <v>-0.005679</v>
      </c>
      <c r="J318" s="4">
        <v>-9.13E-4</v>
      </c>
      <c r="K318" s="4">
        <v>-0.0045</v>
      </c>
      <c r="L318" s="4">
        <v>-0.003978</v>
      </c>
      <c r="M318" s="4">
        <v>-0.003658</v>
      </c>
      <c r="N318" s="4">
        <v>-0.003899</v>
      </c>
      <c r="O318" s="4">
        <v>0.006048</v>
      </c>
      <c r="P318" s="4">
        <v>0.004961</v>
      </c>
      <c r="Q318" s="4">
        <v>-9.77E-4</v>
      </c>
      <c r="R318" s="4">
        <v>-0.009898</v>
      </c>
      <c r="S318" s="4">
        <v>0.028593</v>
      </c>
      <c r="T318" s="4">
        <v>-0.008322</v>
      </c>
      <c r="U318" s="4">
        <v>0.005803</v>
      </c>
      <c r="V318" s="4">
        <v>0.0295874045981421</v>
      </c>
      <c r="W318" s="4">
        <v>-0.0083795547309735</v>
      </c>
      <c r="X318" s="4">
        <v>0.0206296714951947</v>
      </c>
      <c r="Y318" s="4">
        <v>-0.0337086315897531</v>
      </c>
      <c r="Z318" s="4">
        <v>-0.0541252952936043</v>
      </c>
      <c r="AA318" s="4">
        <v>0.0060176555620938</v>
      </c>
      <c r="AB318" s="4">
        <v>-0.001808420797552</v>
      </c>
      <c r="AC318" s="4">
        <v>0.0077160347989675</v>
      </c>
      <c r="AD318" s="4">
        <v>0.0192307614847848</v>
      </c>
      <c r="AE318" s="4">
        <v>-7.70643482516098E-5</v>
      </c>
      <c r="AF318" s="4">
        <v>0.0171280241103128</v>
      </c>
      <c r="AG318" s="4">
        <v>0.0039630395413423</v>
      </c>
      <c r="AH318" s="4">
        <v>-0.0277136133086022</v>
      </c>
      <c r="AI318" s="4">
        <v>0.0041685044506853</v>
      </c>
      <c r="AJ318" s="4">
        <v>-9.74E-4</v>
      </c>
      <c r="AK318" s="4">
        <f>Weights!E374</f>
        <v>-0.000234347243</v>
      </c>
      <c r="AL318" s="5">
        <v>0.0136917640339748</v>
      </c>
      <c r="AM318" s="5">
        <v>0.01165904659962</v>
      </c>
      <c r="AN318" s="5">
        <v>0.0</v>
      </c>
      <c r="AO318" s="5">
        <v>5.26302912645659E-4</v>
      </c>
      <c r="AP318" s="6">
        <f t="shared" si="3"/>
        <v>1.325865927</v>
      </c>
      <c r="AQ318" s="4">
        <f t="shared" si="4"/>
        <v>1.260973659</v>
      </c>
      <c r="AR318" s="7">
        <f t="shared" si="5"/>
        <v>1.256375437</v>
      </c>
      <c r="AS318" s="5">
        <f t="shared" ref="AS318:AU318" si="320">AS317*(1+AM318)</f>
        <v>1.324878061</v>
      </c>
      <c r="AT318" s="5">
        <f t="shared" si="320"/>
        <v>1.144668345</v>
      </c>
      <c r="AU318" s="5">
        <f t="shared" si="320"/>
        <v>1.136035582</v>
      </c>
    </row>
    <row r="319" ht="15.75" customHeight="1">
      <c r="A319" s="3">
        <v>44293.0</v>
      </c>
      <c r="B319" s="4">
        <v>-0.002459</v>
      </c>
      <c r="C319" s="4">
        <v>-0.001861</v>
      </c>
      <c r="D319" s="4">
        <v>0.005703</v>
      </c>
      <c r="E319" s="4">
        <v>-0.00181</v>
      </c>
      <c r="F319" s="4">
        <v>0.001692</v>
      </c>
      <c r="G319" s="4">
        <v>0.001346</v>
      </c>
      <c r="H319" s="4">
        <v>0.001758</v>
      </c>
      <c r="I319" s="4">
        <v>-8.16E-4</v>
      </c>
      <c r="J319" s="4">
        <v>-0.003197</v>
      </c>
      <c r="K319" s="4">
        <v>-4.52E-4</v>
      </c>
      <c r="L319" s="4">
        <v>-0.003022</v>
      </c>
      <c r="M319" s="4">
        <v>-0.005507</v>
      </c>
      <c r="N319" s="4">
        <v>0.001174</v>
      </c>
      <c r="O319" s="4">
        <v>0.004228</v>
      </c>
      <c r="P319" s="4">
        <v>-0.01258</v>
      </c>
      <c r="Q319" s="4">
        <v>-0.012708</v>
      </c>
      <c r="R319" s="4">
        <v>-0.02942</v>
      </c>
      <c r="S319" s="4">
        <v>-0.018129</v>
      </c>
      <c r="T319" s="4">
        <v>-3.76E-4</v>
      </c>
      <c r="U319" s="4">
        <v>0.013523</v>
      </c>
      <c r="V319" s="4">
        <v>0.00369093694929323</v>
      </c>
      <c r="W319" s="4">
        <v>-0.0215750184907779</v>
      </c>
      <c r="X319" s="4">
        <v>-0.0042551620435422</v>
      </c>
      <c r="Y319" s="4">
        <v>0.0105926127318698</v>
      </c>
      <c r="Z319" s="4">
        <v>-0.0062192285743818</v>
      </c>
      <c r="AA319" s="4">
        <v>0.0043501183448237</v>
      </c>
      <c r="AB319" s="4">
        <v>0.0045292427707042</v>
      </c>
      <c r="AC319" s="4">
        <v>-0.0076569534794658</v>
      </c>
      <c r="AD319" s="4">
        <v>-0.0051455889877558</v>
      </c>
      <c r="AE319" s="4">
        <v>0.0026929875941594</v>
      </c>
      <c r="AF319" s="4">
        <v>-0.0213302955153331</v>
      </c>
      <c r="AG319" s="4">
        <v>-0.0213694177066913</v>
      </c>
      <c r="AH319" s="4">
        <v>-0.0273159165070602</v>
      </c>
      <c r="AI319" s="4">
        <v>0.0036902053883371</v>
      </c>
      <c r="AJ319" s="4">
        <v>0.001475</v>
      </c>
      <c r="AK319" s="4">
        <f>Weights!E375</f>
        <v>-0.004583227212</v>
      </c>
      <c r="AL319" s="5">
        <v>-0.00247073656052854</v>
      </c>
      <c r="AM319" s="5">
        <v>3.78032484200652E-4</v>
      </c>
      <c r="AN319" s="5">
        <v>-0.00247603877593971</v>
      </c>
      <c r="AO319" s="5">
        <v>-0.00137835888966986</v>
      </c>
      <c r="AP319" s="6">
        <f t="shared" si="3"/>
        <v>1.319789182</v>
      </c>
      <c r="AQ319" s="4">
        <f t="shared" si="4"/>
        <v>1.262833595</v>
      </c>
      <c r="AR319" s="7">
        <f t="shared" si="5"/>
        <v>1.253271264</v>
      </c>
      <c r="AS319" s="5">
        <f t="shared" ref="AS319:AU319" si="321">AS318*(1+AM319)</f>
        <v>1.325378908</v>
      </c>
      <c r="AT319" s="5">
        <f t="shared" si="321"/>
        <v>1.141834102</v>
      </c>
      <c r="AU319" s="5">
        <f t="shared" si="321"/>
        <v>1.134469717</v>
      </c>
    </row>
    <row r="320" ht="15.75" customHeight="1">
      <c r="A320" s="3">
        <v>44294.0</v>
      </c>
      <c r="B320" s="4">
        <v>0.008383</v>
      </c>
      <c r="C320" s="4">
        <v>-0.023729</v>
      </c>
      <c r="D320" s="4">
        <v>0.006301</v>
      </c>
      <c r="E320" s="4">
        <v>-0.006067</v>
      </c>
      <c r="F320" s="4">
        <v>-0.003003</v>
      </c>
      <c r="G320" s="4">
        <v>-0.003912</v>
      </c>
      <c r="H320" s="4">
        <v>0.003803</v>
      </c>
      <c r="I320" s="4">
        <v>0.010071</v>
      </c>
      <c r="J320" s="4">
        <v>4.58E-4</v>
      </c>
      <c r="K320" s="4">
        <v>3.23E-4</v>
      </c>
      <c r="L320" s="4">
        <v>0.005521</v>
      </c>
      <c r="M320" s="4">
        <v>-0.005538</v>
      </c>
      <c r="N320" s="4">
        <v>0.0</v>
      </c>
      <c r="O320" s="4">
        <v>6.09E-4</v>
      </c>
      <c r="P320" s="4">
        <v>-0.003387</v>
      </c>
      <c r="Q320" s="4">
        <v>-0.005941</v>
      </c>
      <c r="R320" s="4">
        <v>0.011477</v>
      </c>
      <c r="S320" s="4">
        <v>0.031265</v>
      </c>
      <c r="T320" s="4">
        <v>-0.002631</v>
      </c>
      <c r="U320" s="4">
        <v>0.010674</v>
      </c>
      <c r="V320" s="4">
        <v>0.0173366402736274</v>
      </c>
      <c r="W320" s="4">
        <v>0.0227858467920156</v>
      </c>
      <c r="X320" s="4">
        <v>-0.0010684427965538</v>
      </c>
      <c r="Y320" s="4">
        <v>0.0218712351289755</v>
      </c>
      <c r="Z320" s="4">
        <v>0.0065947134309765</v>
      </c>
      <c r="AA320" s="4">
        <v>9.023243522501E-4</v>
      </c>
      <c r="AB320" s="4">
        <v>-0.0027052927348606</v>
      </c>
      <c r="AC320" s="4">
        <v>0.0</v>
      </c>
      <c r="AD320" s="4">
        <v>0.0051722030186511</v>
      </c>
      <c r="AE320" s="4">
        <v>-0.0043736410031671</v>
      </c>
      <c r="AF320" s="4">
        <v>0.0131918146982257</v>
      </c>
      <c r="AG320" s="4">
        <v>0.0182200126075307</v>
      </c>
      <c r="AH320" s="4">
        <v>-0.0146520442428026</v>
      </c>
      <c r="AI320" s="4">
        <v>0.0045957464131511</v>
      </c>
      <c r="AJ320" s="4">
        <v>0.004221</v>
      </c>
      <c r="AK320" s="4">
        <f>Weights!E376</f>
        <v>0.003530374462</v>
      </c>
      <c r="AL320" s="5">
        <v>5.77968944312612E-4</v>
      </c>
      <c r="AM320" s="5">
        <v>-8.50041600705897E-4</v>
      </c>
      <c r="AN320" s="5">
        <v>0.0152481746455532</v>
      </c>
      <c r="AO320" s="5">
        <v>0.0161975421803164</v>
      </c>
      <c r="AP320" s="6">
        <f t="shared" si="3"/>
        <v>1.324448532</v>
      </c>
      <c r="AQ320" s="4">
        <f t="shared" si="4"/>
        <v>1.268164016</v>
      </c>
      <c r="AR320" s="7">
        <f t="shared" si="5"/>
        <v>1.253995616</v>
      </c>
      <c r="AS320" s="5">
        <f t="shared" ref="AS320:AU320" si="322">AS319*(1+AM320)</f>
        <v>1.324252281</v>
      </c>
      <c r="AT320" s="5">
        <f t="shared" si="322"/>
        <v>1.159244987</v>
      </c>
      <c r="AU320" s="5">
        <f t="shared" si="322"/>
        <v>1.152845338</v>
      </c>
    </row>
    <row r="321" ht="15.75" customHeight="1">
      <c r="A321" s="3">
        <v>44295.0</v>
      </c>
      <c r="B321" s="4">
        <v>0.008313</v>
      </c>
      <c r="C321" s="4">
        <v>-0.00191</v>
      </c>
      <c r="D321" s="4">
        <v>0.007305</v>
      </c>
      <c r="E321" s="4">
        <v>2.11E-4</v>
      </c>
      <c r="F321" s="4">
        <v>0.00113</v>
      </c>
      <c r="G321" s="4">
        <v>-0.010554</v>
      </c>
      <c r="H321" s="4">
        <v>-0.006484</v>
      </c>
      <c r="I321" s="4">
        <v>-0.006198</v>
      </c>
      <c r="J321" s="4">
        <v>9.16E-4</v>
      </c>
      <c r="K321" s="4">
        <v>0.006543</v>
      </c>
      <c r="L321" s="4">
        <v>0.00646</v>
      </c>
      <c r="M321" s="4">
        <v>9.28E-4</v>
      </c>
      <c r="N321" s="4">
        <v>0.004105</v>
      </c>
      <c r="O321" s="4">
        <v>0.009734</v>
      </c>
      <c r="P321" s="4">
        <v>-0.004693</v>
      </c>
      <c r="Q321" s="4">
        <v>-0.015936</v>
      </c>
      <c r="R321" s="4">
        <v>-0.009601</v>
      </c>
      <c r="S321" s="4">
        <v>0.003103</v>
      </c>
      <c r="T321" s="4">
        <v>0.008668</v>
      </c>
      <c r="U321" s="4">
        <v>0.007657</v>
      </c>
      <c r="V321" s="4">
        <v>0.0258197807704541</v>
      </c>
      <c r="W321" s="4">
        <v>-0.020481408759742</v>
      </c>
      <c r="X321" s="4">
        <v>-0.0053476440587221</v>
      </c>
      <c r="Y321" s="4">
        <v>0.0028720832202524</v>
      </c>
      <c r="Z321" s="4">
        <v>-0.0044216018872045</v>
      </c>
      <c r="AA321" s="4">
        <v>-0.0037863971014761</v>
      </c>
      <c r="AB321" s="4">
        <v>0.0018083508825752</v>
      </c>
      <c r="AC321" s="4">
        <v>-0.0015433974303326</v>
      </c>
      <c r="AD321" s="4">
        <v>-0.0102915731668629</v>
      </c>
      <c r="AE321" s="4">
        <v>-0.0068595239605733</v>
      </c>
      <c r="AF321" s="4">
        <v>-0.0048117074093573</v>
      </c>
      <c r="AG321" s="4">
        <v>0.0117468761452164</v>
      </c>
      <c r="AH321" s="4">
        <v>0.0</v>
      </c>
      <c r="AI321" s="4">
        <v>0.0018798534938062</v>
      </c>
      <c r="AJ321" s="4">
        <v>0.00772</v>
      </c>
      <c r="AK321" s="4">
        <f>Weights!E377</f>
        <v>0.0005371618529</v>
      </c>
      <c r="AL321" s="5">
        <v>0.00693121825616915</v>
      </c>
      <c r="AM321" s="5">
        <v>0.0058125400038349</v>
      </c>
      <c r="AN321" s="5">
        <v>0.00209584689100394</v>
      </c>
      <c r="AO321" s="5">
        <v>0.00235148707657173</v>
      </c>
      <c r="AP321" s="6">
        <f t="shared" si="3"/>
        <v>1.325159975</v>
      </c>
      <c r="AQ321" s="4">
        <f t="shared" si="4"/>
        <v>1.277954242</v>
      </c>
      <c r="AR321" s="7">
        <f t="shared" si="5"/>
        <v>1.262687334</v>
      </c>
      <c r="AS321" s="5">
        <f t="shared" ref="AS321:AU321" si="323">AS320*(1+AM321)</f>
        <v>1.33194955</v>
      </c>
      <c r="AT321" s="5">
        <f t="shared" si="323"/>
        <v>1.161674587</v>
      </c>
      <c r="AU321" s="5">
        <f t="shared" si="323"/>
        <v>1.155556239</v>
      </c>
    </row>
    <row r="322" ht="15.75" customHeight="1">
      <c r="A322" s="3">
        <v>44298.0</v>
      </c>
      <c r="B322" s="4">
        <v>-0.00776</v>
      </c>
      <c r="C322" s="4">
        <v>8.7E-4</v>
      </c>
      <c r="D322" s="4">
        <v>-6.22E-4</v>
      </c>
      <c r="E322" s="4">
        <v>0.003156</v>
      </c>
      <c r="F322" s="4">
        <v>0.003197</v>
      </c>
      <c r="G322" s="4">
        <v>0.002419</v>
      </c>
      <c r="H322" s="4">
        <v>0.004033</v>
      </c>
      <c r="I322" s="4">
        <v>-0.004067</v>
      </c>
      <c r="J322" s="4">
        <v>-0.003203</v>
      </c>
      <c r="K322" s="4">
        <v>0.005593</v>
      </c>
      <c r="L322" s="4">
        <v>0.001498</v>
      </c>
      <c r="M322" s="4">
        <v>0.013908</v>
      </c>
      <c r="N322" s="4">
        <v>0.008955</v>
      </c>
      <c r="O322" s="4">
        <v>0.012954</v>
      </c>
      <c r="P322" s="4">
        <v>-0.014632</v>
      </c>
      <c r="Q322" s="4">
        <v>-0.041498</v>
      </c>
      <c r="R322" s="4">
        <v>-0.01087</v>
      </c>
      <c r="S322" s="4">
        <v>-0.02951</v>
      </c>
      <c r="T322" s="4">
        <v>0.002989</v>
      </c>
      <c r="U322" s="4">
        <v>4.37E-4</v>
      </c>
      <c r="V322" s="4">
        <v>-0.00931296314363816</v>
      </c>
      <c r="W322" s="4">
        <v>0.0431033938881137</v>
      </c>
      <c r="X322" s="4">
        <v>0.0</v>
      </c>
      <c r="Y322" s="4">
        <v>0.0017727305651997</v>
      </c>
      <c r="Z322" s="4">
        <v>0.0095553989359689</v>
      </c>
      <c r="AA322" s="4">
        <v>0.0061539518546192</v>
      </c>
      <c r="AB322" s="4">
        <v>0.0039109629231781</v>
      </c>
      <c r="AC322" s="4">
        <v>0.0</v>
      </c>
      <c r="AD322" s="4">
        <v>0.0</v>
      </c>
      <c r="AE322" s="4">
        <v>0.0055875156193312</v>
      </c>
      <c r="AF322" s="4">
        <v>0.0088168687352521</v>
      </c>
      <c r="AG322" s="4">
        <v>0.025516365779483</v>
      </c>
      <c r="AH322" s="4">
        <v>0.028500622598965</v>
      </c>
      <c r="AI322" s="4">
        <v>-0.0018311269950123</v>
      </c>
      <c r="AJ322" s="4">
        <v>-1.96E-4</v>
      </c>
      <c r="AK322" s="4">
        <f>Weights!E378</f>
        <v>0.003385318574</v>
      </c>
      <c r="AL322" s="5">
        <v>0.00434311284912669</v>
      </c>
      <c r="AM322" s="5">
        <v>0.00606041764593912</v>
      </c>
      <c r="AN322" s="5">
        <v>0.00243979100350011</v>
      </c>
      <c r="AO322" s="5">
        <v>0.00443174982277483</v>
      </c>
      <c r="AP322" s="6">
        <f t="shared" si="3"/>
        <v>1.329646064</v>
      </c>
      <c r="AQ322" s="4">
        <f t="shared" si="4"/>
        <v>1.277703763</v>
      </c>
      <c r="AR322" s="7">
        <f t="shared" si="5"/>
        <v>1.268171327</v>
      </c>
      <c r="AS322" s="5">
        <f t="shared" ref="AS322:AU322" si="324">AS321*(1+AM322)</f>
        <v>1.340021721</v>
      </c>
      <c r="AT322" s="5">
        <f t="shared" si="324"/>
        <v>1.164508831</v>
      </c>
      <c r="AU322" s="5">
        <f t="shared" si="324"/>
        <v>1.160677375</v>
      </c>
    </row>
    <row r="323" ht="15.75" customHeight="1">
      <c r="A323" s="3">
        <v>44299.0</v>
      </c>
      <c r="B323" s="4">
        <v>0.001466</v>
      </c>
      <c r="C323" s="4">
        <v>0.00139</v>
      </c>
      <c r="D323" s="4">
        <v>0.006842</v>
      </c>
      <c r="E323" s="4">
        <v>2.1E-4</v>
      </c>
      <c r="F323" s="4">
        <v>-0.004873</v>
      </c>
      <c r="G323" s="4">
        <v>-0.013363</v>
      </c>
      <c r="H323" s="4">
        <v>-0.013219</v>
      </c>
      <c r="I323" s="4">
        <v>0.0</v>
      </c>
      <c r="J323" s="4">
        <v>0.013082</v>
      </c>
      <c r="K323" s="4">
        <v>-0.003007</v>
      </c>
      <c r="L323" s="4">
        <v>-8.55E-4</v>
      </c>
      <c r="M323" s="4">
        <v>-0.015089</v>
      </c>
      <c r="N323" s="4">
        <v>0.002508</v>
      </c>
      <c r="O323" s="4">
        <v>0.01839</v>
      </c>
      <c r="P323" s="4">
        <v>0.027058</v>
      </c>
      <c r="Q323" s="4">
        <v>0.001056</v>
      </c>
      <c r="R323" s="4">
        <v>0.001782</v>
      </c>
      <c r="S323" s="4">
        <v>0.00613</v>
      </c>
      <c r="T323" s="4">
        <v>-0.02794</v>
      </c>
      <c r="U323" s="4">
        <v>0.00227</v>
      </c>
      <c r="V323" s="4">
        <v>0.00736793183193595</v>
      </c>
      <c r="W323" s="4">
        <v>-0.0124846816571209</v>
      </c>
      <c r="X323" s="4">
        <v>0.0149732756188138</v>
      </c>
      <c r="Y323" s="4">
        <v>0.0011568994331709</v>
      </c>
      <c r="Z323" s="4">
        <v>0.0203075762387572</v>
      </c>
      <c r="AA323" s="4">
        <v>0.0120524369479348</v>
      </c>
      <c r="AB323" s="4">
        <v>0.0017979154941483</v>
      </c>
      <c r="AC323" s="4">
        <v>0.0076568080855312</v>
      </c>
      <c r="AD323" s="4">
        <v>0.0169492782974556</v>
      </c>
      <c r="AE323" s="4">
        <v>0.0014662592157883</v>
      </c>
      <c r="AF323" s="4">
        <v>-0.0118410808720058</v>
      </c>
      <c r="AG323" s="4">
        <v>0.0044759799331173</v>
      </c>
      <c r="AH323" s="4">
        <v>0.0367469823711719</v>
      </c>
      <c r="AI323" s="4">
        <v>-0.0036677567148587</v>
      </c>
      <c r="AJ323" s="4">
        <v>0.003295</v>
      </c>
      <c r="AK323" s="4">
        <f>Weights!E379</f>
        <v>0.003760423252</v>
      </c>
      <c r="AL323" s="5">
        <v>-6.5256649489942E-4</v>
      </c>
      <c r="AM323" s="5">
        <v>2.80225797470556E-4</v>
      </c>
      <c r="AN323" s="5">
        <v>0.00347703950565647</v>
      </c>
      <c r="AO323" s="5">
        <v>0.0015571539971646</v>
      </c>
      <c r="AP323" s="6">
        <f t="shared" si="3"/>
        <v>1.334646096</v>
      </c>
      <c r="AQ323" s="4">
        <f t="shared" si="4"/>
        <v>1.281913797</v>
      </c>
      <c r="AR323" s="7">
        <f t="shared" si="5"/>
        <v>1.267343761</v>
      </c>
      <c r="AS323" s="5">
        <f t="shared" ref="AS323:AU323" si="325">AS322*(1+AM323)</f>
        <v>1.340397229</v>
      </c>
      <c r="AT323" s="5">
        <f t="shared" si="325"/>
        <v>1.168557874</v>
      </c>
      <c r="AU323" s="5">
        <f t="shared" si="325"/>
        <v>1.162484728</v>
      </c>
    </row>
    <row r="324" ht="15.75" customHeight="1">
      <c r="A324" s="3">
        <v>44300.0</v>
      </c>
      <c r="B324" s="4">
        <v>-4.88E-4</v>
      </c>
      <c r="C324" s="4">
        <v>0.001388</v>
      </c>
      <c r="D324" s="4">
        <v>-0.003089</v>
      </c>
      <c r="E324" s="4">
        <v>-0.006571</v>
      </c>
      <c r="F324" s="4">
        <v>-1.88E-4</v>
      </c>
      <c r="G324" s="4">
        <v>0.002759</v>
      </c>
      <c r="H324" s="4">
        <v>0.003627</v>
      </c>
      <c r="I324" s="4">
        <v>0.009801</v>
      </c>
      <c r="J324" s="4">
        <v>-0.002265</v>
      </c>
      <c r="K324" s="4">
        <v>-7.54E-4</v>
      </c>
      <c r="L324" s="4">
        <v>0.002459</v>
      </c>
      <c r="M324" s="4">
        <v>0.002321</v>
      </c>
      <c r="N324" s="4">
        <v>-0.004042</v>
      </c>
      <c r="O324" s="4">
        <v>0.010854</v>
      </c>
      <c r="P324" s="4">
        <v>-0.006426</v>
      </c>
      <c r="Q324" s="4">
        <v>-0.012658</v>
      </c>
      <c r="R324" s="4">
        <v>0.07649</v>
      </c>
      <c r="S324" s="4">
        <v>-0.016329</v>
      </c>
      <c r="T324" s="4">
        <v>0.009964</v>
      </c>
      <c r="U324" s="4">
        <v>-0.006272</v>
      </c>
      <c r="V324" s="4">
        <v>0.00226973274774278</v>
      </c>
      <c r="W324" s="4">
        <v>0.0219016434522867</v>
      </c>
      <c r="X324" s="4">
        <v>0.0010648544539257</v>
      </c>
      <c r="Y324" s="4">
        <v>-0.0038072780927924</v>
      </c>
      <c r="Z324" s="4">
        <v>0.0175295467269835</v>
      </c>
      <c r="AA324" s="4">
        <v>-0.0069320810066361</v>
      </c>
      <c r="AB324" s="4">
        <v>0.005085333243586</v>
      </c>
      <c r="AC324" s="4">
        <v>0.0015197975161633</v>
      </c>
      <c r="AD324" s="4">
        <v>0.0066666193073818</v>
      </c>
      <c r="AE324" s="4">
        <v>-0.0031594721132334</v>
      </c>
      <c r="AF324" s="4">
        <v>0.0205421683849902</v>
      </c>
      <c r="AG324" s="4">
        <v>-0.0028828962899157</v>
      </c>
      <c r="AH324" s="4">
        <v>0.0029052849268336</v>
      </c>
      <c r="AI324" s="4">
        <v>0.0</v>
      </c>
      <c r="AJ324" s="4">
        <v>-0.004088</v>
      </c>
      <c r="AK324" s="4">
        <f>Weights!E380</f>
        <v>0.002743456571</v>
      </c>
      <c r="AL324" s="5">
        <v>0.005143628814817</v>
      </c>
      <c r="AM324" s="5">
        <v>0.00280109527092631</v>
      </c>
      <c r="AN324" s="5">
        <v>0.00277214224222488</v>
      </c>
      <c r="AO324" s="5">
        <v>0.00414591771985528</v>
      </c>
      <c r="AP324" s="6">
        <f t="shared" si="3"/>
        <v>1.338307639</v>
      </c>
      <c r="AQ324" s="4">
        <f t="shared" si="4"/>
        <v>1.276673333</v>
      </c>
      <c r="AR324" s="7">
        <f t="shared" si="5"/>
        <v>1.273862507</v>
      </c>
      <c r="AS324" s="5">
        <f t="shared" ref="AS324:AU324" si="326">AS323*(1+AM324)</f>
        <v>1.34415181</v>
      </c>
      <c r="AT324" s="5">
        <f t="shared" si="326"/>
        <v>1.171797283</v>
      </c>
      <c r="AU324" s="5">
        <f t="shared" si="326"/>
        <v>1.167304295</v>
      </c>
    </row>
    <row r="325" ht="15.75" customHeight="1">
      <c r="A325" s="3">
        <v>44301.0</v>
      </c>
      <c r="B325" s="4">
        <v>0.003906</v>
      </c>
      <c r="C325" s="4">
        <v>0.0</v>
      </c>
      <c r="D325" s="4">
        <v>-0.009709</v>
      </c>
      <c r="E325" s="4">
        <v>0.001407</v>
      </c>
      <c r="F325" s="4">
        <v>0.00471</v>
      </c>
      <c r="G325" s="4">
        <v>0.002939</v>
      </c>
      <c r="H325" s="4">
        <v>0.012094</v>
      </c>
      <c r="I325" s="4">
        <v>0.005932</v>
      </c>
      <c r="J325" s="4">
        <v>-0.008629</v>
      </c>
      <c r="K325" s="4">
        <v>-0.00513</v>
      </c>
      <c r="L325" s="4">
        <v>0.003839</v>
      </c>
      <c r="M325" s="4">
        <v>-0.011116</v>
      </c>
      <c r="N325" s="4">
        <v>-0.001546</v>
      </c>
      <c r="O325" s="4">
        <v>-0.016757</v>
      </c>
      <c r="P325" s="4">
        <v>0.047373</v>
      </c>
      <c r="Q325" s="4">
        <v>0.056624</v>
      </c>
      <c r="R325" s="4">
        <v>0.041862</v>
      </c>
      <c r="S325" s="4">
        <v>0.041378</v>
      </c>
      <c r="T325" s="4">
        <v>-0.002024</v>
      </c>
      <c r="U325" s="4">
        <v>0.014376</v>
      </c>
      <c r="V325" s="4">
        <v>0.0156014370954431</v>
      </c>
      <c r="W325" s="4">
        <v>-0.0094091579971036</v>
      </c>
      <c r="X325" s="4">
        <v>0.051063882396477</v>
      </c>
      <c r="Y325" s="4">
        <v>-0.004708586816047</v>
      </c>
      <c r="Z325" s="4">
        <v>0.0272432753143294</v>
      </c>
      <c r="AA325" s="4">
        <v>0.0010740099528092</v>
      </c>
      <c r="AB325" s="4">
        <v>-0.0047621056384504</v>
      </c>
      <c r="AC325" s="4">
        <v>0.0075873121135723</v>
      </c>
      <c r="AD325" s="4">
        <v>0.0496687620735267</v>
      </c>
      <c r="AE325" s="4">
        <v>0.0095083778055575</v>
      </c>
      <c r="AF325" s="4">
        <v>-0.0064300514808425</v>
      </c>
      <c r="AG325" s="4">
        <v>-0.0111728074999106</v>
      </c>
      <c r="AH325" s="4">
        <v>0.0115875438582797</v>
      </c>
      <c r="AI325" s="4">
        <v>4.599794026023E-4</v>
      </c>
      <c r="AJ325" s="4">
        <v>0.011094</v>
      </c>
      <c r="AK325" s="4">
        <f>Weights!E381</f>
        <v>0.007956454307</v>
      </c>
      <c r="AL325" s="5">
        <v>-0.00341142804271965</v>
      </c>
      <c r="AM325" s="5">
        <v>-0.00223469216285043</v>
      </c>
      <c r="AN325" s="5">
        <v>0.00138201652299319</v>
      </c>
      <c r="AO325" s="5">
        <v>7.74267616995727E-4</v>
      </c>
      <c r="AP325" s="6">
        <f t="shared" si="3"/>
        <v>1.348955823</v>
      </c>
      <c r="AQ325" s="4">
        <f t="shared" si="4"/>
        <v>1.290836747</v>
      </c>
      <c r="AR325" s="7">
        <f t="shared" si="5"/>
        <v>1.269516817</v>
      </c>
      <c r="AS325" s="5">
        <f t="shared" ref="AS325:AU325" si="327">AS324*(1+AM325)</f>
        <v>1.341148044</v>
      </c>
      <c r="AT325" s="5">
        <f t="shared" si="327"/>
        <v>1.173416726</v>
      </c>
      <c r="AU325" s="5">
        <f t="shared" si="327"/>
        <v>1.1682081</v>
      </c>
    </row>
    <row r="326" ht="15.75" customHeight="1">
      <c r="A326" s="3">
        <v>44302.0</v>
      </c>
      <c r="B326" s="4">
        <v>0.013619</v>
      </c>
      <c r="C326" s="4">
        <v>0.010052</v>
      </c>
      <c r="D326" s="4">
        <v>0.010013</v>
      </c>
      <c r="E326" s="4">
        <v>0.013</v>
      </c>
      <c r="F326" s="4">
        <v>0.006563</v>
      </c>
      <c r="G326" s="4">
        <v>0.011534</v>
      </c>
      <c r="H326" s="4">
        <v>7.3E-5</v>
      </c>
      <c r="I326" s="4">
        <v>2.68E-4</v>
      </c>
      <c r="J326" s="4">
        <v>0.0071</v>
      </c>
      <c r="K326" s="4">
        <v>0.004702</v>
      </c>
      <c r="L326" s="4">
        <v>0.006162</v>
      </c>
      <c r="M326" s="4">
        <v>0.010304</v>
      </c>
      <c r="N326" s="4">
        <v>0.011419</v>
      </c>
      <c r="O326" s="4">
        <v>0.01621</v>
      </c>
      <c r="P326" s="4">
        <v>0.009725</v>
      </c>
      <c r="Q326" s="4">
        <v>0.0182</v>
      </c>
      <c r="R326" s="4">
        <v>0.008194</v>
      </c>
      <c r="S326" s="4">
        <v>0.008089</v>
      </c>
      <c r="T326" s="4">
        <v>0.007605</v>
      </c>
      <c r="U326" s="4">
        <v>0.00916</v>
      </c>
      <c r="V326" s="4">
        <v>0.0158574316316066</v>
      </c>
      <c r="W326" s="4">
        <v>0.0197009837872477</v>
      </c>
      <c r="X326" s="4">
        <v>-0.0020242851753358</v>
      </c>
      <c r="Y326" s="4">
        <v>0.0133705172685643</v>
      </c>
      <c r="Z326" s="4">
        <v>0.0066044759827645</v>
      </c>
      <c r="AA326" s="4">
        <v>0.0041120838508788</v>
      </c>
      <c r="AB326" s="4">
        <v>0.0038877115792785</v>
      </c>
      <c r="AC326" s="4">
        <v>0.0015059927645144</v>
      </c>
      <c r="AD326" s="4">
        <v>-0.0173498781560171</v>
      </c>
      <c r="AE326" s="4">
        <v>0.0248104865449796</v>
      </c>
      <c r="AF326" s="4">
        <v>0.019977606834775</v>
      </c>
      <c r="AG326" s="4">
        <v>-0.0123621498576761</v>
      </c>
      <c r="AH326" s="4">
        <v>-0.0383734418643075</v>
      </c>
      <c r="AI326" s="4">
        <v>0.0050601910801162</v>
      </c>
      <c r="AJ326" s="4">
        <v>0.003609</v>
      </c>
      <c r="AK326" s="4">
        <f>Weights!E382</f>
        <v>0.004966988117</v>
      </c>
      <c r="AL326" s="5">
        <v>0.010758654368447</v>
      </c>
      <c r="AM326" s="5">
        <v>0.0106385805563271</v>
      </c>
      <c r="AN326" s="5">
        <v>3.45064385068205E-4</v>
      </c>
      <c r="AO326" s="5">
        <v>-0.00128918957689783</v>
      </c>
      <c r="AP326" s="6">
        <f t="shared" si="3"/>
        <v>1.355656071</v>
      </c>
      <c r="AQ326" s="4">
        <f t="shared" si="4"/>
        <v>1.295495377</v>
      </c>
      <c r="AR326" s="7">
        <f t="shared" si="5"/>
        <v>1.283175109</v>
      </c>
      <c r="AS326" s="5">
        <f t="shared" ref="AS326:AU326" si="328">AS325*(1+AM326)</f>
        <v>1.355415956</v>
      </c>
      <c r="AT326" s="5">
        <f t="shared" si="328"/>
        <v>1.17382163</v>
      </c>
      <c r="AU326" s="5">
        <f t="shared" si="328"/>
        <v>1.166702059</v>
      </c>
    </row>
    <row r="327" ht="15.75" customHeight="1">
      <c r="A327" s="3">
        <v>44305.0</v>
      </c>
      <c r="B327" s="4">
        <v>-0.014395</v>
      </c>
      <c r="C327" s="4">
        <v>0.001887</v>
      </c>
      <c r="D327" s="4">
        <v>0.016109</v>
      </c>
      <c r="E327" s="4">
        <v>0.004093</v>
      </c>
      <c r="F327" s="4">
        <v>0.005961</v>
      </c>
      <c r="G327" s="4">
        <v>0.002774</v>
      </c>
      <c r="H327" s="4">
        <v>-0.004663</v>
      </c>
      <c r="I327" s="4">
        <v>0.001608</v>
      </c>
      <c r="J327" s="4">
        <v>0.001365</v>
      </c>
      <c r="K327" s="4">
        <v>-0.008454</v>
      </c>
      <c r="L327" s="4">
        <v>-0.007074</v>
      </c>
      <c r="M327" s="4">
        <v>9.27E-4</v>
      </c>
      <c r="N327" s="4">
        <v>0.00287</v>
      </c>
      <c r="O327" s="4">
        <v>-0.008915</v>
      </c>
      <c r="P327" s="4">
        <v>-0.008561</v>
      </c>
      <c r="Q327" s="4">
        <v>-0.019861</v>
      </c>
      <c r="R327" s="4">
        <v>-0.021237</v>
      </c>
      <c r="S327" s="4">
        <v>0.004484</v>
      </c>
      <c r="T327" s="4">
        <v>-7.55E-4</v>
      </c>
      <c r="U327" s="4">
        <v>-0.003254</v>
      </c>
      <c r="V327" s="4">
        <v>-0.0160975831764135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  <c r="AG327" s="4">
        <v>0.0</v>
      </c>
      <c r="AH327" s="4">
        <v>0.0</v>
      </c>
      <c r="AI327" s="4">
        <v>0.0</v>
      </c>
      <c r="AJ327" s="4">
        <v>-0.005306</v>
      </c>
      <c r="AK327" s="4">
        <f>Weights!E383</f>
        <v>-0.001857653369</v>
      </c>
      <c r="AL327" s="5">
        <v>0.0034674343616643</v>
      </c>
      <c r="AM327" s="5">
        <v>0.00253895185828767</v>
      </c>
      <c r="AN327" s="5">
        <v>-0.00137963312703348</v>
      </c>
      <c r="AO327" s="5">
        <v>0.0</v>
      </c>
      <c r="AP327" s="6">
        <f t="shared" si="3"/>
        <v>1.353137732</v>
      </c>
      <c r="AQ327" s="4">
        <f t="shared" si="4"/>
        <v>1.288621479</v>
      </c>
      <c r="AR327" s="7">
        <f t="shared" si="5"/>
        <v>1.287624435</v>
      </c>
      <c r="AS327" s="5">
        <f t="shared" ref="AS327:AU327" si="329">AS326*(1+AM327)</f>
        <v>1.358857291</v>
      </c>
      <c r="AT327" s="5">
        <f t="shared" si="329"/>
        <v>1.172202187</v>
      </c>
      <c r="AU327" s="5">
        <f t="shared" si="329"/>
        <v>1.166702059</v>
      </c>
    </row>
    <row r="328" ht="15.75" customHeight="1">
      <c r="A328" s="3">
        <v>44306.0</v>
      </c>
      <c r="B328" s="4">
        <v>-0.005842</v>
      </c>
      <c r="C328" s="4">
        <v>0.0</v>
      </c>
      <c r="D328" s="4">
        <v>-0.009756</v>
      </c>
      <c r="E328" s="4">
        <v>0.006632</v>
      </c>
      <c r="F328" s="4">
        <v>0.003148</v>
      </c>
      <c r="G328" s="4">
        <v>0.023296</v>
      </c>
      <c r="H328" s="4">
        <v>0.008345</v>
      </c>
      <c r="I328" s="4">
        <v>-0.015516</v>
      </c>
      <c r="J328" s="4">
        <v>0.005224</v>
      </c>
      <c r="K328" s="4">
        <v>-0.010962</v>
      </c>
      <c r="L328" s="4">
        <v>-0.016801</v>
      </c>
      <c r="M328" s="4">
        <v>-0.027791</v>
      </c>
      <c r="N328" s="4">
        <v>-0.011067</v>
      </c>
      <c r="O328" s="4">
        <v>1.94E-4</v>
      </c>
      <c r="P328" s="4">
        <v>0.015266</v>
      </c>
      <c r="Q328" s="4">
        <v>0.008105</v>
      </c>
      <c r="R328" s="4">
        <v>-0.038843</v>
      </c>
      <c r="S328" s="4">
        <v>4.7E-4</v>
      </c>
      <c r="T328" s="4">
        <v>-0.011959</v>
      </c>
      <c r="U328" s="4">
        <v>0.002148</v>
      </c>
      <c r="V328" s="4">
        <v>-0.00644520081886312</v>
      </c>
      <c r="W328" s="4">
        <v>0.0</v>
      </c>
      <c r="X328" s="4">
        <v>-0.0051123582908472</v>
      </c>
      <c r="Y328" s="4">
        <v>0.0014210925312947</v>
      </c>
      <c r="Z328" s="4">
        <v>-9.523100137869E-4</v>
      </c>
      <c r="AA328" s="4">
        <v>0.0060541510032248</v>
      </c>
      <c r="AB328" s="4">
        <v>0.0</v>
      </c>
      <c r="AC328" s="4">
        <v>0.0</v>
      </c>
      <c r="AD328" s="4">
        <v>-0.0110061436357532</v>
      </c>
      <c r="AE328" s="4">
        <v>0.00500624219338</v>
      </c>
      <c r="AF328" s="4">
        <v>0.0</v>
      </c>
      <c r="AG328" s="4">
        <v>0.0099597637425927</v>
      </c>
      <c r="AH328" s="4">
        <v>0.0244193020214529</v>
      </c>
      <c r="AI328" s="4">
        <v>-0.0027460332322905</v>
      </c>
      <c r="AJ328" s="4">
        <v>-0.006802</v>
      </c>
      <c r="AK328" s="4">
        <f>Weights!E384</f>
        <v>-0.001488714088</v>
      </c>
      <c r="AL328" s="5">
        <v>-0.00409822587180219</v>
      </c>
      <c r="AM328" s="5">
        <v>-0.00653906380210278</v>
      </c>
      <c r="AN328" s="5">
        <v>-3.45421912223642E-4</v>
      </c>
      <c r="AO328" s="5">
        <v>-0.00154933456689454</v>
      </c>
      <c r="AP328" s="6">
        <f t="shared" si="3"/>
        <v>1.351123296</v>
      </c>
      <c r="AQ328" s="4">
        <f t="shared" si="4"/>
        <v>1.279856275</v>
      </c>
      <c r="AR328" s="7">
        <f t="shared" si="5"/>
        <v>1.282347459</v>
      </c>
      <c r="AS328" s="5">
        <f t="shared" ref="AS328:AU328" si="330">AS327*(1+AM328)</f>
        <v>1.349971637</v>
      </c>
      <c r="AT328" s="5">
        <f t="shared" si="330"/>
        <v>1.171797283</v>
      </c>
      <c r="AU328" s="5">
        <f t="shared" si="330"/>
        <v>1.164894447</v>
      </c>
    </row>
    <row r="329" ht="15.75" customHeight="1">
      <c r="A329" s="3">
        <v>44307.0</v>
      </c>
      <c r="B329" s="4">
        <v>0.007835</v>
      </c>
      <c r="C329" s="4">
        <v>-0.004282</v>
      </c>
      <c r="D329" s="4">
        <v>0.014778</v>
      </c>
      <c r="E329" s="4">
        <v>0.008716</v>
      </c>
      <c r="F329" s="4">
        <v>0.008123</v>
      </c>
      <c r="G329" s="4">
        <v>6.61E-4</v>
      </c>
      <c r="H329" s="4">
        <v>-0.006534</v>
      </c>
      <c r="I329" s="4">
        <v>0.014402</v>
      </c>
      <c r="J329" s="4">
        <v>0.014686</v>
      </c>
      <c r="K329" s="4">
        <v>0.019397</v>
      </c>
      <c r="L329" s="4">
        <v>0.014069</v>
      </c>
      <c r="M329" s="4">
        <v>0.010958</v>
      </c>
      <c r="N329" s="4">
        <v>0.015435</v>
      </c>
      <c r="O329" s="4">
        <v>0.013661</v>
      </c>
      <c r="P329" s="4">
        <v>0.014885</v>
      </c>
      <c r="Q329" s="4">
        <v>0.030151</v>
      </c>
      <c r="R329" s="4">
        <v>5.57E-4</v>
      </c>
      <c r="S329" s="4">
        <v>0.019493</v>
      </c>
      <c r="T329" s="4">
        <v>0.021531</v>
      </c>
      <c r="U329" s="4">
        <v>0.002915</v>
      </c>
      <c r="V329" s="4">
        <v>-0.0174650903821218</v>
      </c>
      <c r="W329" s="4">
        <v>0.0224253592082934</v>
      </c>
      <c r="X329" s="4">
        <v>-0.0164438685896785</v>
      </c>
      <c r="Y329" s="4">
        <v>-0.009459502837483</v>
      </c>
      <c r="Z329" s="4">
        <v>-0.0205505263552434</v>
      </c>
      <c r="AA329" s="4">
        <v>0.0021239847435228</v>
      </c>
      <c r="AB329" s="4">
        <v>0.00744706419078</v>
      </c>
      <c r="AC329" s="4">
        <v>0.0060241140433663</v>
      </c>
      <c r="AD329" s="4">
        <v>-0.0063595293354902</v>
      </c>
      <c r="AE329" s="4">
        <v>0.0095911625814617</v>
      </c>
      <c r="AF329" s="4">
        <v>0.0154481213373536</v>
      </c>
      <c r="AG329" s="4">
        <v>-0.0055969934080291</v>
      </c>
      <c r="AH329" s="4">
        <v>-0.037209307805727</v>
      </c>
      <c r="AI329" s="4">
        <v>0.0041302399491562</v>
      </c>
      <c r="AJ329" s="4">
        <v>0.009306</v>
      </c>
      <c r="AK329" s="4">
        <f>Weights!E385</f>
        <v>0.003811711575</v>
      </c>
      <c r="AL329" s="5">
        <v>-0.00984428425813943</v>
      </c>
      <c r="AM329" s="5">
        <v>-0.00917831836774363</v>
      </c>
      <c r="AN329" s="5">
        <v>0.00691067683898971</v>
      </c>
      <c r="AO329" s="5">
        <v>0.00827523741103419</v>
      </c>
      <c r="AP329" s="6">
        <f t="shared" si="3"/>
        <v>1.356273389</v>
      </c>
      <c r="AQ329" s="4">
        <f t="shared" si="4"/>
        <v>1.291766618</v>
      </c>
      <c r="AR329" s="7">
        <f t="shared" si="5"/>
        <v>1.269723666</v>
      </c>
      <c r="AS329" s="5">
        <f t="shared" ref="AS329:AU329" si="331">AS328*(1+AM329)</f>
        <v>1.337581167</v>
      </c>
      <c r="AT329" s="5">
        <f t="shared" si="331"/>
        <v>1.179895195</v>
      </c>
      <c r="AU329" s="5">
        <f t="shared" si="331"/>
        <v>1.174534225</v>
      </c>
    </row>
    <row r="330" ht="15.75" customHeight="1">
      <c r="A330" s="3">
        <v>44308.0</v>
      </c>
      <c r="B330" s="4">
        <v>4.86E-4</v>
      </c>
      <c r="C330" s="4">
        <v>-0.014792</v>
      </c>
      <c r="D330" s="4">
        <v>-0.00182</v>
      </c>
      <c r="E330" s="4">
        <v>-0.006191</v>
      </c>
      <c r="F330" s="4">
        <v>-0.003113</v>
      </c>
      <c r="G330" s="4">
        <v>-0.008464</v>
      </c>
      <c r="H330" s="4">
        <v>-0.009866</v>
      </c>
      <c r="I330" s="4">
        <v>-0.008572</v>
      </c>
      <c r="J330" s="4">
        <v>-0.006235</v>
      </c>
      <c r="K330" s="4">
        <v>-9.06E-4</v>
      </c>
      <c r="L330" s="4">
        <v>-0.003337</v>
      </c>
      <c r="M330" s="4">
        <v>-0.010368</v>
      </c>
      <c r="N330" s="4">
        <v>-0.00589</v>
      </c>
      <c r="O330" s="4">
        <v>-0.001391</v>
      </c>
      <c r="P330" s="4">
        <v>-0.016761</v>
      </c>
      <c r="Q330" s="4">
        <v>-0.027317</v>
      </c>
      <c r="R330" s="4">
        <v>-0.032312</v>
      </c>
      <c r="S330" s="4">
        <v>-0.012209</v>
      </c>
      <c r="T330" s="4">
        <v>-0.05101</v>
      </c>
      <c r="U330" s="4">
        <v>3.42E-4</v>
      </c>
      <c r="V330" s="4">
        <v>0.0162518671768063</v>
      </c>
      <c r="W330" s="4">
        <v>0.008267310365045</v>
      </c>
      <c r="X330" s="4">
        <v>0.0</v>
      </c>
      <c r="Y330" s="4">
        <v>0.0033423482066552</v>
      </c>
      <c r="Z330" s="4">
        <v>0.0067683636773558</v>
      </c>
      <c r="AA330" s="4">
        <v>0.0061814552654666</v>
      </c>
      <c r="AB330" s="4">
        <v>0.0094618455317911</v>
      </c>
      <c r="AC330" s="4">
        <v>0.0</v>
      </c>
      <c r="AD330" s="4">
        <v>0.0</v>
      </c>
      <c r="AE330" s="4">
        <v>-0.0127402148615556</v>
      </c>
      <c r="AF330" s="4">
        <v>-0.0057049816436209</v>
      </c>
      <c r="AG330" s="4">
        <v>-0.0017421673508258</v>
      </c>
      <c r="AH330" s="4">
        <v>-0.0018116068526624</v>
      </c>
      <c r="AI330" s="4">
        <v>-0.0013709827665335</v>
      </c>
      <c r="AJ330" s="4">
        <v>-0.009211</v>
      </c>
      <c r="AK330" s="4">
        <f>Weights!E386</f>
        <v>-0.004471667676</v>
      </c>
      <c r="AL330" s="5">
        <v>0.00863822250016865</v>
      </c>
      <c r="AM330" s="5">
        <v>0.0119299263854193</v>
      </c>
      <c r="AN330" s="5">
        <v>0.00137275270666648</v>
      </c>
      <c r="AO330" s="5">
        <v>7.6972157134536E-4</v>
      </c>
      <c r="AP330" s="6">
        <f t="shared" si="3"/>
        <v>1.350208585</v>
      </c>
      <c r="AQ330" s="4">
        <f t="shared" si="4"/>
        <v>1.279868156</v>
      </c>
      <c r="AR330" s="7">
        <f t="shared" si="5"/>
        <v>1.280691822</v>
      </c>
      <c r="AS330" s="5">
        <f t="shared" ref="AS330:AU330" si="332">AS329*(1+AM330)</f>
        <v>1.353538412</v>
      </c>
      <c r="AT330" s="5">
        <f t="shared" si="332"/>
        <v>1.181514899</v>
      </c>
      <c r="AU330" s="5">
        <f t="shared" si="332"/>
        <v>1.175438289</v>
      </c>
    </row>
    <row r="331" ht="15.75" customHeight="1">
      <c r="A331" s="3">
        <v>44309.0</v>
      </c>
      <c r="B331" s="4">
        <v>0.003885</v>
      </c>
      <c r="C331" s="4">
        <v>3.49E-4</v>
      </c>
      <c r="D331" s="4">
        <v>-0.008511</v>
      </c>
      <c r="E331" s="4">
        <v>-0.001643</v>
      </c>
      <c r="F331" s="4">
        <v>5.51E-4</v>
      </c>
      <c r="G331" s="4">
        <v>0.002058</v>
      </c>
      <c r="H331" s="4">
        <v>-0.005125</v>
      </c>
      <c r="I331" s="4">
        <v>0.002162</v>
      </c>
      <c r="J331" s="4">
        <v>-0.005153</v>
      </c>
      <c r="K331" s="4">
        <v>0.019952</v>
      </c>
      <c r="L331" s="4">
        <v>0.009396</v>
      </c>
      <c r="M331" s="4">
        <v>0.014286</v>
      </c>
      <c r="N331" s="4">
        <v>0.015099</v>
      </c>
      <c r="O331" s="4">
        <v>0.005187</v>
      </c>
      <c r="P331" s="4">
        <v>3.04E-4</v>
      </c>
      <c r="Q331" s="4">
        <v>-0.005015</v>
      </c>
      <c r="R331" s="4">
        <v>0.051813</v>
      </c>
      <c r="S331" s="4">
        <v>-0.002565</v>
      </c>
      <c r="T331" s="4">
        <v>0.022868</v>
      </c>
      <c r="U331" s="4">
        <v>0.007947</v>
      </c>
      <c r="V331" s="4">
        <v>0.0189905840274036</v>
      </c>
      <c r="W331" s="4">
        <v>0.0321284453699011</v>
      </c>
      <c r="X331" s="4">
        <v>-0.0052248148897241</v>
      </c>
      <c r="Y331" s="4">
        <v>-0.007410448667576</v>
      </c>
      <c r="Z331" s="4">
        <v>-0.0093699214308508</v>
      </c>
      <c r="AA331" s="4">
        <v>-0.005967823128821</v>
      </c>
      <c r="AB331" s="4">
        <v>0.0073229326955548</v>
      </c>
      <c r="AC331" s="4">
        <v>-0.0030864756835219</v>
      </c>
      <c r="AD331" s="4">
        <v>0.0</v>
      </c>
      <c r="AE331" s="4">
        <v>0.0078320955795643</v>
      </c>
      <c r="AF331" s="4">
        <v>-0.008469909684199</v>
      </c>
      <c r="AG331" s="4">
        <v>-0.009397469361559</v>
      </c>
      <c r="AH331" s="4">
        <v>-0.0127041909817918</v>
      </c>
      <c r="AI331" s="4">
        <v>0.0022881756458188</v>
      </c>
      <c r="AJ331" s="4">
        <v>0.010929</v>
      </c>
      <c r="AK331" s="4">
        <f>Weights!E387</f>
        <v>0.003421663704</v>
      </c>
      <c r="AL331" s="5">
        <v>-0.00686746005868932</v>
      </c>
      <c r="AM331" s="5">
        <v>-0.00781337011621363</v>
      </c>
      <c r="AN331" s="5">
        <v>-0.00788201007721567</v>
      </c>
      <c r="AO331" s="5">
        <v>-0.00691996754640411</v>
      </c>
      <c r="AP331" s="6">
        <f t="shared" si="3"/>
        <v>1.354828544</v>
      </c>
      <c r="AQ331" s="4">
        <f t="shared" si="4"/>
        <v>1.293855835</v>
      </c>
      <c r="AR331" s="7">
        <f t="shared" si="5"/>
        <v>1.271896722</v>
      </c>
      <c r="AS331" s="5">
        <f t="shared" ref="AS331:AU331" si="333">AS330*(1+AM331)</f>
        <v>1.342962716</v>
      </c>
      <c r="AT331" s="5">
        <f t="shared" si="333"/>
        <v>1.172202187</v>
      </c>
      <c r="AU331" s="5">
        <f t="shared" si="333"/>
        <v>1.167304295</v>
      </c>
    </row>
    <row r="332" ht="15.75" customHeight="1">
      <c r="A332" s="3">
        <v>44312.0</v>
      </c>
      <c r="B332" s="4">
        <v>0.00387</v>
      </c>
      <c r="C332" s="4">
        <v>-0.006283</v>
      </c>
      <c r="D332" s="4">
        <v>0.007153</v>
      </c>
      <c r="E332" s="4">
        <v>-0.016938</v>
      </c>
      <c r="F332" s="4">
        <v>-0.014871</v>
      </c>
      <c r="G332" s="4">
        <v>-0.008458</v>
      </c>
      <c r="H332" s="4">
        <v>-0.020009</v>
      </c>
      <c r="I332" s="4">
        <v>0.002427</v>
      </c>
      <c r="J332" s="4">
        <v>-6.76E-4</v>
      </c>
      <c r="K332" s="4">
        <v>0.00652</v>
      </c>
      <c r="L332" s="4">
        <v>0.007811</v>
      </c>
      <c r="M332" s="4">
        <v>0.014085</v>
      </c>
      <c r="N332" s="4">
        <v>0.003766</v>
      </c>
      <c r="O332" s="4">
        <v>0.007597</v>
      </c>
      <c r="P332" s="4">
        <v>-0.006695</v>
      </c>
      <c r="Q332" s="4">
        <v>0.010081</v>
      </c>
      <c r="R332" s="4">
        <v>0.068692</v>
      </c>
      <c r="S332" s="4">
        <v>-0.010755</v>
      </c>
      <c r="T332" s="4">
        <v>0.03559</v>
      </c>
      <c r="U332" s="4">
        <v>-0.015429</v>
      </c>
      <c r="V332" s="4">
        <v>0.00343298741989572</v>
      </c>
      <c r="W332" s="4">
        <v>-3.241606001074E-4</v>
      </c>
      <c r="X332" s="4">
        <v>0.0</v>
      </c>
      <c r="Y332" s="4">
        <v>0.0083563152717085</v>
      </c>
      <c r="Z332" s="4">
        <v>-9.545109130363E-4</v>
      </c>
      <c r="AA332" s="4">
        <v>-0.0033552480758686</v>
      </c>
      <c r="AB332" s="4">
        <v>5.815299059561E-4</v>
      </c>
      <c r="AC332" s="4">
        <v>0.0</v>
      </c>
      <c r="AD332" s="4">
        <v>0.0</v>
      </c>
      <c r="AE332" s="4">
        <v>0.0038488918513479</v>
      </c>
      <c r="AF332" s="4">
        <v>0.0217691462766671</v>
      </c>
      <c r="AG332" s="4">
        <v>0.0037946947460472</v>
      </c>
      <c r="AH332" s="4">
        <v>0.0208333576816361</v>
      </c>
      <c r="AI332" s="4">
        <v>-0.0013696298700373</v>
      </c>
      <c r="AJ332" s="4">
        <v>0.001782</v>
      </c>
      <c r="AK332" s="4">
        <f>Weights!E388</f>
        <v>0.003989424078</v>
      </c>
      <c r="AL332" s="5">
        <v>0.0105757602835612</v>
      </c>
      <c r="AM332" s="5">
        <v>0.0121150678140438</v>
      </c>
      <c r="AN332" s="5">
        <v>-0.00967196204695297</v>
      </c>
      <c r="AO332" s="5">
        <v>-0.00877374162418431</v>
      </c>
      <c r="AP332" s="6">
        <f t="shared" si="3"/>
        <v>1.36023353</v>
      </c>
      <c r="AQ332" s="4">
        <f t="shared" si="4"/>
        <v>1.296161486</v>
      </c>
      <c r="AR332" s="7">
        <f t="shared" si="5"/>
        <v>1.285347997</v>
      </c>
      <c r="AS332" s="5">
        <f t="shared" ref="AS332:AU332" si="334">AS331*(1+AM332)</f>
        <v>1.3592328</v>
      </c>
      <c r="AT332" s="5">
        <f t="shared" si="334"/>
        <v>1.160864692</v>
      </c>
      <c r="AU332" s="5">
        <f t="shared" si="334"/>
        <v>1.157062668</v>
      </c>
    </row>
    <row r="333" ht="15.75" customHeight="1">
      <c r="A333" s="3">
        <v>44313.0</v>
      </c>
      <c r="B333" s="4">
        <v>-0.005301</v>
      </c>
      <c r="C333" s="4">
        <v>-0.010889</v>
      </c>
      <c r="D333" s="4">
        <v>-0.001826</v>
      </c>
      <c r="E333" s="4">
        <v>-0.003278</v>
      </c>
      <c r="F333" s="4">
        <v>-0.001491</v>
      </c>
      <c r="G333" s="4">
        <v>-0.005728</v>
      </c>
      <c r="H333" s="4">
        <v>-6.09E-4</v>
      </c>
      <c r="I333" s="4">
        <v>0.013179</v>
      </c>
      <c r="J333" s="4">
        <v>-0.002479</v>
      </c>
      <c r="K333" s="4">
        <v>0.003386</v>
      </c>
      <c r="L333" s="4">
        <v>0.003079</v>
      </c>
      <c r="M333" s="4">
        <v>9.26E-4</v>
      </c>
      <c r="N333" s="4">
        <v>0.003189</v>
      </c>
      <c r="O333" s="4">
        <v>-0.001043</v>
      </c>
      <c r="P333" s="4">
        <v>-0.016391</v>
      </c>
      <c r="Q333" s="4">
        <v>-0.042914</v>
      </c>
      <c r="R333" s="4">
        <v>-0.009219</v>
      </c>
      <c r="S333" s="4">
        <v>-0.016781</v>
      </c>
      <c r="T333" s="4">
        <v>0.001117</v>
      </c>
      <c r="U333" s="4">
        <v>0.007577</v>
      </c>
      <c r="V333" s="4">
        <v>0.0185727828443149</v>
      </c>
      <c r="W333" s="4">
        <v>-0.0175154488426407</v>
      </c>
      <c r="X333" s="4">
        <v>-0.0336134100248139</v>
      </c>
      <c r="Y333" s="4">
        <v>-9.509509004789E-4</v>
      </c>
      <c r="Z333" s="4">
        <v>0.0073448758325169</v>
      </c>
      <c r="AA333" s="4">
        <v>0.0037206511946672</v>
      </c>
      <c r="AB333" s="4">
        <v>0.0063933134276841</v>
      </c>
      <c r="AC333" s="4">
        <v>-0.0046439759796655</v>
      </c>
      <c r="AD333" s="4">
        <v>-0.0255998212860053</v>
      </c>
      <c r="AE333" s="4">
        <v>0.0019170673408075</v>
      </c>
      <c r="AF333" s="4">
        <v>-0.005663374132923</v>
      </c>
      <c r="AG333" s="4">
        <v>0.0052653115020118</v>
      </c>
      <c r="AH333" s="4">
        <v>0.0054021270629343</v>
      </c>
      <c r="AI333" s="4">
        <v>4.570347436314E-4</v>
      </c>
      <c r="AJ333" s="4">
        <v>-2.15E-4</v>
      </c>
      <c r="AK333" s="4">
        <f>Weights!E389</f>
        <v>-0.0017791691</v>
      </c>
      <c r="AL333" s="5">
        <v>0.00193212736989178</v>
      </c>
      <c r="AM333" s="5">
        <v>0.0036370318352199</v>
      </c>
      <c r="AN333" s="5">
        <v>0.00592952262559287</v>
      </c>
      <c r="AO333" s="5">
        <v>0.00572747599434908</v>
      </c>
      <c r="AP333" s="6">
        <f t="shared" si="3"/>
        <v>1.357813445</v>
      </c>
      <c r="AQ333" s="4">
        <f t="shared" si="4"/>
        <v>1.295882811</v>
      </c>
      <c r="AR333" s="7">
        <f t="shared" si="5"/>
        <v>1.287831453</v>
      </c>
      <c r="AS333" s="5">
        <f t="shared" ref="AS333:AU333" si="335">AS332*(1+AM333)</f>
        <v>1.364176373</v>
      </c>
      <c r="AT333" s="5">
        <f t="shared" si="335"/>
        <v>1.167748065</v>
      </c>
      <c r="AU333" s="5">
        <f t="shared" si="335"/>
        <v>1.163689717</v>
      </c>
    </row>
    <row r="334" ht="15.75" customHeight="1">
      <c r="A334" s="3">
        <v>44314.0</v>
      </c>
      <c r="B334" s="4">
        <v>0.003391</v>
      </c>
      <c r="C334" s="4">
        <v>0.001953</v>
      </c>
      <c r="D334" s="4">
        <v>0.004879</v>
      </c>
      <c r="E334" s="4">
        <v>-0.007418</v>
      </c>
      <c r="F334" s="4">
        <v>1.87E-4</v>
      </c>
      <c r="G334" s="4">
        <v>-0.007354</v>
      </c>
      <c r="H334" s="4">
        <v>0.001677</v>
      </c>
      <c r="I334" s="4">
        <v>0.012742</v>
      </c>
      <c r="J334" s="4">
        <v>4.52E-4</v>
      </c>
      <c r="K334" s="4">
        <v>0.009098</v>
      </c>
      <c r="L334" s="4">
        <v>0.011431</v>
      </c>
      <c r="M334" s="4">
        <v>0.00555</v>
      </c>
      <c r="N334" s="4">
        <v>0.005423</v>
      </c>
      <c r="O334" s="4">
        <v>-0.002516</v>
      </c>
      <c r="P334" s="4">
        <v>-1.56E-4</v>
      </c>
      <c r="Q334" s="4">
        <v>0.001043</v>
      </c>
      <c r="R334" s="4">
        <v>0.017059</v>
      </c>
      <c r="S334" s="4">
        <v>0.017789</v>
      </c>
      <c r="T334" s="4">
        <v>0.01103</v>
      </c>
      <c r="U334" s="4">
        <v>0.001795</v>
      </c>
      <c r="V334" s="4">
        <v>-0.00383876303395125</v>
      </c>
      <c r="W334" s="4">
        <v>0.0072630536524092</v>
      </c>
      <c r="X334" s="4">
        <v>-0.0097826850271736</v>
      </c>
      <c r="Y334" s="4">
        <v>-0.0023796962494605</v>
      </c>
      <c r="Z334" s="4">
        <v>-0.0144559404784775</v>
      </c>
      <c r="AA334" s="4">
        <v>0.0038835917536452</v>
      </c>
      <c r="AB334" s="4">
        <v>-0.0037537821178573</v>
      </c>
      <c r="AC334" s="4">
        <v>-0.0155520959692859</v>
      </c>
      <c r="AD334" s="4">
        <v>-0.0164205746349903</v>
      </c>
      <c r="AE334" s="4">
        <v>-0.0025021844558407</v>
      </c>
      <c r="AF334" s="4">
        <v>0.0273934509192637</v>
      </c>
      <c r="AG334" s="4">
        <v>-0.0059094341613925</v>
      </c>
      <c r="AH334" s="4">
        <v>-0.0310447331626304</v>
      </c>
      <c r="AI334" s="4">
        <v>-9.140558299078E-4</v>
      </c>
      <c r="AJ334" s="4">
        <v>-8.46E-4</v>
      </c>
      <c r="AK334" s="6">
        <f>Weights!E390</f>
        <v>-0.00002599960702</v>
      </c>
      <c r="AL334" s="5">
        <v>-7.23077001523075E-4</v>
      </c>
      <c r="AM334" s="5">
        <v>-4.58649653782616E-4</v>
      </c>
      <c r="AN334" s="5">
        <v>-0.00624131008479611</v>
      </c>
      <c r="AO334" s="5">
        <v>-0.00569485882712561</v>
      </c>
      <c r="AP334" s="6">
        <f t="shared" si="3"/>
        <v>1.357778142</v>
      </c>
      <c r="AQ334" s="4">
        <f t="shared" si="4"/>
        <v>1.294786494</v>
      </c>
      <c r="AR334" s="7">
        <f t="shared" si="5"/>
        <v>1.286900251</v>
      </c>
      <c r="AS334" s="5">
        <f t="shared" ref="AS334:AU334" si="336">AS333*(1+AM334)</f>
        <v>1.363550694</v>
      </c>
      <c r="AT334" s="5">
        <f t="shared" si="336"/>
        <v>1.160459787</v>
      </c>
      <c r="AU334" s="5">
        <f t="shared" si="336"/>
        <v>1.157062668</v>
      </c>
    </row>
    <row r="335" ht="15.75" customHeight="1">
      <c r="A335" s="3">
        <v>44315.0</v>
      </c>
      <c r="B335" s="4">
        <v>0.00676</v>
      </c>
      <c r="C335" s="4">
        <v>0.015772</v>
      </c>
      <c r="D335" s="4">
        <v>0.004653</v>
      </c>
      <c r="E335" s="4">
        <v>0.014877</v>
      </c>
      <c r="F335" s="4">
        <v>0.012502</v>
      </c>
      <c r="G335" s="4">
        <v>0.013705</v>
      </c>
      <c r="H335" s="4">
        <v>0.008447</v>
      </c>
      <c r="I335" s="4">
        <v>0.011009</v>
      </c>
      <c r="J335" s="4">
        <v>0.002936</v>
      </c>
      <c r="K335" s="4">
        <v>0.008725</v>
      </c>
      <c r="L335" s="4">
        <v>0.006802</v>
      </c>
      <c r="M335" s="4">
        <v>0.0115</v>
      </c>
      <c r="N335" s="4">
        <v>0.008183</v>
      </c>
      <c r="O335" s="4">
        <v>-0.010612</v>
      </c>
      <c r="P335" s="4">
        <v>-0.029439</v>
      </c>
      <c r="Q335" s="4">
        <v>-0.01875</v>
      </c>
      <c r="R335" s="4">
        <v>-0.024142</v>
      </c>
      <c r="S335" s="4">
        <v>-0.007322</v>
      </c>
      <c r="T335" s="4">
        <v>0.010174</v>
      </c>
      <c r="U335" s="4">
        <v>0.011175</v>
      </c>
      <c r="V335" s="4">
        <v>0.0115607855684378</v>
      </c>
      <c r="W335" s="4">
        <v>0.0303179937935775</v>
      </c>
      <c r="X335" s="4">
        <v>0.0076839484576174</v>
      </c>
      <c r="Y335" s="4">
        <v>-0.0021127490515506</v>
      </c>
      <c r="Z335" s="4">
        <v>9.408016643905E-4</v>
      </c>
      <c r="AA335" s="4">
        <v>-0.0022857974350942</v>
      </c>
      <c r="AB335" s="4">
        <v>-0.0028985133041338</v>
      </c>
      <c r="AC335" s="4">
        <v>0.0031596151252388</v>
      </c>
      <c r="AD335" s="4">
        <v>0.0083473556946844</v>
      </c>
      <c r="AE335" s="4">
        <v>-0.0018443012744701</v>
      </c>
      <c r="AF335" s="4">
        <v>0.0076557805363979</v>
      </c>
      <c r="AG335" s="4">
        <v>0.014320876159533</v>
      </c>
      <c r="AH335" s="4">
        <v>0.0092421352168254</v>
      </c>
      <c r="AI335" s="4">
        <v>-4.573449754667E-4</v>
      </c>
      <c r="AJ335" s="4">
        <v>0.006763</v>
      </c>
      <c r="AK335" s="4">
        <f>Weights!E391</f>
        <v>0.004714559916</v>
      </c>
      <c r="AL335" s="5">
        <v>6.43069357614267E-4</v>
      </c>
      <c r="AM335" s="5">
        <v>-1.37658032943965E-4</v>
      </c>
      <c r="AN335" s="5">
        <v>0.00383808864205681</v>
      </c>
      <c r="AO335" s="5">
        <v>0.00390504651047751</v>
      </c>
      <c r="AP335" s="6">
        <f t="shared" si="3"/>
        <v>1.364179468</v>
      </c>
      <c r="AQ335" s="4">
        <f t="shared" si="4"/>
        <v>1.303543135</v>
      </c>
      <c r="AR335" s="7">
        <f t="shared" si="5"/>
        <v>1.287727817</v>
      </c>
      <c r="AS335" s="5">
        <f t="shared" ref="AS335:AU335" si="337">AS334*(1+AM335)</f>
        <v>1.36336299</v>
      </c>
      <c r="AT335" s="5">
        <f t="shared" si="337"/>
        <v>1.164913735</v>
      </c>
      <c r="AU335" s="5">
        <f t="shared" si="337"/>
        <v>1.161581052</v>
      </c>
    </row>
    <row r="336" ht="15.75" customHeight="1">
      <c r="A336" s="3">
        <v>44316.0</v>
      </c>
      <c r="B336" s="4">
        <v>-0.004796</v>
      </c>
      <c r="C336" s="4">
        <v>0.0082</v>
      </c>
      <c r="D336" s="4">
        <v>-0.008659</v>
      </c>
      <c r="E336" s="4">
        <v>0.001528</v>
      </c>
      <c r="F336" s="4">
        <v>-0.00516</v>
      </c>
      <c r="G336" s="4">
        <v>-0.008953</v>
      </c>
      <c r="H336" s="4">
        <v>0.006867</v>
      </c>
      <c r="I336" s="4">
        <v>0.0</v>
      </c>
      <c r="J336" s="4">
        <v>0.004278</v>
      </c>
      <c r="K336" s="4">
        <v>-0.008938</v>
      </c>
      <c r="L336" s="4">
        <v>-0.008419</v>
      </c>
      <c r="M336" s="4">
        <v>-0.006367</v>
      </c>
      <c r="N336" s="4">
        <v>-0.004981</v>
      </c>
      <c r="O336" s="4">
        <v>-0.095907</v>
      </c>
      <c r="P336" s="4">
        <v>0.001605</v>
      </c>
      <c r="Q336" s="4">
        <v>-0.004246</v>
      </c>
      <c r="R336" s="4">
        <v>-0.017969</v>
      </c>
      <c r="S336" s="4">
        <v>-0.016893</v>
      </c>
      <c r="T336" s="4">
        <v>-0.00182</v>
      </c>
      <c r="U336" s="4">
        <v>0.004809</v>
      </c>
      <c r="V336" s="4">
        <v>0.0119048506332888</v>
      </c>
      <c r="W336" s="4">
        <v>0.001908774610781</v>
      </c>
      <c r="X336" s="4">
        <v>0.0261438516202996</v>
      </c>
      <c r="Y336" s="4">
        <v>0.0050538216970605</v>
      </c>
      <c r="Z336" s="4">
        <v>-0.008715719550315</v>
      </c>
      <c r="AA336" s="4">
        <v>-0.0015863965616756</v>
      </c>
      <c r="AB336" s="4">
        <v>0.0043604423764247</v>
      </c>
      <c r="AC336" s="4">
        <v>0.0047244225822569</v>
      </c>
      <c r="AD336" s="4">
        <v>0.0</v>
      </c>
      <c r="AE336" s="4">
        <v>-5.173186277669E-4</v>
      </c>
      <c r="AF336" s="4">
        <v>0.0199109465405318</v>
      </c>
      <c r="AG336" s="4">
        <v>0.0093231591630873</v>
      </c>
      <c r="AH336" s="4">
        <v>-0.0659340899265967</v>
      </c>
      <c r="AI336" s="4">
        <v>0.0041192015238729</v>
      </c>
      <c r="AJ336" s="4">
        <v>-0.007195</v>
      </c>
      <c r="AK336" s="4">
        <f>Weights!E392</f>
        <v>-0.003315659773</v>
      </c>
      <c r="AL336" s="5">
        <v>0.0032143264581772</v>
      </c>
      <c r="AM336" s="5">
        <v>0.00380943455675986</v>
      </c>
      <c r="AN336" s="5">
        <v>0.00278059003948794</v>
      </c>
      <c r="AO336" s="5">
        <v>0.00363045852141619</v>
      </c>
      <c r="AP336" s="6">
        <f t="shared" si="3"/>
        <v>1.359656313</v>
      </c>
      <c r="AQ336" s="4">
        <f t="shared" si="4"/>
        <v>1.294164142</v>
      </c>
      <c r="AR336" s="7">
        <f t="shared" si="5"/>
        <v>1.291866995</v>
      </c>
      <c r="AS336" s="5">
        <f t="shared" ref="AS336:AU336" si="338">AS335*(1+AM336)</f>
        <v>1.368556632</v>
      </c>
      <c r="AT336" s="5">
        <f t="shared" si="338"/>
        <v>1.168152883</v>
      </c>
      <c r="AU336" s="5">
        <f t="shared" si="338"/>
        <v>1.165798124</v>
      </c>
    </row>
    <row r="337" ht="15.75" customHeight="1">
      <c r="A337" s="3">
        <v>44319.0</v>
      </c>
      <c r="B337" s="4">
        <v>0.004337</v>
      </c>
      <c r="C337" s="4">
        <v>0.002249</v>
      </c>
      <c r="D337" s="4">
        <v>0.005281</v>
      </c>
      <c r="E337" s="4">
        <v>0.011307</v>
      </c>
      <c r="F337" s="4">
        <v>0.009263</v>
      </c>
      <c r="G337" s="4">
        <v>0.01524</v>
      </c>
      <c r="H337" s="4">
        <v>0.011842</v>
      </c>
      <c r="I337" s="4">
        <v>0.005185</v>
      </c>
      <c r="J337" s="4">
        <v>0.003139</v>
      </c>
      <c r="K337" s="4">
        <v>-0.002327</v>
      </c>
      <c r="L337" s="4">
        <v>0.008491</v>
      </c>
      <c r="M337" s="4">
        <v>0.006865</v>
      </c>
      <c r="N337" s="4">
        <v>0.002781</v>
      </c>
      <c r="O337" s="4">
        <v>0.036016</v>
      </c>
      <c r="P337" s="4">
        <v>0.032847</v>
      </c>
      <c r="Q337" s="4">
        <v>0.044776</v>
      </c>
      <c r="R337" s="4">
        <v>0.026518</v>
      </c>
      <c r="S337" s="4">
        <v>0.043078</v>
      </c>
      <c r="T337" s="4">
        <v>0.041819</v>
      </c>
      <c r="U337" s="4">
        <v>0.009991</v>
      </c>
      <c r="V337" s="4">
        <v>0.0287056978902184</v>
      </c>
      <c r="W337" s="4">
        <v>0.0158753189986939</v>
      </c>
      <c r="X337" s="4">
        <v>0.0</v>
      </c>
      <c r="Y337" s="4">
        <v>0.0102611647516588</v>
      </c>
      <c r="Z337" s="4">
        <v>-0.0049996253283453</v>
      </c>
      <c r="AA337" s="4">
        <v>0.0026478044799256</v>
      </c>
      <c r="AB337" s="4">
        <v>0.0112879566682764</v>
      </c>
      <c r="AC337" s="4">
        <v>0.0</v>
      </c>
      <c r="AD337" s="4">
        <v>0.0</v>
      </c>
      <c r="AE337" s="4">
        <v>0.0091696380740937</v>
      </c>
      <c r="AF337" s="4">
        <v>0.0192653356489471</v>
      </c>
      <c r="AG337" s="4">
        <v>0.0013196588279351</v>
      </c>
      <c r="AH337" s="4">
        <v>0.0281045644692421</v>
      </c>
      <c r="AI337" s="4">
        <v>-0.0063810921651212</v>
      </c>
      <c r="AJ337" s="4">
        <v>0.002748</v>
      </c>
      <c r="AK337" s="4">
        <f>Weights!E393</f>
        <v>0.01092165181</v>
      </c>
      <c r="AL337" s="5">
        <v>-0.00993205566273081</v>
      </c>
      <c r="AM337" s="5">
        <v>-0.00731579462096898</v>
      </c>
      <c r="AN337" s="5">
        <v>6.93313086554514E-4</v>
      </c>
      <c r="AO337" s="5">
        <v>5.17251679017505E-4</v>
      </c>
      <c r="AP337" s="6">
        <f t="shared" si="3"/>
        <v>1.374506006</v>
      </c>
      <c r="AQ337" s="4">
        <f t="shared" si="4"/>
        <v>1.297720505</v>
      </c>
      <c r="AR337" s="7">
        <f t="shared" si="5"/>
        <v>1.2790361</v>
      </c>
      <c r="AS337" s="5">
        <f t="shared" ref="AS337:AU337" si="339">AS336*(1+AM337)</f>
        <v>1.358544553</v>
      </c>
      <c r="AT337" s="5">
        <f t="shared" si="339"/>
        <v>1.168962778</v>
      </c>
      <c r="AU337" s="5">
        <f t="shared" si="339"/>
        <v>1.166401135</v>
      </c>
    </row>
    <row r="338" ht="15.75" customHeight="1">
      <c r="A338" s="3">
        <v>44320.0</v>
      </c>
      <c r="B338" s="4">
        <v>0.00144</v>
      </c>
      <c r="C338" s="4">
        <v>0.01174</v>
      </c>
      <c r="D338" s="4">
        <v>-0.007072</v>
      </c>
      <c r="E338" s="4">
        <v>-0.012552</v>
      </c>
      <c r="F338" s="4">
        <v>-0.006241</v>
      </c>
      <c r="G338" s="4">
        <v>0.015495</v>
      </c>
      <c r="H338" s="4">
        <v>-0.003407</v>
      </c>
      <c r="I338" s="4">
        <v>0.005417</v>
      </c>
      <c r="J338" s="4">
        <v>-0.005811</v>
      </c>
      <c r="K338" s="4">
        <v>-0.001458</v>
      </c>
      <c r="L338" s="4">
        <v>-0.004158</v>
      </c>
      <c r="M338" s="4">
        <v>-0.010455</v>
      </c>
      <c r="N338" s="4">
        <v>-0.001664</v>
      </c>
      <c r="O338" s="4">
        <v>-0.013197</v>
      </c>
      <c r="P338" s="4">
        <v>-0.006826</v>
      </c>
      <c r="Q338" s="4">
        <v>-0.020408</v>
      </c>
      <c r="R338" s="4">
        <v>0.013175</v>
      </c>
      <c r="S338" s="4">
        <v>-0.017633</v>
      </c>
      <c r="T338" s="4">
        <v>0.046208</v>
      </c>
      <c r="U338" s="4">
        <v>0.012053</v>
      </c>
      <c r="V338" s="4">
        <v>-0.0503202188626508</v>
      </c>
      <c r="W338" s="4">
        <v>-0.0040629604522134</v>
      </c>
      <c r="X338" s="4">
        <v>0.0010581629734949</v>
      </c>
      <c r="Y338" s="4">
        <v>-0.0034302885066139</v>
      </c>
      <c r="Z338" s="4">
        <v>-0.008273314150315</v>
      </c>
      <c r="AA338" s="4">
        <v>-3.520303143712E-4</v>
      </c>
      <c r="AB338" s="4">
        <v>-2.860883640578E-4</v>
      </c>
      <c r="AC338" s="4">
        <v>0.004687513378736</v>
      </c>
      <c r="AD338" s="4">
        <v>0.0097721532001946</v>
      </c>
      <c r="AE338" s="4">
        <v>0.0018317917293191</v>
      </c>
      <c r="AF338" s="4">
        <v>-0.0196572210135563</v>
      </c>
      <c r="AG338" s="4">
        <v>-0.0017131244264397</v>
      </c>
      <c r="AH338" s="4">
        <v>0.0178003801359274</v>
      </c>
      <c r="AI338" s="4">
        <v>-9.176125978257E-4</v>
      </c>
      <c r="AJ338" s="4">
        <v>-0.006678</v>
      </c>
      <c r="AK338" s="4">
        <f>Weights!E394</f>
        <v>-0.001874067909</v>
      </c>
      <c r="AL338" s="5">
        <v>0.0052585944008594</v>
      </c>
      <c r="AM338" s="5">
        <v>0.00175031728087127</v>
      </c>
      <c r="AN338" s="5">
        <v>0.0110841324550254</v>
      </c>
      <c r="AO338" s="5">
        <v>0.00929751951679302</v>
      </c>
      <c r="AP338" s="6">
        <f t="shared" si="3"/>
        <v>1.371930089</v>
      </c>
      <c r="AQ338" s="4">
        <f t="shared" si="4"/>
        <v>1.289054328</v>
      </c>
      <c r="AR338" s="7">
        <f t="shared" si="5"/>
        <v>1.285762032</v>
      </c>
      <c r="AS338" s="5">
        <f t="shared" ref="AS338:AU338" si="340">AS337*(1+AM338)</f>
        <v>1.360922437</v>
      </c>
      <c r="AT338" s="5">
        <f t="shared" si="340"/>
        <v>1.181919716</v>
      </c>
      <c r="AU338" s="5">
        <f t="shared" si="340"/>
        <v>1.177245772</v>
      </c>
    </row>
    <row r="339" ht="15.75" customHeight="1">
      <c r="A339" s="3">
        <v>44321.0</v>
      </c>
      <c r="B339" s="4">
        <v>0.009104</v>
      </c>
      <c r="C339" s="4">
        <v>0.001536</v>
      </c>
      <c r="D339" s="4">
        <v>0.009361</v>
      </c>
      <c r="E339" s="4">
        <v>-4.86E-4</v>
      </c>
      <c r="F339" s="4">
        <v>-0.002586</v>
      </c>
      <c r="G339" s="4">
        <v>-0.004172</v>
      </c>
      <c r="H339" s="4">
        <v>-0.008027</v>
      </c>
      <c r="I339" s="4">
        <v>0.024628</v>
      </c>
      <c r="J339" s="4">
        <v>-8.99E-4</v>
      </c>
      <c r="K339" s="4">
        <v>0.013871</v>
      </c>
      <c r="L339" s="4">
        <v>0.011377</v>
      </c>
      <c r="M339" s="4">
        <v>0.017915</v>
      </c>
      <c r="N339" s="4">
        <v>0.013148</v>
      </c>
      <c r="O339" s="4">
        <v>0.002238</v>
      </c>
      <c r="P339" s="4">
        <v>0.012808</v>
      </c>
      <c r="Q339" s="4">
        <v>0.011458</v>
      </c>
      <c r="R339" s="4">
        <v>0.059153</v>
      </c>
      <c r="S339" s="4">
        <v>4.72E-4</v>
      </c>
      <c r="T339" s="4">
        <v>0.035356</v>
      </c>
      <c r="U339" s="4">
        <v>0.012813</v>
      </c>
      <c r="V339" s="4">
        <v>0.0</v>
      </c>
      <c r="W339" s="4">
        <v>-0.0375019642064906</v>
      </c>
      <c r="X339" s="4">
        <v>0.0063424749054317</v>
      </c>
      <c r="Y339" s="4">
        <v>-0.0628375112742668</v>
      </c>
      <c r="Z339" s="4">
        <v>-0.0222539349494824</v>
      </c>
      <c r="AA339" s="4">
        <v>0.0154984654463443</v>
      </c>
      <c r="AB339" s="4">
        <v>5.724732924938E-4</v>
      </c>
      <c r="AC339" s="4">
        <v>-0.0046656431142177</v>
      </c>
      <c r="AD339" s="4">
        <v>0.0</v>
      </c>
      <c r="AE339" s="4">
        <v>0.0055587443020137</v>
      </c>
      <c r="AF339" s="4">
        <v>0.0015424279792077</v>
      </c>
      <c r="AG339" s="4">
        <v>0.0021124042654365</v>
      </c>
      <c r="AH339" s="4">
        <v>-0.0243597228655712</v>
      </c>
      <c r="AI339" s="4">
        <v>9.184553840566E-4</v>
      </c>
      <c r="AJ339" s="4">
        <v>7.04E-4</v>
      </c>
      <c r="AK339" s="4">
        <f>Weights!E395</f>
        <v>0.00308879244</v>
      </c>
      <c r="AL339" s="5">
        <v>-0.00965713311042792</v>
      </c>
      <c r="AM339" s="5">
        <v>-0.00749498017325589</v>
      </c>
      <c r="AN339" s="5">
        <v>-0.00479622046427652</v>
      </c>
      <c r="AO339" s="5">
        <v>-0.0046062652407135</v>
      </c>
      <c r="AP339" s="6">
        <f t="shared" si="3"/>
        <v>1.376167696</v>
      </c>
      <c r="AQ339" s="4">
        <f t="shared" si="4"/>
        <v>1.289961822</v>
      </c>
      <c r="AR339" s="7">
        <f t="shared" si="5"/>
        <v>1.273345257</v>
      </c>
      <c r="AS339" s="5">
        <f t="shared" ref="AS339:AU339" si="341">AS338*(1+AM339)</f>
        <v>1.35072235</v>
      </c>
      <c r="AT339" s="5">
        <f t="shared" si="341"/>
        <v>1.176250969</v>
      </c>
      <c r="AU339" s="5">
        <f t="shared" si="341"/>
        <v>1.171823066</v>
      </c>
    </row>
    <row r="340" ht="15.75" customHeight="1">
      <c r="A340" s="3">
        <v>44322.0</v>
      </c>
      <c r="B340" s="4">
        <v>0.019468</v>
      </c>
      <c r="C340" s="4">
        <v>0.010223</v>
      </c>
      <c r="D340" s="4">
        <v>0.006048</v>
      </c>
      <c r="E340" s="4">
        <v>0.011571</v>
      </c>
      <c r="F340" s="4">
        <v>0.01</v>
      </c>
      <c r="G340" s="4">
        <v>0.00401</v>
      </c>
      <c r="H340" s="4">
        <v>0.012588</v>
      </c>
      <c r="I340" s="4">
        <v>-0.003756</v>
      </c>
      <c r="J340" s="4">
        <v>0.016427</v>
      </c>
      <c r="K340" s="4">
        <v>0.017281</v>
      </c>
      <c r="L340" s="4">
        <v>0.014654</v>
      </c>
      <c r="M340" s="4">
        <v>-0.025722</v>
      </c>
      <c r="N340" s="4">
        <v>-0.006763</v>
      </c>
      <c r="O340" s="4">
        <v>0.002596</v>
      </c>
      <c r="P340" s="4">
        <v>0.031616</v>
      </c>
      <c r="Q340" s="4">
        <v>0.025747</v>
      </c>
      <c r="R340" s="4">
        <v>0.012759</v>
      </c>
      <c r="S340" s="4">
        <v>0.027384</v>
      </c>
      <c r="T340" s="4">
        <v>0.030809</v>
      </c>
      <c r="U340" s="4">
        <v>-2.43E-4</v>
      </c>
      <c r="V340" s="4">
        <v>-0.00289004913896373</v>
      </c>
      <c r="W340" s="4">
        <v>4.890561960415E-4</v>
      </c>
      <c r="X340" s="4">
        <v>0.0084034042321927</v>
      </c>
      <c r="Y340" s="4">
        <v>-0.0018725615089885</v>
      </c>
      <c r="Z340" s="4">
        <v>-0.008286494667852</v>
      </c>
      <c r="AA340" s="4">
        <v>0.0046825961507286</v>
      </c>
      <c r="AB340" s="4">
        <v>0.001144424257095</v>
      </c>
      <c r="AC340" s="4">
        <v>0.0031249129820023</v>
      </c>
      <c r="AD340" s="4">
        <v>0.0016127755607275</v>
      </c>
      <c r="AE340" s="4">
        <v>0.0110561819606214</v>
      </c>
      <c r="AF340" s="4">
        <v>-0.016940515446393</v>
      </c>
      <c r="AG340" s="4">
        <v>0.010406820144623</v>
      </c>
      <c r="AH340" s="4">
        <v>0.0012803932166407</v>
      </c>
      <c r="AI340" s="4">
        <v>-4.58907647775E-4</v>
      </c>
      <c r="AJ340" s="4">
        <v>0.008165</v>
      </c>
      <c r="AK340" s="4">
        <f>Weights!E396</f>
        <v>0.00556626821</v>
      </c>
      <c r="AL340" s="5">
        <v>0.00398180343927312</v>
      </c>
      <c r="AM340" s="5">
        <v>-1.85437142954825E-4</v>
      </c>
      <c r="AN340" s="5">
        <v>-0.00688465865849052</v>
      </c>
      <c r="AO340" s="5">
        <v>-0.00848310848545708</v>
      </c>
      <c r="AP340" s="6">
        <f t="shared" si="3"/>
        <v>1.383827814</v>
      </c>
      <c r="AQ340" s="4">
        <f t="shared" si="4"/>
        <v>1.30049436</v>
      </c>
      <c r="AR340" s="7">
        <f t="shared" si="5"/>
        <v>1.278415468</v>
      </c>
      <c r="AS340" s="5">
        <f t="shared" ref="AS340:AU340" si="342">AS339*(1+AM340)</f>
        <v>1.350471876</v>
      </c>
      <c r="AT340" s="5">
        <f t="shared" si="342"/>
        <v>1.168152883</v>
      </c>
      <c r="AU340" s="5">
        <f t="shared" si="342"/>
        <v>1.161882363</v>
      </c>
    </row>
    <row r="341" ht="15.75" customHeight="1">
      <c r="A341" s="3">
        <v>44323.0</v>
      </c>
      <c r="B341" s="4">
        <v>0.00885</v>
      </c>
      <c r="C341" s="4">
        <v>-0.009614</v>
      </c>
      <c r="D341" s="4">
        <v>0.017234</v>
      </c>
      <c r="E341" s="4">
        <v>3.4E-5</v>
      </c>
      <c r="F341" s="4">
        <v>-5.5E-4</v>
      </c>
      <c r="G341" s="4">
        <v>0.004531</v>
      </c>
      <c r="H341" s="4">
        <v>7.4E-5</v>
      </c>
      <c r="I341" s="4">
        <v>-0.003267</v>
      </c>
      <c r="J341" s="4">
        <v>0.002878</v>
      </c>
      <c r="K341" s="4">
        <v>0.004247</v>
      </c>
      <c r="L341" s="4">
        <v>0.007933</v>
      </c>
      <c r="M341" s="4">
        <v>-0.014358</v>
      </c>
      <c r="N341" s="4">
        <v>0.003312</v>
      </c>
      <c r="O341" s="4">
        <v>0.010668</v>
      </c>
      <c r="P341" s="4">
        <v>0.006578</v>
      </c>
      <c r="Q341" s="4">
        <v>0.052209</v>
      </c>
      <c r="R341" s="4">
        <v>0.045163</v>
      </c>
      <c r="S341" s="4">
        <v>0.005055</v>
      </c>
      <c r="T341" s="4">
        <v>0.032083</v>
      </c>
      <c r="U341" s="4">
        <v>4.87E-4</v>
      </c>
      <c r="V341" s="4">
        <v>0.0265701036713235</v>
      </c>
      <c r="W341" s="4">
        <v>0.0083102116021729</v>
      </c>
      <c r="X341" s="4">
        <v>0.0083333755091705</v>
      </c>
      <c r="Y341" s="4">
        <v>-0.0098133268901046</v>
      </c>
      <c r="Z341" s="4">
        <v>0.0336935980855415</v>
      </c>
      <c r="AA341" s="4">
        <v>-0.004488271813856</v>
      </c>
      <c r="AB341" s="4">
        <v>0.0017148066677306</v>
      </c>
      <c r="AC341" s="4">
        <v>-0.0031151783208263</v>
      </c>
      <c r="AD341" s="4">
        <v>0.0096616287365698</v>
      </c>
      <c r="AE341" s="4">
        <v>-0.0085610676448383</v>
      </c>
      <c r="AF341" s="4">
        <v>0.0135769981184448</v>
      </c>
      <c r="AG341" s="4">
        <v>-2.624584845064E-4</v>
      </c>
      <c r="AH341" s="4">
        <v>-0.0063938557520351</v>
      </c>
      <c r="AI341" s="4">
        <v>4.591183406927E-4</v>
      </c>
      <c r="AJ341" s="4">
        <v>0.007373</v>
      </c>
      <c r="AK341" s="4">
        <f>Weights!E397</f>
        <v>0.005354865258</v>
      </c>
      <c r="AL341" s="5">
        <v>0.00777008999701744</v>
      </c>
      <c r="AM341" s="5">
        <v>0.00509709367452093</v>
      </c>
      <c r="AN341" s="5">
        <v>0.00311979712489285</v>
      </c>
      <c r="AO341" s="5">
        <v>0.00596315925670865</v>
      </c>
      <c r="AP341" s="6">
        <f t="shared" si="3"/>
        <v>1.391238026</v>
      </c>
      <c r="AQ341" s="4">
        <f t="shared" si="4"/>
        <v>1.310082905</v>
      </c>
      <c r="AR341" s="7">
        <f t="shared" si="5"/>
        <v>1.288348871</v>
      </c>
      <c r="AS341" s="5">
        <f t="shared" ref="AS341:AU341" si="343">AS340*(1+AM341)</f>
        <v>1.357355358</v>
      </c>
      <c r="AT341" s="5">
        <f t="shared" si="343"/>
        <v>1.171797283</v>
      </c>
      <c r="AU341" s="5">
        <f t="shared" si="343"/>
        <v>1.168810853</v>
      </c>
    </row>
    <row r="342" ht="15.75" customHeight="1">
      <c r="A342" s="3">
        <v>44326.0</v>
      </c>
      <c r="B342" s="4">
        <v>0.003693</v>
      </c>
      <c r="C342" s="4">
        <v>0.013624</v>
      </c>
      <c r="D342" s="4">
        <v>0.011032</v>
      </c>
      <c r="E342" s="4">
        <v>0.007969</v>
      </c>
      <c r="F342" s="4">
        <v>0.007338</v>
      </c>
      <c r="G342" s="4">
        <v>0.010504</v>
      </c>
      <c r="H342" s="4">
        <v>0.018646</v>
      </c>
      <c r="I342" s="4">
        <v>0.009834</v>
      </c>
      <c r="J342" s="4">
        <v>0.004194</v>
      </c>
      <c r="K342" s="4">
        <v>-1.41E-4</v>
      </c>
      <c r="L342" s="4">
        <v>0.004339</v>
      </c>
      <c r="M342" s="4">
        <v>0.011278</v>
      </c>
      <c r="N342" s="4">
        <v>-7.34E-4</v>
      </c>
      <c r="O342" s="4">
        <v>-0.009992</v>
      </c>
      <c r="P342" s="4">
        <v>0.015149</v>
      </c>
      <c r="Q342" s="4">
        <v>-0.01145</v>
      </c>
      <c r="R342" s="4">
        <v>-0.027974</v>
      </c>
      <c r="S342" s="4">
        <v>-0.002286</v>
      </c>
      <c r="T342" s="4">
        <v>0.025719</v>
      </c>
      <c r="U342" s="4">
        <v>0.00227</v>
      </c>
      <c r="V342" s="4">
        <v>-0.0216473517650641</v>
      </c>
      <c r="W342" s="4">
        <v>0.0122818630677921</v>
      </c>
      <c r="X342" s="4">
        <v>0.0</v>
      </c>
      <c r="Y342" s="4">
        <v>-0.0100557900383303</v>
      </c>
      <c r="Z342" s="4">
        <v>0.0064931072517966</v>
      </c>
      <c r="AA342" s="4">
        <v>-0.005548748419439</v>
      </c>
      <c r="AB342" s="4">
        <v>0.0054210686761799</v>
      </c>
      <c r="AC342" s="4">
        <v>0.0</v>
      </c>
      <c r="AD342" s="4">
        <v>0.0</v>
      </c>
      <c r="AE342" s="4">
        <v>-0.0036282619992318</v>
      </c>
      <c r="AF342" s="4">
        <v>0.0048944527626499</v>
      </c>
      <c r="AG342" s="4">
        <v>-0.0017064280158031</v>
      </c>
      <c r="AH342" s="4">
        <v>0.0083655156219784</v>
      </c>
      <c r="AI342" s="4">
        <v>-0.0018352251956514</v>
      </c>
      <c r="AJ342" s="4">
        <v>-0.010436</v>
      </c>
      <c r="AK342" s="4">
        <f>Weights!E398</f>
        <v>0.002049177835</v>
      </c>
      <c r="AL342" s="5">
        <v>0.00979836207577045</v>
      </c>
      <c r="AM342" s="5">
        <v>0.00848275567831757</v>
      </c>
      <c r="AN342" s="5">
        <v>0.00103632669723752</v>
      </c>
      <c r="AO342" s="5">
        <v>-2.57793385897264E-4</v>
      </c>
      <c r="AP342" s="6">
        <f t="shared" si="3"/>
        <v>1.39408892</v>
      </c>
      <c r="AQ342" s="4">
        <f t="shared" si="4"/>
        <v>1.29641088</v>
      </c>
      <c r="AR342" s="7">
        <f t="shared" si="5"/>
        <v>1.30097258</v>
      </c>
      <c r="AS342" s="5">
        <f t="shared" ref="AS342:AU342" si="344">AS341*(1+AM342)</f>
        <v>1.368869472</v>
      </c>
      <c r="AT342" s="5">
        <f t="shared" si="344"/>
        <v>1.173011647</v>
      </c>
      <c r="AU342" s="5">
        <f t="shared" si="344"/>
        <v>1.168509541</v>
      </c>
    </row>
    <row r="343" ht="15.75" customHeight="1">
      <c r="A343" s="3">
        <v>44327.0</v>
      </c>
      <c r="B343" s="4">
        <v>0.00184</v>
      </c>
      <c r="C343" s="4">
        <v>-0.016465</v>
      </c>
      <c r="D343" s="4">
        <v>-0.00721</v>
      </c>
      <c r="E343" s="4">
        <v>-0.007293</v>
      </c>
      <c r="F343" s="4">
        <v>-0.010745</v>
      </c>
      <c r="G343" s="4">
        <v>-0.008164</v>
      </c>
      <c r="H343" s="4">
        <v>-0.004939</v>
      </c>
      <c r="I343" s="4">
        <v>-0.004744</v>
      </c>
      <c r="J343" s="4">
        <v>-0.002418</v>
      </c>
      <c r="K343" s="4">
        <v>-0.002961</v>
      </c>
      <c r="L343" s="4">
        <v>-0.008741</v>
      </c>
      <c r="M343" s="4">
        <v>-0.016729</v>
      </c>
      <c r="N343" s="4">
        <v>-0.01138</v>
      </c>
      <c r="O343" s="4">
        <v>0.007971</v>
      </c>
      <c r="P343" s="4">
        <v>0.006291</v>
      </c>
      <c r="Q343" s="4">
        <v>0.023166</v>
      </c>
      <c r="R343" s="4">
        <v>0.048198</v>
      </c>
      <c r="S343" s="4">
        <v>0.021769</v>
      </c>
      <c r="T343" s="4">
        <v>0.006713</v>
      </c>
      <c r="U343" s="4">
        <v>-0.019536</v>
      </c>
      <c r="V343" s="4">
        <v>-0.0351129019489241</v>
      </c>
      <c r="W343" s="4">
        <v>0.0220305654572725</v>
      </c>
      <c r="X343" s="4">
        <v>0.0176531453087465</v>
      </c>
      <c r="Y343" s="4">
        <v>0.0042693311696875</v>
      </c>
      <c r="Z343" s="4">
        <v>-0.004178186245086</v>
      </c>
      <c r="AA343" s="4">
        <v>-0.0076719651795854</v>
      </c>
      <c r="AB343" s="4">
        <v>0.0056750969942542</v>
      </c>
      <c r="AC343" s="4">
        <v>0.0031153935069871</v>
      </c>
      <c r="AD343" s="4">
        <v>0.0031595813807179</v>
      </c>
      <c r="AE343" s="4">
        <v>-0.0045880912075519</v>
      </c>
      <c r="AF343" s="4">
        <v>0.0279414807437383</v>
      </c>
      <c r="AG343" s="4">
        <v>-0.0039447551127999</v>
      </c>
      <c r="AH343" s="4">
        <v>0.0019144996302382</v>
      </c>
      <c r="AI343" s="4">
        <v>7.372471024644E-4</v>
      </c>
      <c r="AJ343" s="4">
        <v>-0.008674</v>
      </c>
      <c r="AK343" s="4">
        <f>Weights!E399</f>
        <v>-0.0006111750817</v>
      </c>
      <c r="AL343" s="5">
        <v>-0.00890791750249575</v>
      </c>
      <c r="AM343" s="5">
        <v>-0.0117484371362057</v>
      </c>
      <c r="AN343" s="5">
        <v>0.00690389353981424</v>
      </c>
      <c r="AO343" s="5">
        <v>0.00567170061010613</v>
      </c>
      <c r="AP343" s="6">
        <f t="shared" si="3"/>
        <v>1.393236888</v>
      </c>
      <c r="AQ343" s="4">
        <f t="shared" si="4"/>
        <v>1.285165812</v>
      </c>
      <c r="AR343" s="7">
        <f t="shared" si="5"/>
        <v>1.289383623</v>
      </c>
      <c r="AS343" s="5">
        <f t="shared" ref="AS343:AU343" si="345">AS342*(1+AM343)</f>
        <v>1.352787395</v>
      </c>
      <c r="AT343" s="5">
        <f t="shared" si="345"/>
        <v>1.181109995</v>
      </c>
      <c r="AU343" s="5">
        <f t="shared" si="345"/>
        <v>1.175136978</v>
      </c>
    </row>
    <row r="344" ht="15.75" customHeight="1">
      <c r="A344" s="3">
        <v>44328.0</v>
      </c>
      <c r="B344" s="4">
        <v>-0.008724</v>
      </c>
      <c r="C344" s="4">
        <v>-0.002221</v>
      </c>
      <c r="D344" s="4">
        <v>-0.013543</v>
      </c>
      <c r="E344" s="4">
        <v>-0.009749</v>
      </c>
      <c r="F344" s="4">
        <v>-0.005155</v>
      </c>
      <c r="G344" s="4">
        <v>-0.004027</v>
      </c>
      <c r="H344" s="4">
        <v>-0.010585</v>
      </c>
      <c r="I344" s="4">
        <v>-7.53E-4</v>
      </c>
      <c r="J344" s="4">
        <v>-0.003967</v>
      </c>
      <c r="K344" s="4">
        <v>-2.83E-4</v>
      </c>
      <c r="L344" s="4">
        <v>0.002027</v>
      </c>
      <c r="M344" s="4">
        <v>-0.004726</v>
      </c>
      <c r="N344" s="4">
        <v>-0.011697</v>
      </c>
      <c r="O344" s="4">
        <v>-0.010475</v>
      </c>
      <c r="P344" s="4">
        <v>-0.013376</v>
      </c>
      <c r="Q344" s="4">
        <v>-0.00283</v>
      </c>
      <c r="R344" s="4">
        <v>-0.045759</v>
      </c>
      <c r="S344" s="4">
        <v>-0.022875</v>
      </c>
      <c r="T344" s="4">
        <v>-0.058737</v>
      </c>
      <c r="U344" s="4">
        <v>-0.016529</v>
      </c>
      <c r="V344" s="4">
        <v>-0.011465638287594</v>
      </c>
      <c r="W344" s="4">
        <v>-0.009840558830821</v>
      </c>
      <c r="X344" s="4">
        <v>-0.0020409438951806</v>
      </c>
      <c r="Y344" s="4">
        <v>-0.0186179621847977</v>
      </c>
      <c r="Z344" s="4">
        <v>0.0083692510562878</v>
      </c>
      <c r="AA344" s="4">
        <v>-0.0019331741726063</v>
      </c>
      <c r="AB344" s="4">
        <v>0.0022573989922445</v>
      </c>
      <c r="AC344" s="4">
        <v>0.0015528232337136</v>
      </c>
      <c r="AD344" s="4">
        <v>0.0015873778966244</v>
      </c>
      <c r="AE344" s="4">
        <v>0.0029995898224006</v>
      </c>
      <c r="AF344" s="4">
        <v>-0.014713175802024</v>
      </c>
      <c r="AG344" s="4">
        <v>-0.0084491314319675</v>
      </c>
      <c r="AH344" s="4">
        <v>0.0331209712291806</v>
      </c>
      <c r="AI344" s="4">
        <v>-0.0023019335714405</v>
      </c>
      <c r="AJ344" s="4">
        <v>-0.021449</v>
      </c>
      <c r="AK344" s="4">
        <f>Weights!E400</f>
        <v>-0.005483196295</v>
      </c>
      <c r="AL344" s="5">
        <v>-0.0104325253991642</v>
      </c>
      <c r="AM344" s="5">
        <v>-0.00804881361817921</v>
      </c>
      <c r="AN344" s="5">
        <v>-0.00102852402123487</v>
      </c>
      <c r="AO344" s="5">
        <v>-5.12921160224388E-4</v>
      </c>
      <c r="AP344" s="6">
        <f t="shared" si="3"/>
        <v>1.385597496</v>
      </c>
      <c r="AQ344" s="4">
        <f t="shared" si="4"/>
        <v>1.257600291</v>
      </c>
      <c r="AR344" s="7">
        <f t="shared" si="5"/>
        <v>1.275932096</v>
      </c>
      <c r="AS344" s="5">
        <f t="shared" ref="AS344:AU344" si="346">AS343*(1+AM344)</f>
        <v>1.341899061</v>
      </c>
      <c r="AT344" s="5">
        <f t="shared" si="346"/>
        <v>1.179895195</v>
      </c>
      <c r="AU344" s="5">
        <f t="shared" si="346"/>
        <v>1.174534225</v>
      </c>
    </row>
    <row r="345" ht="15.75" customHeight="1">
      <c r="A345" s="3">
        <v>44329.0</v>
      </c>
      <c r="B345" s="4">
        <v>-4.63E-4</v>
      </c>
      <c r="C345" s="4">
        <v>0.006848</v>
      </c>
      <c r="D345" s="4">
        <v>0.00776</v>
      </c>
      <c r="E345" s="4">
        <v>0.014837</v>
      </c>
      <c r="F345" s="4">
        <v>0.008697</v>
      </c>
      <c r="G345" s="4">
        <v>0.010464</v>
      </c>
      <c r="H345" s="4">
        <v>0.016084</v>
      </c>
      <c r="I345" s="4">
        <v>-0.018837</v>
      </c>
      <c r="J345" s="4">
        <v>0.002434</v>
      </c>
      <c r="K345" s="4">
        <v>0.012306</v>
      </c>
      <c r="L345" s="4">
        <v>0.007991</v>
      </c>
      <c r="M345" s="4">
        <v>0.009972</v>
      </c>
      <c r="N345" s="4">
        <v>0.004509</v>
      </c>
      <c r="O345" s="4">
        <v>0.013207</v>
      </c>
      <c r="P345" s="4">
        <v>0.01562</v>
      </c>
      <c r="Q345" s="4">
        <v>0.003784</v>
      </c>
      <c r="R345" s="4">
        <v>-0.018246</v>
      </c>
      <c r="S345" s="4">
        <v>0.007115</v>
      </c>
      <c r="T345" s="4">
        <v>0.050109</v>
      </c>
      <c r="U345" s="4">
        <v>0.01042</v>
      </c>
      <c r="V345" s="4">
        <v>0.011094276935144</v>
      </c>
      <c r="W345" s="4">
        <v>0.0014196435914766</v>
      </c>
      <c r="X345" s="4">
        <v>0.042944924075595</v>
      </c>
      <c r="Y345" s="4">
        <v>0.0022408233337867</v>
      </c>
      <c r="Z345" s="4">
        <v>-0.0056912131273649</v>
      </c>
      <c r="AA345" s="4">
        <v>-0.0066899961238238</v>
      </c>
      <c r="AB345" s="4">
        <v>0.0039414036386569</v>
      </c>
      <c r="AC345" s="4">
        <v>0.0015503443170867</v>
      </c>
      <c r="AD345" s="4">
        <v>0.0110935820329163</v>
      </c>
      <c r="AE345" s="4">
        <v>-0.0066379373790976</v>
      </c>
      <c r="AF345" s="4">
        <v>-0.0169577668672009</v>
      </c>
      <c r="AG345" s="4">
        <v>0.0038613344664768</v>
      </c>
      <c r="AH345" s="4">
        <v>-0.0012330297636642</v>
      </c>
      <c r="AI345" s="4">
        <v>0.0013844688506712</v>
      </c>
      <c r="AJ345" s="4">
        <v>0.012173</v>
      </c>
      <c r="AK345" s="4">
        <f>Weights!E401</f>
        <v>0.005084445934</v>
      </c>
      <c r="AL345" s="5">
        <v>-0.0200308357542464</v>
      </c>
      <c r="AM345" s="5">
        <v>-0.0225237126855002</v>
      </c>
      <c r="AN345" s="5">
        <v>0.00892256063636587</v>
      </c>
      <c r="AO345" s="5">
        <v>0.00923302861291697</v>
      </c>
      <c r="AP345" s="6">
        <f t="shared" si="3"/>
        <v>1.392642492</v>
      </c>
      <c r="AQ345" s="4">
        <f t="shared" si="4"/>
        <v>1.272909059</v>
      </c>
      <c r="AR345" s="7">
        <f t="shared" si="5"/>
        <v>1.25037411</v>
      </c>
      <c r="AS345" s="5">
        <f t="shared" ref="AS345:AU345" si="347">AS344*(1+AM345)</f>
        <v>1.311674512</v>
      </c>
      <c r="AT345" s="5">
        <f t="shared" si="347"/>
        <v>1.190422881</v>
      </c>
      <c r="AU345" s="5">
        <f t="shared" si="347"/>
        <v>1.185378733</v>
      </c>
    </row>
    <row r="346" ht="15.75" customHeight="1">
      <c r="A346" s="3">
        <v>44330.0</v>
      </c>
      <c r="B346" s="4">
        <v>0.008804</v>
      </c>
      <c r="C346" s="4">
        <v>-0.002041</v>
      </c>
      <c r="D346" s="4">
        <v>0.009477</v>
      </c>
      <c r="E346" s="4">
        <v>0.001503</v>
      </c>
      <c r="F346" s="4">
        <v>0.004036</v>
      </c>
      <c r="G346" s="4">
        <v>0.00153</v>
      </c>
      <c r="H346" s="4">
        <v>0.002106</v>
      </c>
      <c r="I346" s="4">
        <v>0.014587</v>
      </c>
      <c r="J346" s="4">
        <v>0.011606</v>
      </c>
      <c r="K346" s="4">
        <v>0.011737</v>
      </c>
      <c r="L346" s="4">
        <v>0.009032</v>
      </c>
      <c r="M346" s="4">
        <v>0.017395</v>
      </c>
      <c r="N346" s="4">
        <v>0.014401</v>
      </c>
      <c r="O346" s="4">
        <v>0.002874</v>
      </c>
      <c r="P346" s="4">
        <v>0.026553</v>
      </c>
      <c r="Q346" s="4">
        <v>0.057493</v>
      </c>
      <c r="R346" s="4">
        <v>0.007624</v>
      </c>
      <c r="S346" s="4">
        <v>0.030082</v>
      </c>
      <c r="T346" s="4">
        <v>0.016964</v>
      </c>
      <c r="U346" s="4">
        <v>0.008483</v>
      </c>
      <c r="V346" s="4">
        <v>0.0244388490867129</v>
      </c>
      <c r="W346" s="4">
        <v>-0.010239392634031</v>
      </c>
      <c r="X346" s="4">
        <v>-0.0303921575569325</v>
      </c>
      <c r="Y346" s="4">
        <v>-0.0105819439147447</v>
      </c>
      <c r="Z346" s="4">
        <v>-0.0038594833554461</v>
      </c>
      <c r="AA346" s="4">
        <v>-0.0021269121499498</v>
      </c>
      <c r="AB346" s="4">
        <v>0.0011217686213658</v>
      </c>
      <c r="AC346" s="4">
        <v>0.0015480157547456</v>
      </c>
      <c r="AD346" s="4">
        <v>-0.004702240546233</v>
      </c>
      <c r="AE346" s="4">
        <v>0.0058747050242096</v>
      </c>
      <c r="AF346" s="4">
        <v>0.0090113021960955</v>
      </c>
      <c r="AG346" s="4">
        <v>0.012864749252849</v>
      </c>
      <c r="AH346" s="4">
        <v>0.0123456672022499</v>
      </c>
      <c r="AI346" s="4">
        <v>-0.00138255474669</v>
      </c>
      <c r="AJ346" s="4">
        <v>0.014918</v>
      </c>
      <c r="AK346" s="4">
        <f>Weights!E402</f>
        <v>0.007564411351</v>
      </c>
      <c r="AL346" s="5">
        <v>0.0111716782698858</v>
      </c>
      <c r="AM346" s="5">
        <v>0.0110204247345697</v>
      </c>
      <c r="AN346" s="5">
        <v>-0.00510216914207639</v>
      </c>
      <c r="AO346" s="5">
        <v>-0.0048281975895309</v>
      </c>
      <c r="AP346" s="6">
        <f t="shared" si="3"/>
        <v>1.403177013</v>
      </c>
      <c r="AQ346" s="4">
        <f t="shared" si="4"/>
        <v>1.291898316</v>
      </c>
      <c r="AR346" s="7">
        <f t="shared" si="5"/>
        <v>1.264342887</v>
      </c>
      <c r="AS346" s="5">
        <f t="shared" ref="AS346:AU346" si="348">AS345*(1+AM346)</f>
        <v>1.326129723</v>
      </c>
      <c r="AT346" s="5">
        <f t="shared" si="348"/>
        <v>1.184349142</v>
      </c>
      <c r="AU346" s="5">
        <f t="shared" si="348"/>
        <v>1.17965549</v>
      </c>
    </row>
    <row r="347" ht="15.75" customHeight="1">
      <c r="A347" s="3">
        <v>44333.0</v>
      </c>
      <c r="B347" s="4">
        <v>0.005053</v>
      </c>
      <c r="C347" s="4">
        <v>-0.012779</v>
      </c>
      <c r="D347" s="4">
        <v>-0.002543</v>
      </c>
      <c r="E347" s="4">
        <v>-0.002865</v>
      </c>
      <c r="F347" s="4">
        <v>-0.001644</v>
      </c>
      <c r="G347" s="4">
        <v>9.99E-4</v>
      </c>
      <c r="H347" s="4">
        <v>-0.002029</v>
      </c>
      <c r="I347" s="4">
        <v>-0.004365</v>
      </c>
      <c r="J347" s="4">
        <v>-8.81E-4</v>
      </c>
      <c r="K347" s="4">
        <v>0.011739</v>
      </c>
      <c r="L347" s="4">
        <v>0.007161</v>
      </c>
      <c r="M347" s="4">
        <v>-0.006416</v>
      </c>
      <c r="N347" s="4">
        <v>0.006268</v>
      </c>
      <c r="O347" s="4">
        <v>-0.002149</v>
      </c>
      <c r="P347" s="4">
        <v>0.045936</v>
      </c>
      <c r="Q347" s="4">
        <v>0.045454</v>
      </c>
      <c r="R347" s="4">
        <v>0.044691</v>
      </c>
      <c r="S347" s="4">
        <v>0.052434</v>
      </c>
      <c r="T347" s="4">
        <v>0.037167</v>
      </c>
      <c r="U347" s="4">
        <v>0.005938</v>
      </c>
      <c r="V347" s="4">
        <v>-0.0185002686090338</v>
      </c>
      <c r="W347" s="4">
        <v>-0.0227597876033661</v>
      </c>
      <c r="X347" s="4">
        <v>0.0</v>
      </c>
      <c r="Y347" s="4">
        <v>-0.0033141109226072</v>
      </c>
      <c r="Z347" s="4">
        <v>-0.0015886933010412</v>
      </c>
      <c r="AA347" s="4">
        <v>0.003736729981584</v>
      </c>
      <c r="AB347" s="4">
        <v>-0.0016806375402079</v>
      </c>
      <c r="AC347" s="4">
        <v>0.0</v>
      </c>
      <c r="AD347" s="4">
        <v>0.0</v>
      </c>
      <c r="AE347" s="4">
        <v>-0.0111697391911366</v>
      </c>
      <c r="AF347" s="4">
        <v>-0.0216892148603333</v>
      </c>
      <c r="AG347" s="4">
        <v>3.925861451878E-4</v>
      </c>
      <c r="AH347" s="4">
        <v>-0.0054877706169015</v>
      </c>
      <c r="AI347" s="4">
        <v>0.0013844688506712</v>
      </c>
      <c r="AJ347" s="4">
        <v>-0.00253</v>
      </c>
      <c r="AK347" s="4">
        <f>Weights!E403</f>
        <v>0.002829087718</v>
      </c>
      <c r="AL347" s="5">
        <v>0.0160406186551662</v>
      </c>
      <c r="AM347" s="5">
        <v>0.0170818274403101</v>
      </c>
      <c r="AN347" s="5">
        <v>-0.00341886535207314</v>
      </c>
      <c r="AO347" s="5">
        <v>-0.00485206029921792</v>
      </c>
      <c r="AP347" s="6">
        <f t="shared" si="3"/>
        <v>1.407146723</v>
      </c>
      <c r="AQ347" s="4">
        <f t="shared" si="4"/>
        <v>1.288629814</v>
      </c>
      <c r="AR347" s="7">
        <f t="shared" si="5"/>
        <v>1.284623729</v>
      </c>
      <c r="AS347" s="5">
        <f t="shared" ref="AS347:AU347" si="349">AS346*(1+AM347)</f>
        <v>1.348782442</v>
      </c>
      <c r="AT347" s="5">
        <f t="shared" si="349"/>
        <v>1.180300012</v>
      </c>
      <c r="AU347" s="5">
        <f t="shared" si="349"/>
        <v>1.173931731</v>
      </c>
    </row>
    <row r="348" ht="15.75" customHeight="1">
      <c r="A348" s="3">
        <v>44334.0</v>
      </c>
      <c r="B348" s="4">
        <v>0.003199</v>
      </c>
      <c r="C348" s="4">
        <v>-0.013117</v>
      </c>
      <c r="D348" s="4">
        <v>-3.92E-4</v>
      </c>
      <c r="E348" s="4">
        <v>-0.004515</v>
      </c>
      <c r="F348" s="4">
        <v>-0.00549</v>
      </c>
      <c r="G348" s="4">
        <v>3.52E-4</v>
      </c>
      <c r="H348" s="4">
        <v>-0.010237</v>
      </c>
      <c r="I348" s="4">
        <v>0.002063</v>
      </c>
      <c r="J348" s="4">
        <v>0.006611</v>
      </c>
      <c r="K348" s="4">
        <v>-0.001638</v>
      </c>
      <c r="L348" s="4">
        <v>0.006122</v>
      </c>
      <c r="M348" s="4">
        <v>-0.009873</v>
      </c>
      <c r="N348" s="4">
        <v>-7.33E-4</v>
      </c>
      <c r="O348" s="4">
        <v>-0.007487</v>
      </c>
      <c r="P348" s="4">
        <v>0.005135</v>
      </c>
      <c r="Q348" s="4">
        <v>0.01705</v>
      </c>
      <c r="R348" s="4">
        <v>-0.012449</v>
      </c>
      <c r="S348" s="4">
        <v>-0.001682</v>
      </c>
      <c r="T348" s="4">
        <v>-0.026806</v>
      </c>
      <c r="U348" s="4">
        <v>-0.005903</v>
      </c>
      <c r="V348" s="4">
        <v>-0.00148821302651014</v>
      </c>
      <c r="W348" s="4">
        <v>0.0</v>
      </c>
      <c r="X348" s="4">
        <v>0.0050556289804455</v>
      </c>
      <c r="Y348" s="4">
        <v>0.0130735872401339</v>
      </c>
      <c r="Z348" s="4">
        <v>7.629271968787E-4</v>
      </c>
      <c r="AA348" s="4">
        <v>0.0080546460127206</v>
      </c>
      <c r="AB348" s="4">
        <v>0.0025251351674686</v>
      </c>
      <c r="AC348" s="4">
        <v>0.0015431667772076</v>
      </c>
      <c r="AD348" s="4">
        <v>-0.0111285838765269</v>
      </c>
      <c r="AE348" s="4">
        <v>-3.690713036408E-4</v>
      </c>
      <c r="AF348" s="4">
        <v>0.0</v>
      </c>
      <c r="AG348" s="4">
        <v>0.0168849333315626</v>
      </c>
      <c r="AH348" s="4">
        <v>-0.0147149282770859</v>
      </c>
      <c r="AI348" s="4">
        <v>9.215000566671E-4</v>
      </c>
      <c r="AJ348" s="4">
        <v>-0.008517</v>
      </c>
      <c r="AK348" s="4">
        <f>Weights!E404</f>
        <v>-0.0001397984852</v>
      </c>
      <c r="AL348" s="5">
        <v>-0.00354413231147676</v>
      </c>
      <c r="AM348" s="5">
        <v>-0.00213431822929499</v>
      </c>
      <c r="AN348" s="5">
        <v>-0.00651784117619946</v>
      </c>
      <c r="AO348" s="5">
        <v>-0.00898120847222927</v>
      </c>
      <c r="AP348" s="6">
        <f t="shared" si="3"/>
        <v>1.406950006</v>
      </c>
      <c r="AQ348" s="4">
        <f t="shared" si="4"/>
        <v>1.277654553</v>
      </c>
      <c r="AR348" s="7">
        <f t="shared" si="5"/>
        <v>1.280070852</v>
      </c>
      <c r="AS348" s="5">
        <f t="shared" ref="AS348:AU348" si="350">AS347*(1+AM348)</f>
        <v>1.345903711</v>
      </c>
      <c r="AT348" s="5">
        <f t="shared" si="350"/>
        <v>1.172607004</v>
      </c>
      <c r="AU348" s="5">
        <f t="shared" si="350"/>
        <v>1.163388405</v>
      </c>
    </row>
    <row r="349" ht="15.75" customHeight="1">
      <c r="A349" s="3">
        <v>44335.0</v>
      </c>
      <c r="B349" s="4">
        <v>-0.006378</v>
      </c>
      <c r="C349" s="4">
        <v>-0.004547</v>
      </c>
      <c r="D349" s="4">
        <v>-0.002942</v>
      </c>
      <c r="E349" s="4">
        <v>-5.5E-4</v>
      </c>
      <c r="F349" s="4">
        <v>-0.003128</v>
      </c>
      <c r="G349" s="4">
        <v>-0.002171</v>
      </c>
      <c r="H349" s="4">
        <v>0.002054</v>
      </c>
      <c r="I349" s="4">
        <v>-0.02316</v>
      </c>
      <c r="J349" s="4">
        <v>-0.0081</v>
      </c>
      <c r="K349" s="4">
        <v>-0.012032</v>
      </c>
      <c r="L349" s="4">
        <v>-0.005496</v>
      </c>
      <c r="M349" s="4">
        <v>-0.024217</v>
      </c>
      <c r="N349" s="4">
        <v>-0.014852</v>
      </c>
      <c r="O349" s="4">
        <v>0.001653</v>
      </c>
      <c r="P349" s="4">
        <v>-0.00968</v>
      </c>
      <c r="Q349" s="4">
        <v>-0.005868</v>
      </c>
      <c r="R349" s="4">
        <v>-0.066697</v>
      </c>
      <c r="S349" s="4">
        <v>-0.009686</v>
      </c>
      <c r="T349" s="4">
        <v>-0.018749</v>
      </c>
      <c r="U349" s="4">
        <v>-0.015174</v>
      </c>
      <c r="V349" s="4">
        <v>-0.0206160104349616</v>
      </c>
      <c r="W349" s="4">
        <v>0.0022801921789377</v>
      </c>
      <c r="X349" s="4">
        <v>0.0040241321103244</v>
      </c>
      <c r="Y349" s="4">
        <v>-0.0026855033759207</v>
      </c>
      <c r="Z349" s="4">
        <v>0.0058814401722864</v>
      </c>
      <c r="AA349" s="4">
        <v>-0.0031961314906037</v>
      </c>
      <c r="AB349" s="4">
        <v>0.0050378744669068</v>
      </c>
      <c r="AC349" s="4">
        <v>-0.0015407890826845</v>
      </c>
      <c r="AD349" s="4">
        <v>0.0</v>
      </c>
      <c r="AE349" s="4">
        <v>-4.429570858299E-4</v>
      </c>
      <c r="AF349" s="4">
        <v>-0.0336462907694229</v>
      </c>
      <c r="AG349" s="4">
        <v>0.0441497991234052</v>
      </c>
      <c r="AH349" s="4">
        <v>-0.0093341541737383</v>
      </c>
      <c r="AI349" s="4">
        <v>-9.206516760953E-4</v>
      </c>
      <c r="AJ349" s="4">
        <v>-0.002943</v>
      </c>
      <c r="AK349" s="4">
        <f>Weights!E405</f>
        <v>-0.006243928434</v>
      </c>
      <c r="AL349" s="5">
        <v>-0.00307156672198205</v>
      </c>
      <c r="AM349" s="5">
        <v>-0.00781090327988431</v>
      </c>
      <c r="AN349" s="5">
        <v>0.00379832929032808</v>
      </c>
      <c r="AO349" s="5">
        <v>0.0031071618208589</v>
      </c>
      <c r="AP349" s="6">
        <f t="shared" si="3"/>
        <v>1.398165111</v>
      </c>
      <c r="AQ349" s="4">
        <f t="shared" si="4"/>
        <v>1.273894416</v>
      </c>
      <c r="AR349" s="7">
        <f t="shared" si="5"/>
        <v>1.276139029</v>
      </c>
      <c r="AS349" s="5">
        <f t="shared" ref="AS349:AU349" si="351">AS348*(1+AM349)</f>
        <v>1.335390987</v>
      </c>
      <c r="AT349" s="5">
        <f t="shared" si="351"/>
        <v>1.177060952</v>
      </c>
      <c r="AU349" s="5">
        <f t="shared" si="351"/>
        <v>1.167003241</v>
      </c>
    </row>
    <row r="350" ht="15.75" customHeight="1">
      <c r="A350" s="3">
        <v>44336.0</v>
      </c>
      <c r="B350" s="4">
        <v>0.013755</v>
      </c>
      <c r="C350" s="4">
        <v>-0.002284</v>
      </c>
      <c r="D350" s="4">
        <v>0.006689</v>
      </c>
      <c r="E350" s="4">
        <v>0.012377</v>
      </c>
      <c r="F350" s="4">
        <v>0.008861</v>
      </c>
      <c r="G350" s="4">
        <v>0.005821</v>
      </c>
      <c r="H350" s="4">
        <v>0.010249</v>
      </c>
      <c r="I350" s="4">
        <v>0.016596</v>
      </c>
      <c r="J350" s="4">
        <v>0.011697</v>
      </c>
      <c r="K350" s="4">
        <v>0.008718</v>
      </c>
      <c r="L350" s="4">
        <v>0.006316</v>
      </c>
      <c r="M350" s="4">
        <v>0.005353</v>
      </c>
      <c r="N350" s="4">
        <v>0.001675</v>
      </c>
      <c r="O350" s="4">
        <v>0.025224</v>
      </c>
      <c r="P350" s="4">
        <v>0.002579</v>
      </c>
      <c r="Q350" s="4">
        <v>0.024452</v>
      </c>
      <c r="R350" s="4">
        <v>0.012279</v>
      </c>
      <c r="S350" s="4">
        <v>0.011482</v>
      </c>
      <c r="T350" s="4">
        <v>-0.00394</v>
      </c>
      <c r="U350" s="4">
        <v>0.019846</v>
      </c>
      <c r="V350" s="4">
        <v>0.0322089680414201</v>
      </c>
      <c r="W350" s="4">
        <v>0.0628858513262211</v>
      </c>
      <c r="X350" s="4">
        <v>-0.0070139730121281</v>
      </c>
      <c r="Y350" s="4">
        <v>0.0093490022322864</v>
      </c>
      <c r="Z350" s="4">
        <v>0.0153977841653314</v>
      </c>
      <c r="AA350" s="4">
        <v>-0.009618887815574</v>
      </c>
      <c r="AB350" s="4">
        <v>-5.5685027911E-4</v>
      </c>
      <c r="AC350" s="4">
        <v>0.0015431667772076</v>
      </c>
      <c r="AD350" s="4">
        <v>-0.0032414964464536</v>
      </c>
      <c r="AE350" s="4">
        <v>-0.0120438321493284</v>
      </c>
      <c r="AF350" s="4">
        <v>0.0267206187295612</v>
      </c>
      <c r="AG350" s="4">
        <v>0.0236687017711143</v>
      </c>
      <c r="AH350" s="4">
        <v>-0.0050251357877666</v>
      </c>
      <c r="AI350" s="4">
        <v>0.00230425791115</v>
      </c>
      <c r="AJ350" s="4">
        <v>0.010555</v>
      </c>
      <c r="AK350" s="4">
        <f>Weights!E406</f>
        <v>0.008681875545</v>
      </c>
      <c r="AL350" s="5">
        <v>-0.00543262242630926</v>
      </c>
      <c r="AM350" s="5">
        <v>-0.00290522771162671</v>
      </c>
      <c r="AN350" s="5">
        <v>0.0113519436775233</v>
      </c>
      <c r="AO350" s="5">
        <v>0.0118740958550329</v>
      </c>
      <c r="AP350" s="6">
        <f t="shared" si="3"/>
        <v>1.410303807</v>
      </c>
      <c r="AQ350" s="4">
        <f t="shared" si="4"/>
        <v>1.287340372</v>
      </c>
      <c r="AR350" s="7">
        <f t="shared" si="5"/>
        <v>1.269206248</v>
      </c>
      <c r="AS350" s="5">
        <f t="shared" ref="AS350:AU350" si="352">AS349*(1+AM350)</f>
        <v>1.331511372</v>
      </c>
      <c r="AT350" s="5">
        <f t="shared" si="352"/>
        <v>1.190422881</v>
      </c>
      <c r="AU350" s="5">
        <f t="shared" si="352"/>
        <v>1.18086035</v>
      </c>
    </row>
    <row r="351" ht="15.75" customHeight="1">
      <c r="A351" s="3">
        <v>44337.0</v>
      </c>
      <c r="B351" s="4">
        <v>9.05E-4</v>
      </c>
      <c r="C351" s="4">
        <v>0.002113</v>
      </c>
      <c r="D351" s="4">
        <v>-0.003908</v>
      </c>
      <c r="E351" s="4">
        <v>-8.83E-4</v>
      </c>
      <c r="F351" s="4">
        <v>-5.49E-4</v>
      </c>
      <c r="G351" s="4">
        <v>-6.43E-4</v>
      </c>
      <c r="H351" s="4">
        <v>0.0</v>
      </c>
      <c r="I351" s="4">
        <v>5.18E-4</v>
      </c>
      <c r="J351" s="4">
        <v>-8.73E-4</v>
      </c>
      <c r="K351" s="4">
        <v>0.001921</v>
      </c>
      <c r="L351" s="4">
        <v>0.004119</v>
      </c>
      <c r="M351" s="4">
        <v>-0.003388</v>
      </c>
      <c r="N351" s="4">
        <v>0.003344</v>
      </c>
      <c r="O351" s="4">
        <v>0.017057</v>
      </c>
      <c r="P351" s="4">
        <v>-0.004333</v>
      </c>
      <c r="Q351" s="4">
        <v>-0.009877</v>
      </c>
      <c r="R351" s="4">
        <v>-0.008491</v>
      </c>
      <c r="S351" s="4">
        <v>-0.006937</v>
      </c>
      <c r="T351" s="4">
        <v>0.009888</v>
      </c>
      <c r="U351" s="4">
        <v>-0.00427</v>
      </c>
      <c r="V351" s="4">
        <v>-0.00147419819667582</v>
      </c>
      <c r="W351" s="4">
        <v>-0.0015288275377965</v>
      </c>
      <c r="X351" s="4">
        <v>0.0040362477187161</v>
      </c>
      <c r="Y351" s="4">
        <v>-0.0068909748270302</v>
      </c>
      <c r="Z351" s="4">
        <v>0.0061424221292598</v>
      </c>
      <c r="AA351" s="4">
        <v>0.0062951559951636</v>
      </c>
      <c r="AB351" s="4">
        <v>0.0075228306547399</v>
      </c>
      <c r="AC351" s="4">
        <v>-0.0123267383918233</v>
      </c>
      <c r="AD351" s="4">
        <v>-0.0178862085369081</v>
      </c>
      <c r="AE351" s="4">
        <v>0.0077031564177743</v>
      </c>
      <c r="AF351" s="4">
        <v>-0.0042060664971439</v>
      </c>
      <c r="AG351" s="4">
        <v>0.0079479197955905</v>
      </c>
      <c r="AH351" s="4">
        <v>-0.0145202033030156</v>
      </c>
      <c r="AI351" s="4">
        <v>-9.198881665642E-4</v>
      </c>
      <c r="AJ351" s="4">
        <v>-7.84E-4</v>
      </c>
      <c r="AK351" s="4">
        <f>Weights!E407</f>
        <v>-0.0004467905783</v>
      </c>
      <c r="AL351" s="5">
        <v>0.0123104490268304</v>
      </c>
      <c r="AM351" s="5">
        <v>0.0108560903475871</v>
      </c>
      <c r="AN351" s="5">
        <v>0.00578229263179563</v>
      </c>
      <c r="AO351" s="5">
        <v>0.00535732593696569</v>
      </c>
      <c r="AP351" s="6">
        <f t="shared" si="3"/>
        <v>1.409673696</v>
      </c>
      <c r="AQ351" s="4">
        <f t="shared" si="4"/>
        <v>1.286331097</v>
      </c>
      <c r="AR351" s="7">
        <f t="shared" si="5"/>
        <v>1.284830747</v>
      </c>
      <c r="AS351" s="5">
        <f t="shared" ref="AS351:AU351" si="353">AS350*(1+AM351)</f>
        <v>1.34596638</v>
      </c>
      <c r="AT351" s="5">
        <f t="shared" si="353"/>
        <v>1.197306255</v>
      </c>
      <c r="AU351" s="5">
        <f t="shared" si="353"/>
        <v>1.187186603</v>
      </c>
    </row>
    <row r="352" ht="15.75" customHeight="1">
      <c r="A352" s="3">
        <v>44340.0</v>
      </c>
      <c r="B352" s="4">
        <v>0.0</v>
      </c>
      <c r="C352" s="4">
        <v>0.00123</v>
      </c>
      <c r="D352" s="4">
        <v>0.001962</v>
      </c>
      <c r="E352" s="4">
        <v>0.005099</v>
      </c>
      <c r="F352" s="4">
        <v>0.003296</v>
      </c>
      <c r="G352" s="4">
        <v>0.003802</v>
      </c>
      <c r="H352" s="4">
        <v>-2.9E-4</v>
      </c>
      <c r="I352" s="4">
        <v>0.007511</v>
      </c>
      <c r="J352" s="4">
        <v>0.003057</v>
      </c>
      <c r="K352" s="4">
        <v>0.001369</v>
      </c>
      <c r="L352" s="4">
        <v>5.86E-4</v>
      </c>
      <c r="M352" s="4">
        <v>0.006314</v>
      </c>
      <c r="N352" s="4">
        <v>0.006296</v>
      </c>
      <c r="O352" s="4">
        <v>0.020728</v>
      </c>
      <c r="P352" s="4">
        <v>0.00748</v>
      </c>
      <c r="Q352" s="4">
        <v>-0.007481</v>
      </c>
      <c r="R352" s="4">
        <v>0.017127</v>
      </c>
      <c r="S352" s="4">
        <v>0.002752</v>
      </c>
      <c r="T352" s="4">
        <v>0.012044</v>
      </c>
      <c r="U352" s="4">
        <v>-0.003381</v>
      </c>
      <c r="V352" s="4">
        <v>0.0191930511821316</v>
      </c>
      <c r="W352" s="4">
        <v>0.0355229420583926</v>
      </c>
      <c r="X352" s="4">
        <v>0.0</v>
      </c>
      <c r="Y352" s="4">
        <v>0.0179075292045638</v>
      </c>
      <c r="Z352" s="4">
        <v>0.0238899147139364</v>
      </c>
      <c r="AA352" s="4">
        <v>0.0030383395742954</v>
      </c>
      <c r="AB352" s="4">
        <v>0.0027654511007786</v>
      </c>
      <c r="AC352" s="4">
        <v>0.0</v>
      </c>
      <c r="AD352" s="4">
        <v>0.0</v>
      </c>
      <c r="AE352" s="4">
        <v>0.0012620401107192</v>
      </c>
      <c r="AF352" s="4">
        <v>0.0184794191123072</v>
      </c>
      <c r="AG352" s="4">
        <v>0.0168457300855615</v>
      </c>
      <c r="AH352" s="4">
        <v>0.0102498606870289</v>
      </c>
      <c r="AI352" s="4">
        <v>0.0013808491755926</v>
      </c>
      <c r="AJ352" s="4">
        <v>0.009911</v>
      </c>
      <c r="AK352" s="4">
        <f>Weights!E408</f>
        <v>0.006870615228</v>
      </c>
      <c r="AL352" s="7">
        <v>8.04640020894975E-5</v>
      </c>
      <c r="AM352" s="5">
        <v>-5.57901058424903E-4</v>
      </c>
      <c r="AN352" s="5">
        <v>3.38034017417276E-4</v>
      </c>
      <c r="AO352" s="5">
        <v>0.00152238359909206</v>
      </c>
      <c r="AP352" s="6">
        <f t="shared" si="3"/>
        <v>1.419359022</v>
      </c>
      <c r="AQ352" s="4">
        <f t="shared" si="4"/>
        <v>1.299079924</v>
      </c>
      <c r="AR352" s="7">
        <f t="shared" si="5"/>
        <v>1.284934129</v>
      </c>
      <c r="AS352" s="5">
        <f t="shared" ref="AS352:AU352" si="354">AS351*(1+AM352)</f>
        <v>1.345215464</v>
      </c>
      <c r="AT352" s="5">
        <f t="shared" si="354"/>
        <v>1.197710985</v>
      </c>
      <c r="AU352" s="5">
        <f t="shared" si="354"/>
        <v>1.188993957</v>
      </c>
    </row>
    <row r="353" ht="15.75" customHeight="1">
      <c r="A353" s="3">
        <v>44341.0</v>
      </c>
      <c r="B353" s="4">
        <v>0.008134</v>
      </c>
      <c r="C353" s="4">
        <v>-0.008775</v>
      </c>
      <c r="D353" s="4">
        <v>-0.001566</v>
      </c>
      <c r="E353" s="4">
        <v>0.003044</v>
      </c>
      <c r="F353" s="4">
        <v>-1.82E-4</v>
      </c>
      <c r="G353" s="4">
        <v>-0.002756</v>
      </c>
      <c r="H353" s="4">
        <v>0.003407</v>
      </c>
      <c r="I353" s="4">
        <v>-0.011568</v>
      </c>
      <c r="J353" s="4">
        <v>-0.004789</v>
      </c>
      <c r="K353" s="4">
        <v>-8.2E-4</v>
      </c>
      <c r="L353" s="4">
        <v>-0.001757</v>
      </c>
      <c r="M353" s="4">
        <v>-0.007239</v>
      </c>
      <c r="N353" s="4">
        <v>-0.01222</v>
      </c>
      <c r="O353" s="4">
        <v>0.001066</v>
      </c>
      <c r="P353" s="4">
        <v>-0.011879</v>
      </c>
      <c r="Q353" s="4">
        <v>0.015075</v>
      </c>
      <c r="R353" s="4">
        <v>-0.02141</v>
      </c>
      <c r="S353" s="4">
        <v>0.010977</v>
      </c>
      <c r="T353" s="4">
        <v>-0.032024</v>
      </c>
      <c r="U353" s="4">
        <v>-8.27E-4</v>
      </c>
      <c r="V353" s="4">
        <v>0.00724274264410063</v>
      </c>
      <c r="W353" s="4">
        <v>0.0079845688148292</v>
      </c>
      <c r="X353" s="4">
        <v>0.0050403396611649</v>
      </c>
      <c r="Y353" s="4">
        <v>0.0029323337727511</v>
      </c>
      <c r="Z353" s="4">
        <v>-0.001345787193693</v>
      </c>
      <c r="AA353" s="4">
        <v>0.0044547199877753</v>
      </c>
      <c r="AB353" s="4">
        <v>0.0055158408728817</v>
      </c>
      <c r="AC353" s="4">
        <v>0.0030960315094914</v>
      </c>
      <c r="AD353" s="4">
        <v>0.0033056973127729</v>
      </c>
      <c r="AE353" s="4">
        <v>0.0020010076208636</v>
      </c>
      <c r="AF353" s="4">
        <v>0.0044063664231688</v>
      </c>
      <c r="AG353" s="4">
        <v>0.0086948483728035</v>
      </c>
      <c r="AH353" s="4">
        <v>0.0158528698861237</v>
      </c>
      <c r="AI353" s="4">
        <v>-0.0027573837515184</v>
      </c>
      <c r="AJ353" s="4">
        <v>-0.002125</v>
      </c>
      <c r="AK353" s="4">
        <f>Weights!E409</f>
        <v>0.0001244517525</v>
      </c>
      <c r="AL353" s="5">
        <v>0.0090191709716576</v>
      </c>
      <c r="AM353" s="5">
        <v>0.0100944867015302</v>
      </c>
      <c r="AN353" s="5">
        <v>-0.00371864376873731</v>
      </c>
      <c r="AO353" s="5">
        <v>-0.00456064308892723</v>
      </c>
      <c r="AP353" s="6">
        <f t="shared" si="3"/>
        <v>1.419535664</v>
      </c>
      <c r="AQ353" s="4">
        <f t="shared" si="4"/>
        <v>1.296319379</v>
      </c>
      <c r="AR353" s="7">
        <f t="shared" si="5"/>
        <v>1.29652317</v>
      </c>
      <c r="AS353" s="5">
        <f t="shared" ref="AS353:AU353" si="355">AS352*(1+AM353)</f>
        <v>1.358794724</v>
      </c>
      <c r="AT353" s="5">
        <f t="shared" si="355"/>
        <v>1.193257125</v>
      </c>
      <c r="AU353" s="5">
        <f t="shared" si="355"/>
        <v>1.18357138</v>
      </c>
    </row>
    <row r="354" ht="15.75" customHeight="1">
      <c r="A354" s="3">
        <v>44342.0</v>
      </c>
      <c r="B354" s="4">
        <v>0.005827</v>
      </c>
      <c r="C354" s="4">
        <v>-0.002125</v>
      </c>
      <c r="D354" s="4">
        <v>0.00608</v>
      </c>
      <c r="E354" s="4">
        <v>0.0</v>
      </c>
      <c r="F354" s="4">
        <v>0.00438</v>
      </c>
      <c r="G354" s="4">
        <v>-0.005938</v>
      </c>
      <c r="H354" s="4">
        <v>-0.002239</v>
      </c>
      <c r="I354" s="4">
        <v>0.003641</v>
      </c>
      <c r="J354" s="4">
        <v>-0.004812</v>
      </c>
      <c r="K354" s="4">
        <v>0.003558</v>
      </c>
      <c r="L354" s="4">
        <v>0.004107</v>
      </c>
      <c r="M354" s="4">
        <v>0.003403</v>
      </c>
      <c r="N354" s="4">
        <v>-0.001691</v>
      </c>
      <c r="O354" s="4">
        <v>-0.004551</v>
      </c>
      <c r="P354" s="4">
        <v>-1.37E-4</v>
      </c>
      <c r="Q354" s="4">
        <v>0.007426</v>
      </c>
      <c r="R354" s="4">
        <v>0.015733</v>
      </c>
      <c r="S354" s="4">
        <v>0.00522</v>
      </c>
      <c r="T354" s="4">
        <v>0.007996</v>
      </c>
      <c r="U354" s="4">
        <v>-0.001987</v>
      </c>
      <c r="V354" s="4">
        <v>-0.00287619466772059</v>
      </c>
      <c r="W354" s="4">
        <v>-0.0041073460238999</v>
      </c>
      <c r="X354" s="4">
        <v>0.0</v>
      </c>
      <c r="Y354" s="4">
        <v>-0.0058472192507985</v>
      </c>
      <c r="Z354" s="4">
        <v>-0.0078155637922947</v>
      </c>
      <c r="AA354" s="4">
        <v>-0.00656377256263</v>
      </c>
      <c r="AB354" s="4">
        <v>0.0013711890348651</v>
      </c>
      <c r="AC354" s="4">
        <v>0.0</v>
      </c>
      <c r="AD354" s="4">
        <v>0.0</v>
      </c>
      <c r="AE354" s="4">
        <v>-0.0039946374706392</v>
      </c>
      <c r="AF354" s="4">
        <v>-0.0325161238749348</v>
      </c>
      <c r="AG354" s="4">
        <v>-0.0172394988445807</v>
      </c>
      <c r="AH354" s="4">
        <v>0.0137328059946943</v>
      </c>
      <c r="AI354" s="4">
        <v>-0.00138255474669</v>
      </c>
      <c r="AJ354" s="4">
        <v>0.001877</v>
      </c>
      <c r="AK354" s="4">
        <f>Weights!E410</f>
        <v>-0.0009430696022</v>
      </c>
      <c r="AL354" s="5">
        <v>-0.00191540877464746</v>
      </c>
      <c r="AM354" s="5">
        <v>-0.00276316964952638</v>
      </c>
      <c r="AN354" s="5">
        <v>0.00712586630677969</v>
      </c>
      <c r="AO354" s="5">
        <v>0.0063630408057953</v>
      </c>
      <c r="AP354" s="6">
        <f t="shared" si="3"/>
        <v>1.418196943</v>
      </c>
      <c r="AQ354" s="4">
        <f t="shared" si="4"/>
        <v>1.298752571</v>
      </c>
      <c r="AR354" s="7">
        <f t="shared" si="5"/>
        <v>1.294039798</v>
      </c>
      <c r="AS354" s="5">
        <f t="shared" ref="AS354:AU354" si="356">AS353*(1+AM354)</f>
        <v>1.355040143</v>
      </c>
      <c r="AT354" s="5">
        <f t="shared" si="356"/>
        <v>1.201760115</v>
      </c>
      <c r="AU354" s="5">
        <f t="shared" si="356"/>
        <v>1.191102493</v>
      </c>
    </row>
    <row r="355" ht="15.75" customHeight="1">
      <c r="A355" s="3">
        <v>44343.0</v>
      </c>
      <c r="B355" s="4">
        <v>0.0</v>
      </c>
      <c r="C355" s="4">
        <v>-0.001242</v>
      </c>
      <c r="D355" s="4">
        <v>9.75E-4</v>
      </c>
      <c r="E355" s="4">
        <v>-0.01207</v>
      </c>
      <c r="F355" s="4">
        <v>0.008359</v>
      </c>
      <c r="G355" s="4">
        <v>-0.001538</v>
      </c>
      <c r="H355" s="4">
        <v>-0.022734</v>
      </c>
      <c r="I355" s="4">
        <v>0.001555</v>
      </c>
      <c r="J355" s="4">
        <v>-4.4E-4</v>
      </c>
      <c r="K355" s="4">
        <v>-0.019501</v>
      </c>
      <c r="L355" s="4">
        <v>0.017821</v>
      </c>
      <c r="M355" s="4">
        <v>0.012112</v>
      </c>
      <c r="N355" s="4">
        <v>0.011293</v>
      </c>
      <c r="O355" s="4">
        <v>0.001702</v>
      </c>
      <c r="P355" s="4">
        <v>-0.001366</v>
      </c>
      <c r="Q355" s="4">
        <v>-0.010647</v>
      </c>
      <c r="R355" s="4">
        <v>0.030736</v>
      </c>
      <c r="S355" s="4">
        <v>-0.005193</v>
      </c>
      <c r="T355" s="4">
        <v>0.001983</v>
      </c>
      <c r="U355" s="4">
        <v>0.006306</v>
      </c>
      <c r="V355" s="4">
        <v>-0.00432691290208042</v>
      </c>
      <c r="W355" s="4">
        <v>0.0019148521917371</v>
      </c>
      <c r="X355" s="4">
        <v>0.0</v>
      </c>
      <c r="Y355" s="4">
        <v>-0.0113217223925045</v>
      </c>
      <c r="Z355" s="4">
        <v>-0.0059549772265315</v>
      </c>
      <c r="AA355" s="4">
        <v>-0.003214395425005</v>
      </c>
      <c r="AB355" s="4">
        <v>-0.0052040951377592</v>
      </c>
      <c r="AC355" s="4">
        <v>0.0</v>
      </c>
      <c r="AD355" s="4">
        <v>0.0</v>
      </c>
      <c r="AE355" s="4">
        <v>-0.0104724893814531</v>
      </c>
      <c r="AF355" s="4">
        <v>0.0101361783843327</v>
      </c>
      <c r="AG355" s="4">
        <v>-0.011734149593643</v>
      </c>
      <c r="AH355" s="4">
        <v>0.0437192741534067</v>
      </c>
      <c r="AI355" s="4">
        <v>-0.0046150995578932</v>
      </c>
      <c r="AJ355" s="4">
        <v>0.001165</v>
      </c>
      <c r="AK355" s="4">
        <f>Weights!E411</f>
        <v>0.00114899493</v>
      </c>
      <c r="AL355" s="5">
        <v>0.00143934598366901</v>
      </c>
      <c r="AM355" s="5">
        <v>0.00360233518946673</v>
      </c>
      <c r="AN355" s="5">
        <v>-7.80101198050275E-4</v>
      </c>
      <c r="AO355" s="5">
        <v>-2.52860271648502E-4</v>
      </c>
      <c r="AP355" s="6">
        <f t="shared" si="3"/>
        <v>1.419826444</v>
      </c>
      <c r="AQ355" s="4">
        <f t="shared" si="4"/>
        <v>1.300265618</v>
      </c>
      <c r="AR355" s="7">
        <f t="shared" si="5"/>
        <v>1.295902369</v>
      </c>
      <c r="AS355" s="5">
        <f t="shared" ref="AS355:AU355" si="357">AS354*(1+AM355)</f>
        <v>1.359921452</v>
      </c>
      <c r="AT355" s="5">
        <f t="shared" si="357"/>
        <v>1.200822621</v>
      </c>
      <c r="AU355" s="5">
        <f t="shared" si="357"/>
        <v>1.19080131</v>
      </c>
    </row>
    <row r="356" ht="15.75" customHeight="1">
      <c r="A356" s="3">
        <v>44344.0</v>
      </c>
      <c r="B356" s="4">
        <v>0.005348</v>
      </c>
      <c r="C356" s="4">
        <v>0.003553</v>
      </c>
      <c r="D356" s="4">
        <v>0.005842</v>
      </c>
      <c r="E356" s="4">
        <v>0.00976</v>
      </c>
      <c r="F356" s="4">
        <v>-0.003604</v>
      </c>
      <c r="G356" s="4">
        <v>0.002606</v>
      </c>
      <c r="H356" s="4">
        <v>-9.63E-4</v>
      </c>
      <c r="I356" s="4">
        <v>-0.004398</v>
      </c>
      <c r="J356" s="4">
        <v>0.003738</v>
      </c>
      <c r="K356" s="4">
        <v>0.002782</v>
      </c>
      <c r="L356" s="4">
        <v>-0.005071</v>
      </c>
      <c r="M356" s="4">
        <v>4.79E-4</v>
      </c>
      <c r="N356" s="4">
        <v>0.00242</v>
      </c>
      <c r="O356" s="4">
        <v>-5.34E-4</v>
      </c>
      <c r="P356" s="4">
        <v>0.005336</v>
      </c>
      <c r="Q356" s="4">
        <v>0.002483</v>
      </c>
      <c r="R356" s="4">
        <v>0.003052</v>
      </c>
      <c r="S356" s="4">
        <v>0.002715</v>
      </c>
      <c r="T356" s="4">
        <v>0.014745</v>
      </c>
      <c r="U356" s="4">
        <v>0.001319</v>
      </c>
      <c r="V356" s="4">
        <v>0.0154512000523361</v>
      </c>
      <c r="W356" s="4">
        <v>-0.0442515914203232</v>
      </c>
      <c r="X356" s="4">
        <v>0.0</v>
      </c>
      <c r="Y356" s="4">
        <v>0.0044613694604778</v>
      </c>
      <c r="Z356" s="4">
        <v>0.0242145431789033</v>
      </c>
      <c r="AA356" s="4">
        <v>0.001612254478704</v>
      </c>
      <c r="AB356" s="4">
        <v>0.0</v>
      </c>
      <c r="AC356" s="4">
        <v>0.0</v>
      </c>
      <c r="AD356" s="4">
        <v>0.0</v>
      </c>
      <c r="AE356" s="4">
        <v>-0.0078811234724408</v>
      </c>
      <c r="AF356" s="4">
        <v>-0.0132032259901951</v>
      </c>
      <c r="AG356" s="4">
        <v>0.0106740828018685</v>
      </c>
      <c r="AH356" s="4">
        <v>-0.0159292441195887</v>
      </c>
      <c r="AI356" s="4">
        <v>0.0027819802059501</v>
      </c>
      <c r="AJ356" s="4">
        <v>7.69E-4</v>
      </c>
      <c r="AK356" s="4">
        <f>Weights!E412</f>
        <v>0.0007281762133</v>
      </c>
      <c r="AL356" s="5">
        <v>8.78321657242331E-4</v>
      </c>
      <c r="AM356" s="5">
        <v>0.0018404131530616</v>
      </c>
      <c r="AN356" s="5">
        <v>0.00203661647680575</v>
      </c>
      <c r="AO356" s="5">
        <v>0.00177090360136533</v>
      </c>
      <c r="AP356" s="6">
        <f t="shared" si="3"/>
        <v>1.420860328</v>
      </c>
      <c r="AQ356" s="4">
        <f t="shared" si="4"/>
        <v>1.301265522</v>
      </c>
      <c r="AR356" s="7">
        <f t="shared" si="5"/>
        <v>1.297040588</v>
      </c>
      <c r="AS356" s="5">
        <f t="shared" ref="AS356:AU356" si="358">AS355*(1+AM356)</f>
        <v>1.362424269</v>
      </c>
      <c r="AT356" s="5">
        <f t="shared" si="358"/>
        <v>1.203268236</v>
      </c>
      <c r="AU356" s="5">
        <f t="shared" si="358"/>
        <v>1.192910105</v>
      </c>
    </row>
    <row r="357" ht="15.75" customHeight="1">
      <c r="A357" s="3">
        <v>44348.0</v>
      </c>
      <c r="B357" s="4">
        <v>0.007092</v>
      </c>
      <c r="C357" s="4">
        <v>-0.001947</v>
      </c>
      <c r="D357" s="4">
        <v>-0.005034</v>
      </c>
      <c r="E357" s="4">
        <v>-0.002095</v>
      </c>
      <c r="F357" s="4">
        <v>-1.81E-4</v>
      </c>
      <c r="G357" s="4">
        <v>-0.021979</v>
      </c>
      <c r="H357" s="4">
        <v>-0.014609</v>
      </c>
      <c r="I357" s="4">
        <v>0.004938</v>
      </c>
      <c r="J357" s="4">
        <v>-0.011829</v>
      </c>
      <c r="K357" s="4">
        <v>0.008183</v>
      </c>
      <c r="L357" s="4">
        <v>0.002885</v>
      </c>
      <c r="M357" s="4">
        <v>0.007655</v>
      </c>
      <c r="N357" s="4">
        <v>0.003156</v>
      </c>
      <c r="O357" s="4">
        <v>0.001943</v>
      </c>
      <c r="P357" s="4">
        <v>0.006396</v>
      </c>
      <c r="Q357" s="4">
        <v>-0.006606</v>
      </c>
      <c r="R357" s="4">
        <v>0.034878</v>
      </c>
      <c r="S357" s="4">
        <v>0.006664</v>
      </c>
      <c r="T357" s="4">
        <v>0.079969</v>
      </c>
      <c r="U357" s="4">
        <v>-0.006258</v>
      </c>
      <c r="V357" s="4">
        <v>0.0309083942257317</v>
      </c>
      <c r="W357" s="4">
        <v>0.0049222583704167</v>
      </c>
      <c r="X357" s="4">
        <v>0.0</v>
      </c>
      <c r="Y357" s="4">
        <v>-0.0370890706154093</v>
      </c>
      <c r="Z357" s="4">
        <v>-0.0045561288135942</v>
      </c>
      <c r="AA357" s="4">
        <v>0.0076911910925026</v>
      </c>
      <c r="AB357" s="4">
        <v>0.0126652794829444</v>
      </c>
      <c r="AC357" s="4">
        <v>0.0</v>
      </c>
      <c r="AD357" s="4">
        <v>0.0</v>
      </c>
      <c r="AE357" s="4">
        <v>0.0066576388273735</v>
      </c>
      <c r="AF357" s="4">
        <v>0.0120418037361251</v>
      </c>
      <c r="AG357" s="4">
        <v>7.119736147354E-4</v>
      </c>
      <c r="AH357" s="4">
        <v>-0.0197841682915007</v>
      </c>
      <c r="AI357" s="4">
        <v>9.245842834733E-4</v>
      </c>
      <c r="AJ357" s="4">
        <v>-4.92E-4</v>
      </c>
      <c r="AK357" s="4">
        <f>Weights!E413</f>
        <v>0.002870898568</v>
      </c>
      <c r="AL357" s="5">
        <v>0.00199448103574884</v>
      </c>
      <c r="AM357" s="5">
        <v>0.00169948334071601</v>
      </c>
      <c r="AN357" s="5">
        <v>0.00948496547074717</v>
      </c>
      <c r="AO357" s="5">
        <v>0.00883821535182161</v>
      </c>
      <c r="AP357" s="6">
        <f t="shared" si="3"/>
        <v>1.424939473</v>
      </c>
      <c r="AQ357" s="4">
        <f t="shared" si="4"/>
        <v>1.300625299</v>
      </c>
      <c r="AR357" s="7">
        <f t="shared" si="5"/>
        <v>1.299627511</v>
      </c>
      <c r="AS357" s="5">
        <f t="shared" ref="AS357:AU357" si="359">AS356*(1+AM357)</f>
        <v>1.364739687</v>
      </c>
      <c r="AT357" s="5">
        <f t="shared" si="359"/>
        <v>1.214681194</v>
      </c>
      <c r="AU357" s="5">
        <f t="shared" si="359"/>
        <v>1.203453301</v>
      </c>
    </row>
    <row r="358" ht="15.75" customHeight="1">
      <c r="A358" s="3">
        <v>44349.0</v>
      </c>
      <c r="B358" s="4">
        <v>0.006162</v>
      </c>
      <c r="C358" s="4">
        <v>0.004789</v>
      </c>
      <c r="D358" s="4">
        <v>9.73E-4</v>
      </c>
      <c r="E358" s="4">
        <v>0.003996</v>
      </c>
      <c r="F358" s="4">
        <v>0.00398</v>
      </c>
      <c r="G358" s="4">
        <v>0.004048</v>
      </c>
      <c r="H358" s="4">
        <v>0.004365</v>
      </c>
      <c r="I358" s="4">
        <v>0.005948</v>
      </c>
      <c r="J358" s="4">
        <v>0.011084</v>
      </c>
      <c r="K358" s="4">
        <v>0.0011</v>
      </c>
      <c r="L358" s="4">
        <v>0.003644</v>
      </c>
      <c r="M358" s="4">
        <v>-0.008072</v>
      </c>
      <c r="N358" s="4">
        <v>0.001296</v>
      </c>
      <c r="O358" s="4">
        <v>-0.013042</v>
      </c>
      <c r="P358" s="4">
        <v>-0.009466</v>
      </c>
      <c r="Q358" s="4">
        <v>-0.001662</v>
      </c>
      <c r="R358" s="4">
        <v>-0.019679</v>
      </c>
      <c r="S358" s="4">
        <v>0.00724</v>
      </c>
      <c r="T358" s="4">
        <v>-0.051562</v>
      </c>
      <c r="U358" s="4">
        <v>0.004972</v>
      </c>
      <c r="V358" s="4">
        <v>0.007841310722696</v>
      </c>
      <c r="W358" s="4">
        <v>0.0094901719624513</v>
      </c>
      <c r="X358" s="4">
        <v>0.0190571435740225</v>
      </c>
      <c r="Y358" s="4">
        <v>0.0069962462677164</v>
      </c>
      <c r="Z358" s="4">
        <v>-0.0332955282770466</v>
      </c>
      <c r="AA358" s="4">
        <v>-0.0026625946296473</v>
      </c>
      <c r="AB358" s="4">
        <v>0.0040782826419345</v>
      </c>
      <c r="AC358" s="4">
        <v>-0.0030864756835219</v>
      </c>
      <c r="AD358" s="4">
        <v>-0.0016473561474726</v>
      </c>
      <c r="AE358" s="4">
        <v>-0.0010521329661413</v>
      </c>
      <c r="AF358" s="4">
        <v>-0.0288206569130897</v>
      </c>
      <c r="AG358" s="4">
        <v>0.0027273923895863</v>
      </c>
      <c r="AH358" s="4">
        <v>0.0030581010769374</v>
      </c>
      <c r="AI358" s="4">
        <v>-4.619160027431E-4</v>
      </c>
      <c r="AJ358" s="4">
        <v>0.001447</v>
      </c>
      <c r="AK358" s="4">
        <f>Weights!E414</f>
        <v>-0.0004930234233</v>
      </c>
      <c r="AL358" s="5">
        <v>0.00103496466532049</v>
      </c>
      <c r="AM358" s="5">
        <v>4.12688490813106E-4</v>
      </c>
      <c r="AN358" s="5">
        <v>0.00234908694588242</v>
      </c>
      <c r="AO358" s="5">
        <v>0.0025030816119056</v>
      </c>
      <c r="AP358" s="6">
        <f t="shared" si="3"/>
        <v>1.424236945</v>
      </c>
      <c r="AQ358" s="4">
        <f t="shared" si="4"/>
        <v>1.302507304</v>
      </c>
      <c r="AR358" s="7">
        <f t="shared" si="5"/>
        <v>1.30097258</v>
      </c>
      <c r="AS358" s="5">
        <f t="shared" ref="AS358:AU358" si="360">AS357*(1+AM358)</f>
        <v>1.365302899</v>
      </c>
      <c r="AT358" s="5">
        <f t="shared" si="360"/>
        <v>1.217534585</v>
      </c>
      <c r="AU358" s="5">
        <f t="shared" si="360"/>
        <v>1.206465643</v>
      </c>
    </row>
    <row r="359" ht="15.75" customHeight="1">
      <c r="A359" s="3">
        <v>44350.0</v>
      </c>
      <c r="B359" s="4">
        <v>-8.75E-4</v>
      </c>
      <c r="C359" s="4">
        <v>0.005825</v>
      </c>
      <c r="D359" s="4">
        <v>0.00175</v>
      </c>
      <c r="E359" s="4">
        <v>0.003542</v>
      </c>
      <c r="F359" s="4">
        <v>0.002523</v>
      </c>
      <c r="G359" s="4">
        <v>-9.63E-4</v>
      </c>
      <c r="H359" s="4">
        <v>0.017908</v>
      </c>
      <c r="I359" s="4">
        <v>-0.006941</v>
      </c>
      <c r="J359" s="4">
        <v>-0.003069</v>
      </c>
      <c r="K359" s="4">
        <v>-0.002611</v>
      </c>
      <c r="L359" s="4">
        <v>-0.004299</v>
      </c>
      <c r="M359" s="4">
        <v>0.0</v>
      </c>
      <c r="N359" s="4">
        <v>-0.002033</v>
      </c>
      <c r="O359" s="4">
        <v>0.001818</v>
      </c>
      <c r="P359" s="4">
        <v>-0.022558</v>
      </c>
      <c r="Q359" s="4">
        <v>-0.045795</v>
      </c>
      <c r="R359" s="4">
        <v>-0.033918</v>
      </c>
      <c r="S359" s="4">
        <v>-0.028137</v>
      </c>
      <c r="T359" s="4">
        <v>0.019423</v>
      </c>
      <c r="U359" s="4">
        <v>-0.005277</v>
      </c>
      <c r="V359" s="4">
        <v>-0.0160182707788977</v>
      </c>
      <c r="W359" s="4">
        <v>0.0037908856317692</v>
      </c>
      <c r="X359" s="4">
        <v>0.0137795485489851</v>
      </c>
      <c r="Y359" s="4">
        <v>-0.0014507097161846</v>
      </c>
      <c r="Z359" s="4">
        <v>-0.0082105763063572</v>
      </c>
      <c r="AA359" s="4">
        <v>0.0062291399452167</v>
      </c>
      <c r="AB359" s="4">
        <v>0.0010833173834121</v>
      </c>
      <c r="AC359" s="4">
        <v>0.0061920630189828</v>
      </c>
      <c r="AD359" s="4">
        <v>-0.0016501679493251</v>
      </c>
      <c r="AE359" s="4">
        <v>1.505634219132E-4</v>
      </c>
      <c r="AF359" s="4">
        <v>5.444515854109E-4</v>
      </c>
      <c r="AG359" s="4">
        <v>0.0478951316330122</v>
      </c>
      <c r="AH359" s="4">
        <v>0.0012194965050233</v>
      </c>
      <c r="AI359" s="4">
        <v>-4.620276322463E-4</v>
      </c>
      <c r="AJ359" s="4">
        <v>-0.003629</v>
      </c>
      <c r="AK359" s="6">
        <f>Weights!E415</f>
        <v>-0.00007534223484</v>
      </c>
      <c r="AL359" s="5">
        <v>0.00174973253145505</v>
      </c>
      <c r="AM359" s="5">
        <v>0.00132928314517033</v>
      </c>
      <c r="AN359" s="5">
        <v>0.0026784301126832</v>
      </c>
      <c r="AO359" s="5">
        <v>0.00299643381644609</v>
      </c>
      <c r="AP359" s="6">
        <f t="shared" si="3"/>
        <v>1.42412964</v>
      </c>
      <c r="AQ359" s="4">
        <f t="shared" si="4"/>
        <v>1.297780505</v>
      </c>
      <c r="AR359" s="7">
        <f t="shared" si="5"/>
        <v>1.303248934</v>
      </c>
      <c r="AS359" s="5">
        <f t="shared" ref="AS359:AU359" si="361">AS358*(1+AM359)</f>
        <v>1.367117773</v>
      </c>
      <c r="AT359" s="5">
        <f t="shared" si="361"/>
        <v>1.220795667</v>
      </c>
      <c r="AU359" s="5">
        <f t="shared" si="361"/>
        <v>1.210080737</v>
      </c>
    </row>
    <row r="360" ht="15.75" customHeight="1">
      <c r="A360" s="3">
        <v>44351.0</v>
      </c>
      <c r="B360" s="4">
        <v>0.010508</v>
      </c>
      <c r="C360" s="4">
        <v>0.005616</v>
      </c>
      <c r="D360" s="4">
        <v>0.013972</v>
      </c>
      <c r="E360" s="4">
        <v>0.001151</v>
      </c>
      <c r="F360" s="4">
        <v>0.010784</v>
      </c>
      <c r="G360" s="4">
        <v>-4.22E-4</v>
      </c>
      <c r="H360" s="4">
        <v>7.36E-4</v>
      </c>
      <c r="I360" s="4">
        <v>0.011131</v>
      </c>
      <c r="J360" s="4">
        <v>0.006158</v>
      </c>
      <c r="K360" s="4">
        <v>0.003444</v>
      </c>
      <c r="L360" s="4">
        <v>0.002591</v>
      </c>
      <c r="M360" s="4">
        <v>9.57E-4</v>
      </c>
      <c r="N360" s="4">
        <v>3.7E-4</v>
      </c>
      <c r="O360" s="4">
        <v>0.006767</v>
      </c>
      <c r="P360" s="4">
        <v>0.005488</v>
      </c>
      <c r="Q360" s="4">
        <v>0.002618</v>
      </c>
      <c r="R360" s="4">
        <v>-0.003344</v>
      </c>
      <c r="S360" s="4">
        <v>0.022189</v>
      </c>
      <c r="T360" s="4">
        <v>0.015971</v>
      </c>
      <c r="U360" s="4">
        <v>0.005802</v>
      </c>
      <c r="V360" s="4">
        <v>0.00372092176759708</v>
      </c>
      <c r="W360" s="4">
        <v>-0.0471300294285725</v>
      </c>
      <c r="X360" s="4">
        <v>-0.0097087706649863</v>
      </c>
      <c r="Y360" s="4">
        <v>-0.0137624771676935</v>
      </c>
      <c r="Z360" s="4">
        <v>0.0219330547880778</v>
      </c>
      <c r="AA360" s="4">
        <v>-0.0042449819736369</v>
      </c>
      <c r="AB360" s="4">
        <v>0.0075735723431176</v>
      </c>
      <c r="AC360" s="4">
        <v>-0.0061539573273955</v>
      </c>
      <c r="AD360" s="4">
        <v>-0.0033057910090205</v>
      </c>
      <c r="AE360" s="4">
        <v>-0.0024824389289026</v>
      </c>
      <c r="AF360" s="4">
        <v>-0.0285714779520375</v>
      </c>
      <c r="AG360" s="4">
        <v>0.006771117106723</v>
      </c>
      <c r="AH360" s="4">
        <v>0.0249695551663868</v>
      </c>
      <c r="AI360" s="4">
        <v>4.622412004537E-4</v>
      </c>
      <c r="AJ360" s="4">
        <v>0.008834</v>
      </c>
      <c r="AK360" s="4">
        <f>Weights!E416</f>
        <v>0.002571221746</v>
      </c>
      <c r="AL360" s="5">
        <v>-0.00412854876191337</v>
      </c>
      <c r="AM360" s="5">
        <v>-0.00444007023421522</v>
      </c>
      <c r="AN360" s="5">
        <v>-0.00701167876394248</v>
      </c>
      <c r="AO360" s="5">
        <v>-0.00547685462209246</v>
      </c>
      <c r="AP360" s="6">
        <f t="shared" si="3"/>
        <v>1.427791393</v>
      </c>
      <c r="AQ360" s="4">
        <f t="shared" si="4"/>
        <v>1.309245098</v>
      </c>
      <c r="AR360" s="7">
        <f t="shared" si="5"/>
        <v>1.297868407</v>
      </c>
      <c r="AS360" s="5">
        <f t="shared" ref="AS360:AU360" si="362">AS359*(1+AM360)</f>
        <v>1.361047674</v>
      </c>
      <c r="AT360" s="5">
        <f t="shared" si="362"/>
        <v>1.21223584</v>
      </c>
      <c r="AU360" s="5">
        <f t="shared" si="362"/>
        <v>1.203453301</v>
      </c>
    </row>
    <row r="361" ht="15.75" customHeight="1">
      <c r="A361" s="3">
        <v>44354.0</v>
      </c>
      <c r="B361" s="4">
        <v>0.006499</v>
      </c>
      <c r="C361" s="4">
        <v>-0.001745</v>
      </c>
      <c r="D361" s="4">
        <v>0.009187</v>
      </c>
      <c r="E361" s="4">
        <v>-6.09E-4</v>
      </c>
      <c r="F361" s="4">
        <v>-0.003556</v>
      </c>
      <c r="G361" s="4">
        <v>-0.006808</v>
      </c>
      <c r="H361" s="4">
        <v>0.003457</v>
      </c>
      <c r="I361" s="4">
        <v>0.011777</v>
      </c>
      <c r="J361" s="4">
        <v>0.004809</v>
      </c>
      <c r="K361" s="4">
        <v>-6.87E-4</v>
      </c>
      <c r="L361" s="4">
        <v>-0.001818</v>
      </c>
      <c r="M361" s="4">
        <v>-0.004782</v>
      </c>
      <c r="N361" s="4">
        <v>-0.003888</v>
      </c>
      <c r="O361" s="4">
        <v>0.00677</v>
      </c>
      <c r="P361" s="4">
        <v>8.4E-4</v>
      </c>
      <c r="Q361" s="4">
        <v>-0.021758</v>
      </c>
      <c r="R361" s="4">
        <v>-0.011263</v>
      </c>
      <c r="S361" s="4">
        <v>-0.002688</v>
      </c>
      <c r="T361" s="4">
        <v>-0.012962</v>
      </c>
      <c r="U361" s="4">
        <v>-0.004862</v>
      </c>
      <c r="V361" s="4">
        <v>-9.2678195873519E-4</v>
      </c>
      <c r="W361" s="4">
        <v>1.585999333817E-4</v>
      </c>
      <c r="X361" s="4">
        <v>-0.0058823987575539</v>
      </c>
      <c r="Y361" s="4">
        <v>-0.005581669733421</v>
      </c>
      <c r="Z361" s="4">
        <v>0.0227248196945906</v>
      </c>
      <c r="AA361" s="4">
        <v>0.0053285566943133</v>
      </c>
      <c r="AB361" s="4">
        <v>-0.0048321775332796</v>
      </c>
      <c r="AC361" s="4">
        <v>0.0015480157547456</v>
      </c>
      <c r="AD361" s="4">
        <v>0.0049751332643446</v>
      </c>
      <c r="AE361" s="4">
        <v>0.0048262398662426</v>
      </c>
      <c r="AF361" s="4">
        <v>0.0168067819175508</v>
      </c>
      <c r="AG361" s="4">
        <v>-0.0015693752936012</v>
      </c>
      <c r="AH361" s="4">
        <v>-0.0291146914508664</v>
      </c>
      <c r="AI361" s="4">
        <v>0.0013864902387117</v>
      </c>
      <c r="AJ361" s="4">
        <v>-7.97E-4</v>
      </c>
      <c r="AK361" s="4">
        <f>Weights!E417</f>
        <v>-0.001174567931</v>
      </c>
      <c r="AL361" s="5">
        <v>0.00916844956850027</v>
      </c>
      <c r="AM361" s="5">
        <v>0.0086895208471287</v>
      </c>
      <c r="AN361" s="5">
        <v>0.0137860670297842</v>
      </c>
      <c r="AO361" s="5">
        <v>0.0120150923560242</v>
      </c>
      <c r="AP361" s="6">
        <f t="shared" si="3"/>
        <v>1.426114355</v>
      </c>
      <c r="AQ361" s="4">
        <f t="shared" si="4"/>
        <v>1.30820163</v>
      </c>
      <c r="AR361" s="7">
        <f t="shared" si="5"/>
        <v>1.309767848</v>
      </c>
      <c r="AS361" s="5">
        <f t="shared" ref="AS361:AU361" si="363">AS360*(1+AM361)</f>
        <v>1.372874526</v>
      </c>
      <c r="AT361" s="5">
        <f t="shared" si="363"/>
        <v>1.228947804</v>
      </c>
      <c r="AU361" s="5">
        <f t="shared" si="363"/>
        <v>1.217912903</v>
      </c>
    </row>
    <row r="362" ht="15.75" customHeight="1">
      <c r="A362" s="3">
        <v>44355.0</v>
      </c>
      <c r="B362" s="4">
        <v>-0.004735</v>
      </c>
      <c r="C362" s="4">
        <v>-8.74E-4</v>
      </c>
      <c r="D362" s="4">
        <v>-0.009103</v>
      </c>
      <c r="E362" s="4">
        <v>-0.00934</v>
      </c>
      <c r="F362" s="4">
        <v>-0.006959</v>
      </c>
      <c r="G362" s="4">
        <v>-0.008796</v>
      </c>
      <c r="H362" s="4">
        <v>-0.011582</v>
      </c>
      <c r="I362" s="4">
        <v>0.00253</v>
      </c>
      <c r="J362" s="4">
        <v>-0.003263</v>
      </c>
      <c r="K362" s="4">
        <v>-0.002336</v>
      </c>
      <c r="L362" s="4">
        <v>-0.005465</v>
      </c>
      <c r="M362" s="4">
        <v>-9.61E-4</v>
      </c>
      <c r="N362" s="4">
        <v>-0.004461</v>
      </c>
      <c r="O362" s="4">
        <v>0.003774</v>
      </c>
      <c r="P362" s="4">
        <v>-0.022095</v>
      </c>
      <c r="Q362" s="4">
        <v>-0.02669</v>
      </c>
      <c r="R362" s="4">
        <v>0.002908</v>
      </c>
      <c r="S362" s="4">
        <v>-0.021766</v>
      </c>
      <c r="T362" s="4">
        <v>0.024402</v>
      </c>
      <c r="U362" s="4">
        <v>-0.001325</v>
      </c>
      <c r="V362" s="4">
        <v>0.0589053601309632</v>
      </c>
      <c r="W362" s="4">
        <v>-0.0036456623098581</v>
      </c>
      <c r="X362" s="4">
        <v>0.0</v>
      </c>
      <c r="Y362" s="4">
        <v>-0.0192562545597222</v>
      </c>
      <c r="Z362" s="4">
        <v>0.0057606699731123</v>
      </c>
      <c r="AA362" s="4">
        <v>1.766246295629E-4</v>
      </c>
      <c r="AB362" s="4">
        <v>0.0064744798347882</v>
      </c>
      <c r="AC362" s="4">
        <v>0.0</v>
      </c>
      <c r="AD362" s="4">
        <v>0.0</v>
      </c>
      <c r="AE362" s="4">
        <v>0.0069042465985309</v>
      </c>
      <c r="AF362" s="4">
        <v>0.0112947500261284</v>
      </c>
      <c r="AG362" s="4">
        <v>0.0083081841492711</v>
      </c>
      <c r="AH362" s="4">
        <v>-0.0012239744918373</v>
      </c>
      <c r="AI362" s="4">
        <v>0.0016654507394917</v>
      </c>
      <c r="AJ362" s="4">
        <v>1.75E-4</v>
      </c>
      <c r="AK362" s="4">
        <f>Weights!E418</f>
        <v>0.000561334808</v>
      </c>
      <c r="AL362" s="5">
        <v>0.0016589865424117</v>
      </c>
      <c r="AM362" s="5">
        <v>8.20486287458788E-4</v>
      </c>
      <c r="AN362" s="5">
        <v>-0.00165841026333279</v>
      </c>
      <c r="AO362" s="5">
        <v>-7.42094046177865E-4</v>
      </c>
      <c r="AP362" s="6">
        <f t="shared" si="3"/>
        <v>1.426914882</v>
      </c>
      <c r="AQ362" s="4">
        <f t="shared" si="4"/>
        <v>1.308430565</v>
      </c>
      <c r="AR362" s="7">
        <f t="shared" si="5"/>
        <v>1.311940735</v>
      </c>
      <c r="AS362" s="5">
        <f t="shared" ref="AS362:AU362" si="364">AS361*(1+AM362)</f>
        <v>1.374000951</v>
      </c>
      <c r="AT362" s="5">
        <f t="shared" si="364"/>
        <v>1.226909704</v>
      </c>
      <c r="AU362" s="5">
        <f t="shared" si="364"/>
        <v>1.217009098</v>
      </c>
    </row>
    <row r="363" ht="15.75" customHeight="1">
      <c r="A363" s="3">
        <v>44356.0</v>
      </c>
      <c r="B363" s="4">
        <v>-0.007812</v>
      </c>
      <c r="C363" s="4">
        <v>-0.00175</v>
      </c>
      <c r="D363" s="4">
        <v>-0.012823</v>
      </c>
      <c r="E363" s="4">
        <v>-0.001845</v>
      </c>
      <c r="F363" s="4">
        <v>-0.003055</v>
      </c>
      <c r="G363" s="4">
        <v>0.013465</v>
      </c>
      <c r="H363" s="4">
        <v>-3.71E-4</v>
      </c>
      <c r="I363" s="4">
        <v>0.003786</v>
      </c>
      <c r="J363" s="4">
        <v>0.008948</v>
      </c>
      <c r="K363" s="4">
        <v>-0.007024</v>
      </c>
      <c r="L363" s="4">
        <v>-0.005881</v>
      </c>
      <c r="M363" s="4">
        <v>-0.007696</v>
      </c>
      <c r="N363" s="4">
        <v>-0.005228</v>
      </c>
      <c r="O363" s="4">
        <v>0.021592</v>
      </c>
      <c r="P363" s="4">
        <v>8.58E-4</v>
      </c>
      <c r="Q363" s="4">
        <v>-0.003656</v>
      </c>
      <c r="R363" s="4">
        <v>-0.016433</v>
      </c>
      <c r="S363" s="4">
        <v>0.003391</v>
      </c>
      <c r="T363" s="4">
        <v>-0.021911</v>
      </c>
      <c r="U363" s="4">
        <v>-0.002488</v>
      </c>
      <c r="V363" s="4">
        <v>-0.0271571881419245</v>
      </c>
      <c r="W363" s="4">
        <v>0.0046135409957037</v>
      </c>
      <c r="X363" s="4">
        <v>-0.003976260957169</v>
      </c>
      <c r="Y363" s="4">
        <v>0.0</v>
      </c>
      <c r="Z363" s="4">
        <v>0.0</v>
      </c>
      <c r="AA363" s="4">
        <v>0.0</v>
      </c>
      <c r="AB363" s="4">
        <v>0.0</v>
      </c>
      <c r="AC363" s="4">
        <v>0.0015409309928002</v>
      </c>
      <c r="AD363" s="4">
        <v>-0.0049587802097782</v>
      </c>
      <c r="AE363" s="4">
        <v>0.0</v>
      </c>
      <c r="AF363" s="4">
        <v>0.0062654033955265</v>
      </c>
      <c r="AG363" s="4">
        <v>-0.0011137120809662</v>
      </c>
      <c r="AH363" s="4">
        <v>-0.0147058393853476</v>
      </c>
      <c r="AI363" s="4">
        <v>0.0</v>
      </c>
      <c r="AJ363" s="4">
        <v>-0.001824</v>
      </c>
      <c r="AK363" s="4">
        <f>Weights!E419</f>
        <v>-0.003050657789</v>
      </c>
      <c r="AL363" s="7">
        <v>7.8929632051139E-5</v>
      </c>
      <c r="AM363" s="5">
        <v>0.00204946041952847</v>
      </c>
      <c r="AN363" s="5">
        <v>-6.64366744631328E-4</v>
      </c>
      <c r="AO363" s="5">
        <v>-7.42538990728736E-4</v>
      </c>
      <c r="AP363" s="6">
        <f t="shared" si="3"/>
        <v>1.422561853</v>
      </c>
      <c r="AQ363" s="4">
        <f t="shared" si="4"/>
        <v>1.306043988</v>
      </c>
      <c r="AR363" s="7">
        <f t="shared" si="5"/>
        <v>1.312044286</v>
      </c>
      <c r="AS363" s="5">
        <f t="shared" ref="AS363:AU363" si="365">AS362*(1+AM363)</f>
        <v>1.376816912</v>
      </c>
      <c r="AT363" s="5">
        <f t="shared" si="365"/>
        <v>1.226094586</v>
      </c>
      <c r="AU363" s="5">
        <f t="shared" si="365"/>
        <v>1.216105421</v>
      </c>
    </row>
    <row r="364" ht="15.75" customHeight="1">
      <c r="A364" s="3">
        <v>44357.0</v>
      </c>
      <c r="B364" s="4">
        <v>-8.82E-4</v>
      </c>
      <c r="C364" s="4">
        <v>0.005083</v>
      </c>
      <c r="D364" s="4">
        <v>9.69E-4</v>
      </c>
      <c r="E364" s="4">
        <v>0.010267</v>
      </c>
      <c r="F364" s="4">
        <v>0.007751</v>
      </c>
      <c r="G364" s="4">
        <v>0.008998</v>
      </c>
      <c r="H364" s="4">
        <v>0.007419</v>
      </c>
      <c r="I364" s="4">
        <v>-5.03E-4</v>
      </c>
      <c r="J364" s="4">
        <v>0.007787</v>
      </c>
      <c r="K364" s="4">
        <v>-0.001526</v>
      </c>
      <c r="L364" s="4">
        <v>-5.82E-4</v>
      </c>
      <c r="M364" s="4">
        <v>-0.011634</v>
      </c>
      <c r="N364" s="4">
        <v>-0.006944</v>
      </c>
      <c r="O364" s="4">
        <v>0.040432</v>
      </c>
      <c r="P364" s="4">
        <v>0.015288</v>
      </c>
      <c r="Q364" s="4">
        <v>0.020184</v>
      </c>
      <c r="R364" s="4">
        <v>-0.013759</v>
      </c>
      <c r="S364" s="4">
        <v>0.033157</v>
      </c>
      <c r="T364" s="4">
        <v>-0.011805</v>
      </c>
      <c r="U364" s="4">
        <v>0.003658</v>
      </c>
      <c r="V364" s="4">
        <v>9.00383078479949E-4</v>
      </c>
      <c r="W364" s="4">
        <v>-0.0235946104365852</v>
      </c>
      <c r="X364" s="4">
        <v>0.0179641475844845</v>
      </c>
      <c r="Y364" s="4">
        <v>0.0114466766086682</v>
      </c>
      <c r="Z364" s="4">
        <v>0.0108418219887218</v>
      </c>
      <c r="AA364" s="4">
        <v>-0.0015897552933696</v>
      </c>
      <c r="AB364" s="4">
        <v>-0.0021444426696711</v>
      </c>
      <c r="AC364" s="4">
        <v>0.0138460497571935</v>
      </c>
      <c r="AD364" s="4">
        <v>0.0132891557347918</v>
      </c>
      <c r="AE364" s="4">
        <v>0.006335229226646</v>
      </c>
      <c r="AF364" s="4">
        <v>0.0073091715275879</v>
      </c>
      <c r="AG364" s="4">
        <v>-0.011258321180308</v>
      </c>
      <c r="AH364" s="4">
        <v>-0.0273632017835131</v>
      </c>
      <c r="AI364" s="4">
        <v>0.0023096015320589</v>
      </c>
      <c r="AJ364" s="4">
        <v>0.004652</v>
      </c>
      <c r="AK364" s="4">
        <f>Weights!E420</f>
        <v>0.001587968377</v>
      </c>
      <c r="AL364" s="5">
        <v>-0.0017350315510739</v>
      </c>
      <c r="AM364" s="5">
        <v>-0.00281796174493031</v>
      </c>
      <c r="AN364" s="5">
        <v>0.00465415586900186</v>
      </c>
      <c r="AO364" s="5">
        <v>0.00470663108104085</v>
      </c>
      <c r="AP364" s="6">
        <f t="shared" si="3"/>
        <v>1.424820837</v>
      </c>
      <c r="AQ364" s="4">
        <f t="shared" si="4"/>
        <v>1.312119704</v>
      </c>
      <c r="AR364" s="7">
        <f t="shared" si="5"/>
        <v>1.309767848</v>
      </c>
      <c r="AS364" s="5">
        <f t="shared" ref="AS364:AU364" si="366">AS363*(1+AM364)</f>
        <v>1.372937094</v>
      </c>
      <c r="AT364" s="5">
        <f t="shared" si="366"/>
        <v>1.231801022</v>
      </c>
      <c r="AU364" s="5">
        <f t="shared" si="366"/>
        <v>1.22182918</v>
      </c>
    </row>
    <row r="365" ht="15.75" customHeight="1">
      <c r="A365" s="3">
        <v>44358.0</v>
      </c>
      <c r="B365" s="4">
        <v>-0.002648</v>
      </c>
      <c r="C365" s="4">
        <v>-1.74E-4</v>
      </c>
      <c r="D365" s="4">
        <v>-0.004455</v>
      </c>
      <c r="E365" s="4">
        <v>6.1E-4</v>
      </c>
      <c r="F365" s="4">
        <v>0.004471</v>
      </c>
      <c r="G365" s="4">
        <v>-0.012689</v>
      </c>
      <c r="H365" s="4">
        <v>-0.006849</v>
      </c>
      <c r="I365" s="4">
        <v>-0.001761</v>
      </c>
      <c r="J365" s="4">
        <v>-0.003434</v>
      </c>
      <c r="K365" s="4">
        <v>-0.002917</v>
      </c>
      <c r="L365" s="4">
        <v>0.006113</v>
      </c>
      <c r="M365" s="4">
        <v>-0.001962</v>
      </c>
      <c r="N365" s="4">
        <v>-0.003024</v>
      </c>
      <c r="O365" s="4">
        <v>-0.008842</v>
      </c>
      <c r="P365" s="4">
        <v>-0.010554</v>
      </c>
      <c r="Q365" s="4">
        <v>-0.030576</v>
      </c>
      <c r="R365" s="4">
        <v>0.017688</v>
      </c>
      <c r="S365" s="4">
        <v>-0.019624</v>
      </c>
      <c r="T365" s="4">
        <v>0.002634</v>
      </c>
      <c r="U365" s="4">
        <v>0.002154</v>
      </c>
      <c r="V365" s="4">
        <v>0.0296896533249606</v>
      </c>
      <c r="W365" s="4">
        <v>-0.004703247462555</v>
      </c>
      <c r="X365" s="4">
        <v>-0.0019608424992624</v>
      </c>
      <c r="Y365" s="4">
        <v>0.0261711051469846</v>
      </c>
      <c r="Z365" s="4">
        <v>-0.0011130274887766</v>
      </c>
      <c r="AA365" s="4">
        <v>5.307068793189E-4</v>
      </c>
      <c r="AB365" s="4">
        <v>-0.0072521910009901</v>
      </c>
      <c r="AC365" s="4">
        <v>0.0015174083741096</v>
      </c>
      <c r="AD365" s="4">
        <v>0.0049180414703442</v>
      </c>
      <c r="AE365" s="4">
        <v>0.0017036267569032</v>
      </c>
      <c r="AF365" s="4">
        <v>0.0212308459932508</v>
      </c>
      <c r="AG365" s="4">
        <v>-0.0155580312851179</v>
      </c>
      <c r="AH365" s="4">
        <v>0.0063938557520348</v>
      </c>
      <c r="AI365" s="4">
        <v>0.0018433021017978</v>
      </c>
      <c r="AJ365" s="4">
        <v>0.001948</v>
      </c>
      <c r="AK365" s="6">
        <f>Weights!E421</f>
        <v>0.00009726719633</v>
      </c>
      <c r="AL365" s="5">
        <v>0.0039576566985422</v>
      </c>
      <c r="AM365" s="5">
        <v>0.00442117684346032</v>
      </c>
      <c r="AN365" s="5">
        <v>0.0</v>
      </c>
      <c r="AO365" s="5">
        <v>1.23092033819771E-4</v>
      </c>
      <c r="AP365" s="6">
        <f t="shared" si="3"/>
        <v>1.424959425</v>
      </c>
      <c r="AQ365" s="4">
        <f t="shared" si="4"/>
        <v>1.314675714</v>
      </c>
      <c r="AR365" s="7">
        <f t="shared" si="5"/>
        <v>1.314951459</v>
      </c>
      <c r="AS365" s="5">
        <f t="shared" ref="AS365:AU365" si="367">AS364*(1+AM365)</f>
        <v>1.379007092</v>
      </c>
      <c r="AT365" s="5">
        <f t="shared" si="367"/>
        <v>1.231801022</v>
      </c>
      <c r="AU365" s="5">
        <f t="shared" si="367"/>
        <v>1.221979578</v>
      </c>
    </row>
    <row r="366" ht="15.75" customHeight="1">
      <c r="A366" s="3">
        <v>44361.0</v>
      </c>
      <c r="B366" s="4">
        <v>0.00708</v>
      </c>
      <c r="C366" s="4">
        <v>-0.002616</v>
      </c>
      <c r="D366" s="4">
        <v>0.002529</v>
      </c>
      <c r="E366" s="4">
        <v>0.005958</v>
      </c>
      <c r="F366" s="4">
        <v>-0.003383</v>
      </c>
      <c r="G366" s="4">
        <v>0.002485</v>
      </c>
      <c r="H366" s="4">
        <v>3.71E-4</v>
      </c>
      <c r="I366" s="4">
        <v>0.025958</v>
      </c>
      <c r="J366" s="4">
        <v>0.004954</v>
      </c>
      <c r="K366" s="4">
        <v>-0.002647</v>
      </c>
      <c r="L366" s="4">
        <v>0.004918</v>
      </c>
      <c r="M366" s="4">
        <v>-0.001966</v>
      </c>
      <c r="N366" s="4">
        <v>-0.007014</v>
      </c>
      <c r="O366" s="4">
        <v>0.060024</v>
      </c>
      <c r="P366" s="4">
        <v>-0.006827</v>
      </c>
      <c r="Q366" s="4">
        <v>-0.042672</v>
      </c>
      <c r="R366" s="4">
        <v>-0.033537</v>
      </c>
      <c r="S366" s="4">
        <v>-0.002919</v>
      </c>
      <c r="T366" s="4">
        <v>-0.036401</v>
      </c>
      <c r="U366" s="4">
        <v>0.005538</v>
      </c>
      <c r="V366" s="4">
        <v>0.0222805286726921</v>
      </c>
      <c r="W366" s="4">
        <v>0.0224865491215584</v>
      </c>
      <c r="X366" s="4">
        <v>0.0117879117534511</v>
      </c>
      <c r="Y366" s="4">
        <v>0.0273415832875101</v>
      </c>
      <c r="Z366" s="4">
        <v>-0.0196513918009808</v>
      </c>
      <c r="AA366" s="4">
        <v>-0.0038903391570068</v>
      </c>
      <c r="AB366" s="4">
        <v>-0.0078463256955741</v>
      </c>
      <c r="AC366" s="4">
        <v>0.0</v>
      </c>
      <c r="AD366" s="4">
        <v>0.0016312317630784</v>
      </c>
      <c r="AE366" s="4">
        <v>-0.001859213378907</v>
      </c>
      <c r="AF366" s="4">
        <v>0.0184209971415316</v>
      </c>
      <c r="AG366" s="4">
        <v>-0.0103067730166414</v>
      </c>
      <c r="AH366" s="4">
        <v>0.0228716730175528</v>
      </c>
      <c r="AI366" s="4">
        <v>-9.199552953694E-4</v>
      </c>
      <c r="AJ366" s="4">
        <v>0.001815</v>
      </c>
      <c r="AK366" s="4">
        <f>Weights!E422</f>
        <v>0.001937553872</v>
      </c>
      <c r="AL366" s="5">
        <v>0.00285525635876671</v>
      </c>
      <c r="AM366" s="5">
        <v>0.00294960128697052</v>
      </c>
      <c r="AN366" s="5">
        <v>6.61869952552685E-4</v>
      </c>
      <c r="AO366" s="5">
        <v>0.00110948947095224</v>
      </c>
      <c r="AP366" s="6">
        <f t="shared" si="3"/>
        <v>1.427720361</v>
      </c>
      <c r="AQ366" s="4">
        <f t="shared" si="4"/>
        <v>1.31706185</v>
      </c>
      <c r="AR366" s="7">
        <f t="shared" si="5"/>
        <v>1.318705983</v>
      </c>
      <c r="AS366" s="5">
        <f t="shared" ref="AS366:AU366" si="368">AS365*(1+AM366)</f>
        <v>1.383074613</v>
      </c>
      <c r="AT366" s="5">
        <f t="shared" si="368"/>
        <v>1.232616314</v>
      </c>
      <c r="AU366" s="5">
        <f t="shared" si="368"/>
        <v>1.223335351</v>
      </c>
    </row>
    <row r="367" ht="15.75" customHeight="1">
      <c r="A367" s="3">
        <v>44362.0</v>
      </c>
      <c r="B367" s="4">
        <v>0.002197</v>
      </c>
      <c r="C367" s="4">
        <v>0.001924</v>
      </c>
      <c r="D367" s="4">
        <v>0.015913</v>
      </c>
      <c r="E367" s="4">
        <v>6.7E-5</v>
      </c>
      <c r="F367" s="4">
        <v>-0.00252</v>
      </c>
      <c r="G367" s="4">
        <v>-0.005321</v>
      </c>
      <c r="H367" s="4">
        <v>-0.001927</v>
      </c>
      <c r="I367" s="4">
        <v>0.001719</v>
      </c>
      <c r="J367" s="4">
        <v>0.001715</v>
      </c>
      <c r="K367" s="4">
        <v>0.002933</v>
      </c>
      <c r="L367" s="4">
        <v>0.002783</v>
      </c>
      <c r="M367" s="4">
        <v>-9.85E-4</v>
      </c>
      <c r="N367" s="4">
        <v>-0.002673</v>
      </c>
      <c r="O367" s="4">
        <v>0.020544</v>
      </c>
      <c r="P367" s="4">
        <v>-0.01074</v>
      </c>
      <c r="Q367" s="4">
        <v>-0.01938</v>
      </c>
      <c r="R367" s="4">
        <v>-0.047619</v>
      </c>
      <c r="S367" s="4">
        <v>-0.01903</v>
      </c>
      <c r="T367" s="4">
        <v>-0.007692</v>
      </c>
      <c r="U367" s="4">
        <v>8.22E-4</v>
      </c>
      <c r="V367" s="4">
        <v>-0.0371796107179951</v>
      </c>
      <c r="W367" s="4">
        <v>-7.96856738455E-4</v>
      </c>
      <c r="X367" s="4">
        <v>0.0</v>
      </c>
      <c r="Y367" s="4">
        <v>0.0138662736753667</v>
      </c>
      <c r="Z367" s="4">
        <v>0.013638999175731</v>
      </c>
      <c r="AA367" s="4">
        <v>0.0030180102901666</v>
      </c>
      <c r="AB367" s="4">
        <v>0.0128169839951706</v>
      </c>
      <c r="AC367" s="4">
        <v>0.0</v>
      </c>
      <c r="AD367" s="4">
        <v>0.0</v>
      </c>
      <c r="AE367" s="4">
        <v>8.196545471335E-4</v>
      </c>
      <c r="AF367" s="4">
        <v>-0.007751933091129</v>
      </c>
      <c r="AG367" s="4">
        <v>2.315197125055E-4</v>
      </c>
      <c r="AH367" s="4">
        <v>-0.0180124494480424</v>
      </c>
      <c r="AI367" s="4">
        <v>-9.208023924063E-4</v>
      </c>
      <c r="AJ367" s="4">
        <v>-0.002012</v>
      </c>
      <c r="AK367" s="4">
        <f>Weights!E423</f>
        <v>-0.002842121389</v>
      </c>
      <c r="AL367" s="5">
        <v>0.00173986488643285</v>
      </c>
      <c r="AM367" s="5">
        <v>0.00153832076714732</v>
      </c>
      <c r="AN367" s="5">
        <v>-0.0033070196263244</v>
      </c>
      <c r="AO367" s="5">
        <v>-0.00295490196658299</v>
      </c>
      <c r="AP367" s="6">
        <f t="shared" si="3"/>
        <v>1.423662606</v>
      </c>
      <c r="AQ367" s="4">
        <f t="shared" si="4"/>
        <v>1.314411922</v>
      </c>
      <c r="AR367" s="7">
        <f t="shared" si="5"/>
        <v>1.321000353</v>
      </c>
      <c r="AS367" s="5">
        <f t="shared" ref="AS367:AU367" si="369">AS366*(1+AM367)</f>
        <v>1.385202225</v>
      </c>
      <c r="AT367" s="5">
        <f t="shared" si="369"/>
        <v>1.228540027</v>
      </c>
      <c r="AU367" s="5">
        <f t="shared" si="369"/>
        <v>1.219720515</v>
      </c>
    </row>
    <row r="368" ht="15.75" customHeight="1">
      <c r="A368" s="3">
        <v>44363.0</v>
      </c>
      <c r="B368" s="4">
        <v>-0.007891</v>
      </c>
      <c r="C368" s="4">
        <v>-0.011346</v>
      </c>
      <c r="D368" s="4">
        <v>-0.010888</v>
      </c>
      <c r="E368" s="4">
        <v>-0.009961</v>
      </c>
      <c r="F368" s="4">
        <v>-0.013355</v>
      </c>
      <c r="G368" s="4">
        <v>-3.65E-4</v>
      </c>
      <c r="H368" s="4">
        <v>-0.013888</v>
      </c>
      <c r="I368" s="4">
        <v>-0.002207</v>
      </c>
      <c r="J368" s="4">
        <v>-0.008772</v>
      </c>
      <c r="K368" s="4">
        <v>-0.00195</v>
      </c>
      <c r="L368" s="4">
        <v>-0.003732</v>
      </c>
      <c r="M368" s="4">
        <v>-0.01035</v>
      </c>
      <c r="N368" s="4">
        <v>-0.005551</v>
      </c>
      <c r="O368" s="4">
        <v>0.001438</v>
      </c>
      <c r="P368" s="4">
        <v>-0.00912</v>
      </c>
      <c r="Q368" s="4">
        <v>-0.041502</v>
      </c>
      <c r="R368" s="4">
        <v>-0.014362</v>
      </c>
      <c r="S368" s="4">
        <v>-0.011725</v>
      </c>
      <c r="T368" s="4">
        <v>-0.019427</v>
      </c>
      <c r="U368" s="4">
        <v>-0.009363</v>
      </c>
      <c r="V368" s="4">
        <v>0.0</v>
      </c>
      <c r="W368" s="4">
        <v>0.0</v>
      </c>
      <c r="X368" s="4">
        <v>-0.0038609916262581</v>
      </c>
      <c r="Y368" s="4">
        <v>-0.0110297377366329</v>
      </c>
      <c r="Z368" s="4">
        <v>-0.0106013963005889</v>
      </c>
      <c r="AA368" s="4">
        <v>-0.0037168442999683</v>
      </c>
      <c r="AB368" s="4">
        <v>0.0072697650602309</v>
      </c>
      <c r="AC368" s="4">
        <v>-0.0060514780046893</v>
      </c>
      <c r="AD368" s="4">
        <v>0.0</v>
      </c>
      <c r="AE368" s="4">
        <v>-0.0123568901653554</v>
      </c>
      <c r="AF368" s="4">
        <v>0.0</v>
      </c>
      <c r="AG368" s="4">
        <v>0.0</v>
      </c>
      <c r="AH368" s="4">
        <v>0.0</v>
      </c>
      <c r="AI368" s="4">
        <v>0.0013822233476832</v>
      </c>
      <c r="AJ368" s="4">
        <v>-0.00539</v>
      </c>
      <c r="AK368" s="4">
        <f>Weights!E424</f>
        <v>-0.006020571981</v>
      </c>
      <c r="AL368" s="5">
        <v>-0.0019736649656401</v>
      </c>
      <c r="AM368" s="5">
        <v>-0.00262022808774875</v>
      </c>
      <c r="AN368" s="5">
        <v>9.9540477231752E-4</v>
      </c>
      <c r="AO368" s="5">
        <v>0.0022226650179411</v>
      </c>
      <c r="AP368" s="6">
        <f t="shared" si="3"/>
        <v>1.415091343</v>
      </c>
      <c r="AQ368" s="4">
        <f t="shared" si="4"/>
        <v>1.307327241</v>
      </c>
      <c r="AR368" s="7">
        <f t="shared" si="5"/>
        <v>1.318393141</v>
      </c>
      <c r="AS368" s="5">
        <f t="shared" ref="AS368:AU368" si="370">AS367*(1+AM368)</f>
        <v>1.38157268</v>
      </c>
      <c r="AT368" s="5">
        <f t="shared" si="370"/>
        <v>1.229762922</v>
      </c>
      <c r="AU368" s="5">
        <f t="shared" si="370"/>
        <v>1.222431545</v>
      </c>
    </row>
    <row r="369" ht="15.75" customHeight="1">
      <c r="A369" s="3">
        <v>44364.0</v>
      </c>
      <c r="B369" s="4">
        <v>-0.004419</v>
      </c>
      <c r="C369" s="4">
        <v>-0.001942</v>
      </c>
      <c r="D369" s="4">
        <v>0.001159</v>
      </c>
      <c r="E369" s="4">
        <v>0.009653</v>
      </c>
      <c r="F369" s="4">
        <v>0.005122</v>
      </c>
      <c r="G369" s="4">
        <v>0.004805</v>
      </c>
      <c r="H369" s="4">
        <v>0.009113</v>
      </c>
      <c r="I369" s="4">
        <v>-0.006881</v>
      </c>
      <c r="J369" s="4">
        <v>-0.006475</v>
      </c>
      <c r="K369" s="4">
        <v>-0.010327</v>
      </c>
      <c r="L369" s="4">
        <v>-0.011527</v>
      </c>
      <c r="M369" s="4">
        <v>-0.021912</v>
      </c>
      <c r="N369" s="4">
        <v>-0.019442</v>
      </c>
      <c r="O369" s="4">
        <v>0.015456</v>
      </c>
      <c r="P369" s="4">
        <v>-0.069832</v>
      </c>
      <c r="Q369" s="4">
        <v>-0.035052</v>
      </c>
      <c r="R369" s="4">
        <v>-0.051538</v>
      </c>
      <c r="S369" s="4">
        <v>-0.043141</v>
      </c>
      <c r="T369" s="4">
        <v>-0.046928</v>
      </c>
      <c r="U369" s="4">
        <v>-0.004228</v>
      </c>
      <c r="V369" s="4">
        <v>-0.0264626345598394</v>
      </c>
      <c r="W369" s="4">
        <v>0.0403508652312589</v>
      </c>
      <c r="X369" s="4">
        <v>0.0077518497033259</v>
      </c>
      <c r="Y369" s="4">
        <v>0.0066916743130476</v>
      </c>
      <c r="Z369" s="4">
        <v>0.0232845927102807</v>
      </c>
      <c r="AA369" s="4">
        <v>-0.0056847814836068</v>
      </c>
      <c r="AB369" s="4">
        <v>-0.0027588069750379</v>
      </c>
      <c r="AC369" s="4">
        <v>0.0</v>
      </c>
      <c r="AD369" s="4">
        <v>0.033708017498667</v>
      </c>
      <c r="AE369" s="4">
        <v>0.010627289911554</v>
      </c>
      <c r="AF369" s="4">
        <v>0.0354166144472247</v>
      </c>
      <c r="AG369" s="4">
        <v>-0.0065943475117192</v>
      </c>
      <c r="AH369" s="4">
        <v>0.0215054014778182</v>
      </c>
      <c r="AI369" s="4">
        <v>0.0018410612183954</v>
      </c>
      <c r="AJ369" s="4">
        <v>-4.36E-4</v>
      </c>
      <c r="AK369" s="4">
        <f>Weights!E425</f>
        <v>-0.004427391388</v>
      </c>
      <c r="AL369" s="5">
        <v>-0.00530020669030884</v>
      </c>
      <c r="AM369" s="5">
        <v>-0.00498220562333817</v>
      </c>
      <c r="AN369" s="5">
        <v>0.00530323957734601</v>
      </c>
      <c r="AO369" s="5">
        <v>0.00492844256120461</v>
      </c>
      <c r="AP369" s="6">
        <f t="shared" si="3"/>
        <v>1.40882618</v>
      </c>
      <c r="AQ369" s="4">
        <f t="shared" si="4"/>
        <v>1.306757247</v>
      </c>
      <c r="AR369" s="7">
        <f t="shared" si="5"/>
        <v>1.311405385</v>
      </c>
      <c r="AS369" s="5">
        <f t="shared" ref="AS369:AU369" si="371">AS368*(1+AM369)</f>
        <v>1.3746894</v>
      </c>
      <c r="AT369" s="5">
        <f t="shared" si="371"/>
        <v>1.236284649</v>
      </c>
      <c r="AU369" s="5">
        <f t="shared" si="371"/>
        <v>1.228456229</v>
      </c>
    </row>
    <row r="370" ht="15.75" customHeight="1">
      <c r="A370" s="3">
        <v>44365.0</v>
      </c>
      <c r="B370" s="4">
        <v>-0.014203</v>
      </c>
      <c r="C370" s="4">
        <v>-0.01256</v>
      </c>
      <c r="D370" s="4">
        <v>-0.008102</v>
      </c>
      <c r="E370" s="4">
        <v>-0.020873</v>
      </c>
      <c r="F370" s="4">
        <v>-0.021474</v>
      </c>
      <c r="G370" s="4">
        <v>-0.01961</v>
      </c>
      <c r="H370" s="4">
        <v>-0.014628</v>
      </c>
      <c r="I370" s="4">
        <v>-0.020045</v>
      </c>
      <c r="J370" s="4">
        <v>-0.012383</v>
      </c>
      <c r="K370" s="4">
        <v>-0.012831</v>
      </c>
      <c r="L370" s="4">
        <v>-0.015938</v>
      </c>
      <c r="M370" s="4">
        <v>-0.014257</v>
      </c>
      <c r="N370" s="4">
        <v>-0.017472</v>
      </c>
      <c r="O370" s="4">
        <v>-0.012559</v>
      </c>
      <c r="P370" s="4">
        <v>-0.016491</v>
      </c>
      <c r="Q370" s="4">
        <v>-0.020299</v>
      </c>
      <c r="R370" s="4">
        <v>-0.005405</v>
      </c>
      <c r="S370" s="4">
        <v>-0.016005</v>
      </c>
      <c r="T370" s="4">
        <v>-0.023412</v>
      </c>
      <c r="U370" s="4">
        <v>-0.015985</v>
      </c>
      <c r="V370" s="4">
        <v>-0.0355677252200947</v>
      </c>
      <c r="W370" s="4">
        <v>0.0104246548141013</v>
      </c>
      <c r="X370" s="4">
        <v>0.0</v>
      </c>
      <c r="Y370" s="4">
        <v>-0.007607330765901</v>
      </c>
      <c r="Z370" s="4">
        <v>-0.0130889071713251</v>
      </c>
      <c r="AA370" s="4">
        <v>0.0080399187249313</v>
      </c>
      <c r="AB370" s="4">
        <v>-0.0097641805029035</v>
      </c>
      <c r="AC370" s="4">
        <v>0.0030442658103222</v>
      </c>
      <c r="AD370" s="4">
        <v>0.0031054192117885</v>
      </c>
      <c r="AE370" s="4">
        <v>-0.0023119759770634</v>
      </c>
      <c r="AF370" s="4">
        <v>-0.0163479970333565</v>
      </c>
      <c r="AG370" s="4">
        <v>0.0013974149625533</v>
      </c>
      <c r="AH370" s="4">
        <v>-0.014860711142828</v>
      </c>
      <c r="AI370" s="4">
        <v>4.591923122243E-4</v>
      </c>
      <c r="AJ370" s="4">
        <v>-0.013125</v>
      </c>
      <c r="AK370" s="4">
        <f>Weights!E426</f>
        <v>-0.01081970289</v>
      </c>
      <c r="AL370" s="5">
        <v>-0.00167020368691506</v>
      </c>
      <c r="AM370" s="5">
        <v>-9.56093001291735E-4</v>
      </c>
      <c r="AN370" s="5">
        <v>0.00263794861107991</v>
      </c>
      <c r="AO370" s="5">
        <v>0.00122627839180511</v>
      </c>
      <c r="AP370" s="6">
        <f t="shared" si="3"/>
        <v>1.393583099</v>
      </c>
      <c r="AQ370" s="4">
        <f t="shared" si="4"/>
        <v>1.289606058</v>
      </c>
      <c r="AR370" s="7">
        <f t="shared" si="5"/>
        <v>1.309215071</v>
      </c>
      <c r="AS370" s="5">
        <f t="shared" ref="AS370:AU370" si="372">AS369*(1+AM370)</f>
        <v>1.37337507</v>
      </c>
      <c r="AT370" s="5">
        <f t="shared" si="372"/>
        <v>1.239545905</v>
      </c>
      <c r="AU370" s="5">
        <f t="shared" si="372"/>
        <v>1.229962658</v>
      </c>
    </row>
    <row r="371" ht="15.75" customHeight="1">
      <c r="A371" s="3">
        <v>44368.0</v>
      </c>
      <c r="B371" s="4">
        <v>0.010806</v>
      </c>
      <c r="C371" s="4">
        <v>0.010211</v>
      </c>
      <c r="D371" s="4">
        <v>0.013224</v>
      </c>
      <c r="E371" s="4">
        <v>0.007839</v>
      </c>
      <c r="F371" s="4">
        <v>0.010973</v>
      </c>
      <c r="G371" s="4">
        <v>0.011483</v>
      </c>
      <c r="H371" s="4">
        <v>0.007877</v>
      </c>
      <c r="I371" s="4">
        <v>0.010101</v>
      </c>
      <c r="J371" s="4">
        <v>0.005499</v>
      </c>
      <c r="K371" s="4">
        <v>0.012855</v>
      </c>
      <c r="L371" s="4">
        <v>0.009184</v>
      </c>
      <c r="M371" s="4">
        <v>0.008264</v>
      </c>
      <c r="N371" s="4">
        <v>0.014386</v>
      </c>
      <c r="O371" s="4">
        <v>0.00876</v>
      </c>
      <c r="P371" s="4">
        <v>0.012935</v>
      </c>
      <c r="Q371" s="4">
        <v>0.004362</v>
      </c>
      <c r="R371" s="4">
        <v>0.023455</v>
      </c>
      <c r="S371" s="4">
        <v>0.019931</v>
      </c>
      <c r="T371" s="4">
        <v>0.030531</v>
      </c>
      <c r="U371" s="4">
        <v>0.014553</v>
      </c>
      <c r="V371" s="4">
        <v>0.0335698680805955</v>
      </c>
      <c r="W371" s="4">
        <v>-0.0286755004114585</v>
      </c>
      <c r="X371" s="4">
        <v>-0.0057692129222338</v>
      </c>
      <c r="Y371" s="4">
        <v>0.0052095823857287</v>
      </c>
      <c r="Z371" s="4">
        <v>0.002244209738677</v>
      </c>
      <c r="AA371" s="4">
        <v>0.003367572244074</v>
      </c>
      <c r="AB371" s="4">
        <v>0.0115038488496528</v>
      </c>
      <c r="AC371" s="4">
        <v>0.0166919113853074</v>
      </c>
      <c r="AD371" s="4">
        <v>0.0433436453723281</v>
      </c>
      <c r="AE371" s="4">
        <v>-0.0070262955682356</v>
      </c>
      <c r="AF371" s="4">
        <v>-0.0035797363312756</v>
      </c>
      <c r="AG371" s="4">
        <v>0.0124433954793174</v>
      </c>
      <c r="AH371" s="4">
        <v>0.0213702325180622</v>
      </c>
      <c r="AI371" s="4">
        <v>-0.0013770455736992</v>
      </c>
      <c r="AJ371" s="4">
        <v>0.014002</v>
      </c>
      <c r="AK371" s="4">
        <f>Weights!E427</f>
        <v>0.009807815248</v>
      </c>
      <c r="AL371" s="5">
        <v>-0.0152951635331849</v>
      </c>
      <c r="AM371" s="5">
        <v>-0.0123933345595105</v>
      </c>
      <c r="AN371" s="5">
        <v>0.00526110345615005</v>
      </c>
      <c r="AO371" s="5">
        <v>0.0044084179405015</v>
      </c>
      <c r="AP371" s="6">
        <f t="shared" si="3"/>
        <v>1.407251105</v>
      </c>
      <c r="AQ371" s="4">
        <f t="shared" si="4"/>
        <v>1.307663122</v>
      </c>
      <c r="AR371" s="7">
        <f t="shared" si="5"/>
        <v>1.289190412</v>
      </c>
      <c r="AS371" s="5">
        <f t="shared" ref="AS371:AU371" si="373">AS370*(1+AM371)</f>
        <v>1.356354373</v>
      </c>
      <c r="AT371" s="5">
        <f t="shared" si="373"/>
        <v>1.246067284</v>
      </c>
      <c r="AU371" s="5">
        <f t="shared" si="373"/>
        <v>1.235384848</v>
      </c>
    </row>
    <row r="372" ht="15.75" customHeight="1">
      <c r="A372" s="3">
        <v>44369.0</v>
      </c>
      <c r="B372" s="4">
        <v>0.0049</v>
      </c>
      <c r="C372" s="4">
        <v>-3.55E-4</v>
      </c>
      <c r="D372" s="4">
        <v>0.004798</v>
      </c>
      <c r="E372" s="4">
        <v>0.001501</v>
      </c>
      <c r="F372" s="4">
        <v>0.003679</v>
      </c>
      <c r="G372" s="4">
        <v>-0.001343</v>
      </c>
      <c r="H372" s="4">
        <v>3.76E-4</v>
      </c>
      <c r="I372" s="4">
        <v>0.0</v>
      </c>
      <c r="J372" s="4">
        <v>6.56E-4</v>
      </c>
      <c r="K372" s="4">
        <v>-0.001269</v>
      </c>
      <c r="L372" s="4">
        <v>0.001859</v>
      </c>
      <c r="M372" s="4">
        <v>-0.004098</v>
      </c>
      <c r="N372" s="4">
        <v>0.005909</v>
      </c>
      <c r="O372" s="4">
        <v>0.006555</v>
      </c>
      <c r="P372" s="4">
        <v>-0.00804</v>
      </c>
      <c r="Q372" s="4">
        <v>-0.016287</v>
      </c>
      <c r="R372" s="4">
        <v>0.019844</v>
      </c>
      <c r="S372" s="4">
        <v>-0.004268</v>
      </c>
      <c r="T372" s="4">
        <v>-0.001878</v>
      </c>
      <c r="U372" s="4">
        <v>0.004086</v>
      </c>
      <c r="V372" s="4">
        <v>-0.00228721710956514</v>
      </c>
      <c r="W372" s="4">
        <v>0.0167136529320426</v>
      </c>
      <c r="X372" s="4">
        <v>0.0</v>
      </c>
      <c r="Y372" s="4">
        <v>0.0057750826510043</v>
      </c>
      <c r="Z372" s="4">
        <v>-0.0035624007797555</v>
      </c>
      <c r="AA372" s="4">
        <v>0.0028264894467395</v>
      </c>
      <c r="AB372" s="4">
        <v>0.0024370170826479</v>
      </c>
      <c r="AC372" s="4">
        <v>0.0</v>
      </c>
      <c r="AD372" s="4">
        <v>0.0</v>
      </c>
      <c r="AE372" s="4">
        <v>0.0027852179576013</v>
      </c>
      <c r="AF372" s="4">
        <v>-0.016166309841327</v>
      </c>
      <c r="AG372" s="4">
        <v>-0.0067769080849434</v>
      </c>
      <c r="AH372" s="4">
        <v>-0.0400000352125901</v>
      </c>
      <c r="AI372" s="4">
        <v>0.0036781283949367</v>
      </c>
      <c r="AJ372" s="4">
        <v>0.005125</v>
      </c>
      <c r="AK372" s="4">
        <f>Weights!E428</f>
        <v>-0.001619016004</v>
      </c>
      <c r="AL372" s="5">
        <v>0.0135103754469654</v>
      </c>
      <c r="AM372" s="5">
        <v>0.0137948001642447</v>
      </c>
      <c r="AN372" s="5">
        <v>0.0</v>
      </c>
      <c r="AO372" s="5">
        <v>-9.75290581684218E-4</v>
      </c>
      <c r="AP372" s="6">
        <f t="shared" si="3"/>
        <v>1.404972742</v>
      </c>
      <c r="AQ372" s="4">
        <f t="shared" si="4"/>
        <v>1.314364895</v>
      </c>
      <c r="AR372" s="7">
        <f t="shared" si="5"/>
        <v>1.306607859</v>
      </c>
      <c r="AS372" s="5">
        <f t="shared" ref="AS372:AU372" si="374">AS371*(1+AM372)</f>
        <v>1.37506501</v>
      </c>
      <c r="AT372" s="5">
        <f t="shared" si="374"/>
        <v>1.246067284</v>
      </c>
      <c r="AU372" s="5">
        <f t="shared" si="374"/>
        <v>1.234179989</v>
      </c>
    </row>
    <row r="373" ht="15.75" customHeight="1">
      <c r="A373" s="3">
        <v>44370.0</v>
      </c>
      <c r="B373" s="4">
        <v>-0.007092</v>
      </c>
      <c r="C373" s="4">
        <v>-0.005322</v>
      </c>
      <c r="D373" s="4">
        <v>0.00191</v>
      </c>
      <c r="E373" s="4">
        <v>-0.013149</v>
      </c>
      <c r="F373" s="4">
        <v>-0.008065</v>
      </c>
      <c r="G373" s="4">
        <v>-0.006051</v>
      </c>
      <c r="H373" s="4">
        <v>-0.001427</v>
      </c>
      <c r="I373" s="4">
        <v>-0.004</v>
      </c>
      <c r="J373" s="4">
        <v>-0.007871</v>
      </c>
      <c r="K373" s="4">
        <v>-0.002118</v>
      </c>
      <c r="L373" s="4">
        <v>-0.003516</v>
      </c>
      <c r="M373" s="4">
        <v>-0.00463</v>
      </c>
      <c r="N373" s="4">
        <v>-0.002546</v>
      </c>
      <c r="O373" s="4">
        <v>0.009581</v>
      </c>
      <c r="P373" s="4">
        <v>-0.004132</v>
      </c>
      <c r="Q373" s="4">
        <v>0.001104</v>
      </c>
      <c r="R373" s="4">
        <v>0.018909</v>
      </c>
      <c r="S373" s="4">
        <v>-0.005865</v>
      </c>
      <c r="T373" s="4">
        <v>0.003031</v>
      </c>
      <c r="U373" s="4">
        <v>-0.004983</v>
      </c>
      <c r="V373" s="4">
        <v>-0.00412672032632577</v>
      </c>
      <c r="W373" s="4">
        <v>-0.026702000077606</v>
      </c>
      <c r="X373" s="4">
        <v>0.0</v>
      </c>
      <c r="Y373" s="4">
        <v>-0.0130294741704249</v>
      </c>
      <c r="Z373" s="4">
        <v>-0.0098071297623286</v>
      </c>
      <c r="AA373" s="4">
        <v>0.002818275015713</v>
      </c>
      <c r="AB373" s="4">
        <v>-0.0029713008345022</v>
      </c>
      <c r="AC373" s="4">
        <v>-6.90402283121116E-8</v>
      </c>
      <c r="AD373" s="4">
        <v>-0.0075188098108939</v>
      </c>
      <c r="AE373" s="4">
        <v>-0.0061558169917625</v>
      </c>
      <c r="AF373" s="4">
        <v>-0.0146061387657732</v>
      </c>
      <c r="AG373" s="4">
        <v>-0.0016191042971444</v>
      </c>
      <c r="AH373" s="4">
        <v>0.0057692713286059</v>
      </c>
      <c r="AI373" s="4">
        <v>-0.001374595912903</v>
      </c>
      <c r="AJ373" s="4">
        <v>-0.001083</v>
      </c>
      <c r="AK373" s="4">
        <f>Weights!E429</f>
        <v>-0.003424486545</v>
      </c>
      <c r="AL373" s="5">
        <v>0.00367174144383608</v>
      </c>
      <c r="AM373" s="5">
        <v>0.0056883112044741</v>
      </c>
      <c r="AN373" s="5">
        <v>-0.00163541612968887</v>
      </c>
      <c r="AO373" s="5">
        <v>-0.00317307668148247</v>
      </c>
      <c r="AP373" s="6">
        <f t="shared" si="3"/>
        <v>1.400161432</v>
      </c>
      <c r="AQ373" s="4">
        <f t="shared" si="4"/>
        <v>1.312941438</v>
      </c>
      <c r="AR373" s="7">
        <f t="shared" si="5"/>
        <v>1.311405385</v>
      </c>
      <c r="AS373" s="5">
        <f t="shared" ref="AS373:AU373" si="375">AS372*(1+AM373)</f>
        <v>1.382886808</v>
      </c>
      <c r="AT373" s="5">
        <f t="shared" si="375"/>
        <v>1.244029446</v>
      </c>
      <c r="AU373" s="5">
        <f t="shared" si="375"/>
        <v>1.230263841</v>
      </c>
    </row>
    <row r="374" ht="15.75" customHeight="1">
      <c r="A374" s="3">
        <v>44371.0</v>
      </c>
      <c r="B374" s="4">
        <v>-0.003125</v>
      </c>
      <c r="C374" s="4">
        <v>0.00535</v>
      </c>
      <c r="D374" s="4">
        <v>-0.002288</v>
      </c>
      <c r="E374" s="4">
        <v>0.005661</v>
      </c>
      <c r="F374" s="4">
        <v>0.004989</v>
      </c>
      <c r="G374" s="4">
        <v>0.00455</v>
      </c>
      <c r="H374" s="4">
        <v>6.77E-4</v>
      </c>
      <c r="I374" s="4">
        <v>0.006024</v>
      </c>
      <c r="J374" s="4">
        <v>0.002865</v>
      </c>
      <c r="K374" s="4">
        <v>4.24E-4</v>
      </c>
      <c r="L374" s="4">
        <v>-9.8E-5</v>
      </c>
      <c r="M374" s="4">
        <v>0.013954</v>
      </c>
      <c r="N374" s="4">
        <v>0.004908</v>
      </c>
      <c r="O374" s="4">
        <v>0.010559</v>
      </c>
      <c r="P374" s="4">
        <v>-0.005745</v>
      </c>
      <c r="Q374" s="4">
        <v>0.002205</v>
      </c>
      <c r="R374" s="4">
        <v>0.009145</v>
      </c>
      <c r="S374" s="4">
        <v>-0.002269</v>
      </c>
      <c r="T374" s="4">
        <v>0.019902</v>
      </c>
      <c r="U374" s="4">
        <v>0.002588</v>
      </c>
      <c r="V374" s="4">
        <v>-0.00184152297710249</v>
      </c>
      <c r="W374" s="4">
        <v>0.0095147006274334</v>
      </c>
      <c r="X374" s="4">
        <v>0.0077369833327682</v>
      </c>
      <c r="Y374" s="4">
        <v>-3.72777269393997E-5</v>
      </c>
      <c r="Z374" s="4">
        <v>0.0101103546288816</v>
      </c>
      <c r="AA374" s="4">
        <v>-0.0047427052529199</v>
      </c>
      <c r="AB374" s="4">
        <v>-0.0032512823073818</v>
      </c>
      <c r="AC374" s="4">
        <v>-0.0030674575547551</v>
      </c>
      <c r="AD374" s="4">
        <v>0.0196968317552803</v>
      </c>
      <c r="AE374" s="4">
        <v>-0.0040788315270289</v>
      </c>
      <c r="AF374" s="4">
        <v>0.0034410324235314</v>
      </c>
      <c r="AG374" s="4">
        <v>-0.0060235972030111</v>
      </c>
      <c r="AH374" s="4">
        <v>-0.0261312991928261</v>
      </c>
      <c r="AI374" s="4">
        <v>0.00137648802772</v>
      </c>
      <c r="AJ374" s="4">
        <v>0.005811</v>
      </c>
      <c r="AK374" s="4">
        <f>Weights!E430</f>
        <v>0.001117434474</v>
      </c>
      <c r="AL374" s="5">
        <v>-0.00254501114517669</v>
      </c>
      <c r="AM374" s="5">
        <v>-4.07272929601409E-4</v>
      </c>
      <c r="AN374" s="5">
        <v>-0.00720844401535569</v>
      </c>
      <c r="AO374" s="5">
        <v>-0.00710089324094986</v>
      </c>
      <c r="AP374" s="6">
        <f t="shared" si="3"/>
        <v>1.401726021</v>
      </c>
      <c r="AQ374" s="4">
        <f t="shared" si="4"/>
        <v>1.320570941</v>
      </c>
      <c r="AR374" s="7">
        <f t="shared" si="5"/>
        <v>1.308067844</v>
      </c>
      <c r="AS374" s="5">
        <f t="shared" ref="AS374:AU374" si="376">AS373*(1+AM374)</f>
        <v>1.382323596</v>
      </c>
      <c r="AT374" s="5">
        <f t="shared" si="376"/>
        <v>1.235061929</v>
      </c>
      <c r="AU374" s="5">
        <f t="shared" si="376"/>
        <v>1.221527869</v>
      </c>
    </row>
    <row r="375" ht="15.75" customHeight="1">
      <c r="A375" s="3">
        <v>44372.0</v>
      </c>
      <c r="B375" s="4">
        <v>0.001791</v>
      </c>
      <c r="C375" s="4">
        <v>1.77E-4</v>
      </c>
      <c r="D375" s="4">
        <v>0.004968</v>
      </c>
      <c r="E375" s="4">
        <v>0.00508</v>
      </c>
      <c r="F375" s="4">
        <v>-0.001287</v>
      </c>
      <c r="G375" s="4">
        <v>0.005142</v>
      </c>
      <c r="H375" s="4">
        <v>0.014284</v>
      </c>
      <c r="I375" s="4">
        <v>0.003992</v>
      </c>
      <c r="J375" s="4">
        <v>0.001978</v>
      </c>
      <c r="K375" s="4">
        <v>0.008487</v>
      </c>
      <c r="L375" s="4">
        <v>0.005588</v>
      </c>
      <c r="M375" s="4">
        <v>0.020387</v>
      </c>
      <c r="N375" s="4">
        <v>0.012307</v>
      </c>
      <c r="O375" s="4">
        <v>-0.005976</v>
      </c>
      <c r="P375" s="4">
        <v>0.0061</v>
      </c>
      <c r="Q375" s="4">
        <v>-0.0033</v>
      </c>
      <c r="R375" s="4">
        <v>-0.007463</v>
      </c>
      <c r="S375" s="4">
        <v>0.001365</v>
      </c>
      <c r="T375" s="4">
        <v>-0.012158</v>
      </c>
      <c r="U375" s="4">
        <v>2.5E-4</v>
      </c>
      <c r="V375" s="4">
        <v>0.0152213267299061</v>
      </c>
      <c r="W375" s="4">
        <v>-0.0252905972339892</v>
      </c>
      <c r="X375" s="4">
        <v>0.0076775820087306</v>
      </c>
      <c r="Y375" s="4">
        <v>-0.0023977361856575</v>
      </c>
      <c r="Z375" s="4">
        <v>-0.0049024842396099</v>
      </c>
      <c r="AA375" s="4">
        <v>0.0065303441220527</v>
      </c>
      <c r="AB375" s="4">
        <v>-0.0032616383594594</v>
      </c>
      <c r="AC375" s="4">
        <v>0.0046154822083677</v>
      </c>
      <c r="AD375" s="4">
        <v>0.0029718579380648</v>
      </c>
      <c r="AE375" s="4">
        <v>-0.0081910730610996</v>
      </c>
      <c r="AF375" s="4">
        <v>0.0060670141178742</v>
      </c>
      <c r="AG375" s="4">
        <v>-0.0100221121535482</v>
      </c>
      <c r="AH375" s="4">
        <v>-0.0255235827259809</v>
      </c>
      <c r="AI375" s="4">
        <v>0.0013740924716811</v>
      </c>
      <c r="AJ375" s="4">
        <v>0.003331</v>
      </c>
      <c r="AK375" s="4">
        <f>Weights!E431</f>
        <v>0.0008107126666</v>
      </c>
      <c r="AL375" s="5">
        <v>0.00797329145271641</v>
      </c>
      <c r="AM375" s="5">
        <v>0.00678869471762055</v>
      </c>
      <c r="AN375" s="5">
        <v>0.0075908794152868</v>
      </c>
      <c r="AO375" s="5">
        <v>0.00813803078419561</v>
      </c>
      <c r="AP375" s="6">
        <f t="shared" si="3"/>
        <v>1.402862418</v>
      </c>
      <c r="AQ375" s="4">
        <f t="shared" si="4"/>
        <v>1.324969763</v>
      </c>
      <c r="AR375" s="7">
        <f t="shared" si="5"/>
        <v>1.31849745</v>
      </c>
      <c r="AS375" s="5">
        <f t="shared" ref="AS375:AU375" si="377">AS374*(1+AM375)</f>
        <v>1.391707769</v>
      </c>
      <c r="AT375" s="5">
        <f t="shared" si="377"/>
        <v>1.244437135</v>
      </c>
      <c r="AU375" s="5">
        <f t="shared" si="377"/>
        <v>1.2314687</v>
      </c>
    </row>
    <row r="376" ht="15.75" customHeight="1">
      <c r="A376" s="3">
        <v>44375.0</v>
      </c>
      <c r="B376" s="4">
        <v>0.003129</v>
      </c>
      <c r="C376" s="4">
        <v>-0.003547</v>
      </c>
      <c r="D376" s="4">
        <v>0.001141</v>
      </c>
      <c r="E376" s="4">
        <v>0.004303</v>
      </c>
      <c r="F376" s="4">
        <v>-0.001105</v>
      </c>
      <c r="G376" s="4">
        <v>-0.001157</v>
      </c>
      <c r="H376" s="4">
        <v>0.002965</v>
      </c>
      <c r="I376" s="4">
        <v>-0.00994</v>
      </c>
      <c r="J376" s="4">
        <v>-0.007675</v>
      </c>
      <c r="K376" s="4">
        <v>-0.012763</v>
      </c>
      <c r="L376" s="4">
        <v>-0.008871</v>
      </c>
      <c r="M376" s="4">
        <v>-0.017483</v>
      </c>
      <c r="N376" s="4">
        <v>-0.007526</v>
      </c>
      <c r="O376" s="4">
        <v>0.010593</v>
      </c>
      <c r="P376" s="4">
        <v>-4.79E-4</v>
      </c>
      <c r="Q376" s="4">
        <v>-0.01766</v>
      </c>
      <c r="R376" s="4">
        <v>-0.013426</v>
      </c>
      <c r="S376" s="4">
        <v>-0.002498</v>
      </c>
      <c r="T376" s="4">
        <v>-0.016341</v>
      </c>
      <c r="U376" s="4">
        <v>-0.002081</v>
      </c>
      <c r="V376" s="4">
        <v>-0.0213538526553505</v>
      </c>
      <c r="W376" s="4">
        <v>-9.670361893666E-4</v>
      </c>
      <c r="X376" s="4">
        <v>0.0057142674909749</v>
      </c>
      <c r="Y376" s="4">
        <v>0.0012768878247231</v>
      </c>
      <c r="Z376" s="4">
        <v>-0.0065688493331412</v>
      </c>
      <c r="AA376" s="4">
        <v>0.0035069270302039</v>
      </c>
      <c r="AB376" s="4">
        <v>-0.0049085297043228</v>
      </c>
      <c r="AC376" s="4">
        <v>-0.0030628975581677</v>
      </c>
      <c r="AD376" s="4">
        <v>-0.0044442843233436</v>
      </c>
      <c r="AE376" s="4">
        <v>0.0069588247044669</v>
      </c>
      <c r="AF376" s="4">
        <v>-0.0044572640933939</v>
      </c>
      <c r="AG376" s="4">
        <v>0.0064746891476132</v>
      </c>
      <c r="AH376" s="4">
        <v>-0.0201477314567704</v>
      </c>
      <c r="AI376" s="4">
        <v>4.574023108219E-4</v>
      </c>
      <c r="AJ376" s="4">
        <v>0.002315</v>
      </c>
      <c r="AK376" s="4">
        <f>Weights!E432</f>
        <v>-0.0048872396</v>
      </c>
      <c r="AL376" s="5">
        <v>0.00261030587145461</v>
      </c>
      <c r="AM376" s="5">
        <v>0.00374341494188379</v>
      </c>
      <c r="AN376" s="5">
        <v>0.00196530793309746</v>
      </c>
      <c r="AO376" s="5">
        <v>0.00220167068445675</v>
      </c>
      <c r="AP376" s="6">
        <f t="shared" si="3"/>
        <v>1.396006293</v>
      </c>
      <c r="AQ376" s="4">
        <f t="shared" si="4"/>
        <v>1.328037068</v>
      </c>
      <c r="AR376" s="7">
        <f t="shared" si="5"/>
        <v>1.321939131</v>
      </c>
      <c r="AS376" s="5">
        <f t="shared" ref="AS376:AU376" si="378">AS375*(1+AM376)</f>
        <v>1.396917508</v>
      </c>
      <c r="AT376" s="5">
        <f t="shared" si="378"/>
        <v>1.246882837</v>
      </c>
      <c r="AU376" s="5">
        <f t="shared" si="378"/>
        <v>1.234179989</v>
      </c>
    </row>
    <row r="377" ht="15.75" customHeight="1">
      <c r="A377" s="3">
        <v>44376.0</v>
      </c>
      <c r="B377" s="4">
        <v>0.003119</v>
      </c>
      <c r="C377" s="4">
        <v>-0.006052</v>
      </c>
      <c r="D377" s="4">
        <v>0.003609</v>
      </c>
      <c r="E377" s="4">
        <v>-6.8E-4</v>
      </c>
      <c r="F377" s="4">
        <v>-0.007372</v>
      </c>
      <c r="G377" s="4">
        <v>6.1E-5</v>
      </c>
      <c r="H377" s="4">
        <v>-0.006799</v>
      </c>
      <c r="I377" s="4">
        <v>0.0</v>
      </c>
      <c r="J377" s="4">
        <v>-0.01547</v>
      </c>
      <c r="K377" s="4">
        <v>-0.003552</v>
      </c>
      <c r="L377" s="4">
        <v>-0.002754</v>
      </c>
      <c r="M377" s="4">
        <v>-0.004576</v>
      </c>
      <c r="N377" s="4">
        <v>0.004083</v>
      </c>
      <c r="O377" s="4">
        <v>-0.003238</v>
      </c>
      <c r="P377" s="4">
        <v>-0.001117</v>
      </c>
      <c r="Q377" s="4">
        <v>-0.004494</v>
      </c>
      <c r="R377" s="4">
        <v>0.014426</v>
      </c>
      <c r="S377" s="4">
        <v>-0.00296</v>
      </c>
      <c r="T377" s="4">
        <v>-7.89E-4</v>
      </c>
      <c r="U377" s="4">
        <v>0.002419</v>
      </c>
      <c r="V377" s="4">
        <v>0.0162488275109882</v>
      </c>
      <c r="W377" s="4">
        <v>0.0153251753187273</v>
      </c>
      <c r="X377" s="4">
        <v>0.0</v>
      </c>
      <c r="Y377" s="4">
        <v>0.0067511707481704</v>
      </c>
      <c r="Z377" s="4">
        <v>0.0100218246907708</v>
      </c>
      <c r="AA377" s="4">
        <v>8.736473753281E-4</v>
      </c>
      <c r="AB377" s="4">
        <v>0.0043845620140712</v>
      </c>
      <c r="AC377" s="4">
        <v>0.0</v>
      </c>
      <c r="AD377" s="4">
        <v>0.0</v>
      </c>
      <c r="AE377" s="4">
        <v>-0.0056196644519971</v>
      </c>
      <c r="AF377" s="4">
        <v>-0.0023703422713247</v>
      </c>
      <c r="AG377" s="4">
        <v>-3.508655135201E-4</v>
      </c>
      <c r="AH377" s="4">
        <v>0.0020562172710647</v>
      </c>
      <c r="AI377" s="4">
        <v>9.143863792007E-4</v>
      </c>
      <c r="AJ377" s="4">
        <v>2.77E-4</v>
      </c>
      <c r="AK377" s="4">
        <f>Weights!E433</f>
        <v>0.0003664855977</v>
      </c>
      <c r="AL377" s="5">
        <v>-5.5227704743721E-4</v>
      </c>
      <c r="AM377" s="5">
        <v>0.00112322824116728</v>
      </c>
      <c r="AN377" s="5">
        <v>-0.00326911172471333</v>
      </c>
      <c r="AO377" s="5">
        <v>-0.0024409731731646</v>
      </c>
      <c r="AP377" s="6">
        <f t="shared" si="3"/>
        <v>1.396517909</v>
      </c>
      <c r="AQ377" s="4">
        <f t="shared" si="4"/>
        <v>1.328404934</v>
      </c>
      <c r="AR377" s="7">
        <f t="shared" si="5"/>
        <v>1.321209055</v>
      </c>
      <c r="AS377" s="5">
        <f t="shared" ref="AS377:AU377" si="379">AS376*(1+AM377)</f>
        <v>1.398486565</v>
      </c>
      <c r="AT377" s="5">
        <f t="shared" si="379"/>
        <v>1.242806638</v>
      </c>
      <c r="AU377" s="5">
        <f t="shared" si="379"/>
        <v>1.231167388</v>
      </c>
    </row>
    <row r="378" ht="15.75" customHeight="1">
      <c r="A378" s="3">
        <v>44377.0</v>
      </c>
      <c r="B378" s="4">
        <v>-0.003554</v>
      </c>
      <c r="C378" s="4">
        <v>0.003403</v>
      </c>
      <c r="D378" s="4">
        <v>0.005678</v>
      </c>
      <c r="E378" s="4">
        <v>0.008371</v>
      </c>
      <c r="F378" s="4">
        <v>0.004642</v>
      </c>
      <c r="G378" s="4">
        <v>0.004329</v>
      </c>
      <c r="H378" s="4">
        <v>0.003943</v>
      </c>
      <c r="I378" s="4">
        <v>0.00502</v>
      </c>
      <c r="J378" s="4">
        <v>-0.007183</v>
      </c>
      <c r="K378" s="4">
        <v>-0.001283</v>
      </c>
      <c r="L378" s="4">
        <v>-7.89E-4</v>
      </c>
      <c r="M378" s="4">
        <v>0.006129</v>
      </c>
      <c r="N378" s="4">
        <v>-0.001936</v>
      </c>
      <c r="O378" s="4">
        <v>9.34E-4</v>
      </c>
      <c r="P378" s="4">
        <v>0.012784</v>
      </c>
      <c r="Q378" s="4">
        <v>0.004515</v>
      </c>
      <c r="R378" s="4">
        <v>-0.004293</v>
      </c>
      <c r="S378" s="4">
        <v>0.006394</v>
      </c>
      <c r="T378" s="4">
        <v>0.013738</v>
      </c>
      <c r="U378" s="4">
        <v>-0.006241</v>
      </c>
      <c r="V378" s="4">
        <v>-0.0296938549712585</v>
      </c>
      <c r="W378" s="4">
        <v>-0.0109628837780606</v>
      </c>
      <c r="X378" s="4">
        <v>0.0310217375494243</v>
      </c>
      <c r="Y378" s="4">
        <v>0.0041726662010184</v>
      </c>
      <c r="Z378" s="4">
        <v>0.0014322456975019</v>
      </c>
      <c r="AA378" s="4">
        <v>0.0024439627298344</v>
      </c>
      <c r="AB378" s="4">
        <v>-0.0100954048474031</v>
      </c>
      <c r="AC378" s="4">
        <v>-0.0061162224746414</v>
      </c>
      <c r="AD378" s="4">
        <v>-0.0158045432869784</v>
      </c>
      <c r="AE378" s="4">
        <v>0.0030546914626834</v>
      </c>
      <c r="AF378" s="4">
        <v>-0.0105596127862519</v>
      </c>
      <c r="AG378" s="4">
        <v>-0.0099450811891402</v>
      </c>
      <c r="AH378" s="4">
        <v>0.0266758098505848</v>
      </c>
      <c r="AI378" s="4">
        <v>-0.0018270016688525</v>
      </c>
      <c r="AJ378" s="4">
        <v>0.001328</v>
      </c>
      <c r="AK378" s="4">
        <f>Weights!E434</f>
        <v>0.000911109176</v>
      </c>
      <c r="AL378" s="5">
        <v>7.89366768296329E-4</v>
      </c>
      <c r="AM378" s="7">
        <v>4.4956906524618E-5</v>
      </c>
      <c r="AN378" s="5">
        <v>0.00295172441999924</v>
      </c>
      <c r="AO378" s="5">
        <v>0.00220210456675107</v>
      </c>
      <c r="AP378" s="6">
        <f t="shared" si="3"/>
        <v>1.39779029</v>
      </c>
      <c r="AQ378" s="4">
        <f t="shared" si="4"/>
        <v>1.330169056</v>
      </c>
      <c r="AR378" s="7">
        <f t="shared" si="5"/>
        <v>1.322251973</v>
      </c>
      <c r="AS378" s="7">
        <f t="shared" ref="AS378:AU378" si="380">AS377*(1+AM378)</f>
        <v>1.398549437</v>
      </c>
      <c r="AT378" s="5">
        <f t="shared" si="380"/>
        <v>1.246475061</v>
      </c>
      <c r="AU378" s="5">
        <f t="shared" si="380"/>
        <v>1.233878548</v>
      </c>
    </row>
    <row r="379" ht="15.75" customHeight="1">
      <c r="A379" s="3">
        <v>44378.0</v>
      </c>
      <c r="B379" s="4">
        <v>0.002229</v>
      </c>
      <c r="C379" s="4">
        <v>0.00464</v>
      </c>
      <c r="D379" s="4">
        <v>1.88E-4</v>
      </c>
      <c r="E379" s="4">
        <v>2.02E-4</v>
      </c>
      <c r="F379" s="4">
        <v>-0.002772</v>
      </c>
      <c r="G379" s="4">
        <v>0.007406</v>
      </c>
      <c r="H379" s="4">
        <v>0.002298</v>
      </c>
      <c r="I379" s="4">
        <v>0.008741</v>
      </c>
      <c r="J379" s="4">
        <v>0.002487</v>
      </c>
      <c r="K379" s="4">
        <v>0.010136</v>
      </c>
      <c r="L379" s="4">
        <v>0.0076</v>
      </c>
      <c r="M379" s="4">
        <v>0.006599</v>
      </c>
      <c r="N379" s="4">
        <v>0.004463</v>
      </c>
      <c r="O379" s="4">
        <v>0.005517</v>
      </c>
      <c r="P379" s="4">
        <v>-0.008204</v>
      </c>
      <c r="Q379" s="4">
        <v>0.014607</v>
      </c>
      <c r="R379" s="4">
        <v>-5.39E-4</v>
      </c>
      <c r="S379" s="4">
        <v>-0.001815</v>
      </c>
      <c r="T379" s="4">
        <v>0.007505</v>
      </c>
      <c r="U379" s="4">
        <v>0.001172</v>
      </c>
      <c r="V379" s="4">
        <v>0.0178907415593745</v>
      </c>
      <c r="W379" s="4">
        <v>-0.0364658808092197</v>
      </c>
      <c r="X379" s="4">
        <v>-0.0212388726475286</v>
      </c>
      <c r="Y379" s="4">
        <v>-0.0051200363952854</v>
      </c>
      <c r="Z379" s="4">
        <v>-3.065166661921E-4</v>
      </c>
      <c r="AA379" s="4">
        <v>0.0033091695221434</v>
      </c>
      <c r="AB379" s="4">
        <v>0.0011023906363085</v>
      </c>
      <c r="AC379" s="4">
        <v>0.0</v>
      </c>
      <c r="AD379" s="4">
        <v>-0.0233577028921971</v>
      </c>
      <c r="AE379" s="4">
        <v>0.0146947039830123</v>
      </c>
      <c r="AF379" s="4">
        <v>-0.0010673090378815</v>
      </c>
      <c r="AG379" s="4">
        <v>0.0092176775947649</v>
      </c>
      <c r="AH379" s="4">
        <v>-0.0013325072603697</v>
      </c>
      <c r="AI379" s="4">
        <v>0.0013726335400419</v>
      </c>
      <c r="AJ379" s="4">
        <v>0.005222</v>
      </c>
      <c r="AK379" s="4">
        <f>Weights!E435</f>
        <v>0.001872200526</v>
      </c>
      <c r="AL379" s="5">
        <v>-0.00165631179970937</v>
      </c>
      <c r="AM379" s="7">
        <v>4.49548854921655E-5</v>
      </c>
      <c r="AN379" s="5">
        <v>0.00163502076926769</v>
      </c>
      <c r="AO379" s="5">
        <v>9.76690634524324E-4</v>
      </c>
      <c r="AP379" s="6">
        <f t="shared" si="3"/>
        <v>1.400407233</v>
      </c>
      <c r="AQ379" s="4">
        <f t="shared" si="4"/>
        <v>1.337115198</v>
      </c>
      <c r="AR379" s="7">
        <f t="shared" si="5"/>
        <v>1.320061912</v>
      </c>
      <c r="AS379" s="7">
        <f t="shared" ref="AS379:AU379" si="381">AS378*(1+AM379)</f>
        <v>1.398612309</v>
      </c>
      <c r="AT379" s="5">
        <f t="shared" si="381"/>
        <v>1.248513073</v>
      </c>
      <c r="AU379" s="5">
        <f t="shared" si="381"/>
        <v>1.235083665</v>
      </c>
    </row>
    <row r="380" ht="15.75" customHeight="1">
      <c r="A380" s="3">
        <v>44379.0</v>
      </c>
      <c r="B380" s="4">
        <v>0.004893</v>
      </c>
      <c r="C380" s="4">
        <v>0.002665</v>
      </c>
      <c r="D380" s="4">
        <v>0.011853</v>
      </c>
      <c r="E380" s="4">
        <v>0.004791</v>
      </c>
      <c r="F380" s="4">
        <v>0.004077</v>
      </c>
      <c r="G380" s="4">
        <v>0.018197</v>
      </c>
      <c r="H380" s="4">
        <v>0.00488</v>
      </c>
      <c r="I380" s="4">
        <v>0.007428</v>
      </c>
      <c r="J380" s="4">
        <v>0.001804</v>
      </c>
      <c r="K380" s="4">
        <v>-0.002403</v>
      </c>
      <c r="L380" s="4">
        <v>0.001273</v>
      </c>
      <c r="M380" s="4">
        <v>-0.001513</v>
      </c>
      <c r="N380" s="4">
        <v>-0.001932</v>
      </c>
      <c r="O380" s="4">
        <v>0.010691</v>
      </c>
      <c r="P380" s="4">
        <v>0.007954</v>
      </c>
      <c r="Q380" s="4">
        <v>0.016611</v>
      </c>
      <c r="R380" s="4">
        <v>0.001348</v>
      </c>
      <c r="S380" s="4">
        <v>0.017504</v>
      </c>
      <c r="T380" s="4">
        <v>-0.001345</v>
      </c>
      <c r="U380" s="4">
        <v>7.53E-4</v>
      </c>
      <c r="V380" s="4">
        <v>0.00231272016447925</v>
      </c>
      <c r="W380" s="4">
        <v>-0.0118372619490008</v>
      </c>
      <c r="X380" s="4">
        <v>0.0</v>
      </c>
      <c r="Y380" s="4">
        <v>-0.0132755170358501</v>
      </c>
      <c r="Z380" s="4">
        <v>-0.0118525907757596</v>
      </c>
      <c r="AA380" s="4">
        <v>-0.0027775079266342</v>
      </c>
      <c r="AB380" s="4">
        <v>0.0063327287013676</v>
      </c>
      <c r="AC380" s="4">
        <v>-0.0015383786483514</v>
      </c>
      <c r="AD380" s="4">
        <v>-0.0119583362177783</v>
      </c>
      <c r="AE380" s="4">
        <v>0.0076536116339047</v>
      </c>
      <c r="AF380" s="4">
        <v>0.0275107288632325</v>
      </c>
      <c r="AG380" s="4">
        <v>-0.0077285838698797</v>
      </c>
      <c r="AH380" s="4">
        <v>0.0466978349795057</v>
      </c>
      <c r="AI380" s="4">
        <v>-0.0036562762760956</v>
      </c>
      <c r="AJ380" s="4">
        <v>0.0075</v>
      </c>
      <c r="AK380" s="4">
        <f>Weights!E436</f>
        <v>0.004058972778</v>
      </c>
      <c r="AL380" s="5">
        <v>0.00387111808788365</v>
      </c>
      <c r="AM380" s="5">
        <v>0.00543024813836501</v>
      </c>
      <c r="AN380" s="5">
        <v>-0.00489719494819351</v>
      </c>
      <c r="AO380" s="5">
        <v>-0.00439034861880871</v>
      </c>
      <c r="AP380" s="6">
        <f t="shared" si="3"/>
        <v>1.406091448</v>
      </c>
      <c r="AQ380" s="4">
        <f t="shared" si="4"/>
        <v>1.347143562</v>
      </c>
      <c r="AR380" s="7">
        <f t="shared" si="5"/>
        <v>1.325172027</v>
      </c>
      <c r="AS380" s="7">
        <f t="shared" ref="AS380:AU380" si="382">AS379*(1+AM380)</f>
        <v>1.406207121</v>
      </c>
      <c r="AT380" s="5">
        <f t="shared" si="382"/>
        <v>1.242398861</v>
      </c>
      <c r="AU380" s="5">
        <f t="shared" si="382"/>
        <v>1.229661217</v>
      </c>
    </row>
    <row r="381" ht="15.75" customHeight="1">
      <c r="A381" s="3">
        <v>44383.0</v>
      </c>
      <c r="B381" s="4">
        <v>-0.014166</v>
      </c>
      <c r="C381" s="4">
        <v>-5.32E-4</v>
      </c>
      <c r="D381" s="4">
        <v>-0.00781</v>
      </c>
      <c r="E381" s="4">
        <v>0.001477</v>
      </c>
      <c r="F381" s="4">
        <v>-0.005537</v>
      </c>
      <c r="G381" s="4">
        <v>-0.005977</v>
      </c>
      <c r="H381" s="4">
        <v>5.89E-4</v>
      </c>
      <c r="I381" s="4">
        <v>-0.012042</v>
      </c>
      <c r="J381" s="4">
        <v>4.5E-4</v>
      </c>
      <c r="K381" s="4">
        <v>-0.008925</v>
      </c>
      <c r="L381" s="4">
        <v>-0.01223</v>
      </c>
      <c r="M381" s="4">
        <v>-0.015657</v>
      </c>
      <c r="N381" s="4">
        <v>-0.016838</v>
      </c>
      <c r="O381" s="4">
        <v>-0.010378</v>
      </c>
      <c r="P381" s="4">
        <v>0.008365</v>
      </c>
      <c r="Q381" s="4">
        <v>-0.004357</v>
      </c>
      <c r="R381" s="4">
        <v>-0.030695</v>
      </c>
      <c r="S381" s="4">
        <v>-0.002234</v>
      </c>
      <c r="T381" s="4">
        <v>-0.041131</v>
      </c>
      <c r="U381" s="4">
        <v>0.007438</v>
      </c>
      <c r="V381" s="4">
        <v>0.0170742341424203</v>
      </c>
      <c r="W381" s="4">
        <v>-0.034081320462912</v>
      </c>
      <c r="X381" s="4">
        <v>-0.0054250564530002</v>
      </c>
      <c r="Y381" s="4">
        <v>-0.0099773743581851</v>
      </c>
      <c r="Z381" s="4">
        <v>-0.0085823993366664</v>
      </c>
      <c r="AA381" s="4">
        <v>0.0033073598248747</v>
      </c>
      <c r="AB381" s="4">
        <v>0.0010943725902412</v>
      </c>
      <c r="AC381" s="4">
        <v>-0.0046226628668831</v>
      </c>
      <c r="AD381" s="4">
        <v>-0.0136155879087315</v>
      </c>
      <c r="AE381" s="4">
        <v>-0.0047658599341356</v>
      </c>
      <c r="AF381" s="4">
        <v>-0.0148167565598666</v>
      </c>
      <c r="AG381" s="4">
        <v>-0.0060183122527354</v>
      </c>
      <c r="AH381" s="4">
        <v>-0.0369662003296528</v>
      </c>
      <c r="AI381" s="4">
        <v>0.0032111332190765</v>
      </c>
      <c r="AJ381" s="4">
        <v>-0.002022</v>
      </c>
      <c r="AK381" s="4">
        <f>Weights!E437</f>
        <v>-0.008025488031</v>
      </c>
      <c r="AL381" s="5">
        <v>0.00613894012737081</v>
      </c>
      <c r="AM381" s="5">
        <v>0.00553505003712873</v>
      </c>
      <c r="AN381" s="5">
        <v>0.00229667929024102</v>
      </c>
      <c r="AO381" s="5">
        <v>0.00220469677538659</v>
      </c>
      <c r="AP381" s="6">
        <f t="shared" si="3"/>
        <v>1.394806878</v>
      </c>
      <c r="AQ381" s="4">
        <f t="shared" si="4"/>
        <v>1.344419638</v>
      </c>
      <c r="AR381" s="7">
        <f t="shared" si="5"/>
        <v>1.333307179</v>
      </c>
      <c r="AS381" s="7">
        <f t="shared" ref="AS381:AU381" si="383">AS380*(1+AM381)</f>
        <v>1.413990547</v>
      </c>
      <c r="AT381" s="5">
        <f t="shared" si="383"/>
        <v>1.245252253</v>
      </c>
      <c r="AU381" s="5">
        <f t="shared" si="383"/>
        <v>1.232372248</v>
      </c>
    </row>
    <row r="382" ht="15.75" customHeight="1">
      <c r="A382" s="3">
        <v>44384.0</v>
      </c>
      <c r="B382" s="4">
        <v>0.003143</v>
      </c>
      <c r="C382" s="4">
        <v>0.002127</v>
      </c>
      <c r="D382" s="4">
        <v>1.87E-4</v>
      </c>
      <c r="E382" s="4">
        <v>0.004426</v>
      </c>
      <c r="F382" s="4">
        <v>0.008166</v>
      </c>
      <c r="G382" s="4">
        <v>0.008573</v>
      </c>
      <c r="H382" s="4">
        <v>0.007501</v>
      </c>
      <c r="I382" s="4">
        <v>-7.46E-4</v>
      </c>
      <c r="J382" s="4">
        <v>-0.00225</v>
      </c>
      <c r="K382" s="4">
        <v>-0.00486</v>
      </c>
      <c r="L382" s="4">
        <v>-0.001783</v>
      </c>
      <c r="M382" s="4">
        <v>-0.009749</v>
      </c>
      <c r="N382" s="4">
        <v>-0.00315</v>
      </c>
      <c r="O382" s="4">
        <v>0.016739</v>
      </c>
      <c r="P382" s="4">
        <v>-0.004069</v>
      </c>
      <c r="Q382" s="4">
        <v>0.002188</v>
      </c>
      <c r="R382" s="4">
        <v>0.005833</v>
      </c>
      <c r="S382" s="4">
        <v>0.003135</v>
      </c>
      <c r="T382" s="4">
        <v>0.033928</v>
      </c>
      <c r="U382" s="4">
        <v>0.017835</v>
      </c>
      <c r="V382" s="4">
        <v>-0.0199638618255668</v>
      </c>
      <c r="W382" s="4">
        <v>-0.0506549438607343</v>
      </c>
      <c r="X382" s="4">
        <v>0.0</v>
      </c>
      <c r="Y382" s="4">
        <v>-0.0081692123698106</v>
      </c>
      <c r="Z382" s="4">
        <v>-0.015227274866957</v>
      </c>
      <c r="AA382" s="4">
        <v>-0.0071130650736759</v>
      </c>
      <c r="AB382" s="4">
        <v>-0.0046461400327006</v>
      </c>
      <c r="AC382" s="4">
        <v>0.0</v>
      </c>
      <c r="AD382" s="4">
        <v>0.0</v>
      </c>
      <c r="AE382" s="4">
        <v>-0.0193789107860257</v>
      </c>
      <c r="AF382" s="4">
        <v>-0.0284959992904586</v>
      </c>
      <c r="AG382" s="4">
        <v>-0.0217262217988412</v>
      </c>
      <c r="AH382" s="4">
        <v>-0.0403706075500108</v>
      </c>
      <c r="AI382" s="4">
        <v>9.143863792007E-4</v>
      </c>
      <c r="AJ382" s="4">
        <v>0.003359</v>
      </c>
      <c r="AK382" s="4">
        <f>Weights!E438</f>
        <v>-0.006138616427</v>
      </c>
      <c r="AL382" s="5">
        <v>-0.00281607415811391</v>
      </c>
      <c r="AM382" s="5">
        <v>-0.00217515437982607</v>
      </c>
      <c r="AN382" s="5">
        <v>-6.54580631542778E-4</v>
      </c>
      <c r="AO382" s="5">
        <v>-2.95032353432422E-4</v>
      </c>
      <c r="AP382" s="6">
        <f t="shared" si="3"/>
        <v>1.386244694</v>
      </c>
      <c r="AQ382" s="4">
        <f t="shared" si="4"/>
        <v>1.348935544</v>
      </c>
      <c r="AR382" s="7">
        <f t="shared" si="5"/>
        <v>1.329552487</v>
      </c>
      <c r="AS382" s="7">
        <f t="shared" ref="AS382:AU382" si="384">AS381*(1+AM382)</f>
        <v>1.4109149</v>
      </c>
      <c r="AT382" s="5">
        <f t="shared" si="384"/>
        <v>1.244437135</v>
      </c>
      <c r="AU382" s="5">
        <f t="shared" si="384"/>
        <v>1.232008658</v>
      </c>
    </row>
    <row r="383" ht="15.75" customHeight="1">
      <c r="A383" s="3">
        <v>44385.0</v>
      </c>
      <c r="B383" s="4">
        <v>-0.008953</v>
      </c>
      <c r="C383" s="4">
        <v>-0.015036</v>
      </c>
      <c r="D383" s="4">
        <v>0.0</v>
      </c>
      <c r="E383" s="4">
        <v>4.67E-4</v>
      </c>
      <c r="F383" s="4">
        <v>-0.003498</v>
      </c>
      <c r="G383" s="4">
        <v>-0.001948</v>
      </c>
      <c r="H383" s="4">
        <v>-1.46E-4</v>
      </c>
      <c r="I383" s="4">
        <v>-0.008215</v>
      </c>
      <c r="J383" s="4">
        <v>0.005638</v>
      </c>
      <c r="K383" s="4">
        <v>-0.030565</v>
      </c>
      <c r="L383" s="4">
        <v>-0.004267</v>
      </c>
      <c r="M383" s="4">
        <v>-0.020207</v>
      </c>
      <c r="N383" s="4">
        <v>-0.016588</v>
      </c>
      <c r="O383" s="4">
        <v>-0.005355</v>
      </c>
      <c r="P383" s="4">
        <v>-0.013673</v>
      </c>
      <c r="Q383" s="4">
        <v>-0.030568</v>
      </c>
      <c r="R383" s="4">
        <v>-0.041977</v>
      </c>
      <c r="S383" s="4">
        <v>-0.027009</v>
      </c>
      <c r="T383" s="4">
        <v>-0.020796</v>
      </c>
      <c r="U383" s="4">
        <v>-0.014914</v>
      </c>
      <c r="V383" s="4">
        <v>0.00925944792879329</v>
      </c>
      <c r="W383" s="4">
        <v>0.0211590929482619</v>
      </c>
      <c r="X383" s="4">
        <v>0.0240741210205537</v>
      </c>
      <c r="Y383" s="4">
        <v>-8.467233015309E-4</v>
      </c>
      <c r="Z383" s="4">
        <v>0.003918845481851</v>
      </c>
      <c r="AA383" s="4">
        <v>0.0012229259891649</v>
      </c>
      <c r="AB383" s="4">
        <v>0.0054916468286729</v>
      </c>
      <c r="AC383" s="4">
        <v>-0.0062112639148297</v>
      </c>
      <c r="AD383" s="4">
        <v>0.0090634611827726</v>
      </c>
      <c r="AE383" s="4">
        <v>0.0067144996905106</v>
      </c>
      <c r="AF383" s="4">
        <v>0.027973838377713</v>
      </c>
      <c r="AG383" s="4">
        <v>0.019660065590247</v>
      </c>
      <c r="AH383" s="4">
        <v>0.0234482198436269</v>
      </c>
      <c r="AI383" s="4">
        <v>-4.56875932579E-4</v>
      </c>
      <c r="AJ383" s="4">
        <v>-0.008561</v>
      </c>
      <c r="AK383" s="4">
        <f>Weights!E439</f>
        <v>-0.001506408708</v>
      </c>
      <c r="AL383" s="5">
        <v>0.00368689401183353</v>
      </c>
      <c r="AM383" s="5">
        <v>0.00133453061735289</v>
      </c>
      <c r="AN383" s="5">
        <v>0.00262024737882593</v>
      </c>
      <c r="AO383" s="5">
        <v>0.00295213811085615</v>
      </c>
      <c r="AP383" s="6">
        <f t="shared" si="3"/>
        <v>1.384156443</v>
      </c>
      <c r="AQ383" s="4">
        <f t="shared" si="4"/>
        <v>1.337387306</v>
      </c>
      <c r="AR383" s="7">
        <f t="shared" si="5"/>
        <v>1.334454406</v>
      </c>
      <c r="AS383" s="7">
        <f t="shared" ref="AS383:AU383" si="385">AS382*(1+AM383)</f>
        <v>1.412797809</v>
      </c>
      <c r="AT383" s="5">
        <f t="shared" si="385"/>
        <v>1.247697868</v>
      </c>
      <c r="AU383" s="5">
        <f t="shared" si="385"/>
        <v>1.235645718</v>
      </c>
    </row>
    <row r="384" ht="15.75" customHeight="1">
      <c r="A384" s="3">
        <v>44386.0</v>
      </c>
      <c r="B384" s="4">
        <v>0.014905</v>
      </c>
      <c r="C384" s="4">
        <v>0.007004</v>
      </c>
      <c r="D384" s="4">
        <v>0.00356</v>
      </c>
      <c r="E384" s="4">
        <v>-0.002536</v>
      </c>
      <c r="F384" s="4">
        <v>0.006096</v>
      </c>
      <c r="G384" s="4">
        <v>0.003963</v>
      </c>
      <c r="H384" s="4">
        <v>3.65E-4</v>
      </c>
      <c r="I384" s="4">
        <v>0.010291</v>
      </c>
      <c r="J384" s="4">
        <v>0.002467</v>
      </c>
      <c r="K384" s="4">
        <v>0.018253</v>
      </c>
      <c r="L384" s="4">
        <v>0.010962</v>
      </c>
      <c r="M384" s="4">
        <v>0.01798</v>
      </c>
      <c r="N384" s="4">
        <v>0.020482</v>
      </c>
      <c r="O384" s="4">
        <v>-0.012164</v>
      </c>
      <c r="P384" s="4">
        <v>0.019439</v>
      </c>
      <c r="Q384" s="4">
        <v>0.028153</v>
      </c>
      <c r="R384" s="4">
        <v>0.052176</v>
      </c>
      <c r="S384" s="4">
        <v>0.019959</v>
      </c>
      <c r="T384" s="4">
        <v>0.037033</v>
      </c>
      <c r="U384" s="4">
        <v>0.010507</v>
      </c>
      <c r="V384" s="4">
        <v>-0.0504588370206595</v>
      </c>
      <c r="W384" s="4">
        <v>0.0061260958923967</v>
      </c>
      <c r="X384" s="4">
        <v>-0.0054250564530002</v>
      </c>
      <c r="Y384" s="4">
        <v>0.0010784978298166</v>
      </c>
      <c r="Z384" s="4">
        <v>-0.0068574591346791</v>
      </c>
      <c r="AA384" s="4">
        <v>-0.0013959810711156</v>
      </c>
      <c r="AB384" s="4">
        <v>0.0101035484751081</v>
      </c>
      <c r="AC384" s="4">
        <v>-0.0031251127553653</v>
      </c>
      <c r="AD384" s="4">
        <v>-0.0059880351312089</v>
      </c>
      <c r="AE384" s="4">
        <v>0.004850745130305</v>
      </c>
      <c r="AF384" s="4">
        <v>0.006605037634457</v>
      </c>
      <c r="AG384" s="4">
        <v>-0.0024992202089103</v>
      </c>
      <c r="AH384" s="4">
        <v>-0.0080862297683595</v>
      </c>
      <c r="AI384" s="4">
        <v>0.0013712542908201</v>
      </c>
      <c r="AJ384" s="4">
        <v>0.011278</v>
      </c>
      <c r="AK384" s="4">
        <f>Weights!E440</f>
        <v>0.00515109905</v>
      </c>
      <c r="AL384" s="5">
        <v>-0.0111762576854357</v>
      </c>
      <c r="AM384" s="5">
        <v>-0.00844138384920678</v>
      </c>
      <c r="AN384" s="5">
        <v>0.00326683673099226</v>
      </c>
      <c r="AO384" s="5">
        <v>0.0039242844917513</v>
      </c>
      <c r="AP384" s="6">
        <f t="shared" si="3"/>
        <v>1.39128637</v>
      </c>
      <c r="AQ384" s="4">
        <f t="shared" si="4"/>
        <v>1.35247036</v>
      </c>
      <c r="AR384" s="7">
        <f t="shared" si="5"/>
        <v>1.3195402</v>
      </c>
      <c r="AS384" s="7">
        <f t="shared" ref="AS384:AU384" si="386">AS383*(1+AM384)</f>
        <v>1.40087184</v>
      </c>
      <c r="AT384" s="5">
        <f t="shared" si="386"/>
        <v>1.251773893</v>
      </c>
      <c r="AU384" s="5">
        <f t="shared" si="386"/>
        <v>1.240494743</v>
      </c>
    </row>
    <row r="385" ht="15.75" customHeight="1">
      <c r="A385" s="3">
        <v>44389.0</v>
      </c>
      <c r="B385" s="4">
        <v>-0.001335</v>
      </c>
      <c r="C385" s="4">
        <v>0.001427</v>
      </c>
      <c r="D385" s="4">
        <v>-0.003734</v>
      </c>
      <c r="E385" s="4">
        <v>2.01E-4</v>
      </c>
      <c r="F385" s="4">
        <v>3.67E-4</v>
      </c>
      <c r="G385" s="4">
        <v>-0.001591</v>
      </c>
      <c r="H385" s="4">
        <v>8.03E-4</v>
      </c>
      <c r="I385" s="4">
        <v>-0.002484</v>
      </c>
      <c r="J385" s="4">
        <v>-0.003803</v>
      </c>
      <c r="K385" s="4">
        <v>0.004114</v>
      </c>
      <c r="L385" s="4">
        <v>0.010153</v>
      </c>
      <c r="M385" s="4">
        <v>0.010909</v>
      </c>
      <c r="N385" s="4">
        <v>0.014168</v>
      </c>
      <c r="O385" s="4">
        <v>0.004683</v>
      </c>
      <c r="P385" s="4">
        <v>-0.012348</v>
      </c>
      <c r="Q385" s="4">
        <v>-0.010953</v>
      </c>
      <c r="R385" s="4">
        <v>8.22E-4</v>
      </c>
      <c r="S385" s="4">
        <v>-0.012821</v>
      </c>
      <c r="T385" s="4">
        <v>0.006072</v>
      </c>
      <c r="U385" s="4">
        <v>-0.003275</v>
      </c>
      <c r="V385" s="4">
        <v>0.0367149185526465</v>
      </c>
      <c r="W385" s="4">
        <v>0.0107449329674549</v>
      </c>
      <c r="X385" s="4">
        <v>-0.0036361735008492</v>
      </c>
      <c r="Y385" s="4">
        <v>-0.0016160354796144</v>
      </c>
      <c r="Z385" s="4">
        <v>-0.0029743072449711</v>
      </c>
      <c r="AA385" s="4">
        <v>-0.0092626252142071</v>
      </c>
      <c r="AB385" s="4">
        <v>-0.0029737729096104</v>
      </c>
      <c r="AC385" s="4">
        <v>0.0</v>
      </c>
      <c r="AD385" s="4">
        <v>-0.0180721523575754</v>
      </c>
      <c r="AE385" s="4">
        <v>-0.002790836062086</v>
      </c>
      <c r="AF385" s="4">
        <v>-0.0028871288924031</v>
      </c>
      <c r="AG385" s="4">
        <v>-9.546109916607E-4</v>
      </c>
      <c r="AH385" s="4">
        <v>0.0101902076533497</v>
      </c>
      <c r="AI385" s="4">
        <v>-0.0018256347285925</v>
      </c>
      <c r="AJ385" s="4">
        <v>0.003451</v>
      </c>
      <c r="AK385" s="4">
        <f>Weights!E441</f>
        <v>0.001175193752</v>
      </c>
      <c r="AL385" s="5">
        <v>0.013436653302725</v>
      </c>
      <c r="AM385" s="5">
        <v>0.0120978221246144</v>
      </c>
      <c r="AN385" s="5">
        <v>0.0016283777591648</v>
      </c>
      <c r="AO385" s="5">
        <v>9.77314288672426E-4</v>
      </c>
      <c r="AP385" s="6">
        <f t="shared" si="3"/>
        <v>1.392921401</v>
      </c>
      <c r="AQ385" s="4">
        <f t="shared" si="4"/>
        <v>1.357137736</v>
      </c>
      <c r="AR385" s="7">
        <f t="shared" si="5"/>
        <v>1.337270404</v>
      </c>
      <c r="AS385" s="7">
        <f t="shared" ref="AS385:AU385" si="387">AS384*(1+AM385)</f>
        <v>1.417819339</v>
      </c>
      <c r="AT385" s="5">
        <f t="shared" si="387"/>
        <v>1.253812254</v>
      </c>
      <c r="AU385" s="5">
        <f t="shared" si="387"/>
        <v>1.241707096</v>
      </c>
    </row>
    <row r="386" ht="15.75" customHeight="1">
      <c r="A386" s="3">
        <v>44390.0</v>
      </c>
      <c r="B386" s="4">
        <v>8.91E-4</v>
      </c>
      <c r="C386" s="4">
        <v>-0.001069</v>
      </c>
      <c r="D386" s="4">
        <v>-3.75E-4</v>
      </c>
      <c r="E386" s="4">
        <v>0.023075</v>
      </c>
      <c r="F386" s="4">
        <v>0.009912</v>
      </c>
      <c r="G386" s="4">
        <v>-0.001239</v>
      </c>
      <c r="H386" s="4">
        <v>-0.00124</v>
      </c>
      <c r="I386" s="4">
        <v>-0.006227</v>
      </c>
      <c r="J386" s="4">
        <v>-0.004267</v>
      </c>
      <c r="K386" s="4">
        <v>-0.010243</v>
      </c>
      <c r="L386" s="4">
        <v>-0.00283</v>
      </c>
      <c r="M386" s="4">
        <v>-0.011305</v>
      </c>
      <c r="N386" s="4">
        <v>-0.012612</v>
      </c>
      <c r="O386" s="4">
        <v>-3.21E-4</v>
      </c>
      <c r="P386" s="4">
        <v>0.002849</v>
      </c>
      <c r="Q386" s="4">
        <v>0.018826</v>
      </c>
      <c r="R386" s="4">
        <v>-0.0219</v>
      </c>
      <c r="S386" s="4">
        <v>0.019139</v>
      </c>
      <c r="T386" s="4">
        <v>-0.025164</v>
      </c>
      <c r="U386" s="4">
        <v>-0.002218</v>
      </c>
      <c r="V386" s="4">
        <v>0.0107177869345203</v>
      </c>
      <c r="W386" s="4">
        <v>0.0361445762250358</v>
      </c>
      <c r="X386" s="4">
        <v>0.0091239981687782</v>
      </c>
      <c r="Y386" s="4">
        <v>0.0063209481017125</v>
      </c>
      <c r="Z386" s="4">
        <v>0.0030960780196274</v>
      </c>
      <c r="AA386" s="4">
        <v>-8.820521868052E-4</v>
      </c>
      <c r="AB386" s="4">
        <v>-2.71036302329E-4</v>
      </c>
      <c r="AC386" s="4">
        <v>-0.0015672431851588</v>
      </c>
      <c r="AD386" s="4">
        <v>0.0046010611105355</v>
      </c>
      <c r="AE386" s="4">
        <v>0.0024959868500298</v>
      </c>
      <c r="AF386" s="4">
        <v>-0.0050013217723852</v>
      </c>
      <c r="AG386" s="4">
        <v>4.776075384562E-4</v>
      </c>
      <c r="AH386" s="4">
        <v>0.0</v>
      </c>
      <c r="AI386" s="4">
        <v>0.0025672769477145</v>
      </c>
      <c r="AJ386" s="4">
        <v>-0.003517</v>
      </c>
      <c r="AK386" s="4">
        <f>Weights!E442</f>
        <v>0.0004406575577</v>
      </c>
      <c r="AL386" s="5">
        <v>0.00428968800277407</v>
      </c>
      <c r="AM386" s="5">
        <v>0.00278916663685424</v>
      </c>
      <c r="AN386" s="5">
        <v>6.50042272879236E-4</v>
      </c>
      <c r="AO386" s="5">
        <v>-7.32244044442831E-4</v>
      </c>
      <c r="AP386" s="6">
        <f t="shared" si="3"/>
        <v>1.393535202</v>
      </c>
      <c r="AQ386" s="4">
        <f t="shared" si="4"/>
        <v>1.352364682</v>
      </c>
      <c r="AR386" s="7">
        <f t="shared" si="5"/>
        <v>1.343006877</v>
      </c>
      <c r="AS386" s="7">
        <f t="shared" ref="AS386:AU386" si="388">AS385*(1+AM386)</f>
        <v>1.421773873</v>
      </c>
      <c r="AT386" s="5">
        <f t="shared" si="388"/>
        <v>1.254627285</v>
      </c>
      <c r="AU386" s="5">
        <f t="shared" si="388"/>
        <v>1.240797864</v>
      </c>
    </row>
    <row r="387" ht="15.75" customHeight="1">
      <c r="A387" s="3">
        <v>44391.0</v>
      </c>
      <c r="B387" s="4">
        <v>8.9E-4</v>
      </c>
      <c r="C387" s="4">
        <v>0.004101</v>
      </c>
      <c r="D387" s="4">
        <v>0.001875</v>
      </c>
      <c r="E387" s="4">
        <v>0.010329</v>
      </c>
      <c r="F387" s="4">
        <v>0.022537</v>
      </c>
      <c r="G387" s="4">
        <v>0.006794</v>
      </c>
      <c r="H387" s="4">
        <v>0.007374</v>
      </c>
      <c r="I387" s="4">
        <v>-0.009023</v>
      </c>
      <c r="J387" s="4">
        <v>0.003834</v>
      </c>
      <c r="K387" s="4">
        <v>7.39E-4</v>
      </c>
      <c r="L387" s="4">
        <v>0.007241</v>
      </c>
      <c r="M387" s="4">
        <v>-0.00104</v>
      </c>
      <c r="N387" s="4">
        <v>9.82E-4</v>
      </c>
      <c r="O387" s="4">
        <v>0.002492</v>
      </c>
      <c r="P387" s="4">
        <v>-1.58E-4</v>
      </c>
      <c r="Q387" s="4">
        <v>0.029348</v>
      </c>
      <c r="R387" s="4">
        <v>-0.033865</v>
      </c>
      <c r="S387" s="4">
        <v>0.008495</v>
      </c>
      <c r="T387" s="4">
        <v>-0.002309</v>
      </c>
      <c r="U387" s="4">
        <v>0.004857</v>
      </c>
      <c r="V387" s="4">
        <v>0.0110648697038091</v>
      </c>
      <c r="W387" s="4">
        <v>0.0145349386691226</v>
      </c>
      <c r="X387" s="4">
        <v>0.0</v>
      </c>
      <c r="Y387" s="4">
        <v>0.0037532134937083</v>
      </c>
      <c r="Z387" s="4">
        <v>0.0096850025231911</v>
      </c>
      <c r="AA387" s="4">
        <v>1.766655678561E-4</v>
      </c>
      <c r="AB387" s="4">
        <v>0.0010849365808307</v>
      </c>
      <c r="AC387" s="4">
        <v>0.0</v>
      </c>
      <c r="AD387" s="4">
        <v>0.0</v>
      </c>
      <c r="AE387" s="4">
        <v>-0.0011317005738165</v>
      </c>
      <c r="AF387" s="4">
        <v>0.0158730712679306</v>
      </c>
      <c r="AG387" s="4">
        <v>0.0037008974447929</v>
      </c>
      <c r="AH387" s="4">
        <v>0.0329522697865776</v>
      </c>
      <c r="AI387" s="4">
        <v>-0.0027436532280556</v>
      </c>
      <c r="AJ387" s="4">
        <v>0.001165</v>
      </c>
      <c r="AK387" s="4">
        <f>Weights!E443</f>
        <v>0.004509738528</v>
      </c>
      <c r="AL387" s="5">
        <v>-0.00520319340322039</v>
      </c>
      <c r="AM387" s="5">
        <v>-0.00556274643969345</v>
      </c>
      <c r="AN387" s="5">
        <v>-0.012020606079358</v>
      </c>
      <c r="AO387" s="5">
        <v>-0.010747414363229</v>
      </c>
      <c r="AP387" s="6">
        <f t="shared" si="3"/>
        <v>1.399819681</v>
      </c>
      <c r="AQ387" s="4">
        <f t="shared" si="4"/>
        <v>1.353940187</v>
      </c>
      <c r="AR387" s="7">
        <f t="shared" si="5"/>
        <v>1.336018952</v>
      </c>
      <c r="AS387" s="7">
        <f t="shared" ref="AS387:AU387" si="389">AS386*(1+AM387)</f>
        <v>1.413864905</v>
      </c>
      <c r="AT387" s="5">
        <f t="shared" si="389"/>
        <v>1.239545905</v>
      </c>
      <c r="AU387" s="5">
        <f t="shared" si="389"/>
        <v>1.227462495</v>
      </c>
    </row>
    <row r="388" ht="15.75" customHeight="1">
      <c r="A388" s="3">
        <v>44392.0</v>
      </c>
      <c r="B388" s="4">
        <v>-0.0129</v>
      </c>
      <c r="C388" s="4">
        <v>0.004084</v>
      </c>
      <c r="D388" s="4">
        <v>-0.011228</v>
      </c>
      <c r="E388" s="4">
        <v>0.004594</v>
      </c>
      <c r="F388" s="4">
        <v>0.003199</v>
      </c>
      <c r="G388" s="4">
        <v>-0.012029</v>
      </c>
      <c r="H388" s="4">
        <v>0.008552</v>
      </c>
      <c r="I388" s="4">
        <v>-0.008346</v>
      </c>
      <c r="J388" s="4">
        <v>-0.002921</v>
      </c>
      <c r="K388" s="4">
        <v>-0.007387</v>
      </c>
      <c r="L388" s="4">
        <v>-0.003983</v>
      </c>
      <c r="M388" s="4">
        <v>-0.003122</v>
      </c>
      <c r="N388" s="4">
        <v>-1.96E-4</v>
      </c>
      <c r="O388" s="4">
        <v>8.82E-4</v>
      </c>
      <c r="P388" s="4">
        <v>0.002052</v>
      </c>
      <c r="Q388" s="4">
        <v>0.015839</v>
      </c>
      <c r="R388" s="4">
        <v>-0.003766</v>
      </c>
      <c r="S388" s="4">
        <v>0.009089</v>
      </c>
      <c r="T388" s="4">
        <v>0.003576</v>
      </c>
      <c r="U388" s="4">
        <v>3.28E-4</v>
      </c>
      <c r="V388" s="4">
        <v>-0.0191517233897391</v>
      </c>
      <c r="W388" s="4">
        <v>-0.021911318294903</v>
      </c>
      <c r="X388" s="4">
        <v>0.0054248783584622</v>
      </c>
      <c r="Y388" s="4">
        <v>-0.0060288247820249</v>
      </c>
      <c r="Z388" s="4">
        <v>-0.0010542569090653</v>
      </c>
      <c r="AA388" s="4">
        <v>-7.061233991011E-4</v>
      </c>
      <c r="AB388" s="4">
        <v>-0.0073150746228421</v>
      </c>
      <c r="AC388" s="4">
        <v>0.0015697032919459</v>
      </c>
      <c r="AD388" s="4">
        <v>-0.007633429232599</v>
      </c>
      <c r="AE388" s="4">
        <v>6.044185938276E-4</v>
      </c>
      <c r="AF388" s="4">
        <v>-0.027864697082917</v>
      </c>
      <c r="AG388" s="4">
        <v>4.758238435296E-4</v>
      </c>
      <c r="AH388" s="4">
        <v>-0.0377603958493436</v>
      </c>
      <c r="AI388" s="4">
        <v>0.0013752489566514</v>
      </c>
      <c r="AJ388" s="4">
        <v>-0.003262</v>
      </c>
      <c r="AK388" s="4">
        <f>Weights!E444</f>
        <v>-0.004773717435</v>
      </c>
      <c r="AL388" s="5">
        <v>0.00234184968694983</v>
      </c>
      <c r="AM388" s="5">
        <v>-0.00137614245315687</v>
      </c>
      <c r="AN388" s="5">
        <v>0.00953627226261288</v>
      </c>
      <c r="AO388" s="5">
        <v>0.00913574383327553</v>
      </c>
      <c r="AP388" s="6">
        <f t="shared" si="3"/>
        <v>1.393137338</v>
      </c>
      <c r="AQ388" s="4">
        <f t="shared" si="4"/>
        <v>1.349523634</v>
      </c>
      <c r="AR388" s="7">
        <f t="shared" si="5"/>
        <v>1.339147708</v>
      </c>
      <c r="AS388" s="7">
        <f t="shared" ref="AS388:AU388" si="390">AS387*(1+AM388)</f>
        <v>1.411919226</v>
      </c>
      <c r="AT388" s="5">
        <f t="shared" si="390"/>
        <v>1.251366552</v>
      </c>
      <c r="AU388" s="5">
        <f t="shared" si="390"/>
        <v>1.238676278</v>
      </c>
    </row>
    <row r="389" ht="15.75" customHeight="1">
      <c r="A389" s="3">
        <v>44393.0</v>
      </c>
      <c r="B389" s="4">
        <v>-0.002704</v>
      </c>
      <c r="C389" s="4">
        <v>-0.001592</v>
      </c>
      <c r="D389" s="4">
        <v>0.009273</v>
      </c>
      <c r="E389" s="4">
        <v>0.003672</v>
      </c>
      <c r="F389" s="4">
        <v>-7.09E-4</v>
      </c>
      <c r="G389" s="4">
        <v>-0.001604</v>
      </c>
      <c r="H389" s="4">
        <v>0.009701</v>
      </c>
      <c r="I389" s="4">
        <v>-0.003315</v>
      </c>
      <c r="J389" s="4">
        <v>0.004732</v>
      </c>
      <c r="K389" s="4">
        <v>-0.008335</v>
      </c>
      <c r="L389" s="4">
        <v>-0.014339</v>
      </c>
      <c r="M389" s="4">
        <v>-0.008873</v>
      </c>
      <c r="N389" s="4">
        <v>-0.00432</v>
      </c>
      <c r="O389" s="4">
        <v>0.014383</v>
      </c>
      <c r="P389" s="4">
        <v>-0.027721</v>
      </c>
      <c r="Q389" s="4">
        <v>-0.032224</v>
      </c>
      <c r="R389" s="4">
        <v>-0.034603</v>
      </c>
      <c r="S389" s="4">
        <v>-0.029438</v>
      </c>
      <c r="T389" s="4">
        <v>-0.035422</v>
      </c>
      <c r="U389" s="4">
        <v>0.008026</v>
      </c>
      <c r="V389" s="4">
        <v>-0.0278942255423507</v>
      </c>
      <c r="W389" s="4">
        <v>-0.0024126176260664</v>
      </c>
      <c r="X389" s="4">
        <v>-0.0071942225157128</v>
      </c>
      <c r="Y389" s="4">
        <v>0.0120538839473292</v>
      </c>
      <c r="Z389" s="4">
        <v>0.0102352991354366</v>
      </c>
      <c r="AA389" s="4">
        <v>-0.0044160790024848</v>
      </c>
      <c r="AB389" s="4">
        <v>-0.0010918721226901</v>
      </c>
      <c r="AC389" s="4">
        <v>0.0047022234420437</v>
      </c>
      <c r="AD389" s="4">
        <v>0.0138460907869177</v>
      </c>
      <c r="AE389" s="4">
        <v>0.0018115371801818</v>
      </c>
      <c r="AF389" s="4">
        <v>0.0050897462384298</v>
      </c>
      <c r="AG389" s="4">
        <v>-0.007489358083349</v>
      </c>
      <c r="AH389" s="4">
        <v>0.0013531625102443</v>
      </c>
      <c r="AI389" s="4">
        <v>-4.574521331603E-4</v>
      </c>
      <c r="AJ389" s="4">
        <v>-0.007539</v>
      </c>
      <c r="AK389" s="4">
        <f>Weights!E445</f>
        <v>-0.004862104849</v>
      </c>
      <c r="AL389" s="5">
        <v>-0.00545180069418671</v>
      </c>
      <c r="AM389" s="5">
        <v>-0.00351199843165439</v>
      </c>
      <c r="AN389" s="5">
        <v>-3.25795475838774E-4</v>
      </c>
      <c r="AO389" s="5">
        <v>-2.44400409023848E-4</v>
      </c>
      <c r="AP389" s="6">
        <f t="shared" si="3"/>
        <v>1.386363758</v>
      </c>
      <c r="AQ389" s="4">
        <f t="shared" si="4"/>
        <v>1.339349576</v>
      </c>
      <c r="AR389" s="7">
        <f t="shared" si="5"/>
        <v>1.331846942</v>
      </c>
      <c r="AS389" s="7">
        <f t="shared" ref="AS389:AU389" si="391">AS388*(1+AM389)</f>
        <v>1.406960568</v>
      </c>
      <c r="AT389" s="5">
        <f t="shared" si="391"/>
        <v>1.250958863</v>
      </c>
      <c r="AU389" s="5">
        <f t="shared" si="391"/>
        <v>1.238373545</v>
      </c>
    </row>
    <row r="390" ht="15.75" customHeight="1">
      <c r="A390" s="3">
        <v>44396.0</v>
      </c>
      <c r="B390" s="4">
        <v>-0.018075</v>
      </c>
      <c r="C390" s="4">
        <v>-0.010981</v>
      </c>
      <c r="D390" s="4">
        <v>-0.012001</v>
      </c>
      <c r="E390" s="4">
        <v>-1.28E-4</v>
      </c>
      <c r="F390" s="4">
        <v>-0.011879</v>
      </c>
      <c r="G390" s="4">
        <v>-0.007258</v>
      </c>
      <c r="H390" s="4">
        <v>-4.98E-4</v>
      </c>
      <c r="I390" s="4">
        <v>-0.032753</v>
      </c>
      <c r="J390" s="4">
        <v>-0.008298</v>
      </c>
      <c r="K390" s="4">
        <v>-0.03722</v>
      </c>
      <c r="L390" s="4">
        <v>-0.024542</v>
      </c>
      <c r="M390" s="4">
        <v>-0.027909</v>
      </c>
      <c r="N390" s="4">
        <v>-0.024058</v>
      </c>
      <c r="O390" s="4">
        <v>0.001422</v>
      </c>
      <c r="P390" s="4">
        <v>-0.016848</v>
      </c>
      <c r="Q390" s="4">
        <v>-0.007519</v>
      </c>
      <c r="R390" s="4">
        <v>-0.024096</v>
      </c>
      <c r="S390" s="4">
        <v>-0.024898</v>
      </c>
      <c r="T390" s="4">
        <v>-0.02173</v>
      </c>
      <c r="U390" s="4">
        <v>-0.014625</v>
      </c>
      <c r="V390" s="4">
        <v>-0.00430387446929503</v>
      </c>
      <c r="W390" s="4">
        <v>-0.0076005004533753</v>
      </c>
      <c r="X390" s="4">
        <v>0.0054348252736742</v>
      </c>
      <c r="Y390" s="4">
        <v>-0.0078137797012131</v>
      </c>
      <c r="Z390" s="4">
        <v>-0.0043866941145283</v>
      </c>
      <c r="AA390" s="4">
        <v>-0.0021291868736877</v>
      </c>
      <c r="AB390" s="4">
        <v>0.0060109838999891</v>
      </c>
      <c r="AC390" s="4">
        <v>-0.0078003132175898</v>
      </c>
      <c r="AD390" s="4">
        <v>-0.0015173674053996</v>
      </c>
      <c r="AE390" s="4">
        <v>-0.0133371627941594</v>
      </c>
      <c r="AF390" s="4">
        <v>-0.0133261973103834</v>
      </c>
      <c r="AG390" s="4">
        <v>-5.988541957383E-4</v>
      </c>
      <c r="AH390" s="4">
        <v>-0.025000040273408</v>
      </c>
      <c r="AI390" s="4">
        <v>0.0027481784178811</v>
      </c>
      <c r="AJ390" s="4">
        <v>-0.01587</v>
      </c>
      <c r="AK390" s="4">
        <f>Weights!E446</f>
        <v>-0.01210794488</v>
      </c>
      <c r="AL390" s="5">
        <v>-0.00728263949742957</v>
      </c>
      <c r="AM390" s="5">
        <v>-0.00785202312338384</v>
      </c>
      <c r="AN390" s="5">
        <v>0.00325845991013085</v>
      </c>
      <c r="AO390" s="5">
        <v>0.00195766363284266</v>
      </c>
      <c r="AP390" s="6">
        <f t="shared" si="3"/>
        <v>1.369577742</v>
      </c>
      <c r="AQ390" s="4">
        <f t="shared" si="4"/>
        <v>1.318094098</v>
      </c>
      <c r="AR390" s="7">
        <f t="shared" si="5"/>
        <v>1.32214758</v>
      </c>
      <c r="AS390" s="7">
        <f t="shared" ref="AS390:AU390" si="392">AS389*(1+AM390)</f>
        <v>1.395913081</v>
      </c>
      <c r="AT390" s="5">
        <f t="shared" si="392"/>
        <v>1.255035062</v>
      </c>
      <c r="AU390" s="5">
        <f t="shared" si="392"/>
        <v>1.240797864</v>
      </c>
    </row>
    <row r="391" ht="15.75" customHeight="1">
      <c r="A391" s="3">
        <v>44397.0</v>
      </c>
      <c r="B391" s="4">
        <v>0.007823</v>
      </c>
      <c r="C391" s="4">
        <v>-0.004656</v>
      </c>
      <c r="D391" s="4">
        <v>0.001898</v>
      </c>
      <c r="E391" s="4">
        <v>1.28E-4</v>
      </c>
      <c r="F391" s="4">
        <v>0.001794</v>
      </c>
      <c r="G391" s="4">
        <v>0.009408</v>
      </c>
      <c r="H391" s="4">
        <v>-0.00534</v>
      </c>
      <c r="I391" s="4">
        <v>0.003704</v>
      </c>
      <c r="J391" s="4">
        <v>0.003166</v>
      </c>
      <c r="K391" s="4">
        <v>0.012159</v>
      </c>
      <c r="L391" s="4">
        <v>0.008522</v>
      </c>
      <c r="M391" s="4">
        <v>0.014085</v>
      </c>
      <c r="N391" s="4">
        <v>0.011719</v>
      </c>
      <c r="O391" s="4">
        <v>0.006705</v>
      </c>
      <c r="P391" s="4">
        <v>-0.004119</v>
      </c>
      <c r="Q391" s="4">
        <v>0.005411</v>
      </c>
      <c r="R391" s="4">
        <v>0.016975</v>
      </c>
      <c r="S391" s="4">
        <v>0.012303</v>
      </c>
      <c r="T391" s="4">
        <v>0.016437</v>
      </c>
      <c r="U391" s="4">
        <v>0.019294</v>
      </c>
      <c r="V391" s="4">
        <v>-0.0446686777551348</v>
      </c>
      <c r="W391" s="4">
        <v>0.0059181602544111</v>
      </c>
      <c r="X391" s="4">
        <v>0.0036035923063109</v>
      </c>
      <c r="Y391" s="4">
        <v>0.0</v>
      </c>
      <c r="Z391" s="4">
        <v>0.0</v>
      </c>
      <c r="AA391" s="4">
        <v>0.0</v>
      </c>
      <c r="AB391" s="4">
        <v>0.0</v>
      </c>
      <c r="AC391" s="4">
        <v>0.0015724546876201</v>
      </c>
      <c r="AD391" s="4">
        <v>-0.0030396050641303</v>
      </c>
      <c r="AE391" s="4">
        <v>0.0</v>
      </c>
      <c r="AF391" s="4">
        <v>0.0075634046195789</v>
      </c>
      <c r="AG391" s="4">
        <v>-0.0146215194249615</v>
      </c>
      <c r="AH391" s="4">
        <v>0.0256410680062166</v>
      </c>
      <c r="AI391" s="4">
        <v>0.0</v>
      </c>
      <c r="AJ391" s="4">
        <v>0.015163</v>
      </c>
      <c r="AK391" s="4">
        <f>Weights!E447</f>
        <v>0.00315501844</v>
      </c>
      <c r="AL391" s="5">
        <v>-0.0153820438924808</v>
      </c>
      <c r="AM391" s="5">
        <v>-0.0142092917010961</v>
      </c>
      <c r="AN391" s="5">
        <v>-0.0068205274803863</v>
      </c>
      <c r="AO391" s="5">
        <v>-0.00659512970071163</v>
      </c>
      <c r="AP391" s="6">
        <f t="shared" si="3"/>
        <v>1.373898785</v>
      </c>
      <c r="AQ391" s="4">
        <f t="shared" si="4"/>
        <v>1.338080359</v>
      </c>
      <c r="AR391" s="7">
        <f t="shared" si="5"/>
        <v>1.301810248</v>
      </c>
      <c r="AS391" s="7">
        <f t="shared" ref="AS391:AU391" si="393">AS390*(1+AM391)</f>
        <v>1.376078145</v>
      </c>
      <c r="AT391" s="5">
        <f t="shared" si="393"/>
        <v>1.246475061</v>
      </c>
      <c r="AU391" s="5">
        <f t="shared" si="393"/>
        <v>1.232614641</v>
      </c>
    </row>
    <row r="392" ht="15.75" customHeight="1">
      <c r="A392" s="3">
        <v>44398.0</v>
      </c>
      <c r="B392" s="4">
        <v>0.00411</v>
      </c>
      <c r="C392" s="4">
        <v>0.006657</v>
      </c>
      <c r="D392" s="4">
        <v>-0.028983</v>
      </c>
      <c r="E392" s="4">
        <v>-0.003722</v>
      </c>
      <c r="F392" s="4">
        <v>0.012896</v>
      </c>
      <c r="G392" s="4">
        <v>0.006174</v>
      </c>
      <c r="H392" s="4">
        <v>-0.003508</v>
      </c>
      <c r="I392" s="4">
        <v>0.017396</v>
      </c>
      <c r="J392" s="4">
        <v>0.002029</v>
      </c>
      <c r="K392" s="4">
        <v>0.015247</v>
      </c>
      <c r="L392" s="4">
        <v>0.011065</v>
      </c>
      <c r="M392" s="4">
        <v>0.030449</v>
      </c>
      <c r="N392" s="4">
        <v>0.020172</v>
      </c>
      <c r="O392" s="4">
        <v>4.7E-4</v>
      </c>
      <c r="P392" s="4">
        <v>-0.001324</v>
      </c>
      <c r="Q392" s="4">
        <v>-0.003229</v>
      </c>
      <c r="R392" s="4">
        <v>0.051593</v>
      </c>
      <c r="S392" s="4">
        <v>0.012383</v>
      </c>
      <c r="T392" s="4">
        <v>0.015079</v>
      </c>
      <c r="U392" s="4">
        <v>0.00453</v>
      </c>
      <c r="V392" s="4">
        <v>0.0191049853109261</v>
      </c>
      <c r="W392" s="4">
        <v>0.0198995804057544</v>
      </c>
      <c r="X392" s="4">
        <v>0.0</v>
      </c>
      <c r="Y392" s="4">
        <v>0.0058873725278296</v>
      </c>
      <c r="Z392" s="4">
        <v>0.0024128176499915</v>
      </c>
      <c r="AA392" s="4">
        <v>0.0016002140736759</v>
      </c>
      <c r="AB392" s="4">
        <v>0.0029875650644237</v>
      </c>
      <c r="AC392" s="4">
        <v>0.0</v>
      </c>
      <c r="AD392" s="4">
        <v>0.0</v>
      </c>
      <c r="AE392" s="4">
        <v>-0.0023675159408879</v>
      </c>
      <c r="AF392" s="4">
        <v>5.363936193916E-4</v>
      </c>
      <c r="AG392" s="4">
        <v>0.0025540386815081</v>
      </c>
      <c r="AH392" s="4">
        <v>-0.0331081244351654</v>
      </c>
      <c r="AI392" s="4">
        <v>-4.569079789132E-4</v>
      </c>
      <c r="AJ392" s="4">
        <v>0.008242</v>
      </c>
      <c r="AK392" s="4">
        <f>Weights!E448</f>
        <v>0.00529351699</v>
      </c>
      <c r="AL392" s="5">
        <v>0.0127383332614421</v>
      </c>
      <c r="AM392" s="5">
        <v>0.0172878776129361</v>
      </c>
      <c r="AN392" s="5">
        <v>0.00359718534823083</v>
      </c>
      <c r="AO392" s="5">
        <v>0.00245906287680908</v>
      </c>
      <c r="AP392" s="6">
        <f t="shared" si="3"/>
        <v>1.381171542</v>
      </c>
      <c r="AQ392" s="4">
        <f t="shared" si="4"/>
        <v>1.349108817</v>
      </c>
      <c r="AR392" s="7">
        <f t="shared" si="5"/>
        <v>1.318393141</v>
      </c>
      <c r="AS392" s="7">
        <f t="shared" ref="AS392:AU392" si="394">AS391*(1+AM392)</f>
        <v>1.399867615</v>
      </c>
      <c r="AT392" s="5">
        <f t="shared" si="394"/>
        <v>1.250958863</v>
      </c>
      <c r="AU392" s="5">
        <f t="shared" si="394"/>
        <v>1.235645718</v>
      </c>
    </row>
    <row r="393" ht="15.75" customHeight="1">
      <c r="A393" s="3">
        <v>44399.0</v>
      </c>
      <c r="B393" s="4">
        <v>-0.001364</v>
      </c>
      <c r="C393" s="4">
        <v>0.0</v>
      </c>
      <c r="D393" s="4">
        <v>0.002731</v>
      </c>
      <c r="E393" s="4">
        <v>-3.22E-4</v>
      </c>
      <c r="F393" s="4">
        <v>-0.001415</v>
      </c>
      <c r="G393" s="4">
        <v>0.002891</v>
      </c>
      <c r="H393" s="4">
        <v>-0.003809</v>
      </c>
      <c r="I393" s="4">
        <v>0.002073</v>
      </c>
      <c r="J393" s="4">
        <v>-0.001125</v>
      </c>
      <c r="K393" s="4">
        <v>-0.005461</v>
      </c>
      <c r="L393" s="4">
        <v>-0.003681</v>
      </c>
      <c r="M393" s="4">
        <v>-0.010887</v>
      </c>
      <c r="N393" s="4">
        <v>-0.004503</v>
      </c>
      <c r="O393" s="4">
        <v>0.008693</v>
      </c>
      <c r="P393" s="4">
        <v>-0.002485</v>
      </c>
      <c r="Q393" s="4">
        <v>-0.00324</v>
      </c>
      <c r="R393" s="4">
        <v>0.004329</v>
      </c>
      <c r="S393" s="4">
        <v>-0.004304</v>
      </c>
      <c r="T393" s="4">
        <v>0.010226</v>
      </c>
      <c r="U393" s="4">
        <v>-4.83E-4</v>
      </c>
      <c r="V393" s="4">
        <v>0.0513075257278292</v>
      </c>
      <c r="W393" s="4">
        <v>0.0132338152726287</v>
      </c>
      <c r="X393" s="4">
        <v>-0.0035462041459691</v>
      </c>
      <c r="Y393" s="4">
        <v>-0.0039525533836838</v>
      </c>
      <c r="Z393" s="4">
        <v>-0.0024070099738429</v>
      </c>
      <c r="AA393" s="4">
        <v>0.0030180102901666</v>
      </c>
      <c r="AB393" s="4">
        <v>-0.0029786661056279</v>
      </c>
      <c r="AC393" s="4">
        <v>0.0</v>
      </c>
      <c r="AD393" s="4">
        <v>-0.0182371996383797</v>
      </c>
      <c r="AE393" s="4">
        <v>-0.0058944372374459</v>
      </c>
      <c r="AF393" s="4">
        <v>0.0117898820357209</v>
      </c>
      <c r="AG393" s="4">
        <v>0.0</v>
      </c>
      <c r="AH393" s="4">
        <v>0.0</v>
      </c>
      <c r="AI393" s="4">
        <v>4.571168392444E-4</v>
      </c>
      <c r="AJ393" s="4">
        <v>0.002017</v>
      </c>
      <c r="AK393" s="4">
        <f>Weights!E449</f>
        <v>0.0009826795733</v>
      </c>
      <c r="AL393" s="5">
        <v>0.0109168217099409</v>
      </c>
      <c r="AM393" s="5">
        <v>0.00896768458571495</v>
      </c>
      <c r="AN393" s="5">
        <v>-0.0101012118058778</v>
      </c>
      <c r="AO393" s="5">
        <v>-0.00956565911750706</v>
      </c>
      <c r="AP393" s="6">
        <f t="shared" si="3"/>
        <v>1.382528791</v>
      </c>
      <c r="AQ393" s="4">
        <f t="shared" si="4"/>
        <v>1.351829969</v>
      </c>
      <c r="AR393" s="7">
        <f t="shared" si="5"/>
        <v>1.332785804</v>
      </c>
      <c r="AS393" s="7">
        <f t="shared" ref="AS393:AU393" si="395">AS392*(1+AM393)</f>
        <v>1.412421186</v>
      </c>
      <c r="AT393" s="5">
        <f t="shared" si="395"/>
        <v>1.238322662</v>
      </c>
      <c r="AU393" s="5">
        <f t="shared" si="395"/>
        <v>1.223825952</v>
      </c>
    </row>
    <row r="394" ht="15.75" customHeight="1">
      <c r="A394" s="3">
        <v>44400.0</v>
      </c>
      <c r="B394" s="4">
        <v>0.002277</v>
      </c>
      <c r="C394" s="4">
        <v>-0.001251</v>
      </c>
      <c r="D394" s="4">
        <v>-0.001946</v>
      </c>
      <c r="E394" s="4">
        <v>0.012823</v>
      </c>
      <c r="F394" s="4">
        <v>0.009563</v>
      </c>
      <c r="G394" s="4">
        <v>0.010648</v>
      </c>
      <c r="H394" s="4">
        <v>0.014441</v>
      </c>
      <c r="I394" s="4">
        <v>0.003361</v>
      </c>
      <c r="J394" s="4">
        <v>0.003378</v>
      </c>
      <c r="K394" s="4">
        <v>0.003813</v>
      </c>
      <c r="L394" s="4">
        <v>0.006882</v>
      </c>
      <c r="M394" s="4">
        <v>-0.002096</v>
      </c>
      <c r="N394" s="4">
        <v>-3.93E-4</v>
      </c>
      <c r="O394" s="4">
        <v>0.008696</v>
      </c>
      <c r="P394" s="4">
        <v>-0.001661</v>
      </c>
      <c r="Q394" s="4">
        <v>-0.017335</v>
      </c>
      <c r="R394" s="4">
        <v>0.011207</v>
      </c>
      <c r="S394" s="4">
        <v>-0.005232</v>
      </c>
      <c r="T394" s="4">
        <v>0.005115</v>
      </c>
      <c r="U394" s="4">
        <v>0.005156</v>
      </c>
      <c r="V394" s="4">
        <v>0.022993881485976</v>
      </c>
      <c r="W394" s="4">
        <v>-0.0286337695234342</v>
      </c>
      <c r="X394" s="4">
        <v>-0.0053381198677316</v>
      </c>
      <c r="Y394" s="4">
        <v>-0.0090049563347832</v>
      </c>
      <c r="Z394" s="4">
        <v>-0.0024129820108665</v>
      </c>
      <c r="AA394" s="4">
        <v>0.0079647493872168</v>
      </c>
      <c r="AB394" s="4">
        <v>-2.716647501319E-4</v>
      </c>
      <c r="AC394" s="4">
        <v>-0.0015624860429517</v>
      </c>
      <c r="AD394" s="4">
        <v>-0.0092878550622517</v>
      </c>
      <c r="AE394" s="4">
        <v>0.0017710115382398</v>
      </c>
      <c r="AF394" s="4">
        <v>-0.0164195500532446</v>
      </c>
      <c r="AG394" s="4">
        <v>-0.0151642992930475</v>
      </c>
      <c r="AH394" s="4">
        <v>-0.0426275260331929</v>
      </c>
      <c r="AI394" s="4">
        <v>0.0031981555420124</v>
      </c>
      <c r="AJ394" s="4">
        <v>0.010145</v>
      </c>
      <c r="AK394" s="4">
        <f>Weights!E450</f>
        <v>-0.001629075996</v>
      </c>
      <c r="AL394" s="5">
        <v>0.00156495728693073</v>
      </c>
      <c r="AM394" s="5">
        <v>8.44392146608363E-4</v>
      </c>
      <c r="AN394" s="5">
        <v>-0.0115204935878354</v>
      </c>
      <c r="AO394" s="5">
        <v>-0.0128778152140782</v>
      </c>
      <c r="AP394" s="6">
        <f t="shared" si="3"/>
        <v>1.380276546</v>
      </c>
      <c r="AQ394" s="4">
        <f t="shared" si="4"/>
        <v>1.365544284</v>
      </c>
      <c r="AR394" s="7">
        <f t="shared" si="5"/>
        <v>1.334871557</v>
      </c>
      <c r="AS394" s="7">
        <f t="shared" ref="AS394:AU394" si="396">AS393*(1+AM394)</f>
        <v>1.413613824</v>
      </c>
      <c r="AT394" s="5">
        <f t="shared" si="396"/>
        <v>1.224056574</v>
      </c>
      <c r="AU394" s="5">
        <f t="shared" si="396"/>
        <v>1.208065747</v>
      </c>
    </row>
    <row r="395" ht="15.75" customHeight="1">
      <c r="A395" s="3">
        <v>44403.0</v>
      </c>
      <c r="B395" s="4">
        <v>0.0</v>
      </c>
      <c r="C395" s="4">
        <v>-0.00179</v>
      </c>
      <c r="D395" s="4">
        <v>7.8E-4</v>
      </c>
      <c r="E395" s="4">
        <v>-7.0E-4</v>
      </c>
      <c r="F395" s="4">
        <v>8.77E-4</v>
      </c>
      <c r="G395" s="4">
        <v>4.66E-4</v>
      </c>
      <c r="H395" s="4">
        <v>0.003505</v>
      </c>
      <c r="I395" s="4">
        <v>0.002319</v>
      </c>
      <c r="J395" s="4">
        <v>-8.98E-4</v>
      </c>
      <c r="K395" s="4">
        <v>0.001216</v>
      </c>
      <c r="L395" s="4">
        <v>0.003801</v>
      </c>
      <c r="M395" s="4">
        <v>0.005777</v>
      </c>
      <c r="N395" s="4">
        <v>0.004131</v>
      </c>
      <c r="O395" s="4">
        <v>-3.46E-4</v>
      </c>
      <c r="P395" s="4">
        <v>0.004658</v>
      </c>
      <c r="Q395" s="4">
        <v>0.012128</v>
      </c>
      <c r="R395" s="4">
        <v>0.041489</v>
      </c>
      <c r="S395" s="4">
        <v>0.008461</v>
      </c>
      <c r="T395" s="4">
        <v>0.036362</v>
      </c>
      <c r="U395" s="4">
        <v>-0.003527</v>
      </c>
      <c r="V395" s="4">
        <v>0.0266054360544412</v>
      </c>
      <c r="W395" s="4">
        <v>0.0312017477612731</v>
      </c>
      <c r="X395" s="4">
        <v>0.003623144147272</v>
      </c>
      <c r="Y395" s="4">
        <v>0.0188666684368847</v>
      </c>
      <c r="Z395" s="4">
        <v>0.0178776905876143</v>
      </c>
      <c r="AA395" s="4">
        <v>3.509958405223E-4</v>
      </c>
      <c r="AB395" s="4">
        <v>-0.0032599286254942</v>
      </c>
      <c r="AC395" s="4">
        <v>-0.0046949345680523</v>
      </c>
      <c r="AD395" s="4">
        <v>0.0062500996437626</v>
      </c>
      <c r="AE395" s="4">
        <v>-0.0029979313504107</v>
      </c>
      <c r="AF395" s="4">
        <v>0.0016155211053714</v>
      </c>
      <c r="AG395" s="4">
        <v>0.0019708636699964</v>
      </c>
      <c r="AH395" s="4">
        <v>-0.0357664413321054</v>
      </c>
      <c r="AI395" s="4">
        <v>9.108029132514E-4</v>
      </c>
      <c r="AJ395" s="4">
        <v>0.002382</v>
      </c>
      <c r="AK395" s="4">
        <f>Weights!E451</f>
        <v>0.003748514471</v>
      </c>
      <c r="AL395" s="5">
        <v>0.0093758289512571</v>
      </c>
      <c r="AM395" s="5">
        <v>0.00999065792983056</v>
      </c>
      <c r="AN395" s="5">
        <v>0.00965694518020243</v>
      </c>
      <c r="AO395" s="5">
        <v>0.0107875908159484</v>
      </c>
      <c r="AP395" s="6">
        <f t="shared" si="3"/>
        <v>1.385450533</v>
      </c>
      <c r="AQ395" s="4">
        <f t="shared" si="4"/>
        <v>1.368797011</v>
      </c>
      <c r="AR395" s="7">
        <f t="shared" si="5"/>
        <v>1.347387084</v>
      </c>
      <c r="AS395" s="7">
        <f t="shared" ref="AS395:AU395" si="397">AS394*(1+AM395)</f>
        <v>1.427736756</v>
      </c>
      <c r="AT395" s="5">
        <f t="shared" si="397"/>
        <v>1.235877221</v>
      </c>
      <c r="AU395" s="5">
        <f t="shared" si="397"/>
        <v>1.221097866</v>
      </c>
    </row>
    <row r="396" ht="15.75" customHeight="1">
      <c r="A396" s="3">
        <v>44404.0</v>
      </c>
      <c r="B396" s="4">
        <v>0.002272</v>
      </c>
      <c r="C396" s="4">
        <v>0.00753</v>
      </c>
      <c r="D396" s="4">
        <v>-0.003311</v>
      </c>
      <c r="E396" s="4">
        <v>0.005539</v>
      </c>
      <c r="F396" s="4">
        <v>0.003505</v>
      </c>
      <c r="G396" s="4">
        <v>0.004597</v>
      </c>
      <c r="H396" s="4">
        <v>0.004063</v>
      </c>
      <c r="I396" s="4">
        <v>0.002057</v>
      </c>
      <c r="J396" s="4">
        <v>0.002471</v>
      </c>
      <c r="K396" s="4">
        <v>0.001821</v>
      </c>
      <c r="L396" s="4">
        <v>0.001395</v>
      </c>
      <c r="M396" s="4">
        <v>-0.008877</v>
      </c>
      <c r="N396" s="4">
        <v>-0.005094</v>
      </c>
      <c r="O396" s="4">
        <v>0.017325</v>
      </c>
      <c r="P396" s="4">
        <v>0.0154</v>
      </c>
      <c r="Q396" s="4">
        <v>0.028322</v>
      </c>
      <c r="R396" s="4">
        <v>-0.008186</v>
      </c>
      <c r="S396" s="4">
        <v>0.00703</v>
      </c>
      <c r="T396" s="4">
        <v>0.006342</v>
      </c>
      <c r="U396" s="4">
        <v>0.004263</v>
      </c>
      <c r="V396" s="4">
        <v>0.0111706958765673</v>
      </c>
      <c r="W396" s="4">
        <v>-0.0409562838402454</v>
      </c>
      <c r="X396" s="4">
        <v>-0.0216605032135037</v>
      </c>
      <c r="Y396" s="4">
        <v>-0.0018136995654978</v>
      </c>
      <c r="Z396" s="4">
        <v>-0.0570306687414478</v>
      </c>
      <c r="AA396" s="4">
        <v>0.0047393751287669</v>
      </c>
      <c r="AB396" s="4">
        <v>-0.006541368492905</v>
      </c>
      <c r="AC396" s="4">
        <v>0.0</v>
      </c>
      <c r="AD396" s="4">
        <v>0.0</v>
      </c>
      <c r="AE396" s="4">
        <v>-0.0041634269205179</v>
      </c>
      <c r="AF396" s="4">
        <v>-0.0107526380370515</v>
      </c>
      <c r="AG396" s="4">
        <v>-0.0137693318734557</v>
      </c>
      <c r="AH396" s="4">
        <v>-0.0249810695464838</v>
      </c>
      <c r="AI396" s="4">
        <v>9.093756358746E-4</v>
      </c>
      <c r="AJ396" s="4">
        <v>-0.004712</v>
      </c>
      <c r="AK396" s="4">
        <f>Weights!E452</f>
        <v>-0.003568481545</v>
      </c>
      <c r="AL396" s="5">
        <v>6.19324266739385E-4</v>
      </c>
      <c r="AM396" s="5">
        <v>0.00202238809145272</v>
      </c>
      <c r="AN396" s="5">
        <v>0.00725606354573527</v>
      </c>
      <c r="AO396" s="5">
        <v>0.00868699487095048</v>
      </c>
      <c r="AP396" s="6">
        <f t="shared" si="3"/>
        <v>1.380506578</v>
      </c>
      <c r="AQ396" s="4">
        <f t="shared" si="4"/>
        <v>1.362347239</v>
      </c>
      <c r="AR396" s="7">
        <f t="shared" si="5"/>
        <v>1.348221554</v>
      </c>
      <c r="AS396" s="7">
        <f t="shared" ref="AS396:AU396" si="398">AS395*(1+AM396)</f>
        <v>1.430624194</v>
      </c>
      <c r="AT396" s="5">
        <f t="shared" si="398"/>
        <v>1.244844825</v>
      </c>
      <c r="AU396" s="5">
        <f t="shared" si="398"/>
        <v>1.231705537</v>
      </c>
    </row>
    <row r="397" ht="15.75" customHeight="1">
      <c r="A397" s="3">
        <v>44405.0</v>
      </c>
      <c r="B397" s="4">
        <v>-9.07E-4</v>
      </c>
      <c r="C397" s="4">
        <v>-0.008541</v>
      </c>
      <c r="D397" s="4">
        <v>-0.004299</v>
      </c>
      <c r="E397" s="4">
        <v>-0.009181</v>
      </c>
      <c r="F397" s="4">
        <v>-0.009081</v>
      </c>
      <c r="G397" s="4">
        <v>-0.00278</v>
      </c>
      <c r="H397" s="4">
        <v>-0.014839</v>
      </c>
      <c r="I397" s="4">
        <v>0.009236</v>
      </c>
      <c r="J397" s="4">
        <v>0.006051</v>
      </c>
      <c r="K397" s="4">
        <v>0.006514</v>
      </c>
      <c r="L397" s="4">
        <v>0.005473</v>
      </c>
      <c r="M397" s="4">
        <v>0.007903</v>
      </c>
      <c r="N397" s="4">
        <v>0.004332</v>
      </c>
      <c r="O397" s="4">
        <v>0.006774</v>
      </c>
      <c r="P397" s="4">
        <v>0.009132</v>
      </c>
      <c r="Q397" s="4">
        <v>0.007415</v>
      </c>
      <c r="R397" s="4">
        <v>0.009078</v>
      </c>
      <c r="S397" s="4">
        <v>0.015312</v>
      </c>
      <c r="T397" s="4">
        <v>0.010368</v>
      </c>
      <c r="U397" s="4">
        <v>-0.003364</v>
      </c>
      <c r="V397" s="4">
        <v>-0.0349094492400349</v>
      </c>
      <c r="W397" s="4">
        <v>0.0427053356902691</v>
      </c>
      <c r="X397" s="4">
        <v>0.0</v>
      </c>
      <c r="Y397" s="4">
        <v>0.012644368397005</v>
      </c>
      <c r="Z397" s="4">
        <v>0.0193930649977298</v>
      </c>
      <c r="AA397" s="4">
        <v>-0.0026204024222802</v>
      </c>
      <c r="AB397" s="4">
        <v>0.0090536754017445</v>
      </c>
      <c r="AC397" s="4">
        <v>0.0</v>
      </c>
      <c r="AD397" s="4">
        <v>0.0</v>
      </c>
      <c r="AE397" s="4">
        <v>0.0011612360979493</v>
      </c>
      <c r="AF397" s="4">
        <v>0.0233694749862369</v>
      </c>
      <c r="AG397" s="4">
        <v>0.0137123744385521</v>
      </c>
      <c r="AH397" s="4">
        <v>0.0527949997255778</v>
      </c>
      <c r="AI397" s="4">
        <v>-0.0040904156655964</v>
      </c>
      <c r="AJ397" s="4">
        <v>-1.86E-4</v>
      </c>
      <c r="AK397" s="4">
        <f>Weights!E453</f>
        <v>0.006149135704</v>
      </c>
      <c r="AL397" s="5">
        <v>-0.00348104324768649</v>
      </c>
      <c r="AM397" s="5">
        <v>-0.0053966339859568</v>
      </c>
      <c r="AN397" s="5">
        <v>3.27292556405067E-4</v>
      </c>
      <c r="AO397" s="5">
        <v>-2.45783573873614E-4</v>
      </c>
      <c r="AP397" s="6">
        <f t="shared" si="3"/>
        <v>1.3889955</v>
      </c>
      <c r="AQ397" s="4">
        <f t="shared" si="4"/>
        <v>1.362093843</v>
      </c>
      <c r="AR397" s="7">
        <f t="shared" si="5"/>
        <v>1.343528336</v>
      </c>
      <c r="AS397" s="7">
        <f t="shared" ref="AS397:AU397" si="399">AS396*(1+AM397)</f>
        <v>1.422903639</v>
      </c>
      <c r="AT397" s="5">
        <f t="shared" si="399"/>
        <v>1.245252253</v>
      </c>
      <c r="AU397" s="5">
        <f t="shared" si="399"/>
        <v>1.231402804</v>
      </c>
    </row>
    <row r="398" ht="15.75" customHeight="1">
      <c r="A398" s="3">
        <v>44406.0</v>
      </c>
      <c r="B398" s="4">
        <v>0.001815</v>
      </c>
      <c r="C398" s="4">
        <v>0.004666</v>
      </c>
      <c r="D398" s="4">
        <v>3.93E-4</v>
      </c>
      <c r="E398" s="4">
        <v>0.002045</v>
      </c>
      <c r="F398" s="4">
        <v>0.005463</v>
      </c>
      <c r="G398" s="4">
        <v>0.0</v>
      </c>
      <c r="H398" s="4">
        <v>0.005189</v>
      </c>
      <c r="I398" s="4">
        <v>0.007372</v>
      </c>
      <c r="J398" s="4">
        <v>0.00401</v>
      </c>
      <c r="K398" s="4">
        <v>0.011138</v>
      </c>
      <c r="L398" s="4">
        <v>0.009996</v>
      </c>
      <c r="M398" s="4">
        <v>0.015682</v>
      </c>
      <c r="N398" s="4">
        <v>0.018627</v>
      </c>
      <c r="O398" s="4">
        <v>0.013908</v>
      </c>
      <c r="P398" s="4">
        <v>0.013575</v>
      </c>
      <c r="Q398" s="4">
        <v>0.042061</v>
      </c>
      <c r="R398" s="4">
        <v>0.0488</v>
      </c>
      <c r="S398" s="4">
        <v>0.022621</v>
      </c>
      <c r="T398" s="4">
        <v>0.040744</v>
      </c>
      <c r="U398" s="4">
        <v>0.00434</v>
      </c>
      <c r="V398" s="4">
        <v>0.0215202920036874</v>
      </c>
      <c r="W398" s="4">
        <v>-0.012036130057742</v>
      </c>
      <c r="X398" s="4">
        <v>0.0093808700001678</v>
      </c>
      <c r="Y398" s="4">
        <v>-0.0153281309536679</v>
      </c>
      <c r="Z398" s="4">
        <v>-0.0144023655237708</v>
      </c>
      <c r="AA398" s="4">
        <v>0.0015763886172646</v>
      </c>
      <c r="AB398" s="4">
        <v>0.0067971344136525</v>
      </c>
      <c r="AC398" s="4">
        <v>-0.0047097458696092</v>
      </c>
      <c r="AD398" s="4">
        <v>0.0078863593182452</v>
      </c>
      <c r="AE398" s="4">
        <v>-6.184160105573E-4</v>
      </c>
      <c r="AF398" s="4">
        <v>-7.965747803386E-4</v>
      </c>
      <c r="AG398" s="4">
        <v>0.0061484511931861</v>
      </c>
      <c r="AH398" s="4">
        <v>0.0051623074980886</v>
      </c>
      <c r="AI398" s="4">
        <v>9.129814779031E-4</v>
      </c>
      <c r="AJ398" s="4">
        <v>0.004206</v>
      </c>
      <c r="AK398" s="4">
        <f>Weights!E454</f>
        <v>0.007860254484</v>
      </c>
      <c r="AL398" s="5">
        <v>0.00178535789714762</v>
      </c>
      <c r="AM398" s="5">
        <v>0.00154392908357103</v>
      </c>
      <c r="AN398" s="5">
        <v>0.0062192499128042</v>
      </c>
      <c r="AO398" s="5">
        <v>0.00541433894825771</v>
      </c>
      <c r="AP398" s="6">
        <f t="shared" si="3"/>
        <v>1.399913358</v>
      </c>
      <c r="AQ398" s="4">
        <f t="shared" si="4"/>
        <v>1.36782281</v>
      </c>
      <c r="AR398" s="7">
        <f t="shared" si="5"/>
        <v>1.345927015</v>
      </c>
      <c r="AS398" s="7">
        <f t="shared" ref="AS398:AU398" si="400">AS397*(1+AM398)</f>
        <v>1.425100501</v>
      </c>
      <c r="AT398" s="5">
        <f t="shared" si="400"/>
        <v>1.252996788</v>
      </c>
      <c r="AU398" s="5">
        <f t="shared" si="400"/>
        <v>1.238070036</v>
      </c>
    </row>
    <row r="399" ht="15.75" customHeight="1">
      <c r="A399" s="3">
        <v>44407.0</v>
      </c>
      <c r="B399" s="4">
        <v>0.005435</v>
      </c>
      <c r="C399" s="4">
        <v>-0.003573</v>
      </c>
      <c r="D399" s="4">
        <v>0.001177</v>
      </c>
      <c r="E399" s="4">
        <v>8.93E-4</v>
      </c>
      <c r="F399" s="4">
        <v>-3.51E-4</v>
      </c>
      <c r="G399" s="4">
        <v>1.16E-4</v>
      </c>
      <c r="H399" s="4">
        <v>0.019716</v>
      </c>
      <c r="I399" s="4">
        <v>-0.007065</v>
      </c>
      <c r="J399" s="4">
        <v>0.005991</v>
      </c>
      <c r="K399" s="4">
        <v>-0.010866</v>
      </c>
      <c r="L399" s="4">
        <v>-0.008917</v>
      </c>
      <c r="M399" s="4">
        <v>-0.005147</v>
      </c>
      <c r="N399" s="4">
        <v>0.00154</v>
      </c>
      <c r="O399" s="4">
        <v>0.007674</v>
      </c>
      <c r="P399" s="4">
        <v>0.001594</v>
      </c>
      <c r="Q399" s="4">
        <v>-0.009082</v>
      </c>
      <c r="R399" s="4">
        <v>-0.009618</v>
      </c>
      <c r="S399" s="4">
        <v>8.68E-4</v>
      </c>
      <c r="T399" s="4">
        <v>0.00551</v>
      </c>
      <c r="U399" s="4">
        <v>0.013763</v>
      </c>
      <c r="V399" s="4">
        <v>0.00986085294427097</v>
      </c>
      <c r="W399" s="4">
        <v>-0.0032149981937514</v>
      </c>
      <c r="X399" s="4">
        <v>0.0</v>
      </c>
      <c r="Y399" s="4">
        <v>0.0024298386051013</v>
      </c>
      <c r="Z399" s="4">
        <v>-0.0049073040119512</v>
      </c>
      <c r="AA399" s="4">
        <v>-5.246631900244E-4</v>
      </c>
      <c r="AB399" s="4">
        <v>0.0040508090876361</v>
      </c>
      <c r="AC399" s="4">
        <v>0.0063091637193228</v>
      </c>
      <c r="AD399" s="4">
        <v>0.0093895993099717</v>
      </c>
      <c r="AE399" s="4">
        <v>0.0058809036153959</v>
      </c>
      <c r="AF399" s="4">
        <v>0.0111614568009656</v>
      </c>
      <c r="AG399" s="4">
        <v>-0.0019555526598417</v>
      </c>
      <c r="AH399" s="4">
        <v>0.0381510823337345</v>
      </c>
      <c r="AI399" s="4">
        <v>-0.0013681230820908</v>
      </c>
      <c r="AJ399" s="4">
        <v>-0.005406</v>
      </c>
      <c r="AK399" s="4">
        <f>Weights!E455</f>
        <v>0.002686692885</v>
      </c>
      <c r="AL399" s="5">
        <v>0.00519171684692443</v>
      </c>
      <c r="AM399" s="5">
        <v>0.00440455776780801</v>
      </c>
      <c r="AN399" s="5">
        <v>-0.00325295182333129</v>
      </c>
      <c r="AO399" s="5">
        <v>-0.0022030810782887</v>
      </c>
      <c r="AP399" s="6">
        <f t="shared" si="3"/>
        <v>1.403674496</v>
      </c>
      <c r="AQ399" s="4">
        <f t="shared" si="4"/>
        <v>1.360428359</v>
      </c>
      <c r="AR399" s="7">
        <f t="shared" si="5"/>
        <v>1.352914687</v>
      </c>
      <c r="AS399" s="7">
        <f t="shared" ref="AS399:AU399" si="401">AS398*(1+AM399)</f>
        <v>1.431377438</v>
      </c>
      <c r="AT399" s="5">
        <f t="shared" si="401"/>
        <v>1.24892085</v>
      </c>
      <c r="AU399" s="5">
        <f t="shared" si="401"/>
        <v>1.235342468</v>
      </c>
    </row>
    <row r="400" ht="15.75" customHeight="1">
      <c r="A400" s="3">
        <v>44410.0</v>
      </c>
      <c r="B400" s="4">
        <v>-0.005856</v>
      </c>
      <c r="C400" s="4">
        <v>-3.59E-4</v>
      </c>
      <c r="D400" s="4">
        <v>0.0</v>
      </c>
      <c r="E400" s="4">
        <v>-0.004014</v>
      </c>
      <c r="F400" s="4">
        <v>-0.00263</v>
      </c>
      <c r="G400" s="4">
        <v>4.07E-4</v>
      </c>
      <c r="H400" s="4">
        <v>-0.002461</v>
      </c>
      <c r="I400" s="4">
        <v>-0.007116</v>
      </c>
      <c r="J400" s="4">
        <v>-0.011689</v>
      </c>
      <c r="K400" s="4">
        <v>-0.007073</v>
      </c>
      <c r="L400" s="4">
        <v>-0.006427</v>
      </c>
      <c r="M400" s="4">
        <v>-0.004139</v>
      </c>
      <c r="N400" s="4">
        <v>-0.003844</v>
      </c>
      <c r="O400" s="4">
        <v>-0.011663</v>
      </c>
      <c r="P400" s="4">
        <v>-0.013372</v>
      </c>
      <c r="Q400" s="4">
        <v>-0.003055</v>
      </c>
      <c r="R400" s="4">
        <v>-0.038845</v>
      </c>
      <c r="S400" s="4">
        <v>-0.006067</v>
      </c>
      <c r="T400" s="4">
        <v>-0.01865</v>
      </c>
      <c r="U400" s="4">
        <v>-0.003078</v>
      </c>
      <c r="V400" s="4">
        <v>-0.0368397153416079</v>
      </c>
      <c r="W400" s="4">
        <v>0.0142591360096073</v>
      </c>
      <c r="X400" s="4">
        <v>0.0037174869029312</v>
      </c>
      <c r="Y400" s="4">
        <v>-0.0056056498064107</v>
      </c>
      <c r="Z400" s="4">
        <v>-0.0134796113377729</v>
      </c>
      <c r="AA400" s="4">
        <v>0.0019247475266939</v>
      </c>
      <c r="AB400" s="4">
        <v>-0.0016137124988354</v>
      </c>
      <c r="AC400" s="4">
        <v>-0.003134768591213</v>
      </c>
      <c r="AD400" s="4">
        <v>-0.0139534262389942</v>
      </c>
      <c r="AE400" s="4">
        <v>3.076698317623E-4</v>
      </c>
      <c r="AF400" s="4">
        <v>-0.0013141022924754</v>
      </c>
      <c r="AG400" s="4">
        <v>0.0093071019337878</v>
      </c>
      <c r="AH400" s="4">
        <v>-0.0416961249818865</v>
      </c>
      <c r="AI400" s="4">
        <v>0.0027396944860733</v>
      </c>
      <c r="AJ400" s="4">
        <v>-0.001843</v>
      </c>
      <c r="AK400" s="4">
        <f>Weights!E456</f>
        <v>-0.007071789681</v>
      </c>
      <c r="AL400" s="5">
        <v>-0.00686089866472083</v>
      </c>
      <c r="AM400" s="5">
        <v>-0.00592003168742616</v>
      </c>
      <c r="AN400" s="5">
        <v>6.52727548831055E-4</v>
      </c>
      <c r="AO400" s="5">
        <v>9.81181214160686E-4</v>
      </c>
      <c r="AP400" s="6">
        <f t="shared" si="3"/>
        <v>1.393748005</v>
      </c>
      <c r="AQ400" s="4">
        <f t="shared" si="4"/>
        <v>1.35792109</v>
      </c>
      <c r="AR400" s="7">
        <f t="shared" si="5"/>
        <v>1.343632476</v>
      </c>
      <c r="AS400" s="7">
        <f t="shared" ref="AS400:AU400" si="402">AS399*(1+AM400)</f>
        <v>1.422903639</v>
      </c>
      <c r="AT400" s="5">
        <f t="shared" si="402"/>
        <v>1.249736055</v>
      </c>
      <c r="AU400" s="5">
        <f t="shared" si="402"/>
        <v>1.236554563</v>
      </c>
    </row>
    <row r="401" ht="15.75" customHeight="1">
      <c r="A401" s="3">
        <v>44411.0</v>
      </c>
      <c r="B401" s="4">
        <v>0.017218</v>
      </c>
      <c r="C401" s="4">
        <v>-5.38E-4</v>
      </c>
      <c r="D401" s="4">
        <v>9.8E-4</v>
      </c>
      <c r="E401" s="4">
        <v>0.002239</v>
      </c>
      <c r="F401" s="4">
        <v>7.03E-4</v>
      </c>
      <c r="G401" s="4">
        <v>0.012306</v>
      </c>
      <c r="H401" s="4">
        <v>0.01459</v>
      </c>
      <c r="I401" s="4">
        <v>0.010238</v>
      </c>
      <c r="J401" s="4">
        <v>0.012051</v>
      </c>
      <c r="K401" s="4">
        <v>0.011367</v>
      </c>
      <c r="L401" s="4">
        <v>0.002587</v>
      </c>
      <c r="M401" s="4">
        <v>-0.004675</v>
      </c>
      <c r="N401" s="4">
        <v>-0.001351</v>
      </c>
      <c r="O401" s="4">
        <v>0.016603</v>
      </c>
      <c r="P401" s="4">
        <v>0.01081</v>
      </c>
      <c r="Q401" s="4">
        <v>0.016343</v>
      </c>
      <c r="R401" s="4">
        <v>5.46E-4</v>
      </c>
      <c r="S401" s="4">
        <v>0.009374</v>
      </c>
      <c r="T401" s="4">
        <v>0.044965</v>
      </c>
      <c r="U401" s="4">
        <v>0.009739</v>
      </c>
      <c r="V401" s="4">
        <v>0.0110599969396101</v>
      </c>
      <c r="W401" s="4">
        <v>-0.0048534915178093</v>
      </c>
      <c r="X401" s="4">
        <v>0.0018517691401105</v>
      </c>
      <c r="Y401" s="4">
        <v>0.0073893297023372</v>
      </c>
      <c r="Z401" s="4">
        <v>0.0147745031503885</v>
      </c>
      <c r="AA401" s="4">
        <v>0.0080336232905189</v>
      </c>
      <c r="AB401" s="4">
        <v>-0.0024246664508689</v>
      </c>
      <c r="AC401" s="4">
        <v>-0.0031446970439592</v>
      </c>
      <c r="AD401" s="4">
        <v>-0.007861560104873</v>
      </c>
      <c r="AE401" s="4">
        <v>0.0072290887558839</v>
      </c>
      <c r="AF401" s="4">
        <v>-0.0223684271430025</v>
      </c>
      <c r="AG401" s="4">
        <v>-0.0042467141899175</v>
      </c>
      <c r="AH401" s="4">
        <v>-0.0435102495377563</v>
      </c>
      <c r="AI401" s="4">
        <v>0.0013660546160276</v>
      </c>
      <c r="AJ401" s="4">
        <v>0.008203</v>
      </c>
      <c r="AK401" s="4">
        <f>Weights!E457</f>
        <v>0.002728190804</v>
      </c>
      <c r="AL401" s="5">
        <v>0.00155257456449398</v>
      </c>
      <c r="AM401" s="5">
        <v>-0.00141158620622916</v>
      </c>
      <c r="AN401" s="5">
        <v>0.00163061514230178</v>
      </c>
      <c r="AO401" s="5">
        <v>0.00196117031158671</v>
      </c>
      <c r="AP401" s="6">
        <f t="shared" si="3"/>
        <v>1.397550415</v>
      </c>
      <c r="AQ401" s="4">
        <f t="shared" si="4"/>
        <v>1.369060117</v>
      </c>
      <c r="AR401" s="7">
        <f t="shared" si="5"/>
        <v>1.345718566</v>
      </c>
      <c r="AS401" s="7">
        <f t="shared" ref="AS401:AU401" si="403">AS400*(1+AM401)</f>
        <v>1.420895087</v>
      </c>
      <c r="AT401" s="5">
        <f t="shared" si="403"/>
        <v>1.251773893</v>
      </c>
      <c r="AU401" s="5">
        <f t="shared" si="403"/>
        <v>1.238979657</v>
      </c>
    </row>
    <row r="402" ht="15.75" customHeight="1">
      <c r="A402" s="3">
        <v>44412.0</v>
      </c>
      <c r="B402" s="4">
        <v>-0.005345</v>
      </c>
      <c r="C402" s="4">
        <v>-0.00646</v>
      </c>
      <c r="D402" s="4">
        <v>-0.001175</v>
      </c>
      <c r="E402" s="4">
        <v>-0.016723</v>
      </c>
      <c r="F402" s="4">
        <v>-0.014406</v>
      </c>
      <c r="G402" s="4">
        <v>-0.005906</v>
      </c>
      <c r="H402" s="4">
        <v>-0.010559</v>
      </c>
      <c r="I402" s="4">
        <v>-0.007347</v>
      </c>
      <c r="J402" s="4">
        <v>0.002867</v>
      </c>
      <c r="K402" s="4">
        <v>-0.004795</v>
      </c>
      <c r="L402" s="4">
        <v>0.005757</v>
      </c>
      <c r="M402" s="4">
        <v>0.001566</v>
      </c>
      <c r="N402" s="4">
        <v>0.001352</v>
      </c>
      <c r="O402" s="4">
        <v>3.66E-4</v>
      </c>
      <c r="P402" s="4">
        <v>-0.01261</v>
      </c>
      <c r="Q402" s="4">
        <v>0.009045</v>
      </c>
      <c r="R402" s="4">
        <v>-0.02702</v>
      </c>
      <c r="S402" s="4">
        <v>-0.0054</v>
      </c>
      <c r="T402" s="4">
        <v>-0.016593</v>
      </c>
      <c r="U402" s="4">
        <v>-0.002039</v>
      </c>
      <c r="V402" s="4">
        <v>-0.00774849434515712</v>
      </c>
      <c r="W402" s="4">
        <v>-0.0282543936006096</v>
      </c>
      <c r="X402" s="4">
        <v>0.0</v>
      </c>
      <c r="Y402" s="4">
        <v>-0.0044614351056166</v>
      </c>
      <c r="Z402" s="4">
        <v>-8.756989427298E-4</v>
      </c>
      <c r="AA402" s="4">
        <v>0.0060634521689983</v>
      </c>
      <c r="AB402" s="4">
        <v>-0.0027004981167775</v>
      </c>
      <c r="AC402" s="4">
        <v>0.0</v>
      </c>
      <c r="AD402" s="4">
        <v>0.0</v>
      </c>
      <c r="AE402" s="4">
        <v>0.0063372263048675</v>
      </c>
      <c r="AF402" s="4">
        <v>-0.0218035634213417</v>
      </c>
      <c r="AG402" s="4">
        <v>-0.0042645113868373</v>
      </c>
      <c r="AH402" s="4">
        <v>0.0023129542441309</v>
      </c>
      <c r="AI402" s="4">
        <v>4.543315533613E-4</v>
      </c>
      <c r="AJ402" s="4">
        <v>-0.004632</v>
      </c>
      <c r="AK402" s="4">
        <f>Weights!E458</f>
        <v>-0.003699768167</v>
      </c>
      <c r="AL402" s="5">
        <v>0.00658766580911862</v>
      </c>
      <c r="AM402" s="5">
        <v>0.0071564038011016</v>
      </c>
      <c r="AN402" s="5">
        <v>0.00358188871794751</v>
      </c>
      <c r="AO402" s="5">
        <v>0.00391362044827059</v>
      </c>
      <c r="AP402" s="6">
        <f t="shared" si="3"/>
        <v>1.392379803</v>
      </c>
      <c r="AQ402" s="4">
        <f t="shared" si="4"/>
        <v>1.36271863</v>
      </c>
      <c r="AR402" s="7">
        <f t="shared" si="5"/>
        <v>1.35458371</v>
      </c>
      <c r="AS402" s="7">
        <f t="shared" ref="AS402:AU402" si="404">AS401*(1+AM402)</f>
        <v>1.431063587</v>
      </c>
      <c r="AT402" s="5">
        <f t="shared" si="404"/>
        <v>1.256257608</v>
      </c>
      <c r="AU402" s="5">
        <f t="shared" si="404"/>
        <v>1.243828553</v>
      </c>
    </row>
    <row r="403" ht="15.75" customHeight="1">
      <c r="A403" s="3">
        <v>44413.0</v>
      </c>
      <c r="B403" s="4">
        <v>0.008509</v>
      </c>
      <c r="C403" s="4">
        <v>-0.001264</v>
      </c>
      <c r="D403" s="4">
        <v>0.005292</v>
      </c>
      <c r="E403" s="4">
        <v>0.001688</v>
      </c>
      <c r="F403" s="4">
        <v>0.00713</v>
      </c>
      <c r="G403" s="4">
        <v>0.001904</v>
      </c>
      <c r="H403" s="4">
        <v>4.92E-4</v>
      </c>
      <c r="I403" s="4">
        <v>0.008423</v>
      </c>
      <c r="J403" s="4">
        <v>0.005717</v>
      </c>
      <c r="K403" s="4">
        <v>0.009185</v>
      </c>
      <c r="L403" s="4">
        <v>0.010165</v>
      </c>
      <c r="M403" s="4">
        <v>0.023971</v>
      </c>
      <c r="N403" s="4">
        <v>-7.72E-4</v>
      </c>
      <c r="O403" s="4">
        <v>-0.021267</v>
      </c>
      <c r="P403" s="4">
        <v>-0.009861</v>
      </c>
      <c r="Q403" s="4">
        <v>-0.036853</v>
      </c>
      <c r="R403" s="4">
        <v>0.00561</v>
      </c>
      <c r="S403" s="4">
        <v>-0.013681</v>
      </c>
      <c r="T403" s="4">
        <v>-0.032316</v>
      </c>
      <c r="U403" s="4">
        <v>-0.009822</v>
      </c>
      <c r="V403" s="4">
        <v>0.00137813852235235</v>
      </c>
      <c r="W403" s="4">
        <v>-0.0377292175120684</v>
      </c>
      <c r="X403" s="4">
        <v>0.0</v>
      </c>
      <c r="Y403" s="4">
        <v>-0.0182301060012144</v>
      </c>
      <c r="Z403" s="4">
        <v>-0.01018939468713</v>
      </c>
      <c r="AA403" s="4">
        <v>-0.0029272562088772</v>
      </c>
      <c r="AB403" s="4">
        <v>-0.0097481304107089</v>
      </c>
      <c r="AC403" s="4">
        <v>0.0</v>
      </c>
      <c r="AD403" s="4">
        <v>0.0</v>
      </c>
      <c r="AE403" s="4">
        <v>-0.0013656184891541</v>
      </c>
      <c r="AF403" s="4">
        <v>-0.0343972475318248</v>
      </c>
      <c r="AG403" s="4">
        <v>-0.0128488520678581</v>
      </c>
      <c r="AH403" s="4">
        <v>-0.0915384326178636</v>
      </c>
      <c r="AI403" s="4">
        <v>0.0050003602507584</v>
      </c>
      <c r="AJ403" s="4">
        <v>0.006005</v>
      </c>
      <c r="AK403" s="4">
        <f>Weights!E459</f>
        <v>-0.007610637657</v>
      </c>
      <c r="AL403" s="5">
        <v>-0.00315698740766245</v>
      </c>
      <c r="AM403" s="5">
        <v>-0.00447392996108952</v>
      </c>
      <c r="AN403" s="5">
        <v>-9.73165410683263E-4</v>
      </c>
      <c r="AO403" s="5">
        <v>-4.86983830121579E-4</v>
      </c>
      <c r="AP403" s="6">
        <f t="shared" si="3"/>
        <v>1.381782905</v>
      </c>
      <c r="AQ403" s="4">
        <f t="shared" si="4"/>
        <v>1.370901756</v>
      </c>
      <c r="AR403" s="7">
        <f t="shared" si="5"/>
        <v>1.350307307</v>
      </c>
      <c r="AS403" s="7">
        <f t="shared" ref="AS403:AU403" si="405">AS402*(1+AM403)</f>
        <v>1.424661108</v>
      </c>
      <c r="AT403" s="5">
        <f t="shared" si="405"/>
        <v>1.255035062</v>
      </c>
      <c r="AU403" s="5">
        <f t="shared" si="405"/>
        <v>1.243222828</v>
      </c>
    </row>
    <row r="404" ht="15.75" customHeight="1">
      <c r="A404" s="3">
        <v>44414.0</v>
      </c>
      <c r="B404" s="4">
        <v>0.002664</v>
      </c>
      <c r="C404" s="4">
        <v>-0.001447</v>
      </c>
      <c r="D404" s="4">
        <v>-0.003509</v>
      </c>
      <c r="E404" s="4">
        <v>1.3E-4</v>
      </c>
      <c r="F404" s="4">
        <v>0.002478</v>
      </c>
      <c r="G404" s="4">
        <v>-0.003339</v>
      </c>
      <c r="H404" s="4">
        <v>-0.007649</v>
      </c>
      <c r="I404" s="4">
        <v>7.59E-4</v>
      </c>
      <c r="J404" s="4">
        <v>-0.004591</v>
      </c>
      <c r="K404" s="4">
        <v>0.007162</v>
      </c>
      <c r="L404" s="4">
        <v>0.004396</v>
      </c>
      <c r="M404" s="4">
        <v>0.021374</v>
      </c>
      <c r="N404" s="4">
        <v>0.0056</v>
      </c>
      <c r="O404" s="4">
        <v>0.027339</v>
      </c>
      <c r="P404" s="4">
        <v>-0.023347</v>
      </c>
      <c r="Q404" s="4">
        <v>-0.087901</v>
      </c>
      <c r="R404" s="4">
        <v>0.028173</v>
      </c>
      <c r="S404" s="4">
        <v>-0.024218</v>
      </c>
      <c r="T404" s="4">
        <v>0.027583</v>
      </c>
      <c r="U404" s="4">
        <v>-0.002619</v>
      </c>
      <c r="V404" s="4">
        <v>0.00733939582645404</v>
      </c>
      <c r="W404" s="4">
        <v>0.0071941205599095</v>
      </c>
      <c r="X404" s="4">
        <v>0.0</v>
      </c>
      <c r="Y404" s="4">
        <v>0.0041778666442906</v>
      </c>
      <c r="Z404" s="4">
        <v>0.0085233958314727</v>
      </c>
      <c r="AA404" s="4">
        <v>6.90635768143E-4</v>
      </c>
      <c r="AB404" s="4">
        <v>-2.733964960111E-4</v>
      </c>
      <c r="AC404" s="4">
        <v>0.0</v>
      </c>
      <c r="AD404" s="4">
        <v>0.0</v>
      </c>
      <c r="AE404" s="4">
        <v>0.0160310066991051</v>
      </c>
      <c r="AF404" s="4">
        <v>0.0111141859309933</v>
      </c>
      <c r="AG404" s="4">
        <v>0.0140076491401672</v>
      </c>
      <c r="AH404" s="4">
        <v>0.0237087191148512</v>
      </c>
      <c r="AI404" s="4">
        <v>-0.0018090494914453</v>
      </c>
      <c r="AJ404" s="4">
        <v>0.001675</v>
      </c>
      <c r="AK404" s="4">
        <f>Weights!E460</f>
        <v>0.003011079356</v>
      </c>
      <c r="AL404" s="5">
        <v>0.00610179031695223</v>
      </c>
      <c r="AM404" s="5">
        <v>0.0071376283323743</v>
      </c>
      <c r="AN404" s="5">
        <v>0.00454697208581911</v>
      </c>
      <c r="AO404" s="5">
        <v>0.00438779598447913</v>
      </c>
      <c r="AP404" s="6">
        <f t="shared" si="3"/>
        <v>1.385943563</v>
      </c>
      <c r="AQ404" s="4">
        <f t="shared" si="4"/>
        <v>1.373198016</v>
      </c>
      <c r="AR404" s="7">
        <f t="shared" si="5"/>
        <v>1.358546599</v>
      </c>
      <c r="AS404" s="7">
        <f t="shared" ref="AS404:AU404" si="406">AS403*(1+AM404)</f>
        <v>1.43482981</v>
      </c>
      <c r="AT404" s="5">
        <f t="shared" si="406"/>
        <v>1.260741671</v>
      </c>
      <c r="AU404" s="5">
        <f t="shared" si="406"/>
        <v>1.248677837</v>
      </c>
    </row>
    <row r="405" ht="15.75" customHeight="1">
      <c r="A405" s="3">
        <v>44417.0</v>
      </c>
      <c r="B405" s="4">
        <v>-0.002657</v>
      </c>
      <c r="C405" s="4">
        <v>-0.001811</v>
      </c>
      <c r="D405" s="4">
        <v>-0.009979</v>
      </c>
      <c r="E405" s="4">
        <v>1.3E-4</v>
      </c>
      <c r="F405" s="4">
        <v>1.77E-4</v>
      </c>
      <c r="G405" s="4">
        <v>0.003466</v>
      </c>
      <c r="H405" s="4">
        <v>0.005445</v>
      </c>
      <c r="I405" s="4">
        <v>-0.007587</v>
      </c>
      <c r="J405" s="4">
        <v>0.002416</v>
      </c>
      <c r="K405" s="4">
        <v>-0.003704</v>
      </c>
      <c r="L405" s="4">
        <v>-9.7E-5</v>
      </c>
      <c r="M405" s="4">
        <v>4.98E-4</v>
      </c>
      <c r="N405" s="4">
        <v>0.001728</v>
      </c>
      <c r="O405" s="4">
        <v>0.011941</v>
      </c>
      <c r="P405" s="4">
        <v>-0.016382</v>
      </c>
      <c r="Q405" s="4">
        <v>-0.022676</v>
      </c>
      <c r="R405" s="4">
        <v>-0.010852</v>
      </c>
      <c r="S405" s="4">
        <v>-0.03768</v>
      </c>
      <c r="T405" s="4">
        <v>0.033266</v>
      </c>
      <c r="U405" s="4">
        <v>-0.003819</v>
      </c>
      <c r="V405" s="4">
        <v>-0.0091073184457131</v>
      </c>
      <c r="W405" s="4">
        <v>0.0407143486004679</v>
      </c>
      <c r="X405" s="4">
        <v>0.0</v>
      </c>
      <c r="Y405" s="4">
        <v>0.0102472462217879</v>
      </c>
      <c r="Z405" s="4">
        <v>-0.0019757702473246</v>
      </c>
      <c r="AA405" s="4">
        <v>-0.0043147089959941</v>
      </c>
      <c r="AB405" s="4">
        <v>0.0147700191969175</v>
      </c>
      <c r="AC405" s="4">
        <v>0.0</v>
      </c>
      <c r="AD405" s="4">
        <v>0.0</v>
      </c>
      <c r="AE405" s="4">
        <v>-0.002019057444928</v>
      </c>
      <c r="AF405" s="4">
        <v>0.0315669726898146</v>
      </c>
      <c r="AG405" s="4">
        <v>0.0154034401503355</v>
      </c>
      <c r="AH405" s="4">
        <v>0.0587262038683957</v>
      </c>
      <c r="AI405" s="4">
        <v>-0.0022659067948396</v>
      </c>
      <c r="AJ405" s="4">
        <v>-9.4E-4</v>
      </c>
      <c r="AK405" s="4">
        <f>Weights!E461</f>
        <v>0.003947203281</v>
      </c>
      <c r="AL405" s="5">
        <v>-0.00161206214625375</v>
      </c>
      <c r="AM405" s="5">
        <v>0.00122493332016193</v>
      </c>
      <c r="AN405" s="5">
        <v>-0.00129349119043853</v>
      </c>
      <c r="AO405" s="5">
        <v>-0.00169896236952016</v>
      </c>
      <c r="AP405" s="6">
        <f t="shared" si="3"/>
        <v>1.391414164</v>
      </c>
      <c r="AQ405" s="4">
        <f t="shared" si="4"/>
        <v>1.37190721</v>
      </c>
      <c r="AR405" s="7">
        <f t="shared" si="5"/>
        <v>1.356356537</v>
      </c>
      <c r="AS405" s="7">
        <f t="shared" ref="AS405:AU405" si="407">AS404*(1+AM405)</f>
        <v>1.436587381</v>
      </c>
      <c r="AT405" s="5">
        <f t="shared" si="407"/>
        <v>1.259110913</v>
      </c>
      <c r="AU405" s="5">
        <f t="shared" si="407"/>
        <v>1.24655638</v>
      </c>
    </row>
    <row r="406" ht="15.75" customHeight="1">
      <c r="A406" s="3">
        <v>44418.0</v>
      </c>
      <c r="B406" s="4">
        <v>0.005329</v>
      </c>
      <c r="C406" s="4">
        <v>0.006531</v>
      </c>
      <c r="D406" s="4">
        <v>0.002767</v>
      </c>
      <c r="E406" s="4">
        <v>5.18E-4</v>
      </c>
      <c r="F406" s="4">
        <v>0.002648</v>
      </c>
      <c r="G406" s="4">
        <v>3.45E-4</v>
      </c>
      <c r="H406" s="4">
        <v>6.33E-4</v>
      </c>
      <c r="I406" s="4">
        <v>0.013761</v>
      </c>
      <c r="J406" s="4">
        <v>0.003944</v>
      </c>
      <c r="K406" s="4">
        <v>0.017695</v>
      </c>
      <c r="L406" s="4">
        <v>0.011965</v>
      </c>
      <c r="M406" s="4">
        <v>-4.98E-4</v>
      </c>
      <c r="N406" s="4">
        <v>0.010926</v>
      </c>
      <c r="O406" s="4">
        <v>-0.010253</v>
      </c>
      <c r="P406" s="4">
        <v>-0.013426</v>
      </c>
      <c r="Q406" s="4">
        <v>-0.012761</v>
      </c>
      <c r="R406" s="4">
        <v>0.048272</v>
      </c>
      <c r="S406" s="4">
        <v>-4.69E-4</v>
      </c>
      <c r="T406" s="4">
        <v>0.095751</v>
      </c>
      <c r="U406" s="4">
        <v>-0.001757</v>
      </c>
      <c r="V406" s="4">
        <v>0.00551452452157086</v>
      </c>
      <c r="W406" s="4">
        <v>-0.0013726767994877</v>
      </c>
      <c r="X406" s="4">
        <v>0.0</v>
      </c>
      <c r="Y406" s="4">
        <v>0.0049574437137538</v>
      </c>
      <c r="Z406" s="4">
        <v>0.0059387864861659</v>
      </c>
      <c r="AA406" s="4">
        <v>6.93393811824E-4</v>
      </c>
      <c r="AB406" s="4">
        <v>0.0021564831743394</v>
      </c>
      <c r="AC406" s="4">
        <v>0.0</v>
      </c>
      <c r="AD406" s="4">
        <v>0.0</v>
      </c>
      <c r="AE406" s="4">
        <v>0.0067437045056888</v>
      </c>
      <c r="AF406" s="4">
        <v>0.015847115116603</v>
      </c>
      <c r="AG406" s="4">
        <v>8.477052797164E-4</v>
      </c>
      <c r="AH406" s="4">
        <v>-0.0117187390860633</v>
      </c>
      <c r="AI406" s="4">
        <v>0.0027250642187219</v>
      </c>
      <c r="AJ406" s="4">
        <v>9.93E-4</v>
      </c>
      <c r="AK406" s="4">
        <f>Weights!E462</f>
        <v>0.00581967254</v>
      </c>
      <c r="AL406" s="5">
        <v>1.53807184012144E-4</v>
      </c>
      <c r="AM406" s="5">
        <v>-3.93317340354415E-4</v>
      </c>
      <c r="AN406" s="5">
        <v>0.00291364068282695</v>
      </c>
      <c r="AO406" s="5">
        <v>0.00170185375500842</v>
      </c>
      <c r="AP406" s="6">
        <f t="shared" si="3"/>
        <v>1.399511738</v>
      </c>
      <c r="AQ406" s="4">
        <f t="shared" si="4"/>
        <v>1.373269514</v>
      </c>
      <c r="AR406" s="7">
        <f t="shared" si="5"/>
        <v>1.356565154</v>
      </c>
      <c r="AS406" s="7">
        <f t="shared" ref="AS406:AU406" si="408">AS405*(1+AM406)</f>
        <v>1.436022346</v>
      </c>
      <c r="AT406" s="5">
        <f t="shared" si="408"/>
        <v>1.26277951</v>
      </c>
      <c r="AU406" s="5">
        <f t="shared" si="408"/>
        <v>1.248677837</v>
      </c>
    </row>
    <row r="407" ht="15.75" customHeight="1">
      <c r="A407" s="3">
        <v>44419.0</v>
      </c>
      <c r="B407" s="4">
        <v>8.83E-4</v>
      </c>
      <c r="C407" s="4">
        <v>0.001622</v>
      </c>
      <c r="D407" s="4">
        <v>0.007686</v>
      </c>
      <c r="E407" s="4">
        <v>0.00395</v>
      </c>
      <c r="F407" s="4">
        <v>-0.001232</v>
      </c>
      <c r="G407" s="4">
        <v>1.73E-4</v>
      </c>
      <c r="H407" s="4">
        <v>0.00246</v>
      </c>
      <c r="I407" s="4">
        <v>0.012569</v>
      </c>
      <c r="J407" s="4">
        <v>0.00873</v>
      </c>
      <c r="K407" s="4">
        <v>0.011251</v>
      </c>
      <c r="L407" s="4">
        <v>0.007017</v>
      </c>
      <c r="M407" s="4">
        <v>0.016442</v>
      </c>
      <c r="N407" s="4">
        <v>0.007395</v>
      </c>
      <c r="O407" s="4">
        <v>-0.009487</v>
      </c>
      <c r="P407" s="4">
        <v>0.020844</v>
      </c>
      <c r="Q407" s="4">
        <v>0.038778</v>
      </c>
      <c r="R407" s="4">
        <v>0.013344</v>
      </c>
      <c r="S407" s="4">
        <v>0.017593</v>
      </c>
      <c r="T407" s="4">
        <v>0.039119</v>
      </c>
      <c r="U407" s="4">
        <v>0.010241</v>
      </c>
      <c r="V407" s="4">
        <v>-0.0027421965354093</v>
      </c>
      <c r="W407" s="4">
        <v>0.0185566090197628</v>
      </c>
      <c r="X407" s="4">
        <v>0.0</v>
      </c>
      <c r="Y407" s="4">
        <v>0.0092586840856689</v>
      </c>
      <c r="Z407" s="4">
        <v>0.014649395591145</v>
      </c>
      <c r="AA407" s="4">
        <v>0.0064092250194458</v>
      </c>
      <c r="AB407" s="4">
        <v>0.0016137124988351</v>
      </c>
      <c r="AC407" s="4">
        <v>0.0</v>
      </c>
      <c r="AD407" s="4">
        <v>0.0</v>
      </c>
      <c r="AE407" s="4">
        <v>0.002307099581605</v>
      </c>
      <c r="AF407" s="4">
        <v>0.0217858396181902</v>
      </c>
      <c r="AG407" s="4">
        <v>0.0077455533943306</v>
      </c>
      <c r="AH407" s="4">
        <v>0.0166008125644518</v>
      </c>
      <c r="AI407" s="4">
        <v>-0.0013584320391769</v>
      </c>
      <c r="AJ407" s="4">
        <v>0.002468</v>
      </c>
      <c r="AK407" s="4">
        <f>Weights!E463</f>
        <v>0.008828176979</v>
      </c>
      <c r="AL407" s="5">
        <v>0.00115325236342878</v>
      </c>
      <c r="AM407" s="5">
        <v>6.55739831538104E-4</v>
      </c>
      <c r="AN407" s="5">
        <v>0.00613299625599039</v>
      </c>
      <c r="AO407" s="5">
        <v>0.00558260057238446</v>
      </c>
      <c r="AP407" s="6">
        <f t="shared" si="3"/>
        <v>1.411866876</v>
      </c>
      <c r="AQ407" s="4">
        <f t="shared" si="4"/>
        <v>1.376658743</v>
      </c>
      <c r="AR407" s="7">
        <f t="shared" si="5"/>
        <v>1.358129616</v>
      </c>
      <c r="AS407" s="7">
        <f t="shared" ref="AS407:AU407" si="409">AS406*(1+AM407)</f>
        <v>1.436964003</v>
      </c>
      <c r="AT407" s="5">
        <f t="shared" si="409"/>
        <v>1.270524132</v>
      </c>
      <c r="AU407" s="5">
        <f t="shared" si="409"/>
        <v>1.255648706</v>
      </c>
    </row>
    <row r="408" ht="15.75" customHeight="1">
      <c r="A408" s="3">
        <v>44420.0</v>
      </c>
      <c r="B408" s="4">
        <v>0.001324</v>
      </c>
      <c r="C408" s="4">
        <v>0.00126</v>
      </c>
      <c r="D408" s="4">
        <v>-0.006845</v>
      </c>
      <c r="E408" s="4">
        <v>1.94E-4</v>
      </c>
      <c r="F408" s="4">
        <v>0.001939</v>
      </c>
      <c r="G408" s="4">
        <v>0.008055</v>
      </c>
      <c r="H408" s="4">
        <v>0.002314</v>
      </c>
      <c r="I408" s="4">
        <v>-0.010503</v>
      </c>
      <c r="J408" s="4">
        <v>2.16E-4</v>
      </c>
      <c r="K408" s="4">
        <v>-0.002167</v>
      </c>
      <c r="L408" s="4">
        <v>-4.77E-4</v>
      </c>
      <c r="M408" s="4">
        <v>0.002451</v>
      </c>
      <c r="N408" s="4">
        <v>0.001318</v>
      </c>
      <c r="O408" s="4">
        <v>0.009871</v>
      </c>
      <c r="P408" s="4">
        <v>-0.015356</v>
      </c>
      <c r="Q408" s="4">
        <v>-0.024887</v>
      </c>
      <c r="R408" s="4">
        <v>-0.008779</v>
      </c>
      <c r="S408" s="4">
        <v>-0.009451</v>
      </c>
      <c r="T408" s="4">
        <v>0.020535</v>
      </c>
      <c r="U408" s="4">
        <v>0.002534</v>
      </c>
      <c r="V408" s="4">
        <v>0.0169569720755695</v>
      </c>
      <c r="W408" s="4">
        <v>0.0318826421603228</v>
      </c>
      <c r="X408" s="4">
        <v>0.0054844533272677</v>
      </c>
      <c r="Y408" s="4">
        <v>-0.0102264986659882</v>
      </c>
      <c r="Z408" s="4">
        <v>-0.0146535388523372</v>
      </c>
      <c r="AA408" s="4">
        <v>-0.0041307613377726</v>
      </c>
      <c r="AB408" s="4">
        <v>0.0024169151927428</v>
      </c>
      <c r="AC408" s="4">
        <v>-0.0031398305797395</v>
      </c>
      <c r="AD408" s="4">
        <v>0.0063391550356592</v>
      </c>
      <c r="AE408" s="4">
        <v>-0.002747370864641</v>
      </c>
      <c r="AF408" s="4">
        <v>0.0089496626249132</v>
      </c>
      <c r="AG408" s="4">
        <v>-0.0048037245800256</v>
      </c>
      <c r="AH408" s="4">
        <v>-0.0077760422701675</v>
      </c>
      <c r="AI408" s="4">
        <v>-1.820533932475E-4</v>
      </c>
      <c r="AJ408" s="4">
        <v>0.002952</v>
      </c>
      <c r="AK408" s="4">
        <f>Weights!E464</f>
        <v>-0.0005727713717</v>
      </c>
      <c r="AL408" s="5">
        <v>0.00360919213331989</v>
      </c>
      <c r="AM408" s="5">
        <v>0.00196564853226322</v>
      </c>
      <c r="AN408" s="5">
        <v>-0.00160400383031789</v>
      </c>
      <c r="AO408" s="5">
        <v>-0.00241364425192824</v>
      </c>
      <c r="AP408" s="6">
        <f t="shared" si="3"/>
        <v>1.411058199</v>
      </c>
      <c r="AQ408" s="4">
        <f t="shared" si="4"/>
        <v>1.38072264</v>
      </c>
      <c r="AR408" s="7">
        <f t="shared" si="5"/>
        <v>1.363031367</v>
      </c>
      <c r="AS408" s="7">
        <f t="shared" ref="AS408:AU408" si="410">AS407*(1+AM408)</f>
        <v>1.439788569</v>
      </c>
      <c r="AT408" s="5">
        <f t="shared" si="410"/>
        <v>1.268486206</v>
      </c>
      <c r="AU408" s="5">
        <f t="shared" si="410"/>
        <v>1.252618017</v>
      </c>
    </row>
    <row r="409" ht="15.75" customHeight="1">
      <c r="A409" s="3">
        <v>44421.0</v>
      </c>
      <c r="B409" s="4">
        <v>0.005289</v>
      </c>
      <c r="C409" s="4">
        <v>0.004134</v>
      </c>
      <c r="D409" s="4">
        <v>0.001182</v>
      </c>
      <c r="E409" s="4">
        <v>0.009351</v>
      </c>
      <c r="F409" s="4">
        <v>0.006861</v>
      </c>
      <c r="G409" s="4">
        <v>0.005993</v>
      </c>
      <c r="H409" s="4">
        <v>0.004827</v>
      </c>
      <c r="I409" s="4">
        <v>0.0</v>
      </c>
      <c r="J409" s="4">
        <v>0.006057</v>
      </c>
      <c r="K409" s="4">
        <v>-0.003765</v>
      </c>
      <c r="L409" s="4">
        <v>1.91E-4</v>
      </c>
      <c r="M409" s="4">
        <v>-0.00489</v>
      </c>
      <c r="N409" s="4">
        <v>0.001504</v>
      </c>
      <c r="O409" s="4">
        <v>-3.63E-4</v>
      </c>
      <c r="P409" s="4">
        <v>0.008398</v>
      </c>
      <c r="Q409" s="4">
        <v>0.019722</v>
      </c>
      <c r="R409" s="4">
        <v>-0.007554</v>
      </c>
      <c r="S409" s="4">
        <v>0.034675</v>
      </c>
      <c r="T409" s="4">
        <v>0.007426</v>
      </c>
      <c r="U409" s="4">
        <v>0.00237</v>
      </c>
      <c r="V409" s="4">
        <v>-0.00946393548136148</v>
      </c>
      <c r="W409" s="4">
        <v>0.0045774646761127</v>
      </c>
      <c r="X409" s="4">
        <v>-0.0054545381672675</v>
      </c>
      <c r="Y409" s="4">
        <v>0.0174731856814993</v>
      </c>
      <c r="Z409" s="4">
        <v>-0.0068889730432867</v>
      </c>
      <c r="AA409" s="4">
        <v>0.0093327847021074</v>
      </c>
      <c r="AB409" s="4">
        <v>-0.0016074123369772</v>
      </c>
      <c r="AC409" s="4">
        <v>0.0031497201674388</v>
      </c>
      <c r="AD409" s="4">
        <v>0.0188974913087072</v>
      </c>
      <c r="AE409" s="4">
        <v>0.0022338159012003</v>
      </c>
      <c r="AF409" s="4">
        <v>-0.0073047837429907</v>
      </c>
      <c r="AG409" s="4">
        <v>0.0092916297674958</v>
      </c>
      <c r="AH409" s="4">
        <v>-0.0329154032599816</v>
      </c>
      <c r="AI409" s="4">
        <v>0.0027287125317903</v>
      </c>
      <c r="AJ409" s="4">
        <v>0.001607</v>
      </c>
      <c r="AK409" s="4">
        <f>Weights!E465</f>
        <v>0.001563198812</v>
      </c>
      <c r="AL409" s="5">
        <v>0.00206598170788718</v>
      </c>
      <c r="AM409" s="5">
        <v>0.00279006403055603</v>
      </c>
      <c r="AN409" s="5">
        <v>0.00321323020037045</v>
      </c>
      <c r="AO409" s="5">
        <v>0.0027823653695258</v>
      </c>
      <c r="AP409" s="6">
        <f t="shared" si="3"/>
        <v>1.413263963</v>
      </c>
      <c r="AQ409" s="4">
        <f t="shared" si="4"/>
        <v>1.382941461</v>
      </c>
      <c r="AR409" s="7">
        <f t="shared" si="5"/>
        <v>1.365847365</v>
      </c>
      <c r="AS409" s="7">
        <f t="shared" ref="AS409:AU409" si="411">AS408*(1+AM409)</f>
        <v>1.443805671</v>
      </c>
      <c r="AT409" s="5">
        <f t="shared" si="411"/>
        <v>1.272562144</v>
      </c>
      <c r="AU409" s="5">
        <f t="shared" si="411"/>
        <v>1.256103258</v>
      </c>
    </row>
    <row r="410" ht="15.75" customHeight="1">
      <c r="A410" s="3">
        <v>44424.0</v>
      </c>
      <c r="B410" s="4">
        <v>0.002192</v>
      </c>
      <c r="C410" s="4">
        <v>0.001969</v>
      </c>
      <c r="D410" s="4">
        <v>-0.008065</v>
      </c>
      <c r="E410" s="4">
        <v>0.009775</v>
      </c>
      <c r="F410" s="4">
        <v>0.004368</v>
      </c>
      <c r="G410" s="4">
        <v>0.009021</v>
      </c>
      <c r="H410" s="4">
        <v>0.006962</v>
      </c>
      <c r="I410" s="4">
        <v>5.1E-4</v>
      </c>
      <c r="J410" s="4">
        <v>0.005375</v>
      </c>
      <c r="K410" s="4">
        <v>-0.00218</v>
      </c>
      <c r="L410" s="4">
        <v>-0.003628</v>
      </c>
      <c r="M410" s="4">
        <v>-0.004733</v>
      </c>
      <c r="N410" s="4">
        <v>-0.006569</v>
      </c>
      <c r="O410" s="4">
        <v>0.018684</v>
      </c>
      <c r="P410" s="4">
        <v>6.8E-4</v>
      </c>
      <c r="Q410" s="4">
        <v>-0.009101</v>
      </c>
      <c r="R410" s="4">
        <v>-0.033071</v>
      </c>
      <c r="S410" s="4">
        <v>-0.003374</v>
      </c>
      <c r="T410" s="4">
        <v>-0.01498</v>
      </c>
      <c r="U410" s="4">
        <v>0.001734</v>
      </c>
      <c r="V410" s="4">
        <v>0.00636953445341115</v>
      </c>
      <c r="W410" s="4">
        <v>0.0172497903651964</v>
      </c>
      <c r="X410" s="4">
        <v>0.0036563812374825</v>
      </c>
      <c r="Y410" s="4">
        <v>-0.0045545892027073</v>
      </c>
      <c r="Z410" s="4">
        <v>-0.0058359212636661</v>
      </c>
      <c r="AA410" s="4">
        <v>0.0039382004722852</v>
      </c>
      <c r="AB410" s="4">
        <v>0.0</v>
      </c>
      <c r="AC410" s="4">
        <v>0.0094191384093456</v>
      </c>
      <c r="AD410" s="4">
        <v>0.0015457731257488</v>
      </c>
      <c r="AE410" s="4">
        <v>-0.0049034109251127</v>
      </c>
      <c r="AF410" s="4">
        <v>5.254996708965E-4</v>
      </c>
      <c r="AG410" s="4">
        <v>-0.0040646539413982</v>
      </c>
      <c r="AH410" s="4">
        <v>0.0218801218214639</v>
      </c>
      <c r="AI410" s="4">
        <v>0.0</v>
      </c>
      <c r="AJ410" s="4">
        <v>0.002621</v>
      </c>
      <c r="AK410" s="4">
        <f>Weights!E466</f>
        <v>0.0007289006227</v>
      </c>
      <c r="AL410" s="5">
        <v>0.00305433709642266</v>
      </c>
      <c r="AM410" s="5">
        <v>5.65113302797959E-4</v>
      </c>
      <c r="AN410" s="5">
        <v>0.00160157180566078</v>
      </c>
      <c r="AO410" s="5">
        <v>0.0027748510199399</v>
      </c>
      <c r="AP410" s="6">
        <f t="shared" si="3"/>
        <v>1.414294092</v>
      </c>
      <c r="AQ410" s="4">
        <f t="shared" si="4"/>
        <v>1.38656615</v>
      </c>
      <c r="AR410" s="7">
        <f t="shared" si="5"/>
        <v>1.370019123</v>
      </c>
      <c r="AS410" s="7">
        <f t="shared" ref="AS410:AU410" si="412">AS409*(1+AM410)</f>
        <v>1.444621585</v>
      </c>
      <c r="AT410" s="5">
        <f t="shared" si="412"/>
        <v>1.274600244</v>
      </c>
      <c r="AU410" s="5">
        <f t="shared" si="412"/>
        <v>1.259588757</v>
      </c>
    </row>
    <row r="411" ht="15.75" customHeight="1">
      <c r="A411" s="3">
        <v>44425.0</v>
      </c>
      <c r="B411" s="4">
        <v>-0.00175</v>
      </c>
      <c r="C411" s="4">
        <v>0.003573</v>
      </c>
      <c r="D411" s="4">
        <v>0.002776</v>
      </c>
      <c r="E411" s="4">
        <v>-9.49E-4</v>
      </c>
      <c r="F411" s="4">
        <v>-0.003479</v>
      </c>
      <c r="G411" s="4">
        <v>0.009166</v>
      </c>
      <c r="H411" s="4">
        <v>0.001659</v>
      </c>
      <c r="I411" s="4">
        <v>-0.013262</v>
      </c>
      <c r="J411" s="4">
        <v>-0.004063</v>
      </c>
      <c r="K411" s="4">
        <v>-0.008594</v>
      </c>
      <c r="L411" s="4">
        <v>-0.007187</v>
      </c>
      <c r="M411" s="4">
        <v>-0.012981</v>
      </c>
      <c r="N411" s="4">
        <v>-0.008124</v>
      </c>
      <c r="O411" s="4">
        <v>0.001285</v>
      </c>
      <c r="P411" s="4">
        <v>-3.4E-4</v>
      </c>
      <c r="Q411" s="4">
        <v>0.019518</v>
      </c>
      <c r="R411" s="4">
        <v>-0.057818</v>
      </c>
      <c r="S411" s="4">
        <v>-0.004062</v>
      </c>
      <c r="T411" s="4">
        <v>-0.037898</v>
      </c>
      <c r="U411" s="4">
        <v>2.75E-4</v>
      </c>
      <c r="V411" s="4">
        <v>-0.0203434406453623</v>
      </c>
      <c r="W411" s="4">
        <v>0.0535914329574429</v>
      </c>
      <c r="X411" s="4">
        <v>0.0109289462604833</v>
      </c>
      <c r="Y411" s="4">
        <v>0.003075184968647</v>
      </c>
      <c r="Z411" s="4">
        <v>0.013733725806474</v>
      </c>
      <c r="AA411" s="4">
        <v>-6.822768603806E-4</v>
      </c>
      <c r="AB411" s="4">
        <v>0.0048296932449067</v>
      </c>
      <c r="AC411" s="4">
        <v>0.0093312461106973</v>
      </c>
      <c r="AD411" s="4">
        <v>0.0339506737131374</v>
      </c>
      <c r="AE411" s="4">
        <v>0.0164252684844088</v>
      </c>
      <c r="AF411" s="4">
        <v>-0.0596270353700439</v>
      </c>
      <c r="AG411" s="4">
        <v>-0.0028813600708992</v>
      </c>
      <c r="AH411" s="4">
        <v>0.006344183962333</v>
      </c>
      <c r="AI411" s="4">
        <v>-9.073601096964E-4</v>
      </c>
      <c r="AJ411" s="4">
        <v>-0.007061</v>
      </c>
      <c r="AK411" s="4">
        <f>Weights!E467</f>
        <v>-0.002223176272</v>
      </c>
      <c r="AL411" s="5">
        <v>-3.04423767716666E-4</v>
      </c>
      <c r="AM411" s="5">
        <v>3.91270086669504E-4</v>
      </c>
      <c r="AN411" s="5">
        <v>-0.00127915407025636</v>
      </c>
      <c r="AO411" s="5">
        <v>-0.00120325228938489</v>
      </c>
      <c r="AP411" s="6">
        <f t="shared" si="3"/>
        <v>1.411149867</v>
      </c>
      <c r="AQ411" s="4">
        <f t="shared" si="4"/>
        <v>1.376775607</v>
      </c>
      <c r="AR411" s="7">
        <f t="shared" si="5"/>
        <v>1.369602057</v>
      </c>
      <c r="AS411" s="7">
        <f t="shared" ref="AS411:AU411" si="413">AS410*(1+AM411)</f>
        <v>1.445186822</v>
      </c>
      <c r="AT411" s="5">
        <f t="shared" si="413"/>
        <v>1.272969834</v>
      </c>
      <c r="AU411" s="5">
        <f t="shared" si="413"/>
        <v>1.258073154</v>
      </c>
    </row>
    <row r="412" ht="15.75" customHeight="1">
      <c r="A412" s="3">
        <v>44426.0</v>
      </c>
      <c r="B412" s="4">
        <v>-0.006573</v>
      </c>
      <c r="C412" s="4">
        <v>-0.012638</v>
      </c>
      <c r="D412" s="4">
        <v>-0.014831</v>
      </c>
      <c r="E412" s="4">
        <v>-0.01026</v>
      </c>
      <c r="F412" s="4">
        <v>-0.013617</v>
      </c>
      <c r="G412" s="4">
        <v>-0.012704</v>
      </c>
      <c r="H412" s="4">
        <v>-0.010906</v>
      </c>
      <c r="I412" s="4">
        <v>-0.013182</v>
      </c>
      <c r="J412" s="4">
        <v>-0.008582</v>
      </c>
      <c r="K412" s="4">
        <v>-0.00573</v>
      </c>
      <c r="L412" s="4">
        <v>-0.002992</v>
      </c>
      <c r="M412" s="4">
        <v>5.06E-4</v>
      </c>
      <c r="N412" s="4">
        <v>-0.006857</v>
      </c>
      <c r="O412" s="4">
        <v>-0.002174</v>
      </c>
      <c r="P412" s="4">
        <v>-0.033129</v>
      </c>
      <c r="Q412" s="4">
        <v>-0.029279</v>
      </c>
      <c r="R412" s="4">
        <v>-0.023912</v>
      </c>
      <c r="S412" s="4">
        <v>-0.025833</v>
      </c>
      <c r="T412" s="4">
        <v>0.010036</v>
      </c>
      <c r="U412" s="4">
        <v>-0.010793</v>
      </c>
      <c r="V412" s="4">
        <v>0.0133824651466449</v>
      </c>
      <c r="W412" s="4">
        <v>-0.0311267373003957</v>
      </c>
      <c r="X412" s="4">
        <v>0.0</v>
      </c>
      <c r="Y412" s="4">
        <v>0.0136843265258261</v>
      </c>
      <c r="Z412" s="4">
        <v>0.0121272397792564</v>
      </c>
      <c r="AA412" s="4">
        <v>0.004107025099501</v>
      </c>
      <c r="AB412" s="4">
        <v>0.0024032397118511</v>
      </c>
      <c r="AC412" s="4">
        <v>0.0</v>
      </c>
      <c r="AD412" s="4">
        <v>0.0</v>
      </c>
      <c r="AE412" s="4">
        <v>0.0063904889413168</v>
      </c>
      <c r="AF412" s="4">
        <v>-0.034636792672672</v>
      </c>
      <c r="AG412" s="4">
        <v>-0.0084277715275147</v>
      </c>
      <c r="AH412" s="4">
        <v>-0.0236407323376741</v>
      </c>
      <c r="AI412" s="4">
        <v>4.539431809653E-4</v>
      </c>
      <c r="AJ412" s="4">
        <v>-0.010748</v>
      </c>
      <c r="AK412" s="4">
        <f>Weights!E468</f>
        <v>-0.007048368691</v>
      </c>
      <c r="AL412" s="5">
        <v>-0.00761506315243765</v>
      </c>
      <c r="AM412" s="5">
        <v>-0.00742723089615959</v>
      </c>
      <c r="AN412" s="5">
        <v>0.0</v>
      </c>
      <c r="AO412" s="5">
        <v>-2.40940369928721E-4</v>
      </c>
      <c r="AP412" s="6">
        <f t="shared" si="3"/>
        <v>1.401203563</v>
      </c>
      <c r="AQ412" s="4">
        <f t="shared" si="4"/>
        <v>1.361978023</v>
      </c>
      <c r="AR412" s="7">
        <f t="shared" si="5"/>
        <v>1.359172451</v>
      </c>
      <c r="AS412" s="7">
        <f t="shared" ref="AS412:AU412" si="414">AS411*(1+AM412)</f>
        <v>1.434453086</v>
      </c>
      <c r="AT412" s="5">
        <f t="shared" si="414"/>
        <v>1.272969834</v>
      </c>
      <c r="AU412" s="5">
        <f t="shared" si="414"/>
        <v>1.257770034</v>
      </c>
    </row>
    <row r="413" ht="15.75" customHeight="1">
      <c r="A413" s="3">
        <v>44427.0</v>
      </c>
      <c r="B413" s="4">
        <v>-0.010587</v>
      </c>
      <c r="C413" s="4">
        <v>-0.001803</v>
      </c>
      <c r="D413" s="4">
        <v>-0.007627</v>
      </c>
      <c r="E413" s="4">
        <v>0.016829</v>
      </c>
      <c r="F413" s="4">
        <v>0.006372</v>
      </c>
      <c r="G413" s="4">
        <v>0.007788</v>
      </c>
      <c r="H413" s="4">
        <v>0.011793</v>
      </c>
      <c r="I413" s="4">
        <v>-0.022787</v>
      </c>
      <c r="J413" s="4">
        <v>-0.005899</v>
      </c>
      <c r="K413" s="4">
        <v>-0.014039</v>
      </c>
      <c r="L413" s="4">
        <v>-0.016265</v>
      </c>
      <c r="M413" s="4">
        <v>-0.02275</v>
      </c>
      <c r="N413" s="4">
        <v>-0.011124</v>
      </c>
      <c r="O413" s="4">
        <v>0.012376</v>
      </c>
      <c r="P413" s="4">
        <v>-0.006853</v>
      </c>
      <c r="Q413" s="4">
        <v>0.018561</v>
      </c>
      <c r="R413" s="4">
        <v>-0.043093</v>
      </c>
      <c r="S413" s="4">
        <v>-0.011631</v>
      </c>
      <c r="T413" s="4">
        <v>-0.027656</v>
      </c>
      <c r="U413" s="4">
        <v>0.007964</v>
      </c>
      <c r="V413" s="4">
        <v>-0.00136621468009368</v>
      </c>
      <c r="W413" s="4">
        <v>0.0343207406275232</v>
      </c>
      <c r="X413" s="4">
        <v>0.0335690086196627</v>
      </c>
      <c r="Y413" s="4">
        <v>0.0</v>
      </c>
      <c r="Z413" s="4">
        <v>0.0</v>
      </c>
      <c r="AA413" s="4">
        <v>0.0</v>
      </c>
      <c r="AB413" s="4">
        <v>0.0</v>
      </c>
      <c r="AC413" s="4">
        <v>-0.001545650971194</v>
      </c>
      <c r="AD413" s="4">
        <v>0.0073746442165789</v>
      </c>
      <c r="AE413" s="4">
        <v>0.0</v>
      </c>
      <c r="AF413" s="4">
        <v>0.0023147614729028</v>
      </c>
      <c r="AG413" s="4">
        <v>6.073596045157E-4</v>
      </c>
      <c r="AH413" s="4">
        <v>-0.0524616141746487</v>
      </c>
      <c r="AI413" s="4">
        <v>0.0</v>
      </c>
      <c r="AJ413" s="4">
        <v>0.001257</v>
      </c>
      <c r="AK413" s="4">
        <f>Weights!E469</f>
        <v>-0.004837185411</v>
      </c>
      <c r="AL413" s="5">
        <v>-0.0082106452284858</v>
      </c>
      <c r="AM413" s="5">
        <v>-0.00997679426281394</v>
      </c>
      <c r="AN413" s="5">
        <v>-9.6066267536965E-4</v>
      </c>
      <c r="AO413" s="5">
        <v>-0.00120488945352426</v>
      </c>
      <c r="AP413" s="6">
        <f t="shared" si="3"/>
        <v>1.394425681</v>
      </c>
      <c r="AQ413" s="4">
        <f t="shared" si="4"/>
        <v>1.363690029</v>
      </c>
      <c r="AR413" s="7">
        <f t="shared" si="5"/>
        <v>1.348012768</v>
      </c>
      <c r="AS413" s="7">
        <f t="shared" ref="AS413:AU413" si="415">AS412*(1+AM413)</f>
        <v>1.420141843</v>
      </c>
      <c r="AT413" s="5">
        <f t="shared" si="415"/>
        <v>1.271746939</v>
      </c>
      <c r="AU413" s="5">
        <f t="shared" si="415"/>
        <v>1.25625456</v>
      </c>
    </row>
    <row r="414" ht="15.75" customHeight="1">
      <c r="A414" s="3">
        <v>44428.0</v>
      </c>
      <c r="B414" s="4">
        <v>0.008471</v>
      </c>
      <c r="C414" s="4">
        <v>0.002709</v>
      </c>
      <c r="D414" s="4">
        <v>0.00445</v>
      </c>
      <c r="E414" s="4">
        <v>-0.003524</v>
      </c>
      <c r="F414" s="4">
        <v>-0.003869</v>
      </c>
      <c r="G414" s="4">
        <v>0.004872</v>
      </c>
      <c r="H414" s="4">
        <v>6.9E-4</v>
      </c>
      <c r="I414" s="4">
        <v>0.014205</v>
      </c>
      <c r="J414" s="4">
        <v>0.004615</v>
      </c>
      <c r="K414" s="4">
        <v>0.006745</v>
      </c>
      <c r="L414" s="4">
        <v>0.010826</v>
      </c>
      <c r="M414" s="4">
        <v>0.004656</v>
      </c>
      <c r="N414" s="4">
        <v>0.005624</v>
      </c>
      <c r="O414" s="4">
        <v>0.009398</v>
      </c>
      <c r="P414" s="4">
        <v>-0.003008</v>
      </c>
      <c r="Q414" s="4">
        <v>0.02164</v>
      </c>
      <c r="R414" s="4">
        <v>0.011721</v>
      </c>
      <c r="S414" s="4">
        <v>0.004472</v>
      </c>
      <c r="T414" s="4">
        <v>-0.008601</v>
      </c>
      <c r="U414" s="4">
        <v>0.01035</v>
      </c>
      <c r="V414" s="4">
        <v>-0.0264476127049603</v>
      </c>
      <c r="W414" s="4">
        <v>0.0281817523601823</v>
      </c>
      <c r="X414" s="4">
        <v>0.011965608683456</v>
      </c>
      <c r="Y414" s="4">
        <v>-0.0029507252324344</v>
      </c>
      <c r="Z414" s="4">
        <v>0.0049654061148689</v>
      </c>
      <c r="AA414" s="4">
        <v>0.0022340192586878</v>
      </c>
      <c r="AB414" s="4">
        <v>0.004794833852338</v>
      </c>
      <c r="AC414" s="4">
        <v>0.0015480437064523</v>
      </c>
      <c r="AD414" s="4">
        <v>-0.0014641313951899</v>
      </c>
      <c r="AE414" s="4">
        <v>-0.0091964238498198</v>
      </c>
      <c r="AF414" s="4">
        <v>-0.0184756784256903</v>
      </c>
      <c r="AG414" s="4">
        <v>0.0192935591966023</v>
      </c>
      <c r="AH414" s="4">
        <v>0.0017035555439122</v>
      </c>
      <c r="AI414" s="4">
        <v>0.0031761604703706</v>
      </c>
      <c r="AJ414" s="4">
        <v>0.008142</v>
      </c>
      <c r="AK414" s="4">
        <f>Weights!E470</f>
        <v>0.003817628971</v>
      </c>
      <c r="AL414" s="5">
        <v>-0.00371353384829797</v>
      </c>
      <c r="AM414" s="5">
        <v>-7.51401409968433E-4</v>
      </c>
      <c r="AN414" s="5">
        <v>-0.00512816441499164</v>
      </c>
      <c r="AO414" s="5">
        <v>-0.00627259257491741</v>
      </c>
      <c r="AP414" s="6">
        <f t="shared" si="3"/>
        <v>1.399749081</v>
      </c>
      <c r="AQ414" s="4">
        <f t="shared" si="4"/>
        <v>1.374793193</v>
      </c>
      <c r="AR414" s="7">
        <f t="shared" si="5"/>
        <v>1.343006877</v>
      </c>
      <c r="AS414" s="7">
        <f t="shared" ref="AS414:AU414" si="416">AS413*(1+AM414)</f>
        <v>1.419074746</v>
      </c>
      <c r="AT414" s="5">
        <f t="shared" si="416"/>
        <v>1.265225212</v>
      </c>
      <c r="AU414" s="5">
        <f t="shared" si="416"/>
        <v>1.248374587</v>
      </c>
    </row>
    <row r="415" ht="15.75" customHeight="1">
      <c r="A415" s="3">
        <v>44431.0</v>
      </c>
      <c r="B415" s="4">
        <v>0.009726</v>
      </c>
      <c r="C415" s="4">
        <v>-0.001801</v>
      </c>
      <c r="D415" s="4">
        <v>0.012686</v>
      </c>
      <c r="E415" s="4">
        <v>-0.003158</v>
      </c>
      <c r="F415" s="4">
        <v>-0.003531</v>
      </c>
      <c r="G415" s="4">
        <v>-0.004291</v>
      </c>
      <c r="H415" s="4">
        <v>-0.0051</v>
      </c>
      <c r="I415" s="4">
        <v>0.02352</v>
      </c>
      <c r="J415" s="4">
        <v>0.004375</v>
      </c>
      <c r="K415" s="4">
        <v>0.015185</v>
      </c>
      <c r="L415" s="4">
        <v>0.014117</v>
      </c>
      <c r="M415" s="4">
        <v>0.016993</v>
      </c>
      <c r="N415" s="4">
        <v>0.0108</v>
      </c>
      <c r="O415" s="4">
        <v>5.25E-4</v>
      </c>
      <c r="P415" s="4">
        <v>0.025377</v>
      </c>
      <c r="Q415" s="4">
        <v>0.022297</v>
      </c>
      <c r="R415" s="4">
        <v>0.042683</v>
      </c>
      <c r="S415" s="4">
        <v>0.035848</v>
      </c>
      <c r="T415" s="4">
        <v>0.029291</v>
      </c>
      <c r="U415" s="4">
        <v>-0.00563</v>
      </c>
      <c r="V415" s="4">
        <v>0.0201404172708457</v>
      </c>
      <c r="W415" s="4">
        <v>0.0150310165492471</v>
      </c>
      <c r="X415" s="4">
        <v>-0.0050674512034676</v>
      </c>
      <c r="Y415" s="4">
        <v>8.139556708808E-4</v>
      </c>
      <c r="Z415" s="4">
        <v>-0.005692748262613</v>
      </c>
      <c r="AA415" s="4">
        <v>0.001886281747861</v>
      </c>
      <c r="AB415" s="4">
        <v>0.0074231732686018</v>
      </c>
      <c r="AC415" s="4">
        <v>0.0</v>
      </c>
      <c r="AD415" s="4">
        <v>0.0014662782191647</v>
      </c>
      <c r="AE415" s="4">
        <v>0.0019152644317124</v>
      </c>
      <c r="AF415" s="4">
        <v>-0.0061765526668159</v>
      </c>
      <c r="AG415" s="4">
        <v>-0.0291665551733297</v>
      </c>
      <c r="AH415" s="4">
        <v>0.0068027348800603</v>
      </c>
      <c r="AI415" s="4">
        <v>-0.0013568029852435</v>
      </c>
      <c r="AJ415" s="4">
        <v>0.008524</v>
      </c>
      <c r="AK415" s="4">
        <f>Weights!E471</f>
        <v>0.006490143727</v>
      </c>
      <c r="AL415" s="5">
        <v>0.00722199784096688</v>
      </c>
      <c r="AM415" s="5">
        <v>0.0089792925993446</v>
      </c>
      <c r="AN415" s="5">
        <v>-0.0028994227020801</v>
      </c>
      <c r="AO415" s="5">
        <v>-0.00267031347306667</v>
      </c>
      <c r="AP415" s="6">
        <f t="shared" si="3"/>
        <v>1.408833654</v>
      </c>
      <c r="AQ415" s="4">
        <f t="shared" si="4"/>
        <v>1.38651193</v>
      </c>
      <c r="AR415" s="7">
        <f t="shared" si="5"/>
        <v>1.35270607</v>
      </c>
      <c r="AS415" s="7">
        <f t="shared" ref="AS415:AU415" si="417">AS414*(1+AM415)</f>
        <v>1.431817034</v>
      </c>
      <c r="AT415" s="5">
        <f t="shared" si="417"/>
        <v>1.261556789</v>
      </c>
      <c r="AU415" s="5">
        <f t="shared" si="417"/>
        <v>1.245041035</v>
      </c>
    </row>
    <row r="416" ht="15.75" customHeight="1">
      <c r="A416" s="3">
        <v>44432.0</v>
      </c>
      <c r="B416" s="4">
        <v>8.76E-4</v>
      </c>
      <c r="C416" s="4">
        <v>-0.007398</v>
      </c>
      <c r="D416" s="4">
        <v>0.007755</v>
      </c>
      <c r="E416" s="4">
        <v>-0.012417</v>
      </c>
      <c r="F416" s="4">
        <v>-0.007619</v>
      </c>
      <c r="G416" s="4">
        <v>-0.012499</v>
      </c>
      <c r="H416" s="4">
        <v>-0.008105</v>
      </c>
      <c r="I416" s="4">
        <v>0.006971</v>
      </c>
      <c r="J416" s="4">
        <v>-0.003921</v>
      </c>
      <c r="K416" s="4">
        <v>-0.001467</v>
      </c>
      <c r="L416" s="4">
        <v>0.005376</v>
      </c>
      <c r="M416" s="4">
        <v>0.003544</v>
      </c>
      <c r="N416" s="4">
        <v>8.09E-4</v>
      </c>
      <c r="O416" s="4">
        <v>-0.012594</v>
      </c>
      <c r="P416" s="4">
        <v>-0.005192</v>
      </c>
      <c r="Q416" s="4">
        <v>0.011996</v>
      </c>
      <c r="R416" s="4">
        <v>0.029532</v>
      </c>
      <c r="S416" s="4">
        <v>-6.79E-4</v>
      </c>
      <c r="T416" s="4">
        <v>0.02854</v>
      </c>
      <c r="U416" s="4">
        <v>-0.002988</v>
      </c>
      <c r="V416" s="4">
        <v>-0.0091829224317208</v>
      </c>
      <c r="W416" s="4">
        <v>-0.0503774661841227</v>
      </c>
      <c r="X416" s="4">
        <v>-0.0050933711322945</v>
      </c>
      <c r="Y416" s="4">
        <v>0.0039180119849142</v>
      </c>
      <c r="Z416" s="4">
        <v>-0.0049693301008937</v>
      </c>
      <c r="AA416" s="4">
        <v>0.0010268933122092</v>
      </c>
      <c r="AB416" s="4">
        <v>0.0047364291163993</v>
      </c>
      <c r="AC416" s="4">
        <v>-0.001545650971194</v>
      </c>
      <c r="AD416" s="4">
        <v>0.0087846223792578</v>
      </c>
      <c r="AE416" s="4">
        <v>0.0440407092335495</v>
      </c>
      <c r="AF416" s="4">
        <v>-0.0097662406541664</v>
      </c>
      <c r="AG416" s="4">
        <v>-0.0183934848176801</v>
      </c>
      <c r="AH416" s="4">
        <v>0.0278716148186808</v>
      </c>
      <c r="AI416" s="4">
        <v>-9.060283768721E-4</v>
      </c>
      <c r="AJ416" s="4">
        <v>0.001496</v>
      </c>
      <c r="AK416" s="4">
        <f>Weights!E472</f>
        <v>0.00134221121</v>
      </c>
      <c r="AL416" s="5">
        <v>0.00948342390830814</v>
      </c>
      <c r="AM416" s="5">
        <v>0.00968828438539826</v>
      </c>
      <c r="AN416" s="5">
        <v>-0.00387720739233876</v>
      </c>
      <c r="AO416" s="5">
        <v>-0.00438180333784177</v>
      </c>
      <c r="AP416" s="6">
        <f t="shared" si="3"/>
        <v>1.410724606</v>
      </c>
      <c r="AQ416" s="4">
        <f t="shared" si="4"/>
        <v>1.388586152</v>
      </c>
      <c r="AR416" s="7">
        <f t="shared" si="5"/>
        <v>1.365534355</v>
      </c>
      <c r="AS416" s="7">
        <f t="shared" ref="AS416:AU416" si="418">AS415*(1+AM416)</f>
        <v>1.445688884</v>
      </c>
      <c r="AT416" s="5">
        <f t="shared" si="418"/>
        <v>1.256665472</v>
      </c>
      <c r="AU416" s="5">
        <f t="shared" si="418"/>
        <v>1.23958551</v>
      </c>
    </row>
    <row r="417" ht="15.75" customHeight="1">
      <c r="A417" s="3">
        <v>44433.0</v>
      </c>
      <c r="B417" s="4">
        <v>0.003062</v>
      </c>
      <c r="C417" s="4">
        <v>-0.001454</v>
      </c>
      <c r="D417" s="4">
        <v>-0.007695</v>
      </c>
      <c r="E417" s="4">
        <v>-0.004426</v>
      </c>
      <c r="F417" s="4">
        <v>0.001071</v>
      </c>
      <c r="G417" s="4">
        <v>-0.006614</v>
      </c>
      <c r="H417" s="4">
        <v>-0.003562</v>
      </c>
      <c r="I417" s="4">
        <v>0.003333</v>
      </c>
      <c r="J417" s="4">
        <v>-0.003499</v>
      </c>
      <c r="K417" s="4">
        <v>1.47E-4</v>
      </c>
      <c r="L417" s="4">
        <v>0.009167</v>
      </c>
      <c r="M417" s="4">
        <v>0.007568</v>
      </c>
      <c r="N417" s="4">
        <v>-0.002499</v>
      </c>
      <c r="O417" s="4">
        <v>0.011763</v>
      </c>
      <c r="P417" s="4">
        <v>-0.009916</v>
      </c>
      <c r="Q417" s="4">
        <v>-0.024784</v>
      </c>
      <c r="R417" s="4">
        <v>-0.00284</v>
      </c>
      <c r="S417" s="4">
        <v>-0.01177</v>
      </c>
      <c r="T417" s="4">
        <v>-0.026694</v>
      </c>
      <c r="U417" s="4">
        <v>1.58E-4</v>
      </c>
      <c r="V417" s="4">
        <v>-0.0032435159141444</v>
      </c>
      <c r="W417" s="4">
        <v>0.0051979561121804</v>
      </c>
      <c r="X417" s="4">
        <v>0.0</v>
      </c>
      <c r="Y417" s="4">
        <v>-0.0024299356855701</v>
      </c>
      <c r="Z417" s="4">
        <v>0.0020628371000777</v>
      </c>
      <c r="AA417" s="4">
        <v>-6.839197000051E-4</v>
      </c>
      <c r="AB417" s="4">
        <v>0.001048191845048</v>
      </c>
      <c r="AC417" s="4">
        <v>0.0</v>
      </c>
      <c r="AD417" s="4">
        <v>0.0</v>
      </c>
      <c r="AE417" s="4">
        <v>-0.0096478419224453</v>
      </c>
      <c r="AF417" s="4">
        <v>0.0077705312071545</v>
      </c>
      <c r="AG417" s="4">
        <v>0.0149904302659613</v>
      </c>
      <c r="AH417" s="4">
        <v>0.0599835281561174</v>
      </c>
      <c r="AI417" s="4">
        <v>-0.0022661337121986</v>
      </c>
      <c r="AJ417" s="4">
        <v>0.00222</v>
      </c>
      <c r="AK417" s="4">
        <f>Weights!E473</f>
        <v>0.002097191388</v>
      </c>
      <c r="AL417" s="5">
        <v>0.00198586975158043</v>
      </c>
      <c r="AM417" s="5">
        <v>0.0035600791010415</v>
      </c>
      <c r="AN417" s="5">
        <v>0.00648704896620699</v>
      </c>
      <c r="AO417" s="5">
        <v>0.00684600955370595</v>
      </c>
      <c r="AP417" s="6">
        <f t="shared" si="3"/>
        <v>1.413683166</v>
      </c>
      <c r="AQ417" s="4">
        <f t="shared" si="4"/>
        <v>1.391668813</v>
      </c>
      <c r="AR417" s="7">
        <f t="shared" si="5"/>
        <v>1.368246128</v>
      </c>
      <c r="AS417" s="7">
        <f t="shared" ref="AS417:AU417" si="419">AS416*(1+AM417)</f>
        <v>1.450835651</v>
      </c>
      <c r="AT417" s="5">
        <f t="shared" si="419"/>
        <v>1.264817522</v>
      </c>
      <c r="AU417" s="5">
        <f t="shared" si="419"/>
        <v>1.248071725</v>
      </c>
    </row>
    <row r="418" ht="15.75" customHeight="1">
      <c r="A418" s="3">
        <v>44434.0</v>
      </c>
      <c r="B418" s="4">
        <v>-0.005233</v>
      </c>
      <c r="C418" s="4">
        <v>-0.006008</v>
      </c>
      <c r="D418" s="4">
        <v>-0.002386</v>
      </c>
      <c r="E418" s="4">
        <v>-0.003673</v>
      </c>
      <c r="F418" s="4">
        <v>-0.009452</v>
      </c>
      <c r="G418" s="4">
        <v>-0.005338</v>
      </c>
      <c r="H418" s="4">
        <v>-0.001752</v>
      </c>
      <c r="I418" s="4">
        <v>-0.005367</v>
      </c>
      <c r="J418" s="4">
        <v>-0.001755</v>
      </c>
      <c r="K418" s="4">
        <v>-0.029222</v>
      </c>
      <c r="L418" s="4">
        <v>-0.012017</v>
      </c>
      <c r="M418" s="4">
        <v>-0.012018</v>
      </c>
      <c r="N418" s="4">
        <v>-0.010407</v>
      </c>
      <c r="O418" s="4">
        <v>-0.001821</v>
      </c>
      <c r="P418" s="4">
        <v>-0.00492</v>
      </c>
      <c r="Q418" s="4">
        <v>-0.001105</v>
      </c>
      <c r="R418" s="4">
        <v>-0.016235</v>
      </c>
      <c r="S418" s="4">
        <v>-0.007329</v>
      </c>
      <c r="T418" s="4">
        <v>-0.015839</v>
      </c>
      <c r="U418" s="4">
        <v>0.003391</v>
      </c>
      <c r="V418" s="4">
        <v>0.0190608551887454</v>
      </c>
      <c r="W418" s="4">
        <v>0.007756578425659</v>
      </c>
      <c r="X418" s="4">
        <v>0.0016949495251417</v>
      </c>
      <c r="Y418" s="4">
        <v>0.0031740107950184</v>
      </c>
      <c r="Z418" s="4">
        <v>-0.0086673655939211</v>
      </c>
      <c r="AA418" s="4">
        <v>0.0032506235779961</v>
      </c>
      <c r="AB418" s="4">
        <v>0.0094189298523608</v>
      </c>
      <c r="AC418" s="4">
        <v>-0.0046297962203335</v>
      </c>
      <c r="AD418" s="4">
        <v>0.0088366459947004</v>
      </c>
      <c r="AE418" s="4">
        <v>-0.0082485344468474</v>
      </c>
      <c r="AF418" s="4">
        <v>-0.0272834994955509</v>
      </c>
      <c r="AG418" s="4">
        <v>0.0049230470824559</v>
      </c>
      <c r="AH418" s="4">
        <v>0.0209302871446916</v>
      </c>
      <c r="AI418" s="4">
        <v>-0.0027264310906738</v>
      </c>
      <c r="AJ418" s="4">
        <v>-0.005825</v>
      </c>
      <c r="AK418" s="4">
        <f>Weights!E474</f>
        <v>-0.002783047252</v>
      </c>
      <c r="AL418" s="5">
        <v>0.00160069572887744</v>
      </c>
      <c r="AM418" s="5">
        <v>0.0028555589996968</v>
      </c>
      <c r="AN418" s="5">
        <v>0.00483413523769971</v>
      </c>
      <c r="AO418" s="5">
        <v>0.00607095046784778</v>
      </c>
      <c r="AP418" s="6">
        <f t="shared" si="3"/>
        <v>1.409748819</v>
      </c>
      <c r="AQ418" s="4">
        <f t="shared" si="4"/>
        <v>1.383562343</v>
      </c>
      <c r="AR418" s="7">
        <f t="shared" si="5"/>
        <v>1.370436274</v>
      </c>
      <c r="AS418" s="7">
        <f t="shared" ref="AS418:AU418" si="420">AS417*(1+AM418)</f>
        <v>1.454978598</v>
      </c>
      <c r="AT418" s="5">
        <f t="shared" si="420"/>
        <v>1.270931821</v>
      </c>
      <c r="AU418" s="5">
        <f t="shared" si="420"/>
        <v>1.255648706</v>
      </c>
    </row>
    <row r="419" ht="15.75" customHeight="1">
      <c r="A419" s="3">
        <v>44435.0</v>
      </c>
      <c r="B419" s="4">
        <v>0.010083</v>
      </c>
      <c r="C419" s="4">
        <v>0.003114</v>
      </c>
      <c r="D419" s="4">
        <v>0.011561</v>
      </c>
      <c r="E419" s="4">
        <v>0.002005</v>
      </c>
      <c r="F419" s="4">
        <v>0.001981</v>
      </c>
      <c r="G419" s="4">
        <v>-0.002135</v>
      </c>
      <c r="H419" s="4">
        <v>-7.72E-4</v>
      </c>
      <c r="I419" s="4">
        <v>0.013361</v>
      </c>
      <c r="J419" s="4">
        <v>0.005276</v>
      </c>
      <c r="K419" s="4">
        <v>-6.05E-4</v>
      </c>
      <c r="L419" s="4">
        <v>0.002682</v>
      </c>
      <c r="M419" s="4">
        <v>0.008616</v>
      </c>
      <c r="N419" s="4">
        <v>0.014021</v>
      </c>
      <c r="O419" s="4">
        <v>0.00656</v>
      </c>
      <c r="P419" s="4">
        <v>0.027547</v>
      </c>
      <c r="Q419" s="4">
        <v>0.050885</v>
      </c>
      <c r="R419" s="4">
        <v>0.058772</v>
      </c>
      <c r="S419" s="4">
        <v>0.036225</v>
      </c>
      <c r="T419" s="4">
        <v>0.015162</v>
      </c>
      <c r="U419" s="4">
        <v>0.006681</v>
      </c>
      <c r="V419" s="4">
        <v>-0.00228106810520423</v>
      </c>
      <c r="W419" s="4">
        <v>0.0119227074664851</v>
      </c>
      <c r="X419" s="4">
        <v>0.0067681067204949</v>
      </c>
      <c r="Y419" s="4">
        <v>-0.0108168050075917</v>
      </c>
      <c r="Z419" s="4">
        <v>-0.0119127349721459</v>
      </c>
      <c r="AA419" s="4">
        <v>1.705227896389E-4</v>
      </c>
      <c r="AB419" s="4">
        <v>0.0090721858758759</v>
      </c>
      <c r="AC419" s="4">
        <v>-0.0031006779212944</v>
      </c>
      <c r="AD419" s="4">
        <v>0.0014599424041179</v>
      </c>
      <c r="AE419" s="4">
        <v>-7.88563403391E-4</v>
      </c>
      <c r="AF419" s="4">
        <v>0.0237805177327745</v>
      </c>
      <c r="AG419" s="4">
        <v>0.0194734616463534</v>
      </c>
      <c r="AH419" s="4">
        <v>0.0189825175100517</v>
      </c>
      <c r="AI419" s="4">
        <v>-4.552987761228E-4</v>
      </c>
      <c r="AJ419" s="4">
        <v>0.008808</v>
      </c>
      <c r="AK419" s="4">
        <f>Weights!E475</f>
        <v>0.009129124816</v>
      </c>
      <c r="AL419" s="5">
        <v>-0.00532726866274857</v>
      </c>
      <c r="AM419" s="5">
        <v>-0.00668690851817332</v>
      </c>
      <c r="AN419" s="5">
        <v>0.0025656924513826</v>
      </c>
      <c r="AO419" s="5">
        <v>0.00313786100862456</v>
      </c>
      <c r="AP419" s="6">
        <f t="shared" si="3"/>
        <v>1.422618592</v>
      </c>
      <c r="AQ419" s="4">
        <f t="shared" si="4"/>
        <v>1.39574876</v>
      </c>
      <c r="AR419" s="7">
        <f t="shared" si="5"/>
        <v>1.363135592</v>
      </c>
      <c r="AS419" s="7">
        <f t="shared" ref="AS419:AU419" si="421">AS418*(1+AM419)</f>
        <v>1.445249289</v>
      </c>
      <c r="AT419" s="5">
        <f t="shared" si="421"/>
        <v>1.274192641</v>
      </c>
      <c r="AU419" s="5">
        <f t="shared" si="421"/>
        <v>1.259588757</v>
      </c>
    </row>
    <row r="420" ht="15.75" customHeight="1">
      <c r="A420" s="3">
        <v>44438.0</v>
      </c>
      <c r="B420" s="4">
        <v>0.00651</v>
      </c>
      <c r="C420" s="4">
        <v>0.0</v>
      </c>
      <c r="D420" s="4">
        <v>5.91E-4</v>
      </c>
      <c r="E420" s="4">
        <v>0.006841</v>
      </c>
      <c r="F420" s="4">
        <v>0.009524</v>
      </c>
      <c r="G420" s="4">
        <v>0.004221</v>
      </c>
      <c r="H420" s="4">
        <v>0.004357</v>
      </c>
      <c r="I420" s="4">
        <v>0.002282</v>
      </c>
      <c r="J420" s="4">
        <v>0.002843</v>
      </c>
      <c r="K420" s="4">
        <v>-0.006357</v>
      </c>
      <c r="L420" s="4">
        <v>-0.006591</v>
      </c>
      <c r="M420" s="4">
        <v>-0.018593</v>
      </c>
      <c r="N420" s="4">
        <v>-0.007298</v>
      </c>
      <c r="O420" s="4">
        <v>0.007494</v>
      </c>
      <c r="P420" s="4">
        <v>-0.011686</v>
      </c>
      <c r="Q420" s="4">
        <v>-0.041053</v>
      </c>
      <c r="R420" s="4">
        <v>0.001914</v>
      </c>
      <c r="S420" s="4">
        <v>-0.012915</v>
      </c>
      <c r="T420" s="4">
        <v>0.009929</v>
      </c>
      <c r="U420" s="4">
        <v>0.00609</v>
      </c>
      <c r="V420" s="4">
        <v>0.00457245474195544</v>
      </c>
      <c r="W420" s="4">
        <v>0.0237136409185612</v>
      </c>
      <c r="X420" s="4">
        <v>0.0033614126650549</v>
      </c>
      <c r="Y420" s="4">
        <v>0.005207251517461</v>
      </c>
      <c r="Z420" s="4">
        <v>0.0155957469815131</v>
      </c>
      <c r="AA420" s="4">
        <v>0.0104005914035407</v>
      </c>
      <c r="AB420" s="4">
        <v>0.0025684628985669</v>
      </c>
      <c r="AC420" s="4">
        <v>-0.006220854075989</v>
      </c>
      <c r="AD420" s="4">
        <v>-0.0072887422643607</v>
      </c>
      <c r="AE420" s="4">
        <v>-0.0102612659484059</v>
      </c>
      <c r="AF420" s="4">
        <v>0.0020845533967657</v>
      </c>
      <c r="AG420" s="4">
        <v>0.0205429002181161</v>
      </c>
      <c r="AH420" s="4">
        <v>-0.0096870427497655</v>
      </c>
      <c r="AI420" s="4">
        <v>0.0</v>
      </c>
      <c r="AJ420" s="4">
        <v>0.004307</v>
      </c>
      <c r="AK420" s="4">
        <f>Weights!E476</f>
        <v>0.0002753239921</v>
      </c>
      <c r="AL420" s="5">
        <v>0.00864577715709935</v>
      </c>
      <c r="AM420" s="5">
        <v>0.0107709107232474</v>
      </c>
      <c r="AN420" s="5">
        <v>0.00173887264274341</v>
      </c>
      <c r="AO420" s="5">
        <v>0.00216544380468164</v>
      </c>
      <c r="AP420" s="6">
        <f t="shared" si="3"/>
        <v>1.423010273</v>
      </c>
      <c r="AQ420" s="4">
        <f t="shared" si="4"/>
        <v>1.40176025</v>
      </c>
      <c r="AR420" s="7">
        <f t="shared" si="5"/>
        <v>1.374920958</v>
      </c>
      <c r="AS420" s="7">
        <f t="shared" ref="AS420:AU420" si="422">AS419*(1+AM420)</f>
        <v>1.46081594</v>
      </c>
      <c r="AT420" s="5">
        <f t="shared" si="422"/>
        <v>1.2764083</v>
      </c>
      <c r="AU420" s="5">
        <f t="shared" si="422"/>
        <v>1.262316326</v>
      </c>
    </row>
    <row r="421" ht="15.75" customHeight="1">
      <c r="A421" s="3">
        <v>44439.0</v>
      </c>
      <c r="B421" s="4">
        <v>-0.006468</v>
      </c>
      <c r="C421" s="4">
        <v>0.004199</v>
      </c>
      <c r="D421" s="4">
        <v>0.003939</v>
      </c>
      <c r="E421" s="4">
        <v>0.0025</v>
      </c>
      <c r="F421" s="4">
        <v>0.002314</v>
      </c>
      <c r="G421" s="4">
        <v>-0.003052</v>
      </c>
      <c r="H421" s="4">
        <v>-0.003778</v>
      </c>
      <c r="I421" s="4">
        <v>-0.005565</v>
      </c>
      <c r="J421" s="4">
        <v>-8.72E-4</v>
      </c>
      <c r="K421" s="4">
        <v>-0.010815</v>
      </c>
      <c r="L421" s="4">
        <v>-0.011923</v>
      </c>
      <c r="M421" s="4">
        <v>-0.00256</v>
      </c>
      <c r="N421" s="4">
        <v>-0.004837</v>
      </c>
      <c r="O421" s="4">
        <v>0.005085</v>
      </c>
      <c r="P421" s="4">
        <v>0.008346</v>
      </c>
      <c r="Q421" s="4">
        <v>0.040615</v>
      </c>
      <c r="R421" s="4">
        <v>-0.006823</v>
      </c>
      <c r="S421" s="4">
        <v>0.016016</v>
      </c>
      <c r="T421" s="4">
        <v>-0.028751</v>
      </c>
      <c r="U421" s="4">
        <v>0.002716</v>
      </c>
      <c r="V421" s="4">
        <v>4.55086349546274E-4</v>
      </c>
      <c r="W421" s="4">
        <v>-0.0093239641441247</v>
      </c>
      <c r="X421" s="4">
        <v>0.0134002798888177</v>
      </c>
      <c r="Y421" s="4">
        <v>0.0031820578935983</v>
      </c>
      <c r="Z421" s="4">
        <v>-0.0093661730371163</v>
      </c>
      <c r="AA421" s="4">
        <v>-0.0059060905913239</v>
      </c>
      <c r="AB421" s="4">
        <v>0.0120421531751451</v>
      </c>
      <c r="AC421" s="4">
        <v>-0.0093896578017053</v>
      </c>
      <c r="AD421" s="4">
        <v>0.0</v>
      </c>
      <c r="AE421" s="4">
        <v>-1.449419379208E-4</v>
      </c>
      <c r="AF421" s="4">
        <v>0.0038633639899281</v>
      </c>
      <c r="AG421" s="4">
        <v>0.0022365535405122</v>
      </c>
      <c r="AH421" s="4">
        <v>0.0285929177662205</v>
      </c>
      <c r="AI421" s="4">
        <v>4.555061675233E-4</v>
      </c>
      <c r="AJ421" s="4">
        <v>-0.001349</v>
      </c>
      <c r="AK421" s="4">
        <f>Weights!E477</f>
        <v>0.001108310948</v>
      </c>
      <c r="AL421" s="5">
        <v>0.00295831521150446</v>
      </c>
      <c r="AM421" s="5">
        <v>0.00378137667310385</v>
      </c>
      <c r="AN421" s="5">
        <v>-0.00450029205938073</v>
      </c>
      <c r="AO421" s="5">
        <v>-0.00432152957990783</v>
      </c>
      <c r="AP421" s="6">
        <f t="shared" si="3"/>
        <v>1.42458741</v>
      </c>
      <c r="AQ421" s="4">
        <f t="shared" si="4"/>
        <v>1.399869275</v>
      </c>
      <c r="AR421" s="7">
        <f t="shared" si="5"/>
        <v>1.378988408</v>
      </c>
      <c r="AS421" s="7">
        <f t="shared" ref="AS421:AU421" si="423">AS420*(1+AM421)</f>
        <v>1.466339835</v>
      </c>
      <c r="AT421" s="5">
        <f t="shared" si="423"/>
        <v>1.27066409</v>
      </c>
      <c r="AU421" s="5">
        <f t="shared" si="423"/>
        <v>1.256861189</v>
      </c>
    </row>
    <row r="422" ht="15.75" customHeight="1">
      <c r="A422" s="3">
        <v>44440.0</v>
      </c>
      <c r="B422" s="4">
        <v>0.00217</v>
      </c>
      <c r="C422" s="4">
        <v>-0.001091</v>
      </c>
      <c r="D422" s="4">
        <v>3.92E-4</v>
      </c>
      <c r="E422" s="4">
        <v>0.009719</v>
      </c>
      <c r="F422" s="4">
        <v>0.006748</v>
      </c>
      <c r="G422" s="4">
        <v>0.003523</v>
      </c>
      <c r="H422" s="4">
        <v>0.010183</v>
      </c>
      <c r="I422" s="4">
        <v>0.00407</v>
      </c>
      <c r="J422" s="4">
        <v>0.001964</v>
      </c>
      <c r="K422" s="4">
        <v>0.002002</v>
      </c>
      <c r="L422" s="4">
        <v>-0.001654</v>
      </c>
      <c r="M422" s="4">
        <v>-0.00154</v>
      </c>
      <c r="N422" s="4">
        <v>0.001166</v>
      </c>
      <c r="O422" s="4">
        <v>-0.008467</v>
      </c>
      <c r="P422" s="4">
        <v>-0.001897</v>
      </c>
      <c r="Q422" s="4">
        <v>-0.022152</v>
      </c>
      <c r="R422" s="4">
        <v>-0.01374</v>
      </c>
      <c r="S422" s="4">
        <v>-0.006217</v>
      </c>
      <c r="T422" s="4">
        <v>-0.011058</v>
      </c>
      <c r="U422" s="4">
        <v>0.005882</v>
      </c>
      <c r="V422" s="4">
        <v>0.0268427758341485</v>
      </c>
      <c r="W422" s="4">
        <v>-0.0032352063647064</v>
      </c>
      <c r="X422" s="4">
        <v>0.0</v>
      </c>
      <c r="Y422" s="4">
        <v>-0.0078195036269799</v>
      </c>
      <c r="Z422" s="4">
        <v>-0.0015391296941539</v>
      </c>
      <c r="AA422" s="4">
        <v>0.0044132722684953</v>
      </c>
      <c r="AB422" s="4">
        <v>0.0</v>
      </c>
      <c r="AC422" s="4">
        <v>0.0</v>
      </c>
      <c r="AD422" s="4">
        <v>0.0</v>
      </c>
      <c r="AE422" s="4">
        <v>0.0023929738247205</v>
      </c>
      <c r="AF422" s="4">
        <v>0.0026642097696369</v>
      </c>
      <c r="AG422" s="4">
        <v>-0.0091612412591027</v>
      </c>
      <c r="AH422" s="4">
        <v>-0.0512069744498823</v>
      </c>
      <c r="AI422" s="4">
        <v>0.0031889843599388</v>
      </c>
      <c r="AJ422" s="4">
        <v>3.12E-4</v>
      </c>
      <c r="AK422" s="4">
        <f>Weights!E478</f>
        <v>-0.002047644836</v>
      </c>
      <c r="AL422" s="5">
        <v>-0.00151258490051253</v>
      </c>
      <c r="AM422" s="5">
        <v>-0.00188360038673152</v>
      </c>
      <c r="AN422" s="5">
        <v>0.00581190410464405</v>
      </c>
      <c r="AO422" s="5">
        <v>0.00651053218468233</v>
      </c>
      <c r="AP422" s="6">
        <f t="shared" si="3"/>
        <v>1.421670361</v>
      </c>
      <c r="AQ422" s="4">
        <f t="shared" si="4"/>
        <v>1.400306034</v>
      </c>
      <c r="AR422" s="7">
        <f t="shared" si="5"/>
        <v>1.376902571</v>
      </c>
      <c r="AS422" s="7">
        <f t="shared" ref="AS422:AU422" si="424">AS421*(1+AM422)</f>
        <v>1.463577837</v>
      </c>
      <c r="AT422" s="5">
        <f t="shared" si="424"/>
        <v>1.278049068</v>
      </c>
      <c r="AU422" s="5">
        <f t="shared" si="424"/>
        <v>1.265044024</v>
      </c>
    </row>
    <row r="423" ht="15.75" customHeight="1">
      <c r="A423" s="3">
        <v>44441.0</v>
      </c>
      <c r="B423" s="4">
        <v>0.009528</v>
      </c>
      <c r="C423" s="4">
        <v>0.006371</v>
      </c>
      <c r="D423" s="4">
        <v>0.001176</v>
      </c>
      <c r="E423" s="4">
        <v>7.28E-4</v>
      </c>
      <c r="F423" s="4">
        <v>0.001411</v>
      </c>
      <c r="G423" s="4">
        <v>0.006849</v>
      </c>
      <c r="H423" s="4">
        <v>7.65E-4</v>
      </c>
      <c r="I423" s="4">
        <v>0.008867</v>
      </c>
      <c r="J423" s="4">
        <v>0.008059</v>
      </c>
      <c r="K423" s="4">
        <v>0.010758</v>
      </c>
      <c r="L423" s="4">
        <v>0.007018</v>
      </c>
      <c r="M423" s="4">
        <v>0.003085</v>
      </c>
      <c r="N423" s="4">
        <v>0.004272</v>
      </c>
      <c r="O423" s="4">
        <v>0.021974</v>
      </c>
      <c r="P423" s="4">
        <v>0.01434</v>
      </c>
      <c r="Q423" s="4">
        <v>-0.028047</v>
      </c>
      <c r="R423" s="4">
        <v>0.010588</v>
      </c>
      <c r="S423" s="4">
        <v>0.004915</v>
      </c>
      <c r="T423" s="4">
        <v>-0.008429</v>
      </c>
      <c r="U423" s="4">
        <v>0.00654</v>
      </c>
      <c r="V423" s="4">
        <v>0.0159502873736308</v>
      </c>
      <c r="W423" s="4">
        <v>-0.0193271750197904</v>
      </c>
      <c r="X423" s="4">
        <v>-0.0082101337737168</v>
      </c>
      <c r="Y423" s="4">
        <v>-0.0026020572538052</v>
      </c>
      <c r="Z423" s="4">
        <v>-0.0116716700226023</v>
      </c>
      <c r="AA423" s="4">
        <v>-3.377555761627E-4</v>
      </c>
      <c r="AB423" s="4">
        <v>7.594081816655E-4</v>
      </c>
      <c r="AC423" s="4">
        <v>-0.0094487351710008</v>
      </c>
      <c r="AD423" s="4">
        <v>0.0</v>
      </c>
      <c r="AE423" s="4">
        <v>-0.0045574850250225</v>
      </c>
      <c r="AF423" s="4">
        <v>-0.0298199440588896</v>
      </c>
      <c r="AG423" s="4">
        <v>0.0122095312716388</v>
      </c>
      <c r="AH423" s="4">
        <v>-0.0308404622232024</v>
      </c>
      <c r="AI423" s="4">
        <v>0.0013628453963474</v>
      </c>
      <c r="AJ423" s="4">
        <v>0.002843</v>
      </c>
      <c r="AK423" s="4">
        <f>Weights!E479</f>
        <v>-0.0001174658654</v>
      </c>
      <c r="AL423" s="5">
        <v>0.00325708182954942</v>
      </c>
      <c r="AM423" s="5">
        <v>0.00175835173841565</v>
      </c>
      <c r="AN423" s="5">
        <v>-0.00224712107192226</v>
      </c>
      <c r="AO423" s="5">
        <v>-0.00191669730767662</v>
      </c>
      <c r="AP423" s="6">
        <f t="shared" si="3"/>
        <v>1.421503364</v>
      </c>
      <c r="AQ423" s="4">
        <f t="shared" si="4"/>
        <v>1.404287104</v>
      </c>
      <c r="AR423" s="7">
        <f t="shared" si="5"/>
        <v>1.381387255</v>
      </c>
      <c r="AS423" s="7">
        <f t="shared" ref="AS423:AU423" si="425">AS422*(1+AM423)</f>
        <v>1.466151322</v>
      </c>
      <c r="AT423" s="5">
        <f t="shared" si="425"/>
        <v>1.275177137</v>
      </c>
      <c r="AU423" s="5">
        <f t="shared" si="425"/>
        <v>1.262619317</v>
      </c>
    </row>
    <row r="424" ht="15.75" customHeight="1">
      <c r="A424" s="3">
        <v>44442.0</v>
      </c>
      <c r="B424" s="4">
        <v>-8.58E-4</v>
      </c>
      <c r="C424" s="4">
        <v>0.002532</v>
      </c>
      <c r="D424" s="4">
        <v>-0.007246</v>
      </c>
      <c r="E424" s="4">
        <v>8.92E-4</v>
      </c>
      <c r="F424" s="4">
        <v>-7.05E-4</v>
      </c>
      <c r="G424" s="4">
        <v>6.29E-4</v>
      </c>
      <c r="H424" s="4">
        <v>6.95E-4</v>
      </c>
      <c r="I424" s="4">
        <v>0.005274</v>
      </c>
      <c r="J424" s="4">
        <v>-0.003241</v>
      </c>
      <c r="K424" s="4">
        <v>9.12E-4</v>
      </c>
      <c r="L424" s="4">
        <v>6.78E-4</v>
      </c>
      <c r="M424" s="4">
        <v>-5.13E-4</v>
      </c>
      <c r="N424" s="4">
        <v>-9.67E-4</v>
      </c>
      <c r="O424" s="4">
        <v>0.004755</v>
      </c>
      <c r="P424" s="4">
        <v>0.016352</v>
      </c>
      <c r="Q424" s="4">
        <v>0.017758</v>
      </c>
      <c r="R424" s="4">
        <v>-0.003584</v>
      </c>
      <c r="S424" s="4">
        <v>0.036016</v>
      </c>
      <c r="T424" s="4">
        <v>-0.01067</v>
      </c>
      <c r="U424" s="4">
        <v>0.003516</v>
      </c>
      <c r="V424" s="4">
        <v>-0.0174444302618941</v>
      </c>
      <c r="W424" s="4">
        <v>-0.0045134386962043</v>
      </c>
      <c r="X424" s="4">
        <v>0.0099337606167857</v>
      </c>
      <c r="Y424" s="4">
        <v>-0.0032053035674746</v>
      </c>
      <c r="Z424" s="4">
        <v>4.458673490093E-4</v>
      </c>
      <c r="AA424" s="4">
        <v>0.002704997161016</v>
      </c>
      <c r="AB424" s="4">
        <v>-0.0010119305498283</v>
      </c>
      <c r="AC424" s="4">
        <v>0.0063593151539786</v>
      </c>
      <c r="AD424" s="4">
        <v>0.0192020291533692</v>
      </c>
      <c r="AE424" s="4">
        <v>0.0047962317764682</v>
      </c>
      <c r="AF424" s="4">
        <v>-0.0121727981548626</v>
      </c>
      <c r="AG424" s="4">
        <v>0.0126479645204427</v>
      </c>
      <c r="AH424" s="4">
        <v>7.95582143453E-4</v>
      </c>
      <c r="AI424" s="4">
        <v>0.0</v>
      </c>
      <c r="AJ424" s="4">
        <v>-3.35E-4</v>
      </c>
      <c r="AK424" s="4">
        <f>Weights!E480</f>
        <v>0.002042096029</v>
      </c>
      <c r="AL424" s="5">
        <v>0.00317099758836958</v>
      </c>
      <c r="AM424" s="5">
        <v>0.00338209162528024</v>
      </c>
      <c r="AN424" s="5">
        <v>-0.0032173248465378</v>
      </c>
      <c r="AO424" s="5">
        <v>-0.00168030524658424</v>
      </c>
      <c r="AP424" s="6">
        <f t="shared" si="3"/>
        <v>1.42440621</v>
      </c>
      <c r="AQ424" s="4">
        <f t="shared" si="4"/>
        <v>1.403816668</v>
      </c>
      <c r="AR424" s="7">
        <f t="shared" si="5"/>
        <v>1.385767631</v>
      </c>
      <c r="AS424" s="7">
        <f t="shared" ref="AS424:AU424" si="426">AS423*(1+AM424)</f>
        <v>1.47110998</v>
      </c>
      <c r="AT424" s="5">
        <f t="shared" si="426"/>
        <v>1.271074478</v>
      </c>
      <c r="AU424" s="5">
        <f t="shared" si="426"/>
        <v>1.260497732</v>
      </c>
    </row>
    <row r="425" ht="15.75" customHeight="1">
      <c r="A425" s="3">
        <v>44446.0</v>
      </c>
      <c r="B425" s="4">
        <v>-0.002147</v>
      </c>
      <c r="C425" s="4">
        <v>-0.011005</v>
      </c>
      <c r="D425" s="4">
        <v>-0.018939</v>
      </c>
      <c r="E425" s="4">
        <v>-0.016296</v>
      </c>
      <c r="F425" s="4">
        <v>-0.018685</v>
      </c>
      <c r="G425" s="4">
        <v>-0.015539</v>
      </c>
      <c r="H425" s="4">
        <v>-0.003749</v>
      </c>
      <c r="I425" s="4">
        <v>-0.001749</v>
      </c>
      <c r="J425" s="4">
        <v>-0.019077</v>
      </c>
      <c r="K425" s="4">
        <v>-0.003494</v>
      </c>
      <c r="L425" s="4">
        <v>-0.006771</v>
      </c>
      <c r="M425" s="4">
        <v>-0.002051</v>
      </c>
      <c r="N425" s="4">
        <v>-0.010451</v>
      </c>
      <c r="O425" s="4">
        <v>7.1E-4</v>
      </c>
      <c r="P425" s="4">
        <v>-0.023295</v>
      </c>
      <c r="Q425" s="4">
        <v>-0.027263</v>
      </c>
      <c r="R425" s="4">
        <v>0.006087</v>
      </c>
      <c r="S425" s="4">
        <v>-0.029614</v>
      </c>
      <c r="T425" s="4">
        <v>0.006225</v>
      </c>
      <c r="U425" s="4">
        <v>-0.015311</v>
      </c>
      <c r="V425" s="4">
        <v>0.0204172243245484</v>
      </c>
      <c r="W425" s="4">
        <v>-0.022064271169883</v>
      </c>
      <c r="X425" s="4">
        <v>0.0032786484490006</v>
      </c>
      <c r="Y425" s="4">
        <v>0.005458691431792</v>
      </c>
      <c r="Z425" s="4">
        <v>-3.34098823815E-4</v>
      </c>
      <c r="AA425" s="4">
        <v>-5.059458613675E-4</v>
      </c>
      <c r="AB425" s="4">
        <v>0.0027853956512344</v>
      </c>
      <c r="AC425" s="4">
        <v>0.0031594582392069</v>
      </c>
      <c r="AD425" s="4">
        <v>-0.0217389034913586</v>
      </c>
      <c r="AE425" s="4">
        <v>-0.0055687447445924</v>
      </c>
      <c r="AF425" s="4">
        <v>0.0070855843065171</v>
      </c>
      <c r="AG425" s="4">
        <v>-0.0217416980399005</v>
      </c>
      <c r="AH425" s="4">
        <v>0.0119236768692949</v>
      </c>
      <c r="AI425" s="4">
        <v>-4.538288186655E-4</v>
      </c>
      <c r="AJ425" s="4">
        <v>-0.003395</v>
      </c>
      <c r="AK425" s="4">
        <f>Weights!E481</f>
        <v>-0.005479177372</v>
      </c>
      <c r="AL425" s="5">
        <v>0.0013547032058454</v>
      </c>
      <c r="AM425" s="5">
        <v>-3.41280979817115E-4</v>
      </c>
      <c r="AN425" s="5">
        <v>0.00677869654251761</v>
      </c>
      <c r="AO425" s="5">
        <v>0.00553045661708218</v>
      </c>
      <c r="AP425" s="6">
        <f t="shared" si="3"/>
        <v>1.416601636</v>
      </c>
      <c r="AQ425" s="4">
        <f t="shared" si="4"/>
        <v>1.399050711</v>
      </c>
      <c r="AR425" s="7">
        <f t="shared" si="5"/>
        <v>1.387644935</v>
      </c>
      <c r="AS425" s="7">
        <f t="shared" ref="AS425:AU425" si="427">AS424*(1+AM425)</f>
        <v>1.470607918</v>
      </c>
      <c r="AT425" s="5">
        <f t="shared" si="427"/>
        <v>1.279690706</v>
      </c>
      <c r="AU425" s="5">
        <f t="shared" si="427"/>
        <v>1.26746886</v>
      </c>
    </row>
    <row r="426" ht="15.75" customHeight="1">
      <c r="A426" s="3">
        <v>44447.0</v>
      </c>
      <c r="B426" s="4">
        <v>0.015491</v>
      </c>
      <c r="C426" s="4">
        <v>0.001642</v>
      </c>
      <c r="D426" s="4">
        <v>-0.010054</v>
      </c>
      <c r="E426" s="4">
        <v>0.014172</v>
      </c>
      <c r="F426" s="4">
        <v>0.013472</v>
      </c>
      <c r="G426" s="4">
        <v>-0.002437</v>
      </c>
      <c r="H426" s="4">
        <v>0.007595</v>
      </c>
      <c r="I426" s="4">
        <v>0.011261</v>
      </c>
      <c r="J426" s="4">
        <v>0.021436</v>
      </c>
      <c r="K426" s="4">
        <v>-0.008841</v>
      </c>
      <c r="L426" s="4">
        <v>-0.007207</v>
      </c>
      <c r="M426" s="4">
        <v>-0.003597</v>
      </c>
      <c r="N426" s="4">
        <v>0.012321</v>
      </c>
      <c r="O426" s="4">
        <v>0.004561</v>
      </c>
      <c r="P426" s="4">
        <v>-0.002917</v>
      </c>
      <c r="Q426" s="4">
        <v>-0.012332</v>
      </c>
      <c r="R426" s="4">
        <v>-0.054731</v>
      </c>
      <c r="S426" s="4">
        <v>0.003096</v>
      </c>
      <c r="T426" s="4">
        <v>-0.022482</v>
      </c>
      <c r="U426" s="4">
        <v>0.013151</v>
      </c>
      <c r="V426" s="4">
        <v>-0.015223894598096</v>
      </c>
      <c r="W426" s="4">
        <v>-0.0996394867251205</v>
      </c>
      <c r="X426" s="4">
        <v>-0.0016339140510146</v>
      </c>
      <c r="Y426" s="4">
        <v>0.0156196798207755</v>
      </c>
      <c r="Z426" s="4">
        <v>0.0115851489775951</v>
      </c>
      <c r="AA426" s="4">
        <v>0.0069163454863292</v>
      </c>
      <c r="AB426" s="4">
        <v>-0.0010099103678495</v>
      </c>
      <c r="AC426" s="4">
        <v>-0.0015748600837194</v>
      </c>
      <c r="AD426" s="4">
        <v>-0.0281483535475424</v>
      </c>
      <c r="AE426" s="4">
        <v>0.0147734878730874</v>
      </c>
      <c r="AF426" s="4">
        <v>0.0</v>
      </c>
      <c r="AG426" s="4">
        <v>-0.0042558264651725</v>
      </c>
      <c r="AH426" s="4">
        <v>-0.0243519387850466</v>
      </c>
      <c r="AI426" s="4">
        <v>9.073751991983E-4</v>
      </c>
      <c r="AJ426" s="4">
        <v>-0.001319</v>
      </c>
      <c r="AK426" s="4">
        <f>Weights!E482</f>
        <v>-0.002800745525</v>
      </c>
      <c r="AL426" s="5">
        <v>-0.00255540177170887</v>
      </c>
      <c r="AM426" s="5">
        <v>-0.00431094365185857</v>
      </c>
      <c r="AN426" s="5">
        <v>0.00609146529667192</v>
      </c>
      <c r="AO426" s="5">
        <v>0.00478227020621813</v>
      </c>
      <c r="AP426" s="6">
        <f t="shared" si="3"/>
        <v>1.412634095</v>
      </c>
      <c r="AQ426" s="4">
        <f t="shared" si="4"/>
        <v>1.397205363</v>
      </c>
      <c r="AR426" s="7">
        <f t="shared" si="5"/>
        <v>1.384098944</v>
      </c>
      <c r="AS426" s="7">
        <f t="shared" ref="AS426:AU426" si="428">AS425*(1+AM426)</f>
        <v>1.46426821</v>
      </c>
      <c r="AT426" s="5">
        <f t="shared" si="428"/>
        <v>1.287485898</v>
      </c>
      <c r="AU426" s="5">
        <f t="shared" si="428"/>
        <v>1.273530238</v>
      </c>
    </row>
    <row r="427" ht="15.75" customHeight="1">
      <c r="A427" s="3">
        <v>44448.0</v>
      </c>
      <c r="B427" s="4">
        <v>-0.003643</v>
      </c>
      <c r="C427" s="4">
        <v>-0.008559</v>
      </c>
      <c r="D427" s="4">
        <v>-0.006297</v>
      </c>
      <c r="E427" s="4">
        <v>-0.006317</v>
      </c>
      <c r="F427" s="4">
        <v>-0.009926</v>
      </c>
      <c r="G427" s="4">
        <v>-0.02228</v>
      </c>
      <c r="H427" s="4">
        <v>-0.004219</v>
      </c>
      <c r="I427" s="4">
        <v>-0.008166</v>
      </c>
      <c r="J427" s="4">
        <v>-0.005409</v>
      </c>
      <c r="K427" s="4">
        <v>0.002615</v>
      </c>
      <c r="L427" s="4">
        <v>0.006769</v>
      </c>
      <c r="M427" s="4">
        <v>0.003094</v>
      </c>
      <c r="N427" s="4">
        <v>1.93E-4</v>
      </c>
      <c r="O427" s="4">
        <v>-0.005986</v>
      </c>
      <c r="P427" s="4">
        <v>-0.004343</v>
      </c>
      <c r="Q427" s="4">
        <v>0.003151</v>
      </c>
      <c r="R427" s="4">
        <v>0.012802</v>
      </c>
      <c r="S427" s="4">
        <v>-0.006834</v>
      </c>
      <c r="T427" s="4">
        <v>0.003477</v>
      </c>
      <c r="U427" s="4">
        <v>0.002062</v>
      </c>
      <c r="V427" s="4">
        <v>-0.0181094963668253</v>
      </c>
      <c r="W427" s="4">
        <v>-0.0149383052576551</v>
      </c>
      <c r="X427" s="4">
        <v>0.0</v>
      </c>
      <c r="Y427" s="4">
        <v>-0.0052729294117088</v>
      </c>
      <c r="Z427" s="4">
        <v>-0.0037440237779109</v>
      </c>
      <c r="AA427" s="4">
        <v>0.0078739771855997</v>
      </c>
      <c r="AB427" s="4">
        <v>-0.0015166287886163</v>
      </c>
      <c r="AC427" s="4">
        <v>0.0</v>
      </c>
      <c r="AD427" s="4">
        <v>0.0</v>
      </c>
      <c r="AE427" s="4">
        <v>0.0080721182608818</v>
      </c>
      <c r="AF427" s="4">
        <v>-0.0070357320340319</v>
      </c>
      <c r="AG427" s="4">
        <v>0.0073606868459177</v>
      </c>
      <c r="AH427" s="4">
        <v>0.0144927591873458</v>
      </c>
      <c r="AI427" s="4">
        <v>0.0</v>
      </c>
      <c r="AJ427" s="4">
        <v>-0.004606</v>
      </c>
      <c r="AK427" s="4">
        <f>Weights!E483</f>
        <v>-0.0008611657541</v>
      </c>
      <c r="AL427" s="5">
        <v>-0.00316490670571789</v>
      </c>
      <c r="AM427" s="5">
        <v>-0.00235767602659231</v>
      </c>
      <c r="AN427" s="5">
        <v>0.0</v>
      </c>
      <c r="AO427" s="5">
        <v>0.00142809617917305</v>
      </c>
      <c r="AP427" s="6">
        <f t="shared" si="3"/>
        <v>1.411417583</v>
      </c>
      <c r="AQ427" s="4">
        <f t="shared" si="4"/>
        <v>1.390769835</v>
      </c>
      <c r="AR427" s="7">
        <f t="shared" si="5"/>
        <v>1.3797184</v>
      </c>
      <c r="AS427" s="7">
        <f t="shared" ref="AS427:AU427" si="429">AS426*(1+AM427)</f>
        <v>1.46081594</v>
      </c>
      <c r="AT427" s="5">
        <f t="shared" si="429"/>
        <v>1.287485898</v>
      </c>
      <c r="AU427" s="5">
        <f t="shared" si="429"/>
        <v>1.275348962</v>
      </c>
    </row>
    <row r="428" ht="15.75" customHeight="1">
      <c r="A428" s="3">
        <v>44449.0</v>
      </c>
      <c r="B428" s="4">
        <v>-0.009028</v>
      </c>
      <c r="C428" s="4">
        <v>-0.003857</v>
      </c>
      <c r="D428" s="4">
        <v>-0.023099</v>
      </c>
      <c r="E428" s="4">
        <v>-0.001734</v>
      </c>
      <c r="F428" s="4">
        <v>-0.004475</v>
      </c>
      <c r="G428" s="4">
        <v>-0.006545</v>
      </c>
      <c r="H428" s="4">
        <v>9.72E-4</v>
      </c>
      <c r="I428" s="4">
        <v>-0.006986</v>
      </c>
      <c r="J428" s="4">
        <v>-0.004133</v>
      </c>
      <c r="K428" s="4">
        <v>-0.005216</v>
      </c>
      <c r="L428" s="4">
        <v>-0.003897</v>
      </c>
      <c r="M428" s="4">
        <v>-0.009255</v>
      </c>
      <c r="N428" s="4">
        <v>-0.003863</v>
      </c>
      <c r="O428" s="4">
        <v>3.4E-5</v>
      </c>
      <c r="P428" s="4">
        <v>-0.005584</v>
      </c>
      <c r="Q428" s="4">
        <v>-0.051784</v>
      </c>
      <c r="R428" s="4">
        <v>0.019247</v>
      </c>
      <c r="S428" s="4">
        <v>-0.006437</v>
      </c>
      <c r="T428" s="4">
        <v>-0.002843</v>
      </c>
      <c r="U428" s="4">
        <v>0.005867</v>
      </c>
      <c r="V428" s="4">
        <v>0.01124596076178</v>
      </c>
      <c r="W428" s="4">
        <v>0.0148161076870672</v>
      </c>
      <c r="X428" s="4">
        <v>0.009999985952344</v>
      </c>
      <c r="Y428" s="4">
        <v>0.0039017986788416</v>
      </c>
      <c r="Z428" s="4">
        <v>-0.0034265562001887</v>
      </c>
      <c r="AA428" s="4">
        <v>-0.005152877518196</v>
      </c>
      <c r="AB428" s="4">
        <v>0.0025313992995381</v>
      </c>
      <c r="AC428" s="4">
        <v>-0.0031897642668722</v>
      </c>
      <c r="AD428" s="4">
        <v>-0.0242789771602591</v>
      </c>
      <c r="AE428" s="4">
        <v>-0.0063631032466662</v>
      </c>
      <c r="AF428" s="4">
        <v>0.0172519817833449</v>
      </c>
      <c r="AG428" s="4">
        <v>-0.002946370853128</v>
      </c>
      <c r="AH428" s="4">
        <v>-0.0039682502138671</v>
      </c>
      <c r="AI428" s="4">
        <v>-9.065526158379E-4</v>
      </c>
      <c r="AJ428" s="4">
        <v>-0.007723</v>
      </c>
      <c r="AK428" s="4">
        <f>Weights!E484</f>
        <v>-0.002742126091</v>
      </c>
      <c r="AL428" s="5">
        <v>-0.00340163740868792</v>
      </c>
      <c r="AM428" s="5">
        <v>-0.00348045224879667</v>
      </c>
      <c r="AN428" s="5">
        <v>0.0</v>
      </c>
      <c r="AO428" s="5">
        <v>-9.50706419243885E-4</v>
      </c>
      <c r="AP428" s="6">
        <f t="shared" si="3"/>
        <v>1.407547298</v>
      </c>
      <c r="AQ428" s="4">
        <f t="shared" si="4"/>
        <v>1.380028919</v>
      </c>
      <c r="AR428" s="7">
        <f t="shared" si="5"/>
        <v>1.375025098</v>
      </c>
      <c r="AS428" s="7">
        <f t="shared" ref="AS428:AU428" si="430">AS427*(1+AM428)</f>
        <v>1.45573164</v>
      </c>
      <c r="AT428" s="5">
        <f t="shared" si="430"/>
        <v>1.287485898</v>
      </c>
      <c r="AU428" s="5">
        <f t="shared" si="430"/>
        <v>1.274136479</v>
      </c>
    </row>
    <row r="429" ht="15.75" customHeight="1">
      <c r="A429" s="3">
        <v>44452.0</v>
      </c>
      <c r="B429" s="4">
        <v>0.003037</v>
      </c>
      <c r="C429" s="4">
        <v>0.007192</v>
      </c>
      <c r="D429" s="4">
        <v>0.002092</v>
      </c>
      <c r="E429" s="4">
        <v>0.00193</v>
      </c>
      <c r="F429" s="4">
        <v>0.008272</v>
      </c>
      <c r="G429" s="4">
        <v>-0.007007</v>
      </c>
      <c r="H429" s="4">
        <v>0.010754</v>
      </c>
      <c r="I429" s="4">
        <v>0.008543</v>
      </c>
      <c r="J429" s="4">
        <v>0.003932</v>
      </c>
      <c r="K429" s="4">
        <v>4.63E-4</v>
      </c>
      <c r="L429" s="4">
        <v>-0.001174</v>
      </c>
      <c r="M429" s="4">
        <v>0.012974</v>
      </c>
      <c r="N429" s="4">
        <v>0.007756</v>
      </c>
      <c r="O429" s="4">
        <v>-0.022633</v>
      </c>
      <c r="P429" s="4">
        <v>8.77E-4</v>
      </c>
      <c r="Q429" s="4">
        <v>0.048544</v>
      </c>
      <c r="R429" s="4">
        <v>-0.005355</v>
      </c>
      <c r="S429" s="4">
        <v>-0.007819</v>
      </c>
      <c r="T429" s="4">
        <v>-0.027172</v>
      </c>
      <c r="U429" s="4">
        <v>-0.006515</v>
      </c>
      <c r="V429" s="4">
        <v>0.00355885627567786</v>
      </c>
      <c r="W429" s="4">
        <v>0.0276537007437456</v>
      </c>
      <c r="X429" s="4">
        <v>0.004950488164074</v>
      </c>
      <c r="Y429" s="4">
        <v>-7.332180783713E-4</v>
      </c>
      <c r="Z429" s="4">
        <v>-0.0090952524889807</v>
      </c>
      <c r="AA429" s="4">
        <v>-0.0050126469419595</v>
      </c>
      <c r="AB429" s="4">
        <v>-0.0035351494428819</v>
      </c>
      <c r="AC429" s="4">
        <v>0.0079999285534175</v>
      </c>
      <c r="AD429" s="4">
        <v>0.0155520773473836</v>
      </c>
      <c r="AE429" s="4">
        <v>0.0027343275187794</v>
      </c>
      <c r="AF429" s="4">
        <v>-0.0033313025024349</v>
      </c>
      <c r="AG429" s="4">
        <v>-0.0093379118919749</v>
      </c>
      <c r="AH429" s="4">
        <v>0.0278884197246063</v>
      </c>
      <c r="AI429" s="4">
        <v>-0.0013608147465288</v>
      </c>
      <c r="AJ429" s="4">
        <v>0.002277</v>
      </c>
      <c r="AK429" s="4">
        <f>Weights!E485</f>
        <v>0.003253353468</v>
      </c>
      <c r="AL429" s="5">
        <v>-0.00568866509967957</v>
      </c>
      <c r="AM429" s="5">
        <v>-0.00793377515960636</v>
      </c>
      <c r="AN429" s="5">
        <v>-0.00223058284227162</v>
      </c>
      <c r="AO429" s="5">
        <v>-0.00261632213861817</v>
      </c>
      <c r="AP429" s="6">
        <f t="shared" si="3"/>
        <v>1.412126547</v>
      </c>
      <c r="AQ429" s="4">
        <f t="shared" si="4"/>
        <v>1.383171245</v>
      </c>
      <c r="AR429" s="7">
        <f t="shared" si="5"/>
        <v>1.367203041</v>
      </c>
      <c r="AS429" s="7">
        <f t="shared" ref="AS429:AU429" si="431">AS428*(1+AM429)</f>
        <v>1.444182192</v>
      </c>
      <c r="AT429" s="5">
        <f t="shared" si="431"/>
        <v>1.284614054</v>
      </c>
      <c r="AU429" s="5">
        <f t="shared" si="431"/>
        <v>1.270802928</v>
      </c>
    </row>
    <row r="430" ht="15.75" customHeight="1">
      <c r="A430" s="3">
        <v>44453.0</v>
      </c>
      <c r="B430" s="4">
        <v>-0.012976</v>
      </c>
      <c r="C430" s="4">
        <v>-0.003845</v>
      </c>
      <c r="D430" s="4">
        <v>-0.01399</v>
      </c>
      <c r="E430" s="4">
        <v>-0.003916</v>
      </c>
      <c r="F430" s="4">
        <v>7.13E-4</v>
      </c>
      <c r="G430" s="4">
        <v>-0.006031</v>
      </c>
      <c r="H430" s="4">
        <v>-0.001716</v>
      </c>
      <c r="I430" s="4">
        <v>-0.00847</v>
      </c>
      <c r="J430" s="4">
        <v>0.0</v>
      </c>
      <c r="K430" s="4">
        <v>-0.005395</v>
      </c>
      <c r="L430" s="4">
        <v>-0.008422</v>
      </c>
      <c r="M430" s="4">
        <v>-0.008709</v>
      </c>
      <c r="N430" s="4">
        <v>-0.008274</v>
      </c>
      <c r="O430" s="4">
        <v>0.0117</v>
      </c>
      <c r="P430" s="4">
        <v>0.002805</v>
      </c>
      <c r="Q430" s="4">
        <v>0.012731</v>
      </c>
      <c r="R430" s="4">
        <v>-0.014168</v>
      </c>
      <c r="S430" s="4">
        <v>0.004053</v>
      </c>
      <c r="T430" s="4">
        <v>-0.027473</v>
      </c>
      <c r="U430" s="4">
        <v>-0.007091</v>
      </c>
      <c r="V430" s="4">
        <v>-0.0146276940211694</v>
      </c>
      <c r="W430" s="4">
        <v>0.014541154023705</v>
      </c>
      <c r="X430" s="4">
        <v>-0.0065681708961521</v>
      </c>
      <c r="Y430" s="4">
        <v>0.0027153433710942</v>
      </c>
      <c r="Z430" s="4">
        <v>0.0042536800693875</v>
      </c>
      <c r="AA430" s="4">
        <v>-0.0065490754044814</v>
      </c>
      <c r="AB430" s="4">
        <v>-5.068628085521E-4</v>
      </c>
      <c r="AC430" s="4">
        <v>0.0031746464989574</v>
      </c>
      <c r="AD430" s="4">
        <v>0.0</v>
      </c>
      <c r="AE430" s="4">
        <v>-0.005597277768306</v>
      </c>
      <c r="AF430" s="4">
        <v>0.0297781845922315</v>
      </c>
      <c r="AG430" s="4">
        <v>-0.0028635208692556</v>
      </c>
      <c r="AH430" s="4">
        <v>0.0403101141969581</v>
      </c>
      <c r="AI430" s="4">
        <v>-0.0029158038416239</v>
      </c>
      <c r="AJ430" s="4">
        <v>-0.005747</v>
      </c>
      <c r="AK430" s="4">
        <f>Weights!E486</f>
        <v>-0.001051239252</v>
      </c>
      <c r="AL430" s="5">
        <v>0.00343265280034055</v>
      </c>
      <c r="AM430" s="5">
        <v>0.00226021439403445</v>
      </c>
      <c r="AN430" s="5">
        <v>-0.00223570497475356</v>
      </c>
      <c r="AO430" s="5">
        <v>-0.00143126273528471</v>
      </c>
      <c r="AP430" s="6">
        <f t="shared" si="3"/>
        <v>1.410642064</v>
      </c>
      <c r="AQ430" s="4">
        <f t="shared" si="4"/>
        <v>1.37522216</v>
      </c>
      <c r="AR430" s="7">
        <f t="shared" si="5"/>
        <v>1.371896175</v>
      </c>
      <c r="AS430" s="7">
        <f t="shared" ref="AS430:AU430" si="432">AS429*(1+AM430)</f>
        <v>1.447446354</v>
      </c>
      <c r="AT430" s="5">
        <f t="shared" si="432"/>
        <v>1.281742036</v>
      </c>
      <c r="AU430" s="5">
        <f t="shared" si="432"/>
        <v>1.268984075</v>
      </c>
    </row>
    <row r="431" ht="15.75" customHeight="1">
      <c r="A431" s="3">
        <v>44454.0</v>
      </c>
      <c r="B431" s="4">
        <v>-0.003944</v>
      </c>
      <c r="C431" s="4">
        <v>0.002941</v>
      </c>
      <c r="D431" s="4">
        <v>-0.004236</v>
      </c>
      <c r="E431" s="4">
        <v>0.005608</v>
      </c>
      <c r="F431" s="4">
        <v>0.003412</v>
      </c>
      <c r="G431" s="4">
        <v>0.003762</v>
      </c>
      <c r="H431" s="4">
        <v>-0.002132</v>
      </c>
      <c r="I431" s="4">
        <v>0.011809</v>
      </c>
      <c r="J431" s="4">
        <v>0.005875</v>
      </c>
      <c r="K431" s="4">
        <v>0.013017</v>
      </c>
      <c r="L431" s="4">
        <v>0.013333</v>
      </c>
      <c r="M431" s="4">
        <v>0.017571</v>
      </c>
      <c r="N431" s="4">
        <v>0.004268</v>
      </c>
      <c r="O431" s="4">
        <v>-0.006364</v>
      </c>
      <c r="P431" s="4">
        <v>0.008916</v>
      </c>
      <c r="Q431" s="4">
        <v>-0.004571</v>
      </c>
      <c r="R431" s="4">
        <v>0.056051</v>
      </c>
      <c r="S431" s="4">
        <v>-0.008298</v>
      </c>
      <c r="T431" s="4">
        <v>0.032298</v>
      </c>
      <c r="U431" s="4">
        <v>0.001229</v>
      </c>
      <c r="V431" s="4">
        <v>-0.0130454552754117</v>
      </c>
      <c r="W431" s="4">
        <v>-0.0135088928792447</v>
      </c>
      <c r="X431" s="4">
        <v>-0.0132230868243768</v>
      </c>
      <c r="Y431" s="4">
        <v>0.0136133805219631</v>
      </c>
      <c r="Z431" s="4">
        <v>0.0057955407540131</v>
      </c>
      <c r="AA431" s="4">
        <v>0.0043950153694161</v>
      </c>
      <c r="AB431" s="4">
        <v>0.0032959302411423</v>
      </c>
      <c r="AC431" s="4">
        <v>0.0031644575625151</v>
      </c>
      <c r="AD431" s="4">
        <v>-0.0045941139256487</v>
      </c>
      <c r="AE431" s="4">
        <v>-0.0012987164954324</v>
      </c>
      <c r="AF431" s="4">
        <v>-0.0076719374008084</v>
      </c>
      <c r="AG431" s="4">
        <v>-0.0064618078785663</v>
      </c>
      <c r="AH431" s="4">
        <v>0.0</v>
      </c>
      <c r="AI431" s="4">
        <v>0.0027413793429877</v>
      </c>
      <c r="AJ431" s="4">
        <v>0.008474</v>
      </c>
      <c r="AK431" s="4">
        <f>Weights!E487</f>
        <v>0.003598900023</v>
      </c>
      <c r="AL431" s="5">
        <v>-0.00478924945924263</v>
      </c>
      <c r="AM431" s="5">
        <v>-0.00602770532769636</v>
      </c>
      <c r="AN431" s="5">
        <v>-0.00448156491607487</v>
      </c>
      <c r="AO431" s="5">
        <v>-0.0038214923613935</v>
      </c>
      <c r="AP431" s="6">
        <f t="shared" si="3"/>
        <v>1.415718824</v>
      </c>
      <c r="AQ431" s="4">
        <f t="shared" si="4"/>
        <v>1.386875793</v>
      </c>
      <c r="AR431" s="7">
        <f t="shared" si="5"/>
        <v>1.365325822</v>
      </c>
      <c r="AS431" s="7">
        <f t="shared" ref="AS431:AU431" si="433">AS430*(1+AM431)</f>
        <v>1.438721574</v>
      </c>
      <c r="AT431" s="5">
        <f t="shared" si="433"/>
        <v>1.275997825</v>
      </c>
      <c r="AU431" s="5">
        <f t="shared" si="433"/>
        <v>1.264134662</v>
      </c>
    </row>
    <row r="432" ht="15.75" customHeight="1">
      <c r="A432" s="3">
        <v>44455.0</v>
      </c>
      <c r="B432" s="4">
        <v>-0.00264</v>
      </c>
      <c r="C432" s="4">
        <v>-0.002566</v>
      </c>
      <c r="D432" s="4">
        <v>0.003403</v>
      </c>
      <c r="E432" s="4">
        <v>-0.002948</v>
      </c>
      <c r="F432" s="4">
        <v>-0.009485</v>
      </c>
      <c r="G432" s="4">
        <v>-0.001209</v>
      </c>
      <c r="H432" s="4">
        <v>-0.00696</v>
      </c>
      <c r="I432" s="4">
        <v>-0.005215</v>
      </c>
      <c r="J432" s="4">
        <v>-0.010383</v>
      </c>
      <c r="K432" s="4">
        <v>7.65E-4</v>
      </c>
      <c r="L432" s="4">
        <v>-0.004094</v>
      </c>
      <c r="M432" s="4">
        <v>-0.001524</v>
      </c>
      <c r="N432" s="4">
        <v>-0.002318</v>
      </c>
      <c r="O432" s="4">
        <v>-0.0146</v>
      </c>
      <c r="P432" s="4">
        <v>-0.039508</v>
      </c>
      <c r="Q432" s="4">
        <v>-0.063146</v>
      </c>
      <c r="R432" s="4">
        <v>-0.066413</v>
      </c>
      <c r="S432" s="4">
        <v>-0.057892</v>
      </c>
      <c r="T432" s="4">
        <v>0.001733</v>
      </c>
      <c r="U432" s="4">
        <v>-0.013499</v>
      </c>
      <c r="V432" s="4">
        <v>-0.0100274829373977</v>
      </c>
      <c r="W432" s="4">
        <v>0.0300601254766286</v>
      </c>
      <c r="X432" s="4">
        <v>0.0</v>
      </c>
      <c r="Y432" s="4">
        <v>0.005199066136271</v>
      </c>
      <c r="Z432" s="4">
        <v>0.0041003173655189</v>
      </c>
      <c r="AA432" s="4">
        <v>0.0015146373030896</v>
      </c>
      <c r="AB432" s="4">
        <v>-0.0053069184032615</v>
      </c>
      <c r="AC432" s="4">
        <v>0.0</v>
      </c>
      <c r="AD432" s="4">
        <v>0.0</v>
      </c>
      <c r="AE432" s="4">
        <v>-0.002601181488267</v>
      </c>
      <c r="AF432" s="4">
        <v>0.0035683423679329</v>
      </c>
      <c r="AG432" s="4">
        <v>0.0081895447871744</v>
      </c>
      <c r="AH432" s="4">
        <v>-0.0223546730396554</v>
      </c>
      <c r="AI432" s="4">
        <v>0.002733487230907</v>
      </c>
      <c r="AJ432" s="4">
        <v>-0.001551</v>
      </c>
      <c r="AK432" s="4">
        <f>Weights!E488</f>
        <v>-0.006961318529</v>
      </c>
      <c r="AL432" s="5">
        <v>0.00603460927065757</v>
      </c>
      <c r="AM432" s="5">
        <v>0.00824579329291297</v>
      </c>
      <c r="AN432" s="5">
        <v>0.00225086987751121</v>
      </c>
      <c r="AO432" s="5">
        <v>0.00239754401221126</v>
      </c>
      <c r="AP432" s="6">
        <f t="shared" si="3"/>
        <v>1.405863554</v>
      </c>
      <c r="AQ432" s="4">
        <f t="shared" si="4"/>
        <v>1.384724748</v>
      </c>
      <c r="AR432" s="7">
        <f t="shared" si="5"/>
        <v>1.373565029</v>
      </c>
      <c r="AS432" s="7">
        <f t="shared" ref="AS432:AU432" si="434">AS431*(1+AM432)</f>
        <v>1.450584974</v>
      </c>
      <c r="AT432" s="5">
        <f t="shared" si="434"/>
        <v>1.27886993</v>
      </c>
      <c r="AU432" s="5">
        <f t="shared" si="434"/>
        <v>1.267165481</v>
      </c>
    </row>
    <row r="433" ht="15.75" customHeight="1">
      <c r="A433" s="3">
        <v>44456.0</v>
      </c>
      <c r="B433" s="4">
        <v>-0.006176</v>
      </c>
      <c r="C433" s="4">
        <v>-0.002756</v>
      </c>
      <c r="D433" s="4">
        <v>-0.005511</v>
      </c>
      <c r="E433" s="4">
        <v>-0.009193</v>
      </c>
      <c r="F433" s="4">
        <v>-0.016441</v>
      </c>
      <c r="G433" s="4">
        <v>-0.002845</v>
      </c>
      <c r="H433" s="4">
        <v>0.001596</v>
      </c>
      <c r="I433" s="4">
        <v>-0.010235</v>
      </c>
      <c r="J433" s="4">
        <v>-0.015082</v>
      </c>
      <c r="K433" s="4">
        <v>-0.01177</v>
      </c>
      <c r="L433" s="4">
        <v>-0.02016</v>
      </c>
      <c r="M433" s="4">
        <v>-0.021363</v>
      </c>
      <c r="N433" s="4">
        <v>-0.017041</v>
      </c>
      <c r="O433" s="4">
        <v>-8.04E-4</v>
      </c>
      <c r="P433" s="4">
        <v>-0.003789</v>
      </c>
      <c r="Q433" s="4">
        <v>-0.003676</v>
      </c>
      <c r="R433" s="4">
        <v>-0.036443</v>
      </c>
      <c r="S433" s="4">
        <v>-0.010562</v>
      </c>
      <c r="T433" s="4">
        <v>-0.044892</v>
      </c>
      <c r="U433" s="4">
        <v>-0.007075</v>
      </c>
      <c r="V433" s="4">
        <v>0.0303868177665651</v>
      </c>
      <c r="W433" s="4">
        <v>0.0</v>
      </c>
      <c r="X433" s="4">
        <v>-0.0016556625505532</v>
      </c>
      <c r="Y433" s="4">
        <v>-0.0070398205626596</v>
      </c>
      <c r="Z433" s="4">
        <v>0.0023177856113147</v>
      </c>
      <c r="AA433" s="4">
        <v>0.0015121127301755</v>
      </c>
      <c r="AB433" s="4">
        <v>-0.0043189308007659</v>
      </c>
      <c r="AC433" s="4">
        <v>0.0015796224508204</v>
      </c>
      <c r="AD433" s="4">
        <v>0.0186331816125926</v>
      </c>
      <c r="AE433" s="4">
        <v>2.172498944048E-4</v>
      </c>
      <c r="AF433" s="4">
        <v>0.0</v>
      </c>
      <c r="AG433" s="4">
        <v>0.0106321189248734</v>
      </c>
      <c r="AH433" s="4">
        <v>-0.0205793207869193</v>
      </c>
      <c r="AI433" s="4">
        <v>0.0</v>
      </c>
      <c r="AJ433" s="4">
        <v>-0.009111</v>
      </c>
      <c r="AK433" s="4">
        <f>Weights!E489</f>
        <v>-0.006129298972</v>
      </c>
      <c r="AL433" s="5">
        <v>-0.00144255577538077</v>
      </c>
      <c r="AM433" s="5">
        <v>-9.08791555001564E-4</v>
      </c>
      <c r="AN433" s="5">
        <v>-0.00545391757822788</v>
      </c>
      <c r="AO433" s="5">
        <v>-0.00502262669978104</v>
      </c>
      <c r="AP433" s="6">
        <f t="shared" si="3"/>
        <v>1.397246596</v>
      </c>
      <c r="AQ433" s="4">
        <f t="shared" si="4"/>
        <v>1.372108521</v>
      </c>
      <c r="AR433" s="7">
        <f t="shared" si="5"/>
        <v>1.371583585</v>
      </c>
      <c r="AS433" s="7">
        <f t="shared" ref="AS433:AU433" si="435">AS432*(1+AM433)</f>
        <v>1.449266695</v>
      </c>
      <c r="AT433" s="5">
        <f t="shared" si="435"/>
        <v>1.271895079</v>
      </c>
      <c r="AU433" s="5">
        <f t="shared" si="435"/>
        <v>1.260800981</v>
      </c>
    </row>
    <row r="434" ht="15.75" customHeight="1">
      <c r="A434" s="3">
        <v>44459.0</v>
      </c>
      <c r="B434" s="4">
        <v>-0.011096</v>
      </c>
      <c r="C434" s="4">
        <v>-3.68E-4</v>
      </c>
      <c r="D434" s="4">
        <v>-0.01023</v>
      </c>
      <c r="E434" s="4">
        <v>-0.003374</v>
      </c>
      <c r="F434" s="4">
        <v>-0.00698</v>
      </c>
      <c r="G434" s="4">
        <v>-0.005706</v>
      </c>
      <c r="H434" s="4">
        <v>-0.010046</v>
      </c>
      <c r="I434" s="4">
        <v>-0.019672</v>
      </c>
      <c r="J434" s="4">
        <v>-2.22E-4</v>
      </c>
      <c r="K434" s="4">
        <v>-0.012065</v>
      </c>
      <c r="L434" s="4">
        <v>-0.018278</v>
      </c>
      <c r="M434" s="4">
        <v>-0.032224</v>
      </c>
      <c r="N434" s="4">
        <v>-0.023641</v>
      </c>
      <c r="O434" s="4">
        <v>-0.006015</v>
      </c>
      <c r="P434" s="4">
        <v>-0.021912</v>
      </c>
      <c r="Q434" s="4">
        <v>0.0246</v>
      </c>
      <c r="R434" s="4">
        <v>-0.056883</v>
      </c>
      <c r="S434" s="4">
        <v>-0.006793</v>
      </c>
      <c r="T434" s="4">
        <v>-0.076366</v>
      </c>
      <c r="U434" s="4">
        <v>7.05E-4</v>
      </c>
      <c r="V434" s="4">
        <v>-0.0277031465934911</v>
      </c>
      <c r="W434" s="4">
        <v>-0.0048638272634644</v>
      </c>
      <c r="X434" s="4">
        <v>0.0033167091089023</v>
      </c>
      <c r="Y434" s="4">
        <v>0.0735730051400669</v>
      </c>
      <c r="Z434" s="4">
        <v>-0.0454746618583847</v>
      </c>
      <c r="AA434" s="4">
        <v>-6.710267706125E-4</v>
      </c>
      <c r="AB434" s="4">
        <v>-0.0040828384712989</v>
      </c>
      <c r="AC434" s="4">
        <v>-0.0110409122581709</v>
      </c>
      <c r="AD434" s="4">
        <v>0.0289636321040276</v>
      </c>
      <c r="AE434" s="4">
        <v>0.0052871985466893</v>
      </c>
      <c r="AF434" s="4">
        <v>0.037925992904036</v>
      </c>
      <c r="AG434" s="4">
        <v>0.0211586264081624</v>
      </c>
      <c r="AH434" s="4">
        <v>0.0147860341628784</v>
      </c>
      <c r="AI434" s="4">
        <v>-0.0022718450277424</v>
      </c>
      <c r="AJ434" s="4">
        <v>-0.016977</v>
      </c>
      <c r="AK434" s="4">
        <f>Weights!E490</f>
        <v>-0.00539679727</v>
      </c>
      <c r="AL434" s="5">
        <v>-0.010265498588843</v>
      </c>
      <c r="AM434" s="5">
        <v>-0.00801254813463303</v>
      </c>
      <c r="AN434" s="5">
        <v>0.0067742546297731</v>
      </c>
      <c r="AO434" s="5">
        <v>0.00673091437852635</v>
      </c>
      <c r="AP434" s="6">
        <f t="shared" si="3"/>
        <v>1.389705939</v>
      </c>
      <c r="AQ434" s="4">
        <f t="shared" si="4"/>
        <v>1.348814235</v>
      </c>
      <c r="AR434" s="7">
        <f t="shared" si="5"/>
        <v>1.357503596</v>
      </c>
      <c r="AS434" s="7">
        <f t="shared" ref="AS434:AU434" si="436">AS433*(1+AM434)</f>
        <v>1.437654376</v>
      </c>
      <c r="AT434" s="5">
        <f t="shared" si="436"/>
        <v>1.28051122</v>
      </c>
      <c r="AU434" s="5">
        <f t="shared" si="436"/>
        <v>1.269287325</v>
      </c>
    </row>
    <row r="435" ht="15.75" customHeight="1">
      <c r="A435" s="3">
        <v>44460.0</v>
      </c>
      <c r="B435" s="4">
        <v>0.005386</v>
      </c>
      <c r="C435" s="4">
        <v>-0.004239</v>
      </c>
      <c r="D435" s="4">
        <v>0.009905</v>
      </c>
      <c r="E435" s="4">
        <v>-4.56E-4</v>
      </c>
      <c r="F435" s="4">
        <v>-1.85E-4</v>
      </c>
      <c r="G435" s="4">
        <v>0.004395</v>
      </c>
      <c r="H435" s="4">
        <v>0.00154</v>
      </c>
      <c r="I435" s="4">
        <v>0.009004</v>
      </c>
      <c r="J435" s="4">
        <v>0.011099</v>
      </c>
      <c r="K435" s="4">
        <v>0.003444</v>
      </c>
      <c r="L435" s="4">
        <v>-0.004578</v>
      </c>
      <c r="M435" s="4">
        <v>-0.006445</v>
      </c>
      <c r="N435" s="4">
        <v>-0.006457</v>
      </c>
      <c r="O435" s="4">
        <v>0.014073</v>
      </c>
      <c r="P435" s="4">
        <v>0.009258</v>
      </c>
      <c r="Q435" s="4">
        <v>-0.019208</v>
      </c>
      <c r="R435" s="4">
        <v>-0.022137</v>
      </c>
      <c r="S435" s="4">
        <v>0.007084</v>
      </c>
      <c r="T435" s="4">
        <v>-0.006916</v>
      </c>
      <c r="U435" s="4">
        <v>0.009859</v>
      </c>
      <c r="V435" s="4">
        <v>-0.0477943812192206</v>
      </c>
      <c r="W435" s="4">
        <v>-4.888475917863E-4</v>
      </c>
      <c r="X435" s="4">
        <v>-0.0049585637890242</v>
      </c>
      <c r="Y435" s="4">
        <v>0.0377359910189916</v>
      </c>
      <c r="Z435" s="4">
        <v>0.0514477859031865</v>
      </c>
      <c r="AA435" s="4">
        <v>0.0</v>
      </c>
      <c r="AB435" s="4">
        <v>-0.010675980154836</v>
      </c>
      <c r="AC435" s="4">
        <v>0.0015948821334361</v>
      </c>
      <c r="AD435" s="4">
        <v>-0.0088888440542646</v>
      </c>
      <c r="AE435" s="4">
        <v>0.0144091995274475</v>
      </c>
      <c r="AF435" s="4">
        <v>-0.0114189384455052</v>
      </c>
      <c r="AG435" s="4">
        <v>-0.0078715191741156</v>
      </c>
      <c r="AH435" s="4">
        <v>-0.001533722561409</v>
      </c>
      <c r="AI435" s="4">
        <v>0.0036427918482275</v>
      </c>
      <c r="AJ435" s="4">
        <v>-8.12E-4</v>
      </c>
      <c r="AK435" s="4">
        <f>Weights!E491</f>
        <v>0.0001267032512</v>
      </c>
      <c r="AL435" s="5">
        <v>-0.0169022616598405</v>
      </c>
      <c r="AM435" s="5">
        <v>-0.0173331185930464</v>
      </c>
      <c r="AN435" s="5">
        <v>-0.00416558902906583</v>
      </c>
      <c r="AO435" s="5">
        <v>-0.00453691253578991</v>
      </c>
      <c r="AP435" s="6">
        <f t="shared" si="3"/>
        <v>1.38988202</v>
      </c>
      <c r="AQ435" s="4">
        <f t="shared" si="4"/>
        <v>1.347718998</v>
      </c>
      <c r="AR435" s="7">
        <f t="shared" si="5"/>
        <v>1.334558715</v>
      </c>
      <c r="AS435" s="7">
        <f t="shared" ref="AS435:AU435" si="437">AS434*(1+AM435)</f>
        <v>1.412735342</v>
      </c>
      <c r="AT435" s="5">
        <f t="shared" si="437"/>
        <v>1.275177137</v>
      </c>
      <c r="AU435" s="5">
        <f t="shared" si="437"/>
        <v>1.263528679</v>
      </c>
    </row>
    <row r="436" ht="15.75" customHeight="1">
      <c r="A436" s="3">
        <v>44461.0</v>
      </c>
      <c r="B436" s="4">
        <v>0.004018</v>
      </c>
      <c r="C436" s="4">
        <v>5.55E-4</v>
      </c>
      <c r="D436" s="4">
        <v>-8.53E-4</v>
      </c>
      <c r="E436" s="4">
        <v>0.003061</v>
      </c>
      <c r="F436" s="4">
        <v>0.00148</v>
      </c>
      <c r="G436" s="4">
        <v>-0.003647</v>
      </c>
      <c r="H436" s="4">
        <v>0.003424</v>
      </c>
      <c r="I436" s="4">
        <v>0.007649</v>
      </c>
      <c r="J436" s="4">
        <v>0.005269</v>
      </c>
      <c r="K436" s="4">
        <v>0.004525</v>
      </c>
      <c r="L436" s="4">
        <v>0.011856</v>
      </c>
      <c r="M436" s="4">
        <v>0.015135</v>
      </c>
      <c r="N436" s="4">
        <v>0.011982</v>
      </c>
      <c r="O436" s="4">
        <v>8.67E-4</v>
      </c>
      <c r="P436" s="4">
        <v>0.002568</v>
      </c>
      <c r="Q436" s="4">
        <v>0.022032</v>
      </c>
      <c r="R436" s="4">
        <v>0.035433</v>
      </c>
      <c r="S436" s="4">
        <v>-0.009702</v>
      </c>
      <c r="T436" s="4">
        <v>0.010082</v>
      </c>
      <c r="U436" s="4">
        <v>0.014722</v>
      </c>
      <c r="V436" s="4">
        <v>0.013513741558927</v>
      </c>
      <c r="W436" s="4">
        <v>0.0022821388604512</v>
      </c>
      <c r="X436" s="4">
        <v>0.0</v>
      </c>
      <c r="Y436" s="4">
        <v>0.0130519024530466</v>
      </c>
      <c r="Z436" s="4">
        <v>0.0219418818062409</v>
      </c>
      <c r="AA436" s="4">
        <v>-1.679667207752E-4</v>
      </c>
      <c r="AB436" s="4">
        <v>0.0123103244848967</v>
      </c>
      <c r="AC436" s="4">
        <v>0.0063694418178177</v>
      </c>
      <c r="AD436" s="4">
        <v>-0.0104633389465192</v>
      </c>
      <c r="AE436" s="4">
        <v>-0.0046874126431267</v>
      </c>
      <c r="AF436" s="4">
        <v>0.0311869981855548</v>
      </c>
      <c r="AG436" s="4">
        <v>0.0145841370624302</v>
      </c>
      <c r="AH436" s="4">
        <v>-0.0061444054771081</v>
      </c>
      <c r="AI436" s="4">
        <v>0.0013613114590556</v>
      </c>
      <c r="AJ436" s="4">
        <v>0.00952</v>
      </c>
      <c r="AK436" s="4">
        <f>Weights!E492</f>
        <v>0.007067796594</v>
      </c>
      <c r="AL436" s="5">
        <v>0.0017192607544636</v>
      </c>
      <c r="AM436" s="7">
        <v>-8.90069469133836E-5</v>
      </c>
      <c r="AN436" s="5">
        <v>-0.00675654599264019</v>
      </c>
      <c r="AO436" s="5">
        <v>-0.00575698798413593</v>
      </c>
      <c r="AP436" s="6">
        <f t="shared" si="3"/>
        <v>1.399705423</v>
      </c>
      <c r="AQ436" s="4">
        <f t="shared" si="4"/>
        <v>1.360549282</v>
      </c>
      <c r="AR436" s="7">
        <f t="shared" si="5"/>
        <v>1.336853169</v>
      </c>
      <c r="AS436" s="7">
        <f t="shared" ref="AS436:AU436" si="438">AS435*(1+AM436)</f>
        <v>1.412609599</v>
      </c>
      <c r="AT436" s="5">
        <f t="shared" si="438"/>
        <v>1.266561344</v>
      </c>
      <c r="AU436" s="5">
        <f t="shared" si="438"/>
        <v>1.25625456</v>
      </c>
    </row>
    <row r="437" ht="15.75" customHeight="1">
      <c r="A437" s="3">
        <v>44462.0</v>
      </c>
      <c r="B437" s="4">
        <v>0.008893</v>
      </c>
      <c r="C437" s="4">
        <v>0.006659</v>
      </c>
      <c r="D437" s="4">
        <v>0.003841</v>
      </c>
      <c r="E437" s="4">
        <v>7.79E-4</v>
      </c>
      <c r="F437" s="4">
        <v>-0.001663</v>
      </c>
      <c r="G437" s="4">
        <v>0.005673</v>
      </c>
      <c r="H437" s="4">
        <v>0.004109</v>
      </c>
      <c r="I437" s="4">
        <v>0.01417</v>
      </c>
      <c r="J437" s="4">
        <v>-0.014414</v>
      </c>
      <c r="K437" s="4">
        <v>0.020969</v>
      </c>
      <c r="L437" s="4">
        <v>0.021919</v>
      </c>
      <c r="M437" s="4">
        <v>0.031949</v>
      </c>
      <c r="N437" s="4">
        <v>0.012041</v>
      </c>
      <c r="O437" s="4">
        <v>-0.019863</v>
      </c>
      <c r="P437" s="4">
        <v>-0.010979</v>
      </c>
      <c r="Q437" s="4">
        <v>-0.02994</v>
      </c>
      <c r="R437" s="4">
        <v>0.017427</v>
      </c>
      <c r="S437" s="4">
        <v>-0.033309</v>
      </c>
      <c r="T437" s="4">
        <v>0.022844</v>
      </c>
      <c r="U437" s="4">
        <v>0.005345</v>
      </c>
      <c r="V437" s="4">
        <v>0.0314284127428987</v>
      </c>
      <c r="W437" s="4">
        <v>0.0053665109425393</v>
      </c>
      <c r="X437" s="4">
        <v>0.0</v>
      </c>
      <c r="Y437" s="4">
        <v>0.0192297875730815</v>
      </c>
      <c r="Z437" s="4">
        <v>-0.0274826327219297</v>
      </c>
      <c r="AA437" s="4">
        <v>-0.0062131634475429</v>
      </c>
      <c r="AB437" s="4">
        <v>0.0012937407300879</v>
      </c>
      <c r="AC437" s="4">
        <v>0.0</v>
      </c>
      <c r="AD437" s="4">
        <v>0.0</v>
      </c>
      <c r="AE437" s="4">
        <v>-0.0025689580838288</v>
      </c>
      <c r="AF437" s="4">
        <v>-0.0170821424320245</v>
      </c>
      <c r="AG437" s="4">
        <v>0.0058648452673475</v>
      </c>
      <c r="AH437" s="4">
        <v>0.0216383280519811</v>
      </c>
      <c r="AI437" s="4">
        <v>-9.060107045062E-4</v>
      </c>
      <c r="AJ437" s="4">
        <v>0.012135</v>
      </c>
      <c r="AK437" s="4">
        <f>Weights!E493</f>
        <v>0.00461451304</v>
      </c>
      <c r="AL437" s="5">
        <v>0.00881575241809895</v>
      </c>
      <c r="AM437" s="5">
        <v>0.0100867034934035</v>
      </c>
      <c r="AN437" s="5">
        <v>-0.0149010840181963</v>
      </c>
      <c r="AO437" s="5">
        <v>-0.0159225134719782</v>
      </c>
      <c r="AP437" s="6">
        <f t="shared" si="3"/>
        <v>1.406164382</v>
      </c>
      <c r="AQ437" s="4">
        <f t="shared" si="4"/>
        <v>1.377059548</v>
      </c>
      <c r="AR437" s="7">
        <f t="shared" si="5"/>
        <v>1.348638536</v>
      </c>
      <c r="AS437" s="7">
        <f t="shared" ref="AS437:AU437" si="439">AS436*(1+AM437)</f>
        <v>1.426858173</v>
      </c>
      <c r="AT437" s="5">
        <f t="shared" si="439"/>
        <v>1.247688207</v>
      </c>
      <c r="AU437" s="5">
        <f t="shared" si="439"/>
        <v>1.23625183</v>
      </c>
    </row>
    <row r="438" ht="15.75" customHeight="1">
      <c r="A438" s="3">
        <v>44463.0</v>
      </c>
      <c r="B438" s="4">
        <v>-0.003085</v>
      </c>
      <c r="C438" s="4">
        <v>-9.19E-4</v>
      </c>
      <c r="D438" s="4">
        <v>0.003401</v>
      </c>
      <c r="E438" s="4">
        <v>4.54E-4</v>
      </c>
      <c r="F438" s="4">
        <v>-0.002776</v>
      </c>
      <c r="G438" s="4">
        <v>-0.003033</v>
      </c>
      <c r="H438" s="4">
        <v>-0.004439</v>
      </c>
      <c r="I438" s="4">
        <v>-0.001248</v>
      </c>
      <c r="J438" s="4">
        <v>-8.86E-4</v>
      </c>
      <c r="K438" s="4">
        <v>6.08E-4</v>
      </c>
      <c r="L438" s="4">
        <v>-9.88E-4</v>
      </c>
      <c r="M438" s="4">
        <v>-0.004644</v>
      </c>
      <c r="N438" s="4">
        <v>0.004363</v>
      </c>
      <c r="O438" s="4">
        <v>-0.011565</v>
      </c>
      <c r="P438" s="4">
        <v>-0.00333</v>
      </c>
      <c r="Q438" s="4">
        <v>0.001234</v>
      </c>
      <c r="R438" s="4">
        <v>0.004049</v>
      </c>
      <c r="S438" s="4">
        <v>-0.00456</v>
      </c>
      <c r="T438" s="4">
        <v>0.015292</v>
      </c>
      <c r="U438" s="4">
        <v>0.004937</v>
      </c>
      <c r="V438" s="4">
        <v>-0.00277016190528978</v>
      </c>
      <c r="W438" s="4">
        <v>-0.0040438133294147</v>
      </c>
      <c r="X438" s="4">
        <v>0.011608643163087</v>
      </c>
      <c r="Y438" s="4">
        <v>0.0</v>
      </c>
      <c r="Z438" s="4">
        <v>0.0</v>
      </c>
      <c r="AA438" s="4">
        <v>0.0</v>
      </c>
      <c r="AB438" s="4">
        <v>0.0</v>
      </c>
      <c r="AC438" s="4">
        <v>0.0031594582392069</v>
      </c>
      <c r="AD438" s="4">
        <v>0.0104011503150973</v>
      </c>
      <c r="AE438" s="4">
        <v>0.0</v>
      </c>
      <c r="AF438" s="4">
        <v>0.0065526514090925</v>
      </c>
      <c r="AG438" s="4">
        <v>0.0</v>
      </c>
      <c r="AH438" s="4">
        <v>0.0</v>
      </c>
      <c r="AI438" s="4">
        <v>0.0</v>
      </c>
      <c r="AJ438" s="4">
        <v>0.001461</v>
      </c>
      <c r="AK438" s="4">
        <f>Weights!E494</f>
        <v>0.0006402968606</v>
      </c>
      <c r="AL438" s="5">
        <v>0.0115999938824193</v>
      </c>
      <c r="AM438" s="5">
        <v>0.0121854374744827</v>
      </c>
      <c r="AN438" s="5">
        <v>0.00460360364948186</v>
      </c>
      <c r="AO438" s="5">
        <v>0.00465794025332244</v>
      </c>
      <c r="AP438" s="6">
        <f t="shared" si="3"/>
        <v>1.407064745</v>
      </c>
      <c r="AQ438" s="4">
        <f t="shared" si="4"/>
        <v>1.379071432</v>
      </c>
      <c r="AR438" s="7">
        <f t="shared" si="5"/>
        <v>1.364282735</v>
      </c>
      <c r="AS438" s="7">
        <f t="shared" ref="AS438:AU438" si="440">AS437*(1+AM438)</f>
        <v>1.444245064</v>
      </c>
      <c r="AT438" s="5">
        <f t="shared" si="440"/>
        <v>1.253432069</v>
      </c>
      <c r="AU438" s="5">
        <f t="shared" si="440"/>
        <v>1.242010217</v>
      </c>
    </row>
    <row r="439" ht="15.75" customHeight="1">
      <c r="A439" s="3">
        <v>44466.0</v>
      </c>
      <c r="B439" s="4">
        <v>-0.003979</v>
      </c>
      <c r="C439" s="4">
        <v>0.001839</v>
      </c>
      <c r="D439" s="4">
        <v>8.47E-4</v>
      </c>
      <c r="E439" s="4">
        <v>-0.009598</v>
      </c>
      <c r="F439" s="4">
        <v>-0.005196</v>
      </c>
      <c r="G439" s="4">
        <v>-0.00724</v>
      </c>
      <c r="H439" s="4">
        <v>-0.013166</v>
      </c>
      <c r="I439" s="4">
        <v>0.008993</v>
      </c>
      <c r="J439" s="4">
        <v>-0.008871</v>
      </c>
      <c r="K439" s="4">
        <v>0.019918</v>
      </c>
      <c r="L439" s="4">
        <v>0.00277</v>
      </c>
      <c r="M439" s="4">
        <v>0.023847</v>
      </c>
      <c r="N439" s="4">
        <v>0.016387</v>
      </c>
      <c r="O439" s="4">
        <v>-0.032131</v>
      </c>
      <c r="P439" s="4">
        <v>5.57E-4</v>
      </c>
      <c r="Q439" s="4">
        <v>0.002466</v>
      </c>
      <c r="R439" s="4">
        <v>0.051799</v>
      </c>
      <c r="S439" s="4">
        <v>-0.014253</v>
      </c>
      <c r="T439" s="4">
        <v>0.029727</v>
      </c>
      <c r="U439" s="4">
        <v>-0.024866</v>
      </c>
      <c r="V439" s="4">
        <v>-0.0157405860317227</v>
      </c>
      <c r="W439" s="4">
        <v>0.0056844838303815</v>
      </c>
      <c r="X439" s="4">
        <v>0.0049180258172174</v>
      </c>
      <c r="Y439" s="4">
        <v>-0.0182143501437385</v>
      </c>
      <c r="Z439" s="4">
        <v>-0.0096036818812155</v>
      </c>
      <c r="AA439" s="4">
        <v>-0.0114903721833699</v>
      </c>
      <c r="AB439" s="4">
        <v>-0.0067185485901286</v>
      </c>
      <c r="AC439" s="4">
        <v>0.0141733863107116</v>
      </c>
      <c r="AD439" s="4">
        <v>-0.0117645919695599</v>
      </c>
      <c r="AE439" s="4">
        <v>-0.0018600556482127</v>
      </c>
      <c r="AF439" s="4">
        <v>-0.0246249782018341</v>
      </c>
      <c r="AG439" s="4">
        <v>-0.0101747885552975</v>
      </c>
      <c r="AH439" s="4">
        <v>0.036308605972728</v>
      </c>
      <c r="AI439" s="4">
        <v>-0.0031746549917073</v>
      </c>
      <c r="AJ439" s="4">
        <v>-0.002776</v>
      </c>
      <c r="AK439" s="4">
        <f>Weights!E495</f>
        <v>0.001032909008</v>
      </c>
      <c r="AL439" s="5">
        <v>-0.00175813610791086</v>
      </c>
      <c r="AM439" s="5">
        <v>0.00119458567589347</v>
      </c>
      <c r="AN439" s="5">
        <v>0.00818333696853557</v>
      </c>
      <c r="AO439" s="5">
        <v>0.00683233238283786</v>
      </c>
      <c r="AP439" s="6">
        <f t="shared" si="3"/>
        <v>1.408518115</v>
      </c>
      <c r="AQ439" s="4">
        <f t="shared" si="4"/>
        <v>1.37524313</v>
      </c>
      <c r="AR439" s="7">
        <f t="shared" si="5"/>
        <v>1.36188414</v>
      </c>
      <c r="AS439" s="7">
        <f t="shared" ref="AS439:AU439" si="441">AS438*(1+AM439)</f>
        <v>1.445970339</v>
      </c>
      <c r="AT439" s="5">
        <f t="shared" si="441"/>
        <v>1.263689326</v>
      </c>
      <c r="AU439" s="5">
        <f t="shared" si="441"/>
        <v>1.250496043</v>
      </c>
    </row>
    <row r="440" ht="15.75" customHeight="1">
      <c r="A440" s="3">
        <v>44467.0</v>
      </c>
      <c r="B440" s="4">
        <v>-0.018198</v>
      </c>
      <c r="C440" s="4">
        <v>-0.005691</v>
      </c>
      <c r="D440" s="4">
        <v>-0.009738</v>
      </c>
      <c r="E440" s="4">
        <v>-0.010935</v>
      </c>
      <c r="F440" s="4">
        <v>-0.018094</v>
      </c>
      <c r="G440" s="4">
        <v>-0.002206</v>
      </c>
      <c r="H440" s="4">
        <v>-0.007553</v>
      </c>
      <c r="I440" s="4">
        <v>-0.014608</v>
      </c>
      <c r="J440" s="4">
        <v>-0.012083</v>
      </c>
      <c r="K440" s="4">
        <v>-0.001491</v>
      </c>
      <c r="L440" s="4">
        <v>-0.015293</v>
      </c>
      <c r="M440" s="4">
        <v>-0.011139</v>
      </c>
      <c r="N440" s="4">
        <v>-9.71E-4</v>
      </c>
      <c r="O440" s="4">
        <v>-0.020998</v>
      </c>
      <c r="P440" s="4">
        <v>0.012616</v>
      </c>
      <c r="Q440" s="4">
        <v>-0.02829</v>
      </c>
      <c r="R440" s="4">
        <v>-0.010027</v>
      </c>
      <c r="S440" s="4">
        <v>-0.013943</v>
      </c>
      <c r="T440" s="4">
        <v>-0.009623</v>
      </c>
      <c r="U440" s="4">
        <v>-0.016742</v>
      </c>
      <c r="V440" s="4">
        <v>-0.00658513153758844</v>
      </c>
      <c r="W440" s="4">
        <v>-0.0156653343292962</v>
      </c>
      <c r="X440" s="4">
        <v>0.0114192687441543</v>
      </c>
      <c r="Y440" s="4">
        <v>-0.001671729853336</v>
      </c>
      <c r="Z440" s="4">
        <v>0.0189477224395315</v>
      </c>
      <c r="AA440" s="4">
        <v>0.0170939621813606</v>
      </c>
      <c r="AB440" s="4">
        <v>0.0028616847270979</v>
      </c>
      <c r="AC440" s="4">
        <v>0.0</v>
      </c>
      <c r="AD440" s="4">
        <v>0.0029760357023795</v>
      </c>
      <c r="AE440" s="4">
        <v>0.0053039718843808</v>
      </c>
      <c r="AF440" s="4">
        <v>-0.0046430287505527</v>
      </c>
      <c r="AG440" s="4">
        <v>-0.0041582050689531</v>
      </c>
      <c r="AH440" s="4">
        <v>-0.0262773819168905</v>
      </c>
      <c r="AI440" s="4">
        <v>9.095218753158E-4</v>
      </c>
      <c r="AJ440" s="4">
        <v>-0.020364</v>
      </c>
      <c r="AK440" s="4">
        <f>Weights!E496</f>
        <v>-0.005515554862</v>
      </c>
      <c r="AL440" s="5">
        <v>-0.00206784568880047</v>
      </c>
      <c r="AM440" s="5">
        <v>-0.00217738984604509</v>
      </c>
      <c r="AN440" s="5">
        <v>0.00357132624031808</v>
      </c>
      <c r="AO440" s="5">
        <v>0.00412049505869172</v>
      </c>
      <c r="AP440" s="6">
        <f t="shared" si="3"/>
        <v>1.400749356</v>
      </c>
      <c r="AQ440" s="4">
        <f t="shared" si="4"/>
        <v>1.347237679</v>
      </c>
      <c r="AR440" s="7">
        <f t="shared" si="5"/>
        <v>1.359067974</v>
      </c>
      <c r="AS440" s="7">
        <f t="shared" ref="AS440:AU440" si="442">AS439*(1+AM440)</f>
        <v>1.442821897</v>
      </c>
      <c r="AT440" s="5">
        <f t="shared" si="442"/>
        <v>1.268202373</v>
      </c>
      <c r="AU440" s="5">
        <f t="shared" si="442"/>
        <v>1.255648706</v>
      </c>
    </row>
    <row r="441" ht="15.75" customHeight="1">
      <c r="A441" s="3">
        <v>44468.0</v>
      </c>
      <c r="B441" s="4">
        <v>-0.01311</v>
      </c>
      <c r="C441" s="4">
        <v>0.004062</v>
      </c>
      <c r="D441" s="4">
        <v>-6.41E-4</v>
      </c>
      <c r="E441" s="4">
        <v>0.008275</v>
      </c>
      <c r="F441" s="4">
        <v>0.006079</v>
      </c>
      <c r="G441" s="4">
        <v>0.007432</v>
      </c>
      <c r="H441" s="4">
        <v>0.010171</v>
      </c>
      <c r="I441" s="4">
        <v>5.03E-4</v>
      </c>
      <c r="J441" s="4">
        <v>-0.001585</v>
      </c>
      <c r="K441" s="4">
        <v>-0.005823</v>
      </c>
      <c r="L441" s="4">
        <v>-0.005611</v>
      </c>
      <c r="M441" s="4">
        <v>-0.006144</v>
      </c>
      <c r="N441" s="4">
        <v>0.004861</v>
      </c>
      <c r="O441" s="4">
        <v>0.002039</v>
      </c>
      <c r="P441" s="4">
        <v>-0.01594</v>
      </c>
      <c r="Q441" s="4">
        <v>-0.018987</v>
      </c>
      <c r="R441" s="4">
        <v>-0.013703</v>
      </c>
      <c r="S441" s="4">
        <v>-0.015973</v>
      </c>
      <c r="T441" s="4">
        <v>-0.026477</v>
      </c>
      <c r="U441" s="4">
        <v>-0.00268</v>
      </c>
      <c r="V441" s="4">
        <v>-0.0407197328203134</v>
      </c>
      <c r="W441" s="4">
        <v>-0.0063987302490833</v>
      </c>
      <c r="X441" s="4">
        <v>-0.0016128312052877</v>
      </c>
      <c r="Y441" s="4">
        <v>-0.0213849622978072</v>
      </c>
      <c r="Z441" s="4">
        <v>-0.0393785070328739</v>
      </c>
      <c r="AA441" s="4">
        <v>0.0</v>
      </c>
      <c r="AB441" s="4">
        <v>0.0106355115676124</v>
      </c>
      <c r="AC441" s="4">
        <v>-0.0077640449446054</v>
      </c>
      <c r="AD441" s="4">
        <v>0.0044512252600352</v>
      </c>
      <c r="AE441" s="4">
        <v>-0.0046341883712838</v>
      </c>
      <c r="AF441" s="4">
        <v>-0.0034984262423561</v>
      </c>
      <c r="AG441" s="4">
        <v>-0.0093945074604141</v>
      </c>
      <c r="AH441" s="4">
        <v>-0.0262368567065904</v>
      </c>
      <c r="AI441" s="4">
        <v>0.0031820698385705</v>
      </c>
      <c r="AJ441" s="4">
        <v>0.001569</v>
      </c>
      <c r="AK441" s="4">
        <f>Weights!E497</f>
        <v>-0.006995184932</v>
      </c>
      <c r="AL441" s="5">
        <v>-0.0213336960847133</v>
      </c>
      <c r="AM441" s="5">
        <v>-0.0209477978603817</v>
      </c>
      <c r="AN441" s="5">
        <v>-0.00291169576543692</v>
      </c>
      <c r="AO441" s="5">
        <v>-0.00313786100862467</v>
      </c>
      <c r="AP441" s="6">
        <f t="shared" si="3"/>
        <v>1.390950855</v>
      </c>
      <c r="AQ441" s="4">
        <f t="shared" si="4"/>
        <v>1.349351494</v>
      </c>
      <c r="AR441" s="7">
        <f t="shared" si="5"/>
        <v>1.330074031</v>
      </c>
      <c r="AS441" s="7">
        <f t="shared" ref="AS441:AU441" si="443">AS440*(1+AM441)</f>
        <v>1.412597956</v>
      </c>
      <c r="AT441" s="5">
        <f t="shared" si="443"/>
        <v>1.264509753</v>
      </c>
      <c r="AU441" s="5">
        <f t="shared" si="443"/>
        <v>1.251708655</v>
      </c>
    </row>
    <row r="442" ht="15.75" customHeight="1">
      <c r="A442" s="3">
        <v>44469.0</v>
      </c>
      <c r="B442" s="4">
        <v>0.005955</v>
      </c>
      <c r="C442" s="4">
        <v>-0.006804</v>
      </c>
      <c r="D442" s="4">
        <v>-0.002353</v>
      </c>
      <c r="E442" s="4">
        <v>-0.01241</v>
      </c>
      <c r="F442" s="4">
        <v>-0.009252</v>
      </c>
      <c r="G442" s="4">
        <v>-0.015364</v>
      </c>
      <c r="H442" s="4">
        <v>-0.015632</v>
      </c>
      <c r="I442" s="4">
        <v>-5.02E-4</v>
      </c>
      <c r="J442" s="4">
        <v>0.005672</v>
      </c>
      <c r="K442" s="4">
        <v>-0.006608</v>
      </c>
      <c r="L442" s="4">
        <v>0.002418</v>
      </c>
      <c r="M442" s="4">
        <v>-0.008758</v>
      </c>
      <c r="N442" s="4">
        <v>-0.00445</v>
      </c>
      <c r="O442" s="4">
        <v>-0.006821</v>
      </c>
      <c r="P442" s="4">
        <v>0.010985</v>
      </c>
      <c r="Q442" s="4">
        <v>0.047742</v>
      </c>
      <c r="R442" s="4">
        <v>-0.017517</v>
      </c>
      <c r="S442" s="4">
        <v>0.0</v>
      </c>
      <c r="T442" s="4">
        <v>-0.013027</v>
      </c>
      <c r="U442" s="4">
        <v>-0.004663</v>
      </c>
      <c r="V442" s="4">
        <v>0.00197428916357389</v>
      </c>
      <c r="W442" s="4">
        <v>0.0143659527058119</v>
      </c>
      <c r="X442" s="4">
        <v>0.0</v>
      </c>
      <c r="Y442" s="4">
        <v>-0.0078322510979803</v>
      </c>
      <c r="Z442" s="4">
        <v>-0.0103622256601425</v>
      </c>
      <c r="AA442" s="4">
        <v>-0.0052101135893508</v>
      </c>
      <c r="AB442" s="4">
        <v>0.0020535845098261</v>
      </c>
      <c r="AC442" s="4">
        <v>0.0</v>
      </c>
      <c r="AD442" s="4">
        <v>0.0</v>
      </c>
      <c r="AE442" s="4">
        <v>0.0048706443460717</v>
      </c>
      <c r="AF442" s="4">
        <v>0.0292567354744983</v>
      </c>
      <c r="AG442" s="4">
        <v>-0.0189674025723477</v>
      </c>
      <c r="AH442" s="4">
        <v>0.0323325137044794</v>
      </c>
      <c r="AI442" s="4">
        <v>-0.004530646526155</v>
      </c>
      <c r="AJ442" s="4">
        <v>-0.01191</v>
      </c>
      <c r="AK442" s="6">
        <f>Weights!E498</f>
        <v>0.00003425004268</v>
      </c>
      <c r="AL442" s="7">
        <v>-7.83599254935429E-5</v>
      </c>
      <c r="AM442" s="5">
        <v>6.68477080632223E-4</v>
      </c>
      <c r="AN442" s="5">
        <v>0.00356935328599239</v>
      </c>
      <c r="AO442" s="5">
        <v>0.00314773817350455</v>
      </c>
      <c r="AP442" s="6">
        <f t="shared" si="3"/>
        <v>1.390998495</v>
      </c>
      <c r="AQ442" s="4">
        <f t="shared" si="4"/>
        <v>1.333280718</v>
      </c>
      <c r="AR442" s="7">
        <f t="shared" si="5"/>
        <v>1.329969806</v>
      </c>
      <c r="AS442" s="7">
        <f t="shared" ref="AS442:AU442" si="444">AS441*(1+AM442)</f>
        <v>1.413542245</v>
      </c>
      <c r="AT442" s="5">
        <f t="shared" si="444"/>
        <v>1.269023235</v>
      </c>
      <c r="AU442" s="5">
        <f t="shared" si="444"/>
        <v>1.255648706</v>
      </c>
    </row>
    <row r="443" ht="15.75" customHeight="1">
      <c r="A443" s="3">
        <v>44470.0</v>
      </c>
      <c r="B443" s="4">
        <v>0.002277</v>
      </c>
      <c r="C443" s="4">
        <v>0.005369</v>
      </c>
      <c r="D443" s="4">
        <v>-0.001501</v>
      </c>
      <c r="E443" s="4">
        <v>0.00359</v>
      </c>
      <c r="F443" s="4">
        <v>0.010482</v>
      </c>
      <c r="G443" s="4">
        <v>-0.006378</v>
      </c>
      <c r="H443" s="4">
        <v>-0.001574</v>
      </c>
      <c r="I443" s="4">
        <v>0.005528</v>
      </c>
      <c r="J443" s="4">
        <v>-0.001579</v>
      </c>
      <c r="K443" s="4">
        <v>0.02192</v>
      </c>
      <c r="L443" s="4">
        <v>0.003418</v>
      </c>
      <c r="M443" s="4">
        <v>0.009356</v>
      </c>
      <c r="N443" s="4">
        <v>1.94E-4</v>
      </c>
      <c r="O443" s="4">
        <v>-0.005122</v>
      </c>
      <c r="P443" s="4">
        <v>-0.013628</v>
      </c>
      <c r="Q443" s="4">
        <v>0.007389</v>
      </c>
      <c r="R443" s="4">
        <v>0.00953</v>
      </c>
      <c r="S443" s="4">
        <v>-0.016232</v>
      </c>
      <c r="T443" s="4">
        <v>-0.008529</v>
      </c>
      <c r="U443" s="4">
        <v>0.001271</v>
      </c>
      <c r="V443" s="4">
        <v>0.00738925230653286</v>
      </c>
      <c r="W443" s="4">
        <v>0.0069997861390911</v>
      </c>
      <c r="X443" s="4">
        <v>-0.003267934042122</v>
      </c>
      <c r="Y443" s="4">
        <v>-0.0190394985011763</v>
      </c>
      <c r="Z443" s="4">
        <v>-0.0011505450059136</v>
      </c>
      <c r="AA443" s="4">
        <v>-5.068149163666E-4</v>
      </c>
      <c r="AB443" s="4">
        <v>0.0064035014169228</v>
      </c>
      <c r="AC443" s="4">
        <v>0.0142178109702586</v>
      </c>
      <c r="AD443" s="4">
        <v>0.0119940556191424</v>
      </c>
      <c r="AE443" s="4">
        <v>-0.0014969444395266</v>
      </c>
      <c r="AF443" s="4">
        <v>0.0054007326247442</v>
      </c>
      <c r="AG443" s="4">
        <v>0.0085929198322582</v>
      </c>
      <c r="AH443" s="4">
        <v>-0.01267707713748</v>
      </c>
      <c r="AI443" s="4">
        <v>0.0013648538081427</v>
      </c>
      <c r="AJ443" s="4">
        <v>0.011491</v>
      </c>
      <c r="AK443" s="4">
        <f>Weights!E499</f>
        <v>0.001748561517</v>
      </c>
      <c r="AL443" s="5">
        <v>-0.0083123734701368</v>
      </c>
      <c r="AM443" s="5">
        <v>-0.0108242860571566</v>
      </c>
      <c r="AN443" s="5">
        <v>-0.0126091411111868</v>
      </c>
      <c r="AO443" s="5">
        <v>-0.0129131408091203</v>
      </c>
      <c r="AP443" s="6">
        <f t="shared" si="3"/>
        <v>1.393430741</v>
      </c>
      <c r="AQ443" s="4">
        <f t="shared" si="4"/>
        <v>1.348601447</v>
      </c>
      <c r="AR443" s="7">
        <f t="shared" si="5"/>
        <v>1.3189146</v>
      </c>
      <c r="AS443" s="7">
        <f t="shared" ref="AS443:AU443" si="445">AS442*(1+AM443)</f>
        <v>1.39824166</v>
      </c>
      <c r="AT443" s="5">
        <f t="shared" si="445"/>
        <v>1.253021942</v>
      </c>
      <c r="AU443" s="5">
        <f t="shared" si="445"/>
        <v>1.239434338</v>
      </c>
    </row>
    <row r="444" ht="15.75" customHeight="1">
      <c r="A444" s="3">
        <v>44473.0</v>
      </c>
      <c r="B444" s="4">
        <v>-0.002272</v>
      </c>
      <c r="C444" s="4">
        <v>0.003683</v>
      </c>
      <c r="D444" s="4">
        <v>0.00408</v>
      </c>
      <c r="E444" s="4">
        <v>-0.004969</v>
      </c>
      <c r="F444" s="4">
        <v>-5.66E-4</v>
      </c>
      <c r="G444" s="4">
        <v>-0.00779</v>
      </c>
      <c r="H444" s="4">
        <v>-0.00566</v>
      </c>
      <c r="I444" s="4">
        <v>0.009995</v>
      </c>
      <c r="J444" s="4">
        <v>0.005423</v>
      </c>
      <c r="K444" s="4">
        <v>1.48E-4</v>
      </c>
      <c r="L444" s="4">
        <v>0.004909</v>
      </c>
      <c r="M444" s="4">
        <v>5.15E-4</v>
      </c>
      <c r="N444" s="4">
        <v>0.029149</v>
      </c>
      <c r="O444" s="4">
        <v>-0.027384</v>
      </c>
      <c r="P444" s="4">
        <v>0.020724</v>
      </c>
      <c r="Q444" s="4">
        <v>0.0</v>
      </c>
      <c r="R444" s="4">
        <v>-0.003959</v>
      </c>
      <c r="S444" s="4">
        <v>0.01082</v>
      </c>
      <c r="T444" s="4">
        <v>-0.008909</v>
      </c>
      <c r="U444" s="4">
        <v>-0.014196</v>
      </c>
      <c r="V444" s="4">
        <v>9.77883347968333E-4</v>
      </c>
      <c r="W444" s="4">
        <v>-0.0311995047813073</v>
      </c>
      <c r="X444" s="4">
        <v>-0.0016393773682168</v>
      </c>
      <c r="Y444" s="4">
        <v>-0.0144724342697049</v>
      </c>
      <c r="Z444" s="4">
        <v>-0.0038014877670292</v>
      </c>
      <c r="AA444" s="4">
        <v>0.0030426667480283</v>
      </c>
      <c r="AB444" s="4">
        <v>-0.0012724361052908</v>
      </c>
      <c r="AC444" s="4">
        <v>-0.0031150972626506</v>
      </c>
      <c r="AD444" s="4">
        <v>-0.0044443803420477</v>
      </c>
      <c r="AE444" s="4">
        <v>-0.0014990421076971</v>
      </c>
      <c r="AF444" s="4">
        <v>-5.653171277137E-4</v>
      </c>
      <c r="AG444" s="4">
        <v>-0.0073365017711726</v>
      </c>
      <c r="AH444" s="4">
        <v>-0.0354985275761969</v>
      </c>
      <c r="AI444" s="4">
        <v>0.0027276725658662</v>
      </c>
      <c r="AJ444" s="4">
        <v>-0.012986</v>
      </c>
      <c r="AK444" s="4">
        <f>Weights!E500</f>
        <v>-0.001869528634</v>
      </c>
      <c r="AL444" s="5">
        <v>0.00814478788852879</v>
      </c>
      <c r="AM444" s="5">
        <v>0.0137800761707731</v>
      </c>
      <c r="AN444" s="5">
        <v>0.0</v>
      </c>
      <c r="AO444" s="5">
        <v>-6.89698740507505E-4</v>
      </c>
      <c r="AP444" s="6">
        <f t="shared" si="3"/>
        <v>1.390825683</v>
      </c>
      <c r="AQ444" s="4">
        <f t="shared" si="4"/>
        <v>1.331088509</v>
      </c>
      <c r="AR444" s="7">
        <f t="shared" si="5"/>
        <v>1.32965688</v>
      </c>
      <c r="AS444" s="7">
        <f t="shared" ref="AS444:AU444" si="446">AS443*(1+AM444)</f>
        <v>1.417509536</v>
      </c>
      <c r="AT444" s="5">
        <f t="shared" si="446"/>
        <v>1.253021942</v>
      </c>
      <c r="AU444" s="5">
        <f t="shared" si="446"/>
        <v>1.238579501</v>
      </c>
    </row>
    <row r="445" ht="15.75" customHeight="1">
      <c r="A445" s="3">
        <v>44474.0</v>
      </c>
      <c r="B445" s="4">
        <v>9.11E-4</v>
      </c>
      <c r="C445" s="4">
        <v>1.83E-4</v>
      </c>
      <c r="D445" s="4">
        <v>-6.42E-4</v>
      </c>
      <c r="E445" s="4">
        <v>0.005925</v>
      </c>
      <c r="F445" s="4">
        <v>0.001698</v>
      </c>
      <c r="G445" s="4">
        <v>0.002261</v>
      </c>
      <c r="H445" s="4">
        <v>0.003891</v>
      </c>
      <c r="I445" s="4">
        <v>-0.005938</v>
      </c>
      <c r="J445" s="4">
        <v>-0.006966</v>
      </c>
      <c r="K445" s="4">
        <v>0.009762</v>
      </c>
      <c r="L445" s="4">
        <v>0.008573</v>
      </c>
      <c r="M445" s="4">
        <v>0.009264</v>
      </c>
      <c r="N445" s="4">
        <v>0.019449</v>
      </c>
      <c r="O445" s="4">
        <v>0.011568</v>
      </c>
      <c r="P445" s="4">
        <v>-0.015365</v>
      </c>
      <c r="Q445" s="4">
        <v>-0.00489</v>
      </c>
      <c r="R445" s="4">
        <v>-0.015592</v>
      </c>
      <c r="S445" s="4">
        <v>-2.68E-4</v>
      </c>
      <c r="T445" s="4">
        <v>0.019839</v>
      </c>
      <c r="U445" s="4">
        <v>0.004103</v>
      </c>
      <c r="V445" s="4">
        <v>-0.0232046237477305</v>
      </c>
      <c r="W445" s="4">
        <v>-0.0143500530208332</v>
      </c>
      <c r="X445" s="4">
        <v>0.0032841386790583</v>
      </c>
      <c r="Y445" s="4">
        <v>0.0141356657112543</v>
      </c>
      <c r="Z445" s="4">
        <v>0.0033535784773868</v>
      </c>
      <c r="AA445" s="4">
        <v>-0.0010111456700351</v>
      </c>
      <c r="AB445" s="4">
        <v>0.0035677531681876</v>
      </c>
      <c r="AC445" s="4">
        <v>-0.0031251127553653</v>
      </c>
      <c r="AD445" s="4">
        <v>-0.0029762869294349</v>
      </c>
      <c r="AE445" s="4">
        <v>-0.0030743478842781</v>
      </c>
      <c r="AF445" s="4">
        <v>0.0115983550988933</v>
      </c>
      <c r="AG445" s="4">
        <v>0.0196687632146399</v>
      </c>
      <c r="AH445" s="4">
        <v>0.0211433599582981</v>
      </c>
      <c r="AI445" s="4">
        <v>-0.0022664981377675</v>
      </c>
      <c r="AJ445" s="4">
        <v>0.010524</v>
      </c>
      <c r="AK445" s="4">
        <f>Weights!E501</f>
        <v>0.002820882236</v>
      </c>
      <c r="AL445" s="5">
        <v>-0.0116086951594146</v>
      </c>
      <c r="AM445" s="5">
        <v>-0.0150587920697503</v>
      </c>
      <c r="AN445" s="5">
        <v>-0.0052393221876118</v>
      </c>
      <c r="AO445" s="5">
        <v>-0.00468069090081368</v>
      </c>
      <c r="AP445" s="6">
        <f t="shared" si="3"/>
        <v>1.394749038</v>
      </c>
      <c r="AQ445" s="4">
        <f t="shared" si="4"/>
        <v>1.345096884</v>
      </c>
      <c r="AR445" s="7">
        <f t="shared" si="5"/>
        <v>1.314221299</v>
      </c>
      <c r="AS445" s="7">
        <f t="shared" ref="AS445:AU445" si="447">AS444*(1+AM445)</f>
        <v>1.396163555</v>
      </c>
      <c r="AT445" s="5">
        <f t="shared" si="447"/>
        <v>1.246456957</v>
      </c>
      <c r="AU445" s="5">
        <f t="shared" si="447"/>
        <v>1.232782094</v>
      </c>
    </row>
    <row r="446" ht="15.75" customHeight="1">
      <c r="A446" s="3">
        <v>44475.0</v>
      </c>
      <c r="B446" s="4">
        <v>-9.1E-4</v>
      </c>
      <c r="C446" s="4">
        <v>3.67E-4</v>
      </c>
      <c r="D446" s="4">
        <v>-0.005136</v>
      </c>
      <c r="E446" s="4">
        <v>0.025614</v>
      </c>
      <c r="F446" s="4">
        <v>0.011869</v>
      </c>
      <c r="G446" s="4">
        <v>0.002068</v>
      </c>
      <c r="H446" s="4">
        <v>0.01335</v>
      </c>
      <c r="I446" s="4">
        <v>0.009209</v>
      </c>
      <c r="J446" s="4">
        <v>0.014257</v>
      </c>
      <c r="K446" s="4">
        <v>-0.005127</v>
      </c>
      <c r="L446" s="4">
        <v>-1.98E-4</v>
      </c>
      <c r="M446" s="4">
        <v>-0.013769</v>
      </c>
      <c r="N446" s="4">
        <v>0.006668</v>
      </c>
      <c r="O446" s="4">
        <v>-0.006978</v>
      </c>
      <c r="P446" s="4">
        <v>0.013004</v>
      </c>
      <c r="Q446" s="4">
        <v>0.031941</v>
      </c>
      <c r="R446" s="4">
        <v>-0.015217</v>
      </c>
      <c r="S446" s="4">
        <v>0.009636</v>
      </c>
      <c r="T446" s="4">
        <v>-0.027457</v>
      </c>
      <c r="U446" s="4">
        <v>0.007451</v>
      </c>
      <c r="V446" s="4">
        <v>0.0182546031346557</v>
      </c>
      <c r="W446" s="4">
        <v>-0.0457083697283569</v>
      </c>
      <c r="X446" s="4">
        <v>0.0098199530256877</v>
      </c>
      <c r="Y446" s="4">
        <v>-0.0063602217644247</v>
      </c>
      <c r="Z446" s="4">
        <v>-0.0028812285634428</v>
      </c>
      <c r="AA446" s="4">
        <v>-0.0086031635627257</v>
      </c>
      <c r="AB446" s="4">
        <v>-0.0010158986293427</v>
      </c>
      <c r="AC446" s="4">
        <v>0.0</v>
      </c>
      <c r="AD446" s="4">
        <v>-0.0104477228333506</v>
      </c>
      <c r="AE446" s="4">
        <v>-0.0014343063829171</v>
      </c>
      <c r="AF446" s="4">
        <v>-0.0016780014710777</v>
      </c>
      <c r="AG446" s="4">
        <v>-0.0022212268841588</v>
      </c>
      <c r="AH446" s="4">
        <v>0.020705483124435</v>
      </c>
      <c r="AI446" s="4">
        <v>-0.0013630673753082</v>
      </c>
      <c r="AJ446" s="4">
        <v>0.004103</v>
      </c>
      <c r="AK446" s="4">
        <f>Weights!E502</f>
        <v>0.001886918747</v>
      </c>
      <c r="AL446" s="5">
        <v>0.00801513587891289</v>
      </c>
      <c r="AM446" s="5">
        <v>0.0093357039880908</v>
      </c>
      <c r="AN446" s="5">
        <v>0.00460850023438075</v>
      </c>
      <c r="AO446" s="5">
        <v>0.00420768696804541</v>
      </c>
      <c r="AP446" s="6">
        <f t="shared" si="3"/>
        <v>1.397380816</v>
      </c>
      <c r="AQ446" s="4">
        <f t="shared" si="4"/>
        <v>1.350615817</v>
      </c>
      <c r="AR446" s="7">
        <f t="shared" si="5"/>
        <v>1.324754961</v>
      </c>
      <c r="AS446" s="7">
        <f t="shared" ref="AS446:AU446" si="448">AS445*(1+AM446)</f>
        <v>1.409197725</v>
      </c>
      <c r="AT446" s="5">
        <f t="shared" si="448"/>
        <v>1.252201254</v>
      </c>
      <c r="AU446" s="5">
        <f t="shared" si="448"/>
        <v>1.237969255</v>
      </c>
    </row>
    <row r="447" ht="15.75" customHeight="1">
      <c r="A447" s="3">
        <v>44476.0</v>
      </c>
      <c r="B447" s="4">
        <v>0.005009</v>
      </c>
      <c r="C447" s="4">
        <v>-0.011553</v>
      </c>
      <c r="D447" s="4">
        <v>0.012906</v>
      </c>
      <c r="E447" s="4">
        <v>0.009228</v>
      </c>
      <c r="F447" s="4">
        <v>0.003165</v>
      </c>
      <c r="G447" s="4">
        <v>0.008942</v>
      </c>
      <c r="H447" s="4">
        <v>0.008003</v>
      </c>
      <c r="I447" s="4">
        <v>0.006165</v>
      </c>
      <c r="J447" s="4">
        <v>0.003347</v>
      </c>
      <c r="K447" s="4">
        <v>0.012302</v>
      </c>
      <c r="L447" s="4">
        <v>0.008107</v>
      </c>
      <c r="M447" s="4">
        <v>0.007239</v>
      </c>
      <c r="N447" s="4">
        <v>0.002208</v>
      </c>
      <c r="O447" s="4">
        <v>-0.004606</v>
      </c>
      <c r="P447" s="4">
        <v>0.001467</v>
      </c>
      <c r="Q447" s="4">
        <v>0.022619</v>
      </c>
      <c r="R447" s="4">
        <v>0.082308</v>
      </c>
      <c r="S447" s="4">
        <v>0.002121</v>
      </c>
      <c r="T447" s="4">
        <v>0.030837</v>
      </c>
      <c r="U447" s="4">
        <v>0.017417</v>
      </c>
      <c r="V447" s="4">
        <v>0.00933212812885631</v>
      </c>
      <c r="W447" s="4">
        <v>-0.0807167081709827</v>
      </c>
      <c r="X447" s="4">
        <v>0.0</v>
      </c>
      <c r="Y447" s="4">
        <v>0.0236296993138611</v>
      </c>
      <c r="Z447" s="4">
        <v>-0.0091311355942806</v>
      </c>
      <c r="AA447" s="4">
        <v>-0.0059555696549629</v>
      </c>
      <c r="AB447" s="4">
        <v>-0.0083884190560835</v>
      </c>
      <c r="AC447" s="4">
        <v>0.0</v>
      </c>
      <c r="AD447" s="4">
        <v>0.0</v>
      </c>
      <c r="AE447" s="4">
        <v>-0.0120655676611062</v>
      </c>
      <c r="AF447" s="4">
        <v>-0.0459383137065232</v>
      </c>
      <c r="AG447" s="4">
        <v>0.0018745022730843</v>
      </c>
      <c r="AH447" s="4">
        <v>0.0293013036803428</v>
      </c>
      <c r="AI447" s="4">
        <v>-0.0036397745576614</v>
      </c>
      <c r="AJ447" s="4">
        <v>0.008298</v>
      </c>
      <c r="AK447" s="4">
        <f>Weights!E503</f>
        <v>0.003788212611</v>
      </c>
      <c r="AL447" s="5">
        <v>0.00196819832291028</v>
      </c>
      <c r="AM447" s="5">
        <v>0.00415539163123845</v>
      </c>
      <c r="AN447" s="5">
        <v>-0.00393196275339713</v>
      </c>
      <c r="AO447" s="5">
        <v>-0.00394363786372453</v>
      </c>
      <c r="AP447" s="6">
        <f t="shared" si="3"/>
        <v>1.402674392</v>
      </c>
      <c r="AQ447" s="4">
        <f t="shared" si="4"/>
        <v>1.361823227</v>
      </c>
      <c r="AR447" s="7">
        <f t="shared" si="5"/>
        <v>1.327362341</v>
      </c>
      <c r="AS447" s="7">
        <f t="shared" ref="AS447:AU447" si="449">AS446*(1+AM447)</f>
        <v>1.415053493</v>
      </c>
      <c r="AT447" s="5">
        <f t="shared" si="449"/>
        <v>1.247277645</v>
      </c>
      <c r="AU447" s="5">
        <f t="shared" si="449"/>
        <v>1.233087152</v>
      </c>
    </row>
    <row r="448" ht="15.75" customHeight="1">
      <c r="A448" s="3">
        <v>44477.0</v>
      </c>
      <c r="B448" s="4">
        <v>0.003172</v>
      </c>
      <c r="C448" s="4">
        <v>-0.012245</v>
      </c>
      <c r="D448" s="4">
        <v>0.006158</v>
      </c>
      <c r="E448" s="4">
        <v>-0.002302</v>
      </c>
      <c r="F448" s="4">
        <v>0.004454</v>
      </c>
      <c r="G448" s="4">
        <v>-0.002541</v>
      </c>
      <c r="H448" s="4">
        <v>-0.004146</v>
      </c>
      <c r="I448" s="4">
        <v>0.013971</v>
      </c>
      <c r="J448" s="4">
        <v>-0.005559</v>
      </c>
      <c r="K448" s="4">
        <v>0.015705</v>
      </c>
      <c r="L448" s="4">
        <v>0.010101</v>
      </c>
      <c r="M448" s="4">
        <v>0.015914</v>
      </c>
      <c r="N448" s="4">
        <v>0.008629</v>
      </c>
      <c r="O448" s="4">
        <v>-0.004275</v>
      </c>
      <c r="P448" s="4">
        <v>-0.005493</v>
      </c>
      <c r="Q448" s="4">
        <v>0.017462</v>
      </c>
      <c r="R448" s="4">
        <v>-0.005536</v>
      </c>
      <c r="S448" s="4">
        <v>0.010847</v>
      </c>
      <c r="T448" s="4">
        <v>-0.009904</v>
      </c>
      <c r="U448" s="4">
        <v>0.003439</v>
      </c>
      <c r="V448" s="4">
        <v>0.0248172081905009</v>
      </c>
      <c r="W448" s="4">
        <v>-0.0465070573656388</v>
      </c>
      <c r="X448" s="4">
        <v>-0.0049100826263169</v>
      </c>
      <c r="Y448" s="4">
        <v>-0.0286722345451112</v>
      </c>
      <c r="Z448" s="4">
        <v>-0.0207627778390995</v>
      </c>
      <c r="AA448" s="4">
        <v>0.0044506072663546</v>
      </c>
      <c r="AB448" s="4">
        <v>-0.006408427419097</v>
      </c>
      <c r="AC448" s="4">
        <v>-0.00631912981598</v>
      </c>
      <c r="AD448" s="4">
        <v>0.001519592289489</v>
      </c>
      <c r="AE448" s="4">
        <v>-0.0103953696358156</v>
      </c>
      <c r="AF448" s="4">
        <v>-0.0296536682896347</v>
      </c>
      <c r="AG448" s="4">
        <v>-0.0108756586837209</v>
      </c>
      <c r="AH448" s="4">
        <v>-0.0445255396330425</v>
      </c>
      <c r="AI448" s="4">
        <v>0.0041098417278166</v>
      </c>
      <c r="AJ448" s="4">
        <v>-0.001914</v>
      </c>
      <c r="AK448" s="4">
        <f>Weights!E504</f>
        <v>-0.003140197262</v>
      </c>
      <c r="AL448" s="5">
        <v>0.00840734911758867</v>
      </c>
      <c r="AM448" s="5">
        <v>0.00961166968498794</v>
      </c>
      <c r="AN448" s="5">
        <v>0.00625018318034587</v>
      </c>
      <c r="AO448" s="5">
        <v>0.00643382333679465</v>
      </c>
      <c r="AP448" s="6">
        <f t="shared" si="3"/>
        <v>1.398269718</v>
      </c>
      <c r="AQ448" s="4">
        <f t="shared" si="4"/>
        <v>1.359216697</v>
      </c>
      <c r="AR448" s="7">
        <f t="shared" si="5"/>
        <v>1.33852194</v>
      </c>
      <c r="AS448" s="7">
        <f t="shared" ref="AS448:AU448" si="450">AS447*(1+AM448)</f>
        <v>1.42865452</v>
      </c>
      <c r="AT448" s="5">
        <f t="shared" si="450"/>
        <v>1.255073359</v>
      </c>
      <c r="AU448" s="5">
        <f t="shared" si="450"/>
        <v>1.241020617</v>
      </c>
    </row>
    <row r="449" ht="15.75" customHeight="1">
      <c r="A449" s="3">
        <v>44480.0</v>
      </c>
      <c r="B449" s="4">
        <v>-0.001807</v>
      </c>
      <c r="C449" s="4">
        <v>-0.01991</v>
      </c>
      <c r="D449" s="4">
        <v>6.33E-4</v>
      </c>
      <c r="E449" s="4">
        <v>0.001346</v>
      </c>
      <c r="F449" s="4">
        <v>0.002033</v>
      </c>
      <c r="G449" s="4">
        <v>-0.004225</v>
      </c>
      <c r="H449" s="4">
        <v>0.004163</v>
      </c>
      <c r="I449" s="4">
        <v>-7.25E-4</v>
      </c>
      <c r="J449" s="4">
        <v>-0.00492</v>
      </c>
      <c r="K449" s="4">
        <v>-0.004191</v>
      </c>
      <c r="L449" s="4">
        <v>-0.002621</v>
      </c>
      <c r="M449" s="4">
        <v>-0.002527</v>
      </c>
      <c r="N449" s="4">
        <v>1.82E-4</v>
      </c>
      <c r="O449" s="4">
        <v>-0.00898</v>
      </c>
      <c r="P449" s="4">
        <v>-0.002025</v>
      </c>
      <c r="Q449" s="4">
        <v>0.003433</v>
      </c>
      <c r="R449" s="4">
        <v>0.03223</v>
      </c>
      <c r="S449" s="4">
        <v>-0.008636</v>
      </c>
      <c r="T449" s="4">
        <v>0.006635</v>
      </c>
      <c r="U449" s="4">
        <v>-0.003116</v>
      </c>
      <c r="V449" s="4">
        <v>-0.00949663779268017</v>
      </c>
      <c r="W449" s="4">
        <v>0.0014164144764803</v>
      </c>
      <c r="X449" s="4">
        <v>0.0049343104985688</v>
      </c>
      <c r="Y449" s="4">
        <v>0.0109582353455823</v>
      </c>
      <c r="Z449" s="4">
        <v>-0.013460361668897</v>
      </c>
      <c r="AA449" s="4">
        <v>0.0086911304605818</v>
      </c>
      <c r="AB449" s="4">
        <v>-0.0049020049349906</v>
      </c>
      <c r="AC449" s="4">
        <v>-0.007949197616035</v>
      </c>
      <c r="AD449" s="4">
        <v>-0.0060697442900649</v>
      </c>
      <c r="AE449" s="4">
        <v>0.0060237421297351</v>
      </c>
      <c r="AF449" s="4">
        <v>0.0057490202096044</v>
      </c>
      <c r="AG449" s="4">
        <v>-0.007684996679653</v>
      </c>
      <c r="AH449" s="4">
        <v>0.0114591180443337</v>
      </c>
      <c r="AI449" s="4">
        <v>-0.0013645053435025</v>
      </c>
      <c r="AJ449" s="4">
        <v>-0.006866</v>
      </c>
      <c r="AK449" s="4">
        <f>Weights!E505</f>
        <v>-0.0002093060481</v>
      </c>
      <c r="AL449" s="5">
        <v>-0.00109086988948781</v>
      </c>
      <c r="AM449" s="5">
        <v>-0.00220370974697059</v>
      </c>
      <c r="AN449" s="5">
        <v>0.00196134373336054</v>
      </c>
      <c r="AO449" s="5">
        <v>9.83875785525834E-4</v>
      </c>
      <c r="AP449" s="6">
        <f t="shared" si="3"/>
        <v>1.397977051</v>
      </c>
      <c r="AQ449" s="4">
        <f t="shared" si="4"/>
        <v>1.349884315</v>
      </c>
      <c r="AR449" s="7">
        <f t="shared" si="5"/>
        <v>1.337061787</v>
      </c>
      <c r="AS449" s="7">
        <f t="shared" ref="AS449:AU449" si="451">AS448*(1+AM449)</f>
        <v>1.42550618</v>
      </c>
      <c r="AT449" s="5">
        <f t="shared" si="451"/>
        <v>1.257534989</v>
      </c>
      <c r="AU449" s="5">
        <f t="shared" si="451"/>
        <v>1.242241627</v>
      </c>
    </row>
    <row r="450" ht="15.75" customHeight="1">
      <c r="A450" s="3">
        <v>44481.0</v>
      </c>
      <c r="B450" s="4">
        <v>-0.004525</v>
      </c>
      <c r="C450" s="4">
        <v>-0.01629</v>
      </c>
      <c r="D450" s="4">
        <v>-0.017929</v>
      </c>
      <c r="E450" s="4">
        <v>0.004416</v>
      </c>
      <c r="F450" s="4">
        <v>0.0</v>
      </c>
      <c r="G450" s="4">
        <v>-0.015975</v>
      </c>
      <c r="H450" s="4">
        <v>-0.001476</v>
      </c>
      <c r="I450" s="4">
        <v>0.012095</v>
      </c>
      <c r="J450" s="4">
        <v>0.008315</v>
      </c>
      <c r="K450" s="4">
        <v>-0.002467</v>
      </c>
      <c r="L450" s="4">
        <v>0.001752</v>
      </c>
      <c r="M450" s="4">
        <v>0.001013</v>
      </c>
      <c r="N450" s="4">
        <v>-0.002366</v>
      </c>
      <c r="O450" s="4">
        <v>0.002504</v>
      </c>
      <c r="P450" s="4">
        <v>0.010701</v>
      </c>
      <c r="Q450" s="4">
        <v>0.033067</v>
      </c>
      <c r="R450" s="4">
        <v>-0.017599</v>
      </c>
      <c r="S450" s="4">
        <v>0.015839</v>
      </c>
      <c r="T450" s="4">
        <v>0.009937</v>
      </c>
      <c r="U450" s="4">
        <v>-0.001407</v>
      </c>
      <c r="V450" s="4">
        <v>-0.0249280606867844</v>
      </c>
      <c r="W450" s="4">
        <v>0.0355700573699127</v>
      </c>
      <c r="X450" s="4">
        <v>-0.0098200591391608</v>
      </c>
      <c r="Y450" s="4">
        <v>-0.0062327885811696</v>
      </c>
      <c r="Z450" s="4">
        <v>-0.0016903093376751</v>
      </c>
      <c r="AA450" s="4">
        <v>-0.0045613342472987</v>
      </c>
      <c r="AB450" s="4">
        <v>-0.0020741139877565</v>
      </c>
      <c r="AC450" s="4">
        <v>0.0</v>
      </c>
      <c r="AD450" s="4">
        <v>-0.0030532766621083</v>
      </c>
      <c r="AE450" s="4">
        <v>0.0030666800761942</v>
      </c>
      <c r="AF450" s="4">
        <v>0.0472322736488781</v>
      </c>
      <c r="AG450" s="4">
        <v>-8.341733278169E-4</v>
      </c>
      <c r="AH450" s="4">
        <v>0.0090634174512136</v>
      </c>
      <c r="AI450" s="4">
        <v>4.557214647888E-4</v>
      </c>
      <c r="AJ450" s="4">
        <v>-0.002417</v>
      </c>
      <c r="AK450" s="4">
        <f>Weights!E506</f>
        <v>0.001690893608</v>
      </c>
      <c r="AL450" s="5">
        <v>-0.00530415327038447</v>
      </c>
      <c r="AM450" s="5">
        <v>-0.00719994477315089</v>
      </c>
      <c r="AN450" s="5">
        <v>0.0104403464343962</v>
      </c>
      <c r="AO450" s="5">
        <v>0.0110537187181496</v>
      </c>
      <c r="AP450" s="6">
        <f t="shared" si="3"/>
        <v>1.400340882</v>
      </c>
      <c r="AQ450" s="4">
        <f t="shared" si="4"/>
        <v>1.346621645</v>
      </c>
      <c r="AR450" s="7">
        <f t="shared" si="5"/>
        <v>1.329969806</v>
      </c>
      <c r="AS450" s="7">
        <f t="shared" ref="AS450:AU450" si="452">AS449*(1+AM450)</f>
        <v>1.415242614</v>
      </c>
      <c r="AT450" s="5">
        <f t="shared" si="452"/>
        <v>1.27066409</v>
      </c>
      <c r="AU450" s="5">
        <f t="shared" si="452"/>
        <v>1.255973017</v>
      </c>
    </row>
    <row r="451" ht="15.75" customHeight="1">
      <c r="A451" s="3">
        <v>44482.0</v>
      </c>
      <c r="B451" s="4">
        <v>0.008182</v>
      </c>
      <c r="C451" s="4">
        <v>3.9E-4</v>
      </c>
      <c r="D451" s="4">
        <v>0.00988</v>
      </c>
      <c r="E451" s="4">
        <v>0.006755</v>
      </c>
      <c r="F451" s="4">
        <v>1.84E-4</v>
      </c>
      <c r="G451" s="4">
        <v>0.009576</v>
      </c>
      <c r="H451" s="4">
        <v>0.002322</v>
      </c>
      <c r="I451" s="4">
        <v>0.006453</v>
      </c>
      <c r="J451" s="4">
        <v>0.011366</v>
      </c>
      <c r="K451" s="4">
        <v>-0.005528</v>
      </c>
      <c r="L451" s="4">
        <v>0.003984</v>
      </c>
      <c r="M451" s="4">
        <v>-0.003542</v>
      </c>
      <c r="N451" s="4">
        <v>0.004013</v>
      </c>
      <c r="O451" s="4">
        <v>0.0</v>
      </c>
      <c r="P451" s="4">
        <v>0.029025</v>
      </c>
      <c r="Q451" s="4">
        <v>0.036424</v>
      </c>
      <c r="R451" s="4">
        <v>0.034961</v>
      </c>
      <c r="S451" s="4">
        <v>0.034563</v>
      </c>
      <c r="T451" s="4">
        <v>0.00743</v>
      </c>
      <c r="U451" s="4">
        <v>0.005713</v>
      </c>
      <c r="V451" s="4">
        <v>0.00737460094892283</v>
      </c>
      <c r="W451" s="4">
        <v>0.0144418662213268</v>
      </c>
      <c r="X451" s="4">
        <v>0.0</v>
      </c>
      <c r="Y451" s="4">
        <v>0.0025223331464525</v>
      </c>
      <c r="Z451" s="4">
        <v>0.0054551742106634</v>
      </c>
      <c r="AA451" s="4">
        <v>-0.0127292978213573</v>
      </c>
      <c r="AB451" s="4">
        <v>-0.0010391535433581</v>
      </c>
      <c r="AC451" s="4">
        <v>0.0</v>
      </c>
      <c r="AD451" s="4">
        <v>0.0</v>
      </c>
      <c r="AE451" s="4">
        <v>0.0034215270353756</v>
      </c>
      <c r="AF451" s="4">
        <v>8.617926677023E-4</v>
      </c>
      <c r="AG451" s="4">
        <v>0.0119245123650304</v>
      </c>
      <c r="AH451" s="4">
        <v>0.055389223694096</v>
      </c>
      <c r="AI451" s="4">
        <v>-0.004096745667083</v>
      </c>
      <c r="AJ451" s="4">
        <v>0.003023</v>
      </c>
      <c r="AK451" s="4">
        <f>Weights!E507</f>
        <v>0.008185488176</v>
      </c>
      <c r="AL451" s="5">
        <v>-0.0017251928672447</v>
      </c>
      <c r="AM451" s="5">
        <v>-7.11938679416657E-4</v>
      </c>
      <c r="AN451" s="5">
        <v>0.00129167885371628</v>
      </c>
      <c r="AO451" s="5">
        <v>7.28659099571649E-4</v>
      </c>
      <c r="AP451" s="6">
        <f t="shared" si="3"/>
        <v>1.411803356</v>
      </c>
      <c r="AQ451" s="4">
        <f t="shared" si="4"/>
        <v>1.350692482</v>
      </c>
      <c r="AR451" s="7">
        <f t="shared" si="5"/>
        <v>1.327675352</v>
      </c>
      <c r="AS451" s="7">
        <f t="shared" ref="AS451:AU451" si="453">AS450*(1+AM451)</f>
        <v>1.414235048</v>
      </c>
      <c r="AT451" s="5">
        <f t="shared" si="453"/>
        <v>1.27230538</v>
      </c>
      <c r="AU451" s="5">
        <f t="shared" si="453"/>
        <v>1.256888193</v>
      </c>
    </row>
    <row r="452" ht="15.75" customHeight="1">
      <c r="A452" s="3">
        <v>44483.0</v>
      </c>
      <c r="B452" s="4">
        <v>0.016682</v>
      </c>
      <c r="C452" s="4">
        <v>0.0111</v>
      </c>
      <c r="D452" s="4">
        <v>0.032114</v>
      </c>
      <c r="E452" s="4">
        <v>0.008038</v>
      </c>
      <c r="F452" s="4">
        <v>0.006822</v>
      </c>
      <c r="G452" s="4">
        <v>0.005716</v>
      </c>
      <c r="H452" s="4">
        <v>0.011303</v>
      </c>
      <c r="I452" s="4">
        <v>0.009974</v>
      </c>
      <c r="J452" s="4">
        <v>0.011238</v>
      </c>
      <c r="K452" s="4">
        <v>0.010532</v>
      </c>
      <c r="L452" s="4">
        <v>0.014712</v>
      </c>
      <c r="M452" s="4">
        <v>0.021839</v>
      </c>
      <c r="N452" s="4">
        <v>0.009993</v>
      </c>
      <c r="O452" s="4">
        <v>0.009395</v>
      </c>
      <c r="P452" s="4">
        <v>0.024836</v>
      </c>
      <c r="Q452" s="4">
        <v>0.01278</v>
      </c>
      <c r="R452" s="4">
        <v>0.036572</v>
      </c>
      <c r="S452" s="4">
        <v>0.040944</v>
      </c>
      <c r="T452" s="4">
        <v>0.00887</v>
      </c>
      <c r="U452" s="4">
        <v>0.018985</v>
      </c>
      <c r="V452" s="4">
        <v>-0.00292822186895314</v>
      </c>
      <c r="W452" s="4">
        <v>-3.847080705356E-4</v>
      </c>
      <c r="X452" s="4">
        <v>0.0</v>
      </c>
      <c r="Y452" s="4">
        <v>-0.0034680602230809</v>
      </c>
      <c r="Z452" s="4">
        <v>0.0042199034933712</v>
      </c>
      <c r="AA452" s="4">
        <v>-0.0022347874953684</v>
      </c>
      <c r="AB452" s="4">
        <v>5.202351670483E-4</v>
      </c>
      <c r="AC452" s="4">
        <v>0.0</v>
      </c>
      <c r="AD452" s="4">
        <v>0.0</v>
      </c>
      <c r="AE452" s="4">
        <v>0.0079801418610809</v>
      </c>
      <c r="AF452" s="4">
        <v>-0.0154994721156679</v>
      </c>
      <c r="AG452" s="4">
        <v>-0.0017675940618668</v>
      </c>
      <c r="AH452" s="4">
        <v>0.0354610444746199</v>
      </c>
      <c r="AI452" s="4">
        <v>-0.0048109447647554</v>
      </c>
      <c r="AJ452" s="4">
        <v>0.017063</v>
      </c>
      <c r="AK452" s="4">
        <f>Weights!E508</f>
        <v>0.009186217758</v>
      </c>
      <c r="AL452" s="5">
        <v>0.00565597575204179</v>
      </c>
      <c r="AM452" s="5">
        <v>0.00454126988899528</v>
      </c>
      <c r="AN452" s="5">
        <v>-3.22486040370106E-4</v>
      </c>
      <c r="AO452" s="5">
        <v>2.43017912393783E-4</v>
      </c>
      <c r="AP452" s="6">
        <f t="shared" si="3"/>
        <v>1.424772489</v>
      </c>
      <c r="AQ452" s="4">
        <f t="shared" si="4"/>
        <v>1.373739348</v>
      </c>
      <c r="AR452" s="7">
        <f t="shared" si="5"/>
        <v>1.335184651</v>
      </c>
      <c r="AS452" s="7">
        <f t="shared" ref="AS452:AU452" si="454">AS451*(1+AM452)</f>
        <v>1.420657471</v>
      </c>
      <c r="AT452" s="5">
        <f t="shared" si="454"/>
        <v>1.271895079</v>
      </c>
      <c r="AU452" s="5">
        <f t="shared" si="454"/>
        <v>1.257193639</v>
      </c>
    </row>
    <row r="453" ht="15.75" customHeight="1">
      <c r="A453" s="3">
        <v>44484.0</v>
      </c>
      <c r="B453" s="4">
        <v>0.002217</v>
      </c>
      <c r="C453" s="4">
        <v>0.006741</v>
      </c>
      <c r="D453" s="4">
        <v>0.010921</v>
      </c>
      <c r="E453" s="4">
        <v>-0.002826</v>
      </c>
      <c r="F453" s="4">
        <v>-0.002381</v>
      </c>
      <c r="G453" s="4">
        <v>0.007432</v>
      </c>
      <c r="H453" s="4">
        <v>0.002569</v>
      </c>
      <c r="I453" s="4">
        <v>7.05E-4</v>
      </c>
      <c r="J453" s="4">
        <v>-0.006319</v>
      </c>
      <c r="K453" s="4">
        <v>0.017805</v>
      </c>
      <c r="L453" s="4">
        <v>0.0062</v>
      </c>
      <c r="M453" s="4">
        <v>0.002982</v>
      </c>
      <c r="N453" s="4">
        <v>0.005037</v>
      </c>
      <c r="O453" s="4">
        <v>0.003417</v>
      </c>
      <c r="P453" s="4">
        <v>-0.012809</v>
      </c>
      <c r="Q453" s="4">
        <v>-0.014721</v>
      </c>
      <c r="R453" s="4">
        <v>0.040668</v>
      </c>
      <c r="S453" s="4">
        <v>-0.010376</v>
      </c>
      <c r="T453" s="4">
        <v>0.005433</v>
      </c>
      <c r="U453" s="4">
        <v>-0.009621</v>
      </c>
      <c r="V453" s="4">
        <v>0.0308369253185241</v>
      </c>
      <c r="W453" s="4">
        <v>-0.0034643638281158</v>
      </c>
      <c r="X453" s="4">
        <v>-0.0032840322170938</v>
      </c>
      <c r="Y453" s="4">
        <v>0.0118730219814806</v>
      </c>
      <c r="Z453" s="4">
        <v>0.0145275769390034</v>
      </c>
      <c r="AA453" s="4">
        <v>-0.0082701892559492</v>
      </c>
      <c r="AB453" s="4">
        <v>0.005198703812477</v>
      </c>
      <c r="AC453" s="4">
        <v>0.0063795285337444</v>
      </c>
      <c r="AD453" s="4">
        <v>-0.0186045594510855</v>
      </c>
      <c r="AE453" s="4">
        <v>0.010148223767215</v>
      </c>
      <c r="AF453" s="4">
        <v>0.0026238909037996</v>
      </c>
      <c r="AG453" s="4">
        <v>0.0121593883632229</v>
      </c>
      <c r="AH453" s="4">
        <v>0.0164383073979648</v>
      </c>
      <c r="AI453" s="4">
        <v>0.0013814008747201</v>
      </c>
      <c r="AJ453" s="4">
        <v>0.00746</v>
      </c>
      <c r="AK453" s="4">
        <f>Weights!E509</f>
        <v>0.004626550141</v>
      </c>
      <c r="AL453" s="5">
        <v>0.0159349572375642</v>
      </c>
      <c r="AM453" s="5">
        <v>0.0166209670660713</v>
      </c>
      <c r="AN453" s="5">
        <v>0.00741936633975859</v>
      </c>
      <c r="AO453" s="5">
        <v>0.0084951329089844</v>
      </c>
      <c r="AP453" s="6">
        <f t="shared" si="3"/>
        <v>1.43136427</v>
      </c>
      <c r="AQ453" s="4">
        <f t="shared" si="4"/>
        <v>1.383987443</v>
      </c>
      <c r="AR453" s="7">
        <f t="shared" si="5"/>
        <v>1.356460762</v>
      </c>
      <c r="AS453" s="7">
        <f t="shared" ref="AS453:AU453" si="455">AS452*(1+AM453)</f>
        <v>1.444270172</v>
      </c>
      <c r="AT453" s="5">
        <f t="shared" si="455"/>
        <v>1.281331735</v>
      </c>
      <c r="AU453" s="5">
        <f t="shared" si="455"/>
        <v>1.267873666</v>
      </c>
    </row>
    <row r="454" ht="15.75" customHeight="1">
      <c r="A454" s="3">
        <v>44487.0</v>
      </c>
      <c r="B454" s="4">
        <v>-0.003097</v>
      </c>
      <c r="C454" s="4">
        <v>-0.006887</v>
      </c>
      <c r="D454" s="4">
        <v>-0.006523</v>
      </c>
      <c r="E454" s="4">
        <v>-0.004534</v>
      </c>
      <c r="F454" s="4">
        <v>-0.009912</v>
      </c>
      <c r="G454" s="4">
        <v>-0.007316</v>
      </c>
      <c r="H454" s="4">
        <v>-0.014402</v>
      </c>
      <c r="I454" s="4">
        <v>0.002115</v>
      </c>
      <c r="J454" s="4">
        <v>-0.00307</v>
      </c>
      <c r="K454" s="4">
        <v>0.003414</v>
      </c>
      <c r="L454" s="4">
        <v>0.004266</v>
      </c>
      <c r="M454" s="4">
        <v>-0.002478</v>
      </c>
      <c r="N454" s="4">
        <v>-0.002506</v>
      </c>
      <c r="O454" s="4">
        <v>0.005871</v>
      </c>
      <c r="P454" s="4">
        <v>-0.011397</v>
      </c>
      <c r="Q454" s="4">
        <v>-0.014941</v>
      </c>
      <c r="R454" s="4">
        <v>-0.002588</v>
      </c>
      <c r="S454" s="4">
        <v>-0.004389</v>
      </c>
      <c r="T454" s="4">
        <v>0.007369</v>
      </c>
      <c r="U454" s="4">
        <v>0.002853</v>
      </c>
      <c r="V454" s="4">
        <v>-0.0018991185707371</v>
      </c>
      <c r="W454" s="4">
        <v>-0.0281961310532965</v>
      </c>
      <c r="X454" s="4">
        <v>0.0</v>
      </c>
      <c r="Y454" s="4">
        <v>-0.0078898287389852</v>
      </c>
      <c r="Z454" s="4">
        <v>-0.0057987780723391</v>
      </c>
      <c r="AA454" s="4">
        <v>-0.0052119924355411</v>
      </c>
      <c r="AB454" s="4">
        <v>-0.0090509143536213</v>
      </c>
      <c r="AC454" s="4">
        <v>-0.0221868798281954</v>
      </c>
      <c r="AD454" s="4">
        <v>-0.0157979460296482</v>
      </c>
      <c r="AE454" s="4">
        <v>-0.0213750280346876</v>
      </c>
      <c r="AF454" s="4">
        <v>-0.0279151607110383</v>
      </c>
      <c r="AG454" s="4">
        <v>-9.330874339108E-4</v>
      </c>
      <c r="AH454" s="4">
        <v>0.03369277130597</v>
      </c>
      <c r="AI454" s="4">
        <v>-0.0036783205170656</v>
      </c>
      <c r="AJ454" s="4">
        <v>0.003375</v>
      </c>
      <c r="AK454" s="4">
        <f>Weights!E510</f>
        <v>-0.003912673608</v>
      </c>
      <c r="AL454" s="5">
        <v>0.00722738917967058</v>
      </c>
      <c r="AM454" s="5">
        <v>0.00592936287651735</v>
      </c>
      <c r="AN454" s="5">
        <v>0.00992650694988617</v>
      </c>
      <c r="AO454" s="5">
        <v>0.0103490374718477</v>
      </c>
      <c r="AP454" s="6">
        <f t="shared" si="3"/>
        <v>1.425763809</v>
      </c>
      <c r="AQ454" s="4">
        <f t="shared" si="4"/>
        <v>1.388658401</v>
      </c>
      <c r="AR454" s="7">
        <f t="shared" si="5"/>
        <v>1.366264431</v>
      </c>
      <c r="AS454" s="7">
        <f t="shared" ref="AS454:AU454" si="456">AS453*(1+AM454)</f>
        <v>1.452833774</v>
      </c>
      <c r="AT454" s="5">
        <f t="shared" si="456"/>
        <v>1.294050883</v>
      </c>
      <c r="AU454" s="5">
        <f t="shared" si="456"/>
        <v>1.280994938</v>
      </c>
    </row>
    <row r="455" ht="15.75" customHeight="1">
      <c r="A455" s="3">
        <v>44488.0</v>
      </c>
      <c r="B455" s="4">
        <v>-4.44E-4</v>
      </c>
      <c r="C455" s="4">
        <v>0.008476</v>
      </c>
      <c r="D455" s="4">
        <v>0.002667</v>
      </c>
      <c r="E455" s="4">
        <v>0.012714</v>
      </c>
      <c r="F455" s="4">
        <v>0.003893</v>
      </c>
      <c r="G455" s="4">
        <v>0.02342</v>
      </c>
      <c r="H455" s="4">
        <v>-0.011803</v>
      </c>
      <c r="I455" s="4">
        <v>0.005627</v>
      </c>
      <c r="J455" s="4">
        <v>-0.014078</v>
      </c>
      <c r="K455" s="4">
        <v>0.016159</v>
      </c>
      <c r="L455" s="4">
        <v>0.00472</v>
      </c>
      <c r="M455" s="4">
        <v>0.005465</v>
      </c>
      <c r="N455" s="4">
        <v>0.004486</v>
      </c>
      <c r="O455" s="4">
        <v>0.012335</v>
      </c>
      <c r="P455" s="4">
        <v>0.010819</v>
      </c>
      <c r="Q455" s="4">
        <v>0.017335</v>
      </c>
      <c r="R455" s="4">
        <v>0.008044</v>
      </c>
      <c r="S455" s="4">
        <v>0.010287</v>
      </c>
      <c r="T455" s="4">
        <v>0.00751</v>
      </c>
      <c r="U455" s="4">
        <v>0.001691</v>
      </c>
      <c r="V455" s="4">
        <v>-0.00523335659062795</v>
      </c>
      <c r="W455" s="4">
        <v>0.0160969008792237</v>
      </c>
      <c r="X455" s="4">
        <v>-0.0032949594319869</v>
      </c>
      <c r="Y455" s="4">
        <v>0.0031948153625525</v>
      </c>
      <c r="Z455" s="4">
        <v>0.0022614628368506</v>
      </c>
      <c r="AA455" s="4">
        <v>0.0036676880170247</v>
      </c>
      <c r="AB455" s="4">
        <v>0.004958054241156</v>
      </c>
      <c r="AC455" s="4">
        <v>0.0</v>
      </c>
      <c r="AD455" s="4">
        <v>-0.0064203940867121</v>
      </c>
      <c r="AE455" s="4">
        <v>0.0018202579012531</v>
      </c>
      <c r="AF455" s="4">
        <v>0.0062818673377535</v>
      </c>
      <c r="AG455" s="4">
        <v>0.0131916581237512</v>
      </c>
      <c r="AH455" s="4">
        <v>0.0045632133663606</v>
      </c>
      <c r="AI455" s="4">
        <v>0.0</v>
      </c>
      <c r="AJ455" s="4">
        <v>0.007393</v>
      </c>
      <c r="AK455" s="4">
        <f>Weights!E511</f>
        <v>0.004399894267</v>
      </c>
      <c r="AL455" s="5">
        <v>0.00145044889110201</v>
      </c>
      <c r="AM455" s="5">
        <v>0.00364054988038353</v>
      </c>
      <c r="AN455" s="5">
        <v>0.00697513587333031</v>
      </c>
      <c r="AO455" s="5">
        <v>0.00524053655283318</v>
      </c>
      <c r="AP455" s="6">
        <f t="shared" si="3"/>
        <v>1.432037019</v>
      </c>
      <c r="AQ455" s="4">
        <f t="shared" si="4"/>
        <v>1.398924752</v>
      </c>
      <c r="AR455" s="7">
        <f t="shared" si="5"/>
        <v>1.368246128</v>
      </c>
      <c r="AS455" s="7">
        <f t="shared" ref="AS455:AU455" si="457">AS454*(1+AM455)</f>
        <v>1.458122888</v>
      </c>
      <c r="AT455" s="5">
        <f t="shared" si="457"/>
        <v>1.303077064</v>
      </c>
      <c r="AU455" s="5">
        <f t="shared" si="457"/>
        <v>1.287708039</v>
      </c>
    </row>
    <row r="456" ht="15.75" customHeight="1">
      <c r="A456" s="3">
        <v>44489.0</v>
      </c>
      <c r="B456" s="4">
        <v>0.001776</v>
      </c>
      <c r="C456" s="4">
        <v>0.024069</v>
      </c>
      <c r="D456" s="4">
        <v>0.015756</v>
      </c>
      <c r="E456" s="4">
        <v>0.007558</v>
      </c>
      <c r="F456" s="4">
        <v>0.008864</v>
      </c>
      <c r="G456" s="4">
        <v>-5.49E-4</v>
      </c>
      <c r="H456" s="4">
        <v>0.00391</v>
      </c>
      <c r="I456" s="4">
        <v>0.006762</v>
      </c>
      <c r="J456" s="4">
        <v>0.004239</v>
      </c>
      <c r="K456" s="4">
        <v>0.008509</v>
      </c>
      <c r="L456" s="4">
        <v>0.00761</v>
      </c>
      <c r="M456" s="4">
        <v>0.004941</v>
      </c>
      <c r="N456" s="4">
        <v>0.011254</v>
      </c>
      <c r="O456" s="4">
        <v>0.004959</v>
      </c>
      <c r="P456" s="4">
        <v>0.002983</v>
      </c>
      <c r="Q456" s="4">
        <v>0.00639</v>
      </c>
      <c r="R456" s="4">
        <v>0.002059</v>
      </c>
      <c r="S456" s="4">
        <v>-0.001697</v>
      </c>
      <c r="T456" s="4">
        <v>0.018006</v>
      </c>
      <c r="U456" s="4">
        <v>0.005449</v>
      </c>
      <c r="V456" s="4">
        <v>0.0162603546448691</v>
      </c>
      <c r="W456" s="4">
        <v>0.0258166630600347</v>
      </c>
      <c r="X456" s="4">
        <v>0.0132231939902249</v>
      </c>
      <c r="Y456" s="4">
        <v>-0.0054882305371566</v>
      </c>
      <c r="Z456" s="4">
        <v>-0.0176958449891985</v>
      </c>
      <c r="AA456" s="4">
        <v>-0.0019142609086996</v>
      </c>
      <c r="AB456" s="4">
        <v>7.791371144754E-4</v>
      </c>
      <c r="AC456" s="4">
        <v>0.0178281139447944</v>
      </c>
      <c r="AD456" s="4">
        <v>0.0258480731358701</v>
      </c>
      <c r="AE456" s="4">
        <v>-0.0073401521688654</v>
      </c>
      <c r="AF456" s="4">
        <v>0.0056479717772066</v>
      </c>
      <c r="AG456" s="4">
        <v>-0.0222377939692435</v>
      </c>
      <c r="AH456" s="4">
        <v>-0.0077871282590609</v>
      </c>
      <c r="AI456" s="4">
        <v>-9.232261407038E-4</v>
      </c>
      <c r="AJ456" s="4">
        <v>0.003664</v>
      </c>
      <c r="AK456" s="4">
        <f>Weights!E512</f>
        <v>0.003850756061</v>
      </c>
      <c r="AL456" s="5">
        <v>0.00701272705390509</v>
      </c>
      <c r="AM456" s="5">
        <v>0.00729794576855646</v>
      </c>
      <c r="AN456" s="5">
        <v>0.00377838102381322</v>
      </c>
      <c r="AO456" s="5">
        <v>0.00260680892873188</v>
      </c>
      <c r="AP456" s="6">
        <f t="shared" si="3"/>
        <v>1.437551444</v>
      </c>
      <c r="AQ456" s="4">
        <f t="shared" si="4"/>
        <v>1.404050413</v>
      </c>
      <c r="AR456" s="7">
        <f t="shared" si="5"/>
        <v>1.377841265</v>
      </c>
      <c r="AS456" s="7">
        <f t="shared" ref="AS456:AU456" si="458">AS455*(1+AM456)</f>
        <v>1.46876419</v>
      </c>
      <c r="AT456" s="5">
        <f t="shared" si="458"/>
        <v>1.308000586</v>
      </c>
      <c r="AU456" s="5">
        <f t="shared" si="458"/>
        <v>1.291064848</v>
      </c>
    </row>
    <row r="457" ht="15.75" customHeight="1">
      <c r="A457" s="3">
        <v>44490.0</v>
      </c>
      <c r="B457" s="4">
        <v>-0.003989</v>
      </c>
      <c r="C457" s="4">
        <v>-0.004104</v>
      </c>
      <c r="D457" s="4">
        <v>-0.020548</v>
      </c>
      <c r="E457" s="4">
        <v>-0.013204</v>
      </c>
      <c r="F457" s="4">
        <v>-0.005125</v>
      </c>
      <c r="G457" s="4">
        <v>-0.00232</v>
      </c>
      <c r="H457" s="4">
        <v>-0.007154</v>
      </c>
      <c r="I457" s="4">
        <v>-0.015285</v>
      </c>
      <c r="J457" s="4">
        <v>-0.009998</v>
      </c>
      <c r="K457" s="4">
        <v>-0.00816</v>
      </c>
      <c r="L457" s="4">
        <v>-0.002611</v>
      </c>
      <c r="M457" s="4">
        <v>-0.004916</v>
      </c>
      <c r="N457" s="4">
        <v>0.001413</v>
      </c>
      <c r="O457" s="4">
        <v>0.006081</v>
      </c>
      <c r="P457" s="4">
        <v>3.5E-4</v>
      </c>
      <c r="Q457" s="4">
        <v>-0.007407</v>
      </c>
      <c r="R457" s="4">
        <v>-0.0131</v>
      </c>
      <c r="S457" s="4">
        <v>0.004857</v>
      </c>
      <c r="T457" s="4">
        <v>-0.029384</v>
      </c>
      <c r="U457" s="4">
        <v>0.014885</v>
      </c>
      <c r="V457" s="4">
        <v>-9.41126491243671E-4</v>
      </c>
      <c r="W457" s="4">
        <v>-0.0072449792203581</v>
      </c>
      <c r="X457" s="4">
        <v>0.0</v>
      </c>
      <c r="Y457" s="4">
        <v>0.0157377258898612</v>
      </c>
      <c r="Z457" s="4">
        <v>0.0132993804438652</v>
      </c>
      <c r="AA457" s="4">
        <v>0.0012203773737538</v>
      </c>
      <c r="AB457" s="4">
        <v>0.0025947488597903</v>
      </c>
      <c r="AC457" s="4">
        <v>0.0</v>
      </c>
      <c r="AD457" s="4">
        <v>0.0</v>
      </c>
      <c r="AE457" s="4">
        <v>-0.0048321135644745</v>
      </c>
      <c r="AF457" s="4">
        <v>-0.0331065289689168</v>
      </c>
      <c r="AG457" s="4">
        <v>-0.0093093018693332</v>
      </c>
      <c r="AH457" s="4">
        <v>-0.032701157678879</v>
      </c>
      <c r="AI457" s="4">
        <v>0.0023097459460355</v>
      </c>
      <c r="AJ457" s="4">
        <v>0.002996</v>
      </c>
      <c r="AK457" s="4">
        <f>Weights!E513</f>
        <v>-0.005519203899</v>
      </c>
      <c r="AL457" s="5">
        <v>0.00310333178319499</v>
      </c>
      <c r="AM457" s="5">
        <v>0.00390139390443988</v>
      </c>
      <c r="AN457" s="5">
        <v>0.00439139636862195</v>
      </c>
      <c r="AO457" s="5">
        <v>0.00472679257035602</v>
      </c>
      <c r="AP457" s="6">
        <f t="shared" si="3"/>
        <v>1.429617304</v>
      </c>
      <c r="AQ457" s="4">
        <f t="shared" si="4"/>
        <v>1.408256948</v>
      </c>
      <c r="AR457" s="7">
        <f t="shared" si="5"/>
        <v>1.382117163</v>
      </c>
      <c r="AS457" s="7">
        <f t="shared" ref="AS457:AU457" si="459">AS456*(1+AM457)</f>
        <v>1.474494417</v>
      </c>
      <c r="AT457" s="5">
        <f t="shared" si="459"/>
        <v>1.313744535</v>
      </c>
      <c r="AU457" s="5">
        <f t="shared" si="459"/>
        <v>1.297167444</v>
      </c>
    </row>
    <row r="458" ht="15.75" customHeight="1">
      <c r="A458" s="3">
        <v>44491.0</v>
      </c>
      <c r="B458" s="4">
        <v>0.00267</v>
      </c>
      <c r="C458" s="4">
        <v>-0.008616</v>
      </c>
      <c r="D458" s="4">
        <v>-0.002674</v>
      </c>
      <c r="E458" s="4">
        <v>0.004963</v>
      </c>
      <c r="F458" s="4">
        <v>0.00184</v>
      </c>
      <c r="G458" s="4">
        <v>0.001958</v>
      </c>
      <c r="H458" s="4">
        <v>0.010766</v>
      </c>
      <c r="I458" s="4">
        <v>0.006585</v>
      </c>
      <c r="J458" s="4">
        <v>-6.73E-4</v>
      </c>
      <c r="K458" s="4">
        <v>0.005299</v>
      </c>
      <c r="L458" s="4">
        <v>0.007292</v>
      </c>
      <c r="M458" s="4">
        <v>0.00247</v>
      </c>
      <c r="N458" s="4">
        <v>0.006174</v>
      </c>
      <c r="O458" s="4">
        <v>0.016956</v>
      </c>
      <c r="P458" s="4">
        <v>0.00752</v>
      </c>
      <c r="Q458" s="4">
        <v>0.029851</v>
      </c>
      <c r="R458" s="4">
        <v>-0.019521</v>
      </c>
      <c r="S458" s="4">
        <v>-2.42E-4</v>
      </c>
      <c r="T458" s="4">
        <v>0.002547</v>
      </c>
      <c r="U458" s="4">
        <v>0.009477</v>
      </c>
      <c r="V458" s="4">
        <v>0.0136598226080826</v>
      </c>
      <c r="W458" s="4">
        <v>-0.0049934055384462</v>
      </c>
      <c r="X458" s="4">
        <v>0.016207362099345</v>
      </c>
      <c r="Y458" s="4">
        <v>-0.014018190207936</v>
      </c>
      <c r="Z458" s="4">
        <v>-0.0033407484115708</v>
      </c>
      <c r="AA458" s="4">
        <v>0.008880460240404</v>
      </c>
      <c r="AB458" s="4">
        <v>-2.589558903195E-4</v>
      </c>
      <c r="AC458" s="4">
        <v>-0.0080128215532752</v>
      </c>
      <c r="AD458" s="4">
        <v>-0.0228012199364808</v>
      </c>
      <c r="AE458" s="4">
        <v>-0.0184653694100732</v>
      </c>
      <c r="AF458" s="4">
        <v>0.0018342403836251</v>
      </c>
      <c r="AG458" s="4">
        <v>-0.0030926469477469</v>
      </c>
      <c r="AH458" s="4">
        <v>0.0013522476593592</v>
      </c>
      <c r="AI458" s="4">
        <v>0.0</v>
      </c>
      <c r="AJ458" s="4">
        <v>-0.001073</v>
      </c>
      <c r="AK458" s="4">
        <f>Weights!E514</f>
        <v>0.001742749569</v>
      </c>
      <c r="AL458" s="5">
        <v>9.80930154958814E-4</v>
      </c>
      <c r="AM458" s="5">
        <v>0.00273304450198974</v>
      </c>
      <c r="AN458" s="5">
        <v>0.00437232882642368</v>
      </c>
      <c r="AO458" s="5">
        <v>0.00446948174989003</v>
      </c>
      <c r="AP458" s="6">
        <f t="shared" si="3"/>
        <v>1.432108769</v>
      </c>
      <c r="AQ458" s="4">
        <f t="shared" si="4"/>
        <v>1.406745888</v>
      </c>
      <c r="AR458" s="7">
        <f t="shared" si="5"/>
        <v>1.383472924</v>
      </c>
      <c r="AS458" s="7">
        <f t="shared" ref="AS458:AU458" si="460">AS457*(1+AM458)</f>
        <v>1.478524276</v>
      </c>
      <c r="AT458" s="5">
        <f t="shared" si="460"/>
        <v>1.319488658</v>
      </c>
      <c r="AU458" s="5">
        <f t="shared" si="460"/>
        <v>1.30296511</v>
      </c>
    </row>
    <row r="459" ht="15.75" customHeight="1">
      <c r="A459" s="3">
        <v>44494.0</v>
      </c>
      <c r="B459" s="4">
        <v>0.003995</v>
      </c>
      <c r="C459" s="4">
        <v>-0.006612</v>
      </c>
      <c r="D459" s="4">
        <v>-0.058363</v>
      </c>
      <c r="E459" s="4">
        <v>-0.004688</v>
      </c>
      <c r="F459" s="4">
        <v>-0.00404</v>
      </c>
      <c r="G459" s="4">
        <v>0.002199</v>
      </c>
      <c r="H459" s="4">
        <v>1.42E-4</v>
      </c>
      <c r="I459" s="4">
        <v>-0.003271</v>
      </c>
      <c r="J459" s="4">
        <v>-2.25E-4</v>
      </c>
      <c r="K459" s="4">
        <v>0.002774</v>
      </c>
      <c r="L459" s="4">
        <v>6.79E-4</v>
      </c>
      <c r="M459" s="4">
        <v>-9.86E-4</v>
      </c>
      <c r="N459" s="4">
        <v>0.001402</v>
      </c>
      <c r="O459" s="4">
        <v>0.001794</v>
      </c>
      <c r="P459" s="4">
        <v>0.005207</v>
      </c>
      <c r="Q459" s="4">
        <v>0.008282</v>
      </c>
      <c r="R459" s="4">
        <v>0.044332</v>
      </c>
      <c r="S459" s="4">
        <v>0.006043</v>
      </c>
      <c r="T459" s="4">
        <v>0.069286</v>
      </c>
      <c r="U459" s="4">
        <v>-0.016541</v>
      </c>
      <c r="V459" s="4">
        <v>0.00604085570949264</v>
      </c>
      <c r="W459" s="4">
        <v>0.0042464295612951</v>
      </c>
      <c r="X459" s="4">
        <v>0.0223286909714051</v>
      </c>
      <c r="Y459" s="4">
        <v>0.0084355171188299</v>
      </c>
      <c r="Z459" s="4">
        <v>0.0104154074451103</v>
      </c>
      <c r="AA459" s="4">
        <v>-0.0032793966851897</v>
      </c>
      <c r="AB459" s="4">
        <v>0.0012945280078118</v>
      </c>
      <c r="AC459" s="4">
        <v>-0.0048465563786508</v>
      </c>
      <c r="AD459" s="4">
        <v>-0.0216668539369048</v>
      </c>
      <c r="AE459" s="4">
        <v>-0.0079446619093619</v>
      </c>
      <c r="AF459" s="4">
        <v>0.0094597563391125</v>
      </c>
      <c r="AG459" s="4">
        <v>-0.0020286629455137</v>
      </c>
      <c r="AH459" s="4">
        <v>0.0324106002739317</v>
      </c>
      <c r="AI459" s="4">
        <v>-0.0023044233136287</v>
      </c>
      <c r="AJ459" s="4">
        <v>0.004748</v>
      </c>
      <c r="AK459" s="4">
        <f>Weights!E515</f>
        <v>0.003663770976</v>
      </c>
      <c r="AL459" s="5">
        <v>6.78566375639455E-4</v>
      </c>
      <c r="AM459" s="5">
        <v>-0.00191662680256388</v>
      </c>
      <c r="AN459" s="5">
        <v>0.00155463976988579</v>
      </c>
      <c r="AO459" s="5">
        <v>0.00140515594057677</v>
      </c>
      <c r="AP459" s="6">
        <f t="shared" si="3"/>
        <v>1.437355688</v>
      </c>
      <c r="AQ459" s="4">
        <f t="shared" si="4"/>
        <v>1.413425118</v>
      </c>
      <c r="AR459" s="7">
        <f t="shared" si="5"/>
        <v>1.384411702</v>
      </c>
      <c r="AS459" s="7">
        <f t="shared" ref="AS459:AU459" si="461">AS458*(1+AM459)</f>
        <v>1.475690497</v>
      </c>
      <c r="AT459" s="5">
        <f t="shared" si="461"/>
        <v>1.321539987</v>
      </c>
      <c r="AU459" s="5">
        <f t="shared" si="461"/>
        <v>1.304795979</v>
      </c>
    </row>
    <row r="460" ht="15.75" customHeight="1">
      <c r="A460" s="3">
        <v>44495.0</v>
      </c>
      <c r="B460" s="4">
        <v>0.001326</v>
      </c>
      <c r="C460" s="4">
        <v>0.009509</v>
      </c>
      <c r="D460" s="4">
        <v>-0.004161</v>
      </c>
      <c r="E460" s="4">
        <v>0.012247</v>
      </c>
      <c r="F460" s="4">
        <v>0.004426</v>
      </c>
      <c r="G460" s="4">
        <v>0.010178</v>
      </c>
      <c r="H460" s="4">
        <v>0.0142</v>
      </c>
      <c r="I460" s="4">
        <v>-0.00211</v>
      </c>
      <c r="J460" s="4">
        <v>0.001797</v>
      </c>
      <c r="K460" s="4">
        <v>0.008023</v>
      </c>
      <c r="L460" s="4">
        <v>0.001029</v>
      </c>
      <c r="M460" s="4">
        <v>-9.87E-4</v>
      </c>
      <c r="N460" s="4">
        <v>0.006653</v>
      </c>
      <c r="O460" s="4">
        <v>-9.7E-4</v>
      </c>
      <c r="P460" s="4">
        <v>-0.003626</v>
      </c>
      <c r="Q460" s="4">
        <v>0.004107</v>
      </c>
      <c r="R460" s="4">
        <v>-0.012456</v>
      </c>
      <c r="S460" s="4">
        <v>-0.010572</v>
      </c>
      <c r="T460" s="4">
        <v>0.01837</v>
      </c>
      <c r="U460" s="4">
        <v>6.06E-4</v>
      </c>
      <c r="V460" s="4">
        <v>-0.00184747708921728</v>
      </c>
      <c r="W460" s="4">
        <v>-0.0290218682884679</v>
      </c>
      <c r="X460" s="4">
        <v>0.0078001655779018</v>
      </c>
      <c r="Y460" s="4">
        <v>0.0013487733158263</v>
      </c>
      <c r="Z460" s="4">
        <v>0.018364799116374</v>
      </c>
      <c r="AA460" s="4">
        <v>0.008658182572288</v>
      </c>
      <c r="AB460" s="4">
        <v>-5.17024536102E-4</v>
      </c>
      <c r="AC460" s="4">
        <v>-0.0081168844217949</v>
      </c>
      <c r="AD460" s="4">
        <v>0.0238503843803956</v>
      </c>
      <c r="AE460" s="4">
        <v>6.799509231907E-4</v>
      </c>
      <c r="AF460" s="4">
        <v>-0.0148125774719292</v>
      </c>
      <c r="AG460" s="4">
        <v>-0.0058582352439288</v>
      </c>
      <c r="AH460" s="4">
        <v>-0.0032701079713356</v>
      </c>
      <c r="AI460" s="4">
        <v>0.0</v>
      </c>
      <c r="AJ460" s="4">
        <v>0.00182</v>
      </c>
      <c r="AK460" s="4">
        <f>Weights!E516</f>
        <v>0.001245463148</v>
      </c>
      <c r="AL460" s="5">
        <v>0.00278758764573261</v>
      </c>
      <c r="AM460" s="5">
        <v>0.00614457176666616</v>
      </c>
      <c r="AN460" s="5">
        <v>6.20943335956747E-4</v>
      </c>
      <c r="AO460" s="5">
        <v>4.67794099298313E-4</v>
      </c>
      <c r="AP460" s="6">
        <f t="shared" si="3"/>
        <v>1.439145861</v>
      </c>
      <c r="AQ460" s="4">
        <f t="shared" si="4"/>
        <v>1.415997551</v>
      </c>
      <c r="AR460" s="7">
        <f t="shared" si="5"/>
        <v>1.388270871</v>
      </c>
      <c r="AS460" s="7">
        <f t="shared" ref="AS460:AU460" si="462">AS459*(1+AM460)</f>
        <v>1.484757983</v>
      </c>
      <c r="AT460" s="5">
        <f t="shared" si="462"/>
        <v>1.322360589</v>
      </c>
      <c r="AU460" s="5">
        <f t="shared" si="462"/>
        <v>1.305406355</v>
      </c>
    </row>
    <row r="461" ht="15.75" customHeight="1">
      <c r="A461" s="3">
        <v>44496.0</v>
      </c>
      <c r="B461" s="4">
        <v>0.006181</v>
      </c>
      <c r="C461" s="4">
        <v>-0.008478</v>
      </c>
      <c r="D461" s="4">
        <v>0.035408</v>
      </c>
      <c r="E461" s="4">
        <v>-0.003475</v>
      </c>
      <c r="F461" s="4">
        <v>0.019277</v>
      </c>
      <c r="G461" s="4">
        <v>-0.012127</v>
      </c>
      <c r="H461" s="4">
        <v>-0.00714</v>
      </c>
      <c r="I461" s="4">
        <v>-0.009631</v>
      </c>
      <c r="J461" s="4">
        <v>-0.002018</v>
      </c>
      <c r="K461" s="4">
        <v>-0.003705</v>
      </c>
      <c r="L461" s="4">
        <v>-0.010368</v>
      </c>
      <c r="M461" s="4">
        <v>-0.015802</v>
      </c>
      <c r="N461" s="4">
        <v>-8.7E-4</v>
      </c>
      <c r="O461" s="4">
        <v>0.001494</v>
      </c>
      <c r="P461" s="4">
        <v>-0.002773</v>
      </c>
      <c r="Q461" s="4">
        <v>-0.009202</v>
      </c>
      <c r="R461" s="4">
        <v>-0.047619</v>
      </c>
      <c r="S461" s="4">
        <v>0.002186</v>
      </c>
      <c r="T461" s="4">
        <v>-0.028987</v>
      </c>
      <c r="U461" s="4">
        <v>-0.008026</v>
      </c>
      <c r="V461" s="4">
        <v>0.0217491097128621</v>
      </c>
      <c r="W461" s="4">
        <v>0.0516627400215081</v>
      </c>
      <c r="X461" s="4">
        <v>0.0092880136318809</v>
      </c>
      <c r="Y461" s="4">
        <v>-0.0117219601303497</v>
      </c>
      <c r="Z461" s="4">
        <v>-0.0044211109799697</v>
      </c>
      <c r="AA461" s="4">
        <v>-1.716644931789E-4</v>
      </c>
      <c r="AB461" s="4">
        <v>0.0046557451719511</v>
      </c>
      <c r="AC461" s="4">
        <v>-0.0147299680222139</v>
      </c>
      <c r="AD461" s="4">
        <v>0.008319221702806</v>
      </c>
      <c r="AE461" s="4">
        <v>0.0110229233163956</v>
      </c>
      <c r="AF461" s="4">
        <v>0.011117703344261</v>
      </c>
      <c r="AG461" s="4">
        <v>0.0126278196852722</v>
      </c>
      <c r="AH461" s="4">
        <v>0.0308398489734118</v>
      </c>
      <c r="AI461" s="4">
        <v>-9.236772827746E-4</v>
      </c>
      <c r="AJ461" s="4">
        <v>-0.005052</v>
      </c>
      <c r="AK461" s="4">
        <f>Weights!E517</f>
        <v>0.001411095824</v>
      </c>
      <c r="AL461" s="5">
        <v>0.00135213920830157</v>
      </c>
      <c r="AM461" s="5">
        <v>-3.81852357604239E-4</v>
      </c>
      <c r="AN461" s="5">
        <v>0.0027924451999497</v>
      </c>
      <c r="AO461" s="5">
        <v>0.00327243371990459</v>
      </c>
      <c r="AP461" s="6">
        <f t="shared" si="3"/>
        <v>1.441176634</v>
      </c>
      <c r="AQ461" s="4">
        <f t="shared" si="4"/>
        <v>1.408843932</v>
      </c>
      <c r="AR461" s="7">
        <f t="shared" si="5"/>
        <v>1.390148006</v>
      </c>
      <c r="AS461" s="7">
        <f t="shared" ref="AS461:AU461" si="463">AS460*(1+AM461)</f>
        <v>1.484191025</v>
      </c>
      <c r="AT461" s="5">
        <f t="shared" si="463"/>
        <v>1.326053208</v>
      </c>
      <c r="AU461" s="5">
        <f t="shared" si="463"/>
        <v>1.309678211</v>
      </c>
    </row>
    <row r="462" ht="15.75" customHeight="1">
      <c r="A462" s="3">
        <v>44497.0</v>
      </c>
      <c r="B462" s="4">
        <v>0.009653</v>
      </c>
      <c r="C462" s="4">
        <v>0.00323</v>
      </c>
      <c r="D462" s="4">
        <v>-0.001699</v>
      </c>
      <c r="E462" s="4">
        <v>0.006288</v>
      </c>
      <c r="F462" s="4">
        <v>0.009366</v>
      </c>
      <c r="G462" s="4">
        <v>-0.005435</v>
      </c>
      <c r="H462" s="4">
        <v>0.005993</v>
      </c>
      <c r="I462" s="4">
        <v>0.002846</v>
      </c>
      <c r="J462" s="4">
        <v>4.49E-4</v>
      </c>
      <c r="K462" s="4">
        <v>0.001377</v>
      </c>
      <c r="L462" s="4">
        <v>0.002737</v>
      </c>
      <c r="M462" s="4">
        <v>0.003512</v>
      </c>
      <c r="N462" s="4">
        <v>-0.001044</v>
      </c>
      <c r="O462" s="4">
        <v>0.002014</v>
      </c>
      <c r="P462" s="4">
        <v>-0.045534</v>
      </c>
      <c r="Q462" s="4">
        <v>-0.01032</v>
      </c>
      <c r="R462" s="4">
        <v>0.02973</v>
      </c>
      <c r="S462" s="4">
        <v>-0.004846</v>
      </c>
      <c r="T462" s="4">
        <v>0.010998</v>
      </c>
      <c r="U462" s="4">
        <v>0.013281</v>
      </c>
      <c r="V462" s="4">
        <v>0.00317028779874406</v>
      </c>
      <c r="W462" s="4">
        <v>0.0129870799140783</v>
      </c>
      <c r="X462" s="4">
        <v>0.0</v>
      </c>
      <c r="Y462" s="4">
        <v>-0.0059301626265177</v>
      </c>
      <c r="Z462" s="4">
        <v>0.007829961180366</v>
      </c>
      <c r="AA462" s="4">
        <v>-0.0049794437306686</v>
      </c>
      <c r="AB462" s="4">
        <v>5.152449590564E-4</v>
      </c>
      <c r="AC462" s="4">
        <v>0.0</v>
      </c>
      <c r="AD462" s="4">
        <v>0.0</v>
      </c>
      <c r="AE462" s="4">
        <v>-0.0034351297738685</v>
      </c>
      <c r="AF462" s="4">
        <v>-0.024582672668229</v>
      </c>
      <c r="AG462" s="4">
        <v>0.0020189620640975</v>
      </c>
      <c r="AH462" s="4">
        <v>0.0216422912374796</v>
      </c>
      <c r="AI462" s="4">
        <v>-0.0041604409262656</v>
      </c>
      <c r="AJ462" s="4">
        <v>0.009829</v>
      </c>
      <c r="AK462" s="4">
        <f>Weights!E518</f>
        <v>0.001284927616</v>
      </c>
      <c r="AL462" s="5">
        <v>-0.00495159322991367</v>
      </c>
      <c r="AM462" s="5">
        <v>-0.00683019646850824</v>
      </c>
      <c r="AN462" s="5">
        <v>-0.00587875330574849</v>
      </c>
      <c r="AO462" s="5">
        <v>-0.00559161646234707</v>
      </c>
      <c r="AP462" s="6">
        <f t="shared" si="3"/>
        <v>1.443028442</v>
      </c>
      <c r="AQ462" s="4">
        <f t="shared" si="4"/>
        <v>1.422691459</v>
      </c>
      <c r="AR462" s="7">
        <f t="shared" si="5"/>
        <v>1.383264559</v>
      </c>
      <c r="AS462" s="7">
        <f t="shared" ref="AS462:AU462" si="464">AS461*(1+AM462)</f>
        <v>1.474053709</v>
      </c>
      <c r="AT462" s="5">
        <f t="shared" si="464"/>
        <v>1.318257669</v>
      </c>
      <c r="AU462" s="5">
        <f t="shared" si="464"/>
        <v>1.302354993</v>
      </c>
    </row>
    <row r="463" ht="15.75" customHeight="1">
      <c r="A463" s="3">
        <v>44498.0</v>
      </c>
      <c r="B463" s="4">
        <v>-0.002608</v>
      </c>
      <c r="C463" s="4">
        <v>0.003599</v>
      </c>
      <c r="D463" s="4">
        <v>-0.008936</v>
      </c>
      <c r="E463" s="4">
        <v>-1.24E-4</v>
      </c>
      <c r="F463" s="4">
        <v>0.005889</v>
      </c>
      <c r="G463" s="4">
        <v>1.84E-4</v>
      </c>
      <c r="H463" s="4">
        <v>0.002173</v>
      </c>
      <c r="I463" s="4">
        <v>-0.009934</v>
      </c>
      <c r="J463" s="4">
        <v>-4.49E-4</v>
      </c>
      <c r="K463" s="4">
        <v>-0.002613</v>
      </c>
      <c r="L463" s="4">
        <v>-0.02099</v>
      </c>
      <c r="M463" s="4">
        <v>-0.0255</v>
      </c>
      <c r="N463" s="4">
        <v>-0.007318</v>
      </c>
      <c r="O463" s="4">
        <v>-0.021403</v>
      </c>
      <c r="P463" s="4">
        <v>-0.016752</v>
      </c>
      <c r="Q463" s="4">
        <v>-0.032325</v>
      </c>
      <c r="R463" s="4">
        <v>-0.009974</v>
      </c>
      <c r="S463" s="4">
        <v>-0.01607</v>
      </c>
      <c r="T463" s="4">
        <v>0.02066</v>
      </c>
      <c r="U463" s="4">
        <v>0.024557</v>
      </c>
      <c r="V463" s="4">
        <v>-0.0013543851600275</v>
      </c>
      <c r="W463" s="4">
        <v>0.0520252418018831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-3.110811624661E-4</v>
      </c>
      <c r="AG463" s="4">
        <v>-0.0010667562940495</v>
      </c>
      <c r="AH463" s="4">
        <v>0.0056074415116895</v>
      </c>
      <c r="AI463" s="4">
        <v>0.0</v>
      </c>
      <c r="AJ463" s="4">
        <v>0.001949</v>
      </c>
      <c r="AK463" s="4">
        <f>Weights!E519</f>
        <v>-0.00200871827</v>
      </c>
      <c r="AL463" s="5">
        <v>0.00927379843828934</v>
      </c>
      <c r="AM463" s="5">
        <v>0.0106789838337182</v>
      </c>
      <c r="AN463" s="5">
        <v>-0.00933701113568075</v>
      </c>
      <c r="AO463" s="5">
        <v>-0.0100752333830179</v>
      </c>
      <c r="AP463" s="6">
        <f t="shared" si="3"/>
        <v>1.440129804</v>
      </c>
      <c r="AQ463" s="4">
        <f t="shared" si="4"/>
        <v>1.425464284</v>
      </c>
      <c r="AR463" s="7">
        <f t="shared" si="5"/>
        <v>1.396092676</v>
      </c>
      <c r="AS463" s="7">
        <f t="shared" ref="AS463:AU463" si="465">AS462*(1+AM463)</f>
        <v>1.489795104</v>
      </c>
      <c r="AT463" s="5">
        <f t="shared" si="465"/>
        <v>1.305949082</v>
      </c>
      <c r="AU463" s="5">
        <f t="shared" si="465"/>
        <v>1.289233462</v>
      </c>
    </row>
    <row r="464" ht="15.75" customHeight="1">
      <c r="A464" s="3">
        <v>44501.0</v>
      </c>
      <c r="B464" s="4">
        <v>0.0</v>
      </c>
      <c r="C464" s="4">
        <v>-7.55E-4</v>
      </c>
      <c r="D464" s="4">
        <v>0.014813</v>
      </c>
      <c r="E464" s="4">
        <v>-0.002104</v>
      </c>
      <c r="F464" s="4">
        <v>-0.003548</v>
      </c>
      <c r="G464" s="4">
        <v>8.6E-4</v>
      </c>
      <c r="H464" s="4">
        <v>-0.002448</v>
      </c>
      <c r="I464" s="4">
        <v>0.0129</v>
      </c>
      <c r="J464" s="4">
        <v>0.004269</v>
      </c>
      <c r="K464" s="4">
        <v>0.008688</v>
      </c>
      <c r="L464" s="4">
        <v>0.004903</v>
      </c>
      <c r="M464" s="4">
        <v>0.012827</v>
      </c>
      <c r="N464" s="4">
        <v>0.004213</v>
      </c>
      <c r="O464" s="4">
        <v>0.007759</v>
      </c>
      <c r="P464" s="4">
        <v>0.005556</v>
      </c>
      <c r="Q464" s="4">
        <v>-0.001078</v>
      </c>
      <c r="R464" s="4">
        <v>0.016172</v>
      </c>
      <c r="S464" s="4">
        <v>-0.01361</v>
      </c>
      <c r="T464" s="4">
        <v>-0.021764</v>
      </c>
      <c r="U464" s="4">
        <v>-2.94E-4</v>
      </c>
      <c r="V464" s="4">
        <v>-0.00949366458946232</v>
      </c>
      <c r="W464" s="4">
        <v>-0.0143058294605721</v>
      </c>
      <c r="X464" s="4">
        <v>0.0059613728240786</v>
      </c>
      <c r="Y464" s="4">
        <v>-0.0074061428891729</v>
      </c>
      <c r="Z464" s="4">
        <v>-0.0086968499905297</v>
      </c>
      <c r="AA464" s="4">
        <v>0.0018982451861464</v>
      </c>
      <c r="AB464" s="4">
        <v>-0.0012867490284047</v>
      </c>
      <c r="AC464" s="4">
        <v>0.0134679698362216</v>
      </c>
      <c r="AD464" s="4">
        <v>-0.0133779843322497</v>
      </c>
      <c r="AE464" s="4">
        <v>-0.0053952549320057</v>
      </c>
      <c r="AF464" s="4">
        <v>-0.003734895837491</v>
      </c>
      <c r="AG464" s="4">
        <v>-0.0058139511301175</v>
      </c>
      <c r="AH464" s="4">
        <v>-0.0210656261926006</v>
      </c>
      <c r="AI464" s="4">
        <v>0.0</v>
      </c>
      <c r="AJ464" s="4">
        <v>0.0018</v>
      </c>
      <c r="AK464" s="4">
        <f>Weights!E520</f>
        <v>-0.0006057073724</v>
      </c>
      <c r="AL464" s="5">
        <v>-1.49308858580221E-4</v>
      </c>
      <c r="AM464" s="5">
        <v>0.00131035404635526</v>
      </c>
      <c r="AN464" s="5">
        <v>0.0119383714879224</v>
      </c>
      <c r="AO464" s="5">
        <v>0.0118347198149852</v>
      </c>
      <c r="AP464" s="6">
        <f t="shared" si="3"/>
        <v>1.439257507</v>
      </c>
      <c r="AQ464" s="4">
        <f t="shared" si="4"/>
        <v>1.42803012</v>
      </c>
      <c r="AR464" s="7">
        <f t="shared" si="5"/>
        <v>1.395884227</v>
      </c>
      <c r="AS464" s="7">
        <f t="shared" ref="AS464:AU464" si="466">AS463*(1+AM464)</f>
        <v>1.491747263</v>
      </c>
      <c r="AT464" s="5">
        <f t="shared" si="466"/>
        <v>1.321539987</v>
      </c>
      <c r="AU464" s="5">
        <f t="shared" si="466"/>
        <v>1.304491179</v>
      </c>
    </row>
    <row r="465" ht="15.75" customHeight="1">
      <c r="A465" s="3">
        <v>44502.0</v>
      </c>
      <c r="B465" s="4">
        <v>-0.003922</v>
      </c>
      <c r="C465" s="4">
        <v>-0.007177</v>
      </c>
      <c r="D465" s="4">
        <v>-8.46E-4</v>
      </c>
      <c r="E465" s="4">
        <v>0.009178</v>
      </c>
      <c r="F465" s="4">
        <v>-0.001246</v>
      </c>
      <c r="G465" s="4">
        <v>0.015765</v>
      </c>
      <c r="H465" s="4">
        <v>0.009955</v>
      </c>
      <c r="I465" s="4">
        <v>-0.006368</v>
      </c>
      <c r="J465" s="4">
        <v>-0.003803</v>
      </c>
      <c r="K465" s="4">
        <v>-0.003692</v>
      </c>
      <c r="L465" s="4">
        <v>0.008611</v>
      </c>
      <c r="M465" s="4">
        <v>0.003039</v>
      </c>
      <c r="N465" s="4">
        <v>0.002797</v>
      </c>
      <c r="O465" s="4">
        <v>-0.00887</v>
      </c>
      <c r="P465" s="4">
        <v>0.007551</v>
      </c>
      <c r="Q465" s="4">
        <v>0.001079</v>
      </c>
      <c r="R465" s="4">
        <v>0.00574</v>
      </c>
      <c r="S465" s="4">
        <v>-0.005519</v>
      </c>
      <c r="T465" s="4">
        <v>-0.018312</v>
      </c>
      <c r="U465" s="4">
        <v>0.012723</v>
      </c>
      <c r="V465" s="4">
        <v>0.00684621625633186</v>
      </c>
      <c r="W465" s="4">
        <v>-0.0023293472168466</v>
      </c>
      <c r="X465" s="4">
        <v>-0.0029629266765216</v>
      </c>
      <c r="Y465" s="4">
        <v>0.0211399829779079</v>
      </c>
      <c r="Z465" s="4">
        <v>0.014036800308339</v>
      </c>
      <c r="AA465" s="4">
        <v>0.0077505012942942</v>
      </c>
      <c r="AB465" s="4">
        <v>-0.0025766969495047</v>
      </c>
      <c r="AC465" s="4">
        <v>0.0016611149113159</v>
      </c>
      <c r="AD465" s="4">
        <v>-0.0033898453814644</v>
      </c>
      <c r="AE465" s="4">
        <v>0.0184584362163466</v>
      </c>
      <c r="AF465" s="4">
        <v>0.0124962235156746</v>
      </c>
      <c r="AG465" s="4">
        <v>-0.0075184733598677</v>
      </c>
      <c r="AH465" s="4">
        <v>-0.0196202640998744</v>
      </c>
      <c r="AI465" s="4">
        <v>9.280907452142E-4</v>
      </c>
      <c r="AJ465" s="4">
        <v>0.00368</v>
      </c>
      <c r="AK465" s="4">
        <f>Weights!E521</f>
        <v>0.001406595123</v>
      </c>
      <c r="AL465" s="5">
        <v>0.00425883286846273</v>
      </c>
      <c r="AM465" s="5">
        <v>0.00498066122728269</v>
      </c>
      <c r="AN465" s="5">
        <v>-0.00527782077077854</v>
      </c>
      <c r="AO465" s="5">
        <v>-0.00725161129033868</v>
      </c>
      <c r="AP465" s="6">
        <f t="shared" si="3"/>
        <v>1.44128196</v>
      </c>
      <c r="AQ465" s="4">
        <f t="shared" si="4"/>
        <v>1.433285271</v>
      </c>
      <c r="AR465" s="7">
        <f t="shared" si="5"/>
        <v>1.401829064</v>
      </c>
      <c r="AS465" s="7">
        <f t="shared" ref="AS465:AU465" si="467">AS464*(1+AM465)</f>
        <v>1.499177151</v>
      </c>
      <c r="AT465" s="5">
        <f t="shared" si="467"/>
        <v>1.314565136</v>
      </c>
      <c r="AU465" s="5">
        <f t="shared" si="467"/>
        <v>1.295031516</v>
      </c>
    </row>
    <row r="466" ht="15.75" customHeight="1">
      <c r="A466" s="3">
        <v>44503.0</v>
      </c>
      <c r="B466" s="4">
        <v>-0.001312</v>
      </c>
      <c r="C466" s="4">
        <v>0.007038</v>
      </c>
      <c r="D466" s="4">
        <v>0.013339</v>
      </c>
      <c r="E466" s="4">
        <v>0.009586</v>
      </c>
      <c r="F466" s="4">
        <v>0.003387</v>
      </c>
      <c r="G466" s="4">
        <v>-0.003201</v>
      </c>
      <c r="H466" s="4">
        <v>0.006872</v>
      </c>
      <c r="I466" s="4">
        <v>4.75E-4</v>
      </c>
      <c r="J466" s="4">
        <v>0.006288</v>
      </c>
      <c r="K466" s="4">
        <v>0.009332</v>
      </c>
      <c r="L466" s="4">
        <v>0.011857</v>
      </c>
      <c r="M466" s="4">
        <v>0.018182</v>
      </c>
      <c r="N466" s="4">
        <v>0.004532</v>
      </c>
      <c r="O466" s="4">
        <v>0.021021</v>
      </c>
      <c r="P466" s="4">
        <v>0.007494</v>
      </c>
      <c r="Q466" s="4">
        <v>0.007543</v>
      </c>
      <c r="R466" s="4">
        <v>-0.008301</v>
      </c>
      <c r="S466" s="4">
        <v>0.012866</v>
      </c>
      <c r="T466" s="4">
        <v>0.02826</v>
      </c>
      <c r="U466" s="4">
        <v>-0.022367</v>
      </c>
      <c r="V466" s="4">
        <v>0.0117859665286177</v>
      </c>
      <c r="W466" s="4">
        <v>0.0343030595624576</v>
      </c>
      <c r="X466" s="4">
        <v>-0.0014859140187182</v>
      </c>
      <c r="Y466" s="4">
        <v>0.0181313918110896</v>
      </c>
      <c r="Z466" s="4">
        <v>0.0218018206935051</v>
      </c>
      <c r="AA466" s="4">
        <v>0.0035890939823652</v>
      </c>
      <c r="AB466" s="4">
        <v>-0.0025832363468006</v>
      </c>
      <c r="AC466" s="4">
        <v>0.004975229854395</v>
      </c>
      <c r="AD466" s="4">
        <v>0.0</v>
      </c>
      <c r="AE466" s="4">
        <v>-0.0076935551613649</v>
      </c>
      <c r="AF466" s="4">
        <v>0.0206724952330332</v>
      </c>
      <c r="AG466" s="4">
        <v>0.0168346521203739</v>
      </c>
      <c r="AH466" s="4">
        <v>-0.0193673149835686</v>
      </c>
      <c r="AI466" s="4">
        <v>0.0032467185153983</v>
      </c>
      <c r="AJ466" s="4">
        <v>0.006461</v>
      </c>
      <c r="AK466" s="4">
        <f>Weights!E522</f>
        <v>0.005909864804</v>
      </c>
      <c r="AL466" s="5">
        <v>0.00208321159545543</v>
      </c>
      <c r="AM466" s="5">
        <v>0.00310816425099891</v>
      </c>
      <c r="AN466" s="5">
        <v>0.00842694750753403</v>
      </c>
      <c r="AO466" s="5">
        <v>0.00989624946422629</v>
      </c>
      <c r="AP466" s="6">
        <f t="shared" si="3"/>
        <v>1.449799741</v>
      </c>
      <c r="AQ466" s="4">
        <f t="shared" si="4"/>
        <v>1.442545727</v>
      </c>
      <c r="AR466" s="7">
        <f t="shared" si="5"/>
        <v>1.404749371</v>
      </c>
      <c r="AS466" s="7">
        <f t="shared" ref="AS466:AU466" si="468">AS465*(1+AM466)</f>
        <v>1.50383684</v>
      </c>
      <c r="AT466" s="5">
        <f t="shared" si="468"/>
        <v>1.325642907</v>
      </c>
      <c r="AU466" s="5">
        <f t="shared" si="468"/>
        <v>1.307847471</v>
      </c>
    </row>
    <row r="467" ht="15.75" customHeight="1">
      <c r="A467" s="3">
        <v>44504.0</v>
      </c>
      <c r="B467" s="4">
        <v>-0.004818</v>
      </c>
      <c r="C467" s="4">
        <v>-0.020589</v>
      </c>
      <c r="D467" s="4">
        <v>0.004597</v>
      </c>
      <c r="E467" s="4">
        <v>6.1E-5</v>
      </c>
      <c r="F467" s="4">
        <v>0.005507</v>
      </c>
      <c r="G467" s="4">
        <v>-0.002787</v>
      </c>
      <c r="H467" s="4">
        <v>0.001861</v>
      </c>
      <c r="I467" s="4">
        <v>-0.005219</v>
      </c>
      <c r="J467" s="4">
        <v>0.001785</v>
      </c>
      <c r="K467" s="4">
        <v>-0.003943</v>
      </c>
      <c r="L467" s="4">
        <v>-0.003094</v>
      </c>
      <c r="M467" s="4">
        <v>-0.042659</v>
      </c>
      <c r="N467" s="4">
        <v>-0.007808</v>
      </c>
      <c r="O467" s="4">
        <v>-0.020401</v>
      </c>
      <c r="P467" s="4">
        <v>-0.004898</v>
      </c>
      <c r="Q467" s="4">
        <v>-0.013904</v>
      </c>
      <c r="R467" s="4">
        <v>-0.032174</v>
      </c>
      <c r="S467" s="4">
        <v>0.003487</v>
      </c>
      <c r="T467" s="4">
        <v>0.014059</v>
      </c>
      <c r="U467" s="4">
        <v>0.011588</v>
      </c>
      <c r="V467" s="4">
        <v>-0.0116486756275684</v>
      </c>
      <c r="W467" s="4">
        <v>0.0112868432708226</v>
      </c>
      <c r="X467" s="4">
        <v>0.0</v>
      </c>
      <c r="Y467" s="4">
        <v>0.0078412217802585</v>
      </c>
      <c r="Z467" s="4">
        <v>0.0182885511668633</v>
      </c>
      <c r="AA467" s="4">
        <v>-8.51452479153E-4</v>
      </c>
      <c r="AB467" s="4">
        <v>-0.0139860271244802</v>
      </c>
      <c r="AC467" s="4">
        <v>0.0</v>
      </c>
      <c r="AD467" s="4">
        <v>0.0</v>
      </c>
      <c r="AE467" s="4">
        <v>-0.0045473777634953</v>
      </c>
      <c r="AF467" s="4">
        <v>-0.0081619234640051</v>
      </c>
      <c r="AG467" s="4">
        <v>0.0151372307087758</v>
      </c>
      <c r="AH467" s="4">
        <v>0.0375246344928732</v>
      </c>
      <c r="AI467" s="4">
        <v>-0.0018490625025776</v>
      </c>
      <c r="AJ467" s="4">
        <v>0.004182</v>
      </c>
      <c r="AK467" s="4">
        <f>Weights!E523</f>
        <v>-0.001120113776</v>
      </c>
      <c r="AL467" s="5">
        <v>0.00690481143331722</v>
      </c>
      <c r="AM467" s="5">
        <v>0.00707616858472781</v>
      </c>
      <c r="AN467" s="5">
        <v>-0.00278539973339009</v>
      </c>
      <c r="AO467" s="5">
        <v>-0.00303317194682473</v>
      </c>
      <c r="AP467" s="6">
        <f t="shared" si="3"/>
        <v>1.4481758</v>
      </c>
      <c r="AQ467" s="4">
        <f t="shared" si="4"/>
        <v>1.448578453</v>
      </c>
      <c r="AR467" s="7">
        <f t="shared" si="5"/>
        <v>1.4144489</v>
      </c>
      <c r="AS467" s="7">
        <f t="shared" ref="AS467:AU467" si="469">AS466*(1+AM467)</f>
        <v>1.514478243</v>
      </c>
      <c r="AT467" s="5">
        <f t="shared" si="469"/>
        <v>1.321950462</v>
      </c>
      <c r="AU467" s="5">
        <f t="shared" si="469"/>
        <v>1.303880545</v>
      </c>
    </row>
    <row r="468" ht="15.75" customHeight="1">
      <c r="A468" s="3">
        <v>44505.0</v>
      </c>
      <c r="B468" s="4">
        <v>0.023327</v>
      </c>
      <c r="C468" s="4">
        <v>0.007522</v>
      </c>
      <c r="D468" s="4">
        <v>-0.014767</v>
      </c>
      <c r="E468" s="4">
        <v>0.010285</v>
      </c>
      <c r="F468" s="4">
        <v>0.00424</v>
      </c>
      <c r="G468" s="4">
        <v>-0.007108</v>
      </c>
      <c r="H468" s="4">
        <v>0.004954</v>
      </c>
      <c r="I468" s="4">
        <v>0.032673</v>
      </c>
      <c r="J468" s="4">
        <v>0.00401</v>
      </c>
      <c r="K468" s="4">
        <v>0.003003</v>
      </c>
      <c r="L468" s="4">
        <v>-0.002069</v>
      </c>
      <c r="M468" s="4">
        <v>0.015026</v>
      </c>
      <c r="N468" s="4">
        <v>-0.006821</v>
      </c>
      <c r="O468" s="4">
        <v>-0.007995</v>
      </c>
      <c r="P468" s="4">
        <v>0.02753</v>
      </c>
      <c r="Q468" s="4">
        <v>0.011931</v>
      </c>
      <c r="R468" s="4">
        <v>0.001081</v>
      </c>
      <c r="S468" s="4">
        <v>0.01787</v>
      </c>
      <c r="T468" s="4">
        <v>0.003578</v>
      </c>
      <c r="U468" s="4">
        <v>-0.012924</v>
      </c>
      <c r="V468" s="4">
        <v>0.0208521116800466</v>
      </c>
      <c r="W468" s="4">
        <v>-0.0295330854053625</v>
      </c>
      <c r="X468" s="4">
        <v>0.0014857213431451</v>
      </c>
      <c r="Y468" s="4">
        <v>0.0087691344240776</v>
      </c>
      <c r="Z468" s="4">
        <v>0.0074280464053397</v>
      </c>
      <c r="AA468" s="4">
        <v>0.0035795433290433</v>
      </c>
      <c r="AB468" s="4">
        <v>-0.0139216967082749</v>
      </c>
      <c r="AC468" s="4">
        <v>-0.0065898755063639</v>
      </c>
      <c r="AD468" s="4">
        <v>0.0</v>
      </c>
      <c r="AE468" s="4">
        <v>0.0011981846069746</v>
      </c>
      <c r="AF468" s="4">
        <v>-0.0216397559162814</v>
      </c>
      <c r="AG468" s="4">
        <v>-0.0158436118731758</v>
      </c>
      <c r="AH468" s="4">
        <v>0.00507615249894</v>
      </c>
      <c r="AI468" s="4">
        <v>4.629708011951E-4</v>
      </c>
      <c r="AJ468" s="4">
        <v>0.003733</v>
      </c>
      <c r="AK468" s="4">
        <f>Weights!E524</f>
        <v>0.002443912872</v>
      </c>
      <c r="AL468" s="5">
        <v>0.00221199618072942</v>
      </c>
      <c r="AM468" s="5">
        <v>0.00378349784733633</v>
      </c>
      <c r="AN468" s="5">
        <v>0.00403448338978784</v>
      </c>
      <c r="AO468" s="5">
        <v>0.00397834784655204</v>
      </c>
      <c r="AP468" s="6">
        <f t="shared" si="3"/>
        <v>1.451715016</v>
      </c>
      <c r="AQ468" s="4">
        <f t="shared" si="4"/>
        <v>1.453985997</v>
      </c>
      <c r="AR468" s="7">
        <f t="shared" si="5"/>
        <v>1.417577656</v>
      </c>
      <c r="AS468" s="7">
        <f t="shared" ref="AS468:AU468" si="470">AS467*(1+AM468)</f>
        <v>1.520208268</v>
      </c>
      <c r="AT468" s="5">
        <f t="shared" si="470"/>
        <v>1.327283849</v>
      </c>
      <c r="AU468" s="5">
        <f t="shared" si="470"/>
        <v>1.309067835</v>
      </c>
    </row>
    <row r="469" ht="15.75" customHeight="1">
      <c r="A469" s="3">
        <v>44508.0</v>
      </c>
      <c r="B469" s="4">
        <v>0.007312</v>
      </c>
      <c r="C469" s="4">
        <v>0.001723</v>
      </c>
      <c r="D469" s="4">
        <v>0.030188</v>
      </c>
      <c r="E469" s="4">
        <v>-0.021506</v>
      </c>
      <c r="F469" s="4">
        <v>-0.008973</v>
      </c>
      <c r="G469" s="4">
        <v>-0.003427</v>
      </c>
      <c r="H469" s="4">
        <v>-0.007464</v>
      </c>
      <c r="I469" s="4">
        <v>-0.022402</v>
      </c>
      <c r="J469" s="4">
        <v>0.001553</v>
      </c>
      <c r="K469" s="4">
        <v>0.003402</v>
      </c>
      <c r="L469" s="4">
        <v>-6.6E-4</v>
      </c>
      <c r="M469" s="4">
        <v>0.026034</v>
      </c>
      <c r="N469" s="4">
        <v>0.011798</v>
      </c>
      <c r="O469" s="4">
        <v>0.011821</v>
      </c>
      <c r="P469" s="4">
        <v>-0.003016</v>
      </c>
      <c r="Q469" s="4">
        <v>0.01179</v>
      </c>
      <c r="R469" s="4">
        <v>0.064525</v>
      </c>
      <c r="S469" s="4">
        <v>0.007803</v>
      </c>
      <c r="T469" s="4">
        <v>0.036007</v>
      </c>
      <c r="U469" s="4">
        <v>0.003869</v>
      </c>
      <c r="V469" s="4">
        <v>0.0177620254066159</v>
      </c>
      <c r="W469" s="4">
        <v>0.0047770757113256</v>
      </c>
      <c r="X469" s="4">
        <v>0.0311573252632251</v>
      </c>
      <c r="Y469" s="4">
        <v>0.0033985224605559</v>
      </c>
      <c r="Z469" s="4">
        <v>-5.503575431881E-4</v>
      </c>
      <c r="AA469" s="4">
        <v>-0.0064540045491759</v>
      </c>
      <c r="AB469" s="4">
        <v>-0.0058606423983385</v>
      </c>
      <c r="AC469" s="4">
        <v>0.0016585094854246</v>
      </c>
      <c r="AD469" s="4">
        <v>-0.0017007834648358</v>
      </c>
      <c r="AE469" s="4">
        <v>-0.0029171421541589</v>
      </c>
      <c r="AF469" s="4">
        <v>0.0311525851528091</v>
      </c>
      <c r="AG469" s="4">
        <v>0.0048533857664232</v>
      </c>
      <c r="AH469" s="4">
        <v>0.0321969692693651</v>
      </c>
      <c r="AI469" s="4">
        <v>-0.0018518320788</v>
      </c>
      <c r="AJ469" s="4">
        <v>8.88E-4</v>
      </c>
      <c r="AK469" s="4">
        <f>Weights!E525</f>
        <v>0.007211411453</v>
      </c>
      <c r="AL469" s="5">
        <v>0.00323726689866976</v>
      </c>
      <c r="AM469" s="5">
        <v>0.00385188484490628</v>
      </c>
      <c r="AN469" s="5">
        <v>0.00556424008327693</v>
      </c>
      <c r="AO469" s="5">
        <v>0.00326347808354943</v>
      </c>
      <c r="AP469" s="6">
        <f t="shared" si="3"/>
        <v>1.46218393</v>
      </c>
      <c r="AQ469" s="4">
        <f t="shared" si="4"/>
        <v>1.455277136</v>
      </c>
      <c r="AR469" s="7">
        <f t="shared" si="5"/>
        <v>1.422166733</v>
      </c>
      <c r="AS469" s="7">
        <f t="shared" ref="AS469:AU469" si="471">AS468*(1+AM469)</f>
        <v>1.526063935</v>
      </c>
      <c r="AT469" s="5">
        <f t="shared" si="471"/>
        <v>1.334669175</v>
      </c>
      <c r="AU469" s="5">
        <f t="shared" si="471"/>
        <v>1.313339949</v>
      </c>
    </row>
    <row r="470" ht="15.75" customHeight="1">
      <c r="A470" s="3">
        <v>44509.0</v>
      </c>
      <c r="B470" s="4">
        <v>0.003416</v>
      </c>
      <c r="C470" s="4">
        <v>-0.00172</v>
      </c>
      <c r="D470" s="4">
        <v>0.003279</v>
      </c>
      <c r="E470" s="4">
        <v>0.006649</v>
      </c>
      <c r="F470" s="4">
        <v>0.00284</v>
      </c>
      <c r="G470" s="4">
        <v>-0.00221</v>
      </c>
      <c r="H470" s="4">
        <v>0.003036</v>
      </c>
      <c r="I470" s="4">
        <v>-9.45E-4</v>
      </c>
      <c r="J470" s="4">
        <v>0.004874</v>
      </c>
      <c r="K470" s="4">
        <v>-0.001221</v>
      </c>
      <c r="L470" s="4">
        <v>0.00198</v>
      </c>
      <c r="M470" s="4">
        <v>-0.007463</v>
      </c>
      <c r="N470" s="4">
        <v>-0.004177</v>
      </c>
      <c r="O470" s="4">
        <v>-0.005917</v>
      </c>
      <c r="P470" s="4">
        <v>0.009966</v>
      </c>
      <c r="Q470" s="4">
        <v>0.010593</v>
      </c>
      <c r="R470" s="4">
        <v>-0.005833</v>
      </c>
      <c r="S470" s="4">
        <v>0.01984</v>
      </c>
      <c r="T470" s="4">
        <v>-0.024432</v>
      </c>
      <c r="U470" s="4">
        <v>-0.005716</v>
      </c>
      <c r="V470" s="4">
        <v>4.36330382538097E-4</v>
      </c>
      <c r="W470" s="4">
        <v>-5.282722055123E-4</v>
      </c>
      <c r="X470" s="4">
        <v>0.0158273786662634</v>
      </c>
      <c r="Y470" s="4">
        <v>0.0521756408979257</v>
      </c>
      <c r="Z470" s="4">
        <v>0.0135432045263113</v>
      </c>
      <c r="AA470" s="4">
        <v>-0.0010255060625342</v>
      </c>
      <c r="AB470" s="4">
        <v>0.0018758340254374</v>
      </c>
      <c r="AC470" s="4">
        <v>0.0033112286648213</v>
      </c>
      <c r="AD470" s="4">
        <v>0.0102216070013994</v>
      </c>
      <c r="AE470" s="4">
        <v>-0.0020253915389972</v>
      </c>
      <c r="AF470" s="4">
        <v>0.0145015560127315</v>
      </c>
      <c r="AG470" s="4">
        <v>0.0195548558330875</v>
      </c>
      <c r="AH470" s="4">
        <v>6.116493797398E-4</v>
      </c>
      <c r="AI470" s="4">
        <v>4.63716013249E-4</v>
      </c>
      <c r="AJ470" s="4">
        <v>-0.003499</v>
      </c>
      <c r="AK470" s="4">
        <f>Weights!E526</f>
        <v>0.004001710057</v>
      </c>
      <c r="AL470" s="5">
        <v>6.5992659115821E-4</v>
      </c>
      <c r="AM470" s="5">
        <v>0.00165059591289096</v>
      </c>
      <c r="AN470" s="5">
        <v>0.00368907577985999</v>
      </c>
      <c r="AO470" s="5">
        <v>0.00511157070243695</v>
      </c>
      <c r="AP470" s="6">
        <f t="shared" si="3"/>
        <v>1.468035166</v>
      </c>
      <c r="AQ470" s="4">
        <f t="shared" si="4"/>
        <v>1.450185121</v>
      </c>
      <c r="AR470" s="7">
        <f t="shared" si="5"/>
        <v>1.423105259</v>
      </c>
      <c r="AS470" s="7">
        <f t="shared" ref="AS470:AU470" si="472">AS469*(1+AM470)</f>
        <v>1.52858285</v>
      </c>
      <c r="AT470" s="5">
        <f t="shared" si="472"/>
        <v>1.339592871</v>
      </c>
      <c r="AU470" s="5">
        <f t="shared" si="472"/>
        <v>1.320053179</v>
      </c>
    </row>
    <row r="471" ht="15.75" customHeight="1">
      <c r="A471" s="3">
        <v>44510.0</v>
      </c>
      <c r="B471" s="4">
        <v>-0.004681</v>
      </c>
      <c r="C471" s="4">
        <v>0.006891</v>
      </c>
      <c r="D471" s="4">
        <v>0.002247</v>
      </c>
      <c r="E471" s="4">
        <v>0.003241</v>
      </c>
      <c r="F471" s="4">
        <v>0.004072</v>
      </c>
      <c r="G471" s="4">
        <v>0.01083</v>
      </c>
      <c r="H471" s="4">
        <v>0.009836</v>
      </c>
      <c r="I471" s="4">
        <v>-0.002128</v>
      </c>
      <c r="J471" s="4">
        <v>0.005071</v>
      </c>
      <c r="K471" s="4">
        <v>0.00258</v>
      </c>
      <c r="L471" s="4">
        <v>-0.003011</v>
      </c>
      <c r="M471" s="4">
        <v>0.001002</v>
      </c>
      <c r="N471" s="4">
        <v>-0.015379</v>
      </c>
      <c r="O471" s="4">
        <v>-0.008332</v>
      </c>
      <c r="P471" s="4">
        <v>0.025022</v>
      </c>
      <c r="Q471" s="4">
        <v>0.038784</v>
      </c>
      <c r="R471" s="4">
        <v>-0.042857</v>
      </c>
      <c r="S471" s="4">
        <v>0.020166</v>
      </c>
      <c r="T471" s="4">
        <v>-0.026808</v>
      </c>
      <c r="U471" s="4">
        <v>0.011124</v>
      </c>
      <c r="V471" s="4">
        <v>-0.00915830189445809</v>
      </c>
      <c r="W471" s="4">
        <v>-0.026603209485534</v>
      </c>
      <c r="X471" s="4">
        <v>0.0056657450130974</v>
      </c>
      <c r="Y471" s="4">
        <v>0.0167769590569373</v>
      </c>
      <c r="Z471" s="4">
        <v>0.007496029875442</v>
      </c>
      <c r="AA471" s="4">
        <v>0.0025665955112963</v>
      </c>
      <c r="AB471" s="4">
        <v>-0.012035376103457</v>
      </c>
      <c r="AC471" s="4">
        <v>0.0</v>
      </c>
      <c r="AD471" s="4">
        <v>-0.0033726011059102</v>
      </c>
      <c r="AE471" s="4">
        <v>0.0027061056334769</v>
      </c>
      <c r="AF471" s="4">
        <v>-0.0104228317198715</v>
      </c>
      <c r="AG471" s="4">
        <v>0.0094129965828193</v>
      </c>
      <c r="AH471" s="4">
        <v>0.0244498538775408</v>
      </c>
      <c r="AI471" s="4">
        <v>-0.0050997223330959</v>
      </c>
      <c r="AJ471" s="4">
        <v>-0.008226</v>
      </c>
      <c r="AK471" s="4">
        <f>Weights!E527</f>
        <v>0.00153008621</v>
      </c>
      <c r="AL471" s="5">
        <v>-0.00300462566824677</v>
      </c>
      <c r="AM471" s="5">
        <v>-0.00288351795548935</v>
      </c>
      <c r="AN471" s="5">
        <v>0.00275645871205076</v>
      </c>
      <c r="AO471" s="5">
        <v>0.00439199443490823</v>
      </c>
      <c r="AP471" s="6">
        <f t="shared" si="3"/>
        <v>1.470281387</v>
      </c>
      <c r="AQ471" s="4">
        <f t="shared" si="4"/>
        <v>1.438255899</v>
      </c>
      <c r="AR471" s="7">
        <f t="shared" si="5"/>
        <v>1.41882936</v>
      </c>
      <c r="AS471" s="7">
        <f t="shared" ref="AS471:AU471" si="473">AS470*(1+AM471)</f>
        <v>1.524175154</v>
      </c>
      <c r="AT471" s="5">
        <f t="shared" si="473"/>
        <v>1.343285403</v>
      </c>
      <c r="AU471" s="5">
        <f t="shared" si="473"/>
        <v>1.325850845</v>
      </c>
    </row>
    <row r="472" ht="15.75" customHeight="1">
      <c r="A472" s="3">
        <v>44511.0</v>
      </c>
      <c r="B472" s="4">
        <v>-0.016674</v>
      </c>
      <c r="C472" s="4">
        <v>-0.002852</v>
      </c>
      <c r="D472" s="4">
        <v>-0.014469</v>
      </c>
      <c r="E472" s="4">
        <v>-0.00823</v>
      </c>
      <c r="F472" s="4">
        <v>3.53E-4</v>
      </c>
      <c r="G472" s="4">
        <v>-0.007366</v>
      </c>
      <c r="H472" s="4">
        <v>-0.002861</v>
      </c>
      <c r="I472" s="4">
        <v>-0.009479</v>
      </c>
      <c r="J472" s="4">
        <v>-0.01338</v>
      </c>
      <c r="K472" s="4">
        <v>-0.001625</v>
      </c>
      <c r="L472" s="4">
        <v>-0.001133</v>
      </c>
      <c r="M472" s="4">
        <v>-0.002003</v>
      </c>
      <c r="N472" s="4">
        <v>-0.002307</v>
      </c>
      <c r="O472" s="4">
        <v>-0.023779</v>
      </c>
      <c r="P472" s="4">
        <v>0.01169</v>
      </c>
      <c r="Q472" s="4">
        <v>0.060545</v>
      </c>
      <c r="R472" s="4">
        <v>0.090085</v>
      </c>
      <c r="S472" s="4">
        <v>0.013953</v>
      </c>
      <c r="T472" s="4">
        <v>0.027274</v>
      </c>
      <c r="U472" s="4">
        <v>4.43E-4</v>
      </c>
      <c r="V472" s="4">
        <v>0.0167252180596797</v>
      </c>
      <c r="W472" s="4">
        <v>-0.0019911065676517</v>
      </c>
      <c r="X472" s="4">
        <v>0.0</v>
      </c>
      <c r="Y472" s="4">
        <v>0.0198490227810281</v>
      </c>
      <c r="Z472" s="4">
        <v>0.0153117377545199</v>
      </c>
      <c r="AA472" s="4">
        <v>0.0051203667112014</v>
      </c>
      <c r="AB472" s="4">
        <v>8.120059049618E-4</v>
      </c>
      <c r="AC472" s="4">
        <v>0.0</v>
      </c>
      <c r="AD472" s="4">
        <v>0.0</v>
      </c>
      <c r="AE472" s="4">
        <v>0.0011994420813123</v>
      </c>
      <c r="AF472" s="4">
        <v>0.0036111138269037</v>
      </c>
      <c r="AG472" s="4">
        <v>0.0075985180762068</v>
      </c>
      <c r="AH472" s="4">
        <v>-0.012529849444215</v>
      </c>
      <c r="AI472" s="4">
        <v>0.0032623551168395</v>
      </c>
      <c r="AJ472" s="4">
        <v>5.51E-4</v>
      </c>
      <c r="AK472" s="4">
        <f>Weights!E528</f>
        <v>0.003767792874</v>
      </c>
      <c r="AL472" s="5">
        <v>-0.00985020838245864</v>
      </c>
      <c r="AM472" s="5">
        <v>-0.00983215328009456</v>
      </c>
      <c r="AN472" s="5">
        <v>0.00305426241866069</v>
      </c>
      <c r="AO472" s="5">
        <v>0.00184136416287272</v>
      </c>
      <c r="AP472" s="6">
        <f t="shared" si="3"/>
        <v>1.475821102</v>
      </c>
      <c r="AQ472" s="4">
        <f t="shared" si="4"/>
        <v>1.439048378</v>
      </c>
      <c r="AR472" s="7">
        <f t="shared" si="5"/>
        <v>1.404853595</v>
      </c>
      <c r="AS472" s="7">
        <f t="shared" ref="AS472:AU472" si="474">AS471*(1+AM472)</f>
        <v>1.50918923</v>
      </c>
      <c r="AT472" s="5">
        <f t="shared" si="474"/>
        <v>1.34738815</v>
      </c>
      <c r="AU472" s="5">
        <f t="shared" si="474"/>
        <v>1.32829222</v>
      </c>
    </row>
    <row r="473" ht="15.75" customHeight="1">
      <c r="A473" s="3">
        <v>44512.0</v>
      </c>
      <c r="B473" s="4">
        <v>0.005217</v>
      </c>
      <c r="C473" s="4">
        <v>-0.002097</v>
      </c>
      <c r="D473" s="4">
        <v>-6.2E-4</v>
      </c>
      <c r="E473" s="4">
        <v>-2.46E-4</v>
      </c>
      <c r="F473" s="4">
        <v>-0.002291</v>
      </c>
      <c r="G473" s="4">
        <v>0.011959</v>
      </c>
      <c r="H473" s="4">
        <v>0.001093</v>
      </c>
      <c r="I473" s="4">
        <v>-0.017336</v>
      </c>
      <c r="J473" s="4">
        <v>-0.005113</v>
      </c>
      <c r="K473" s="4">
        <v>0.009904</v>
      </c>
      <c r="L473" s="4">
        <v>0.003402</v>
      </c>
      <c r="M473" s="4">
        <v>-5.02E-4</v>
      </c>
      <c r="N473" s="4">
        <v>-3.56E-4</v>
      </c>
      <c r="O473" s="4">
        <v>0.005961</v>
      </c>
      <c r="P473" s="4">
        <v>-0.002039</v>
      </c>
      <c r="Q473" s="4">
        <v>9.51E-4</v>
      </c>
      <c r="R473" s="4">
        <v>0.008068</v>
      </c>
      <c r="S473" s="4">
        <v>0.022706</v>
      </c>
      <c r="T473" s="4">
        <v>-0.009967</v>
      </c>
      <c r="U473" s="4">
        <v>0.001919</v>
      </c>
      <c r="V473" s="4">
        <v>0.0108228377691061</v>
      </c>
      <c r="W473" s="4">
        <v>0.0201307902844796</v>
      </c>
      <c r="X473" s="4">
        <v>0.0159652076081115</v>
      </c>
      <c r="Y473" s="4">
        <v>-0.0124177791466266</v>
      </c>
      <c r="Z473" s="4">
        <v>-0.0130630533047573</v>
      </c>
      <c r="AA473" s="4">
        <v>0.0030564589609851</v>
      </c>
      <c r="AB473" s="4">
        <v>0.0056804719940548</v>
      </c>
      <c r="AC473" s="4">
        <v>0.0050168283967226</v>
      </c>
      <c r="AD473" s="4">
        <v>-0.0016747666666477</v>
      </c>
      <c r="AE473" s="4">
        <v>0.0098089793132969</v>
      </c>
      <c r="AF473" s="4">
        <v>0.0242878267956561</v>
      </c>
      <c r="AG473" s="4">
        <v>0.0018280470711684</v>
      </c>
      <c r="AH473" s="4">
        <v>-0.0120845808291578</v>
      </c>
      <c r="AI473" s="4">
        <v>-0.0016302694098015</v>
      </c>
      <c r="AJ473" s="4">
        <v>0.007223</v>
      </c>
      <c r="AK473" s="4">
        <f>Weights!E529</f>
        <v>0.001911262485</v>
      </c>
      <c r="AL473" s="5">
        <v>0.00215291548778973</v>
      </c>
      <c r="AM473" s="5">
        <v>0.00120992833542676</v>
      </c>
      <c r="AN473" s="5">
        <v>-0.00578547359767622</v>
      </c>
      <c r="AO473" s="5">
        <v>-0.00551345295165739</v>
      </c>
      <c r="AP473" s="6">
        <f t="shared" si="3"/>
        <v>1.478641784</v>
      </c>
      <c r="AQ473" s="4">
        <f t="shared" si="4"/>
        <v>1.449442624</v>
      </c>
      <c r="AR473" s="7">
        <f t="shared" si="5"/>
        <v>1.407878126</v>
      </c>
      <c r="AS473" s="7">
        <f t="shared" ref="AS473:AU473" si="475">AS472*(1+AM473)</f>
        <v>1.511015241</v>
      </c>
      <c r="AT473" s="5">
        <f t="shared" si="475"/>
        <v>1.339592871</v>
      </c>
      <c r="AU473" s="5">
        <f t="shared" si="475"/>
        <v>1.320968743</v>
      </c>
    </row>
    <row r="474" ht="15.75" customHeight="1">
      <c r="A474" s="3">
        <v>44515.0</v>
      </c>
      <c r="B474" s="4">
        <v>-0.002595</v>
      </c>
      <c r="C474" s="4">
        <v>0.001146</v>
      </c>
      <c r="D474" s="4">
        <v>0.001655</v>
      </c>
      <c r="E474" s="4">
        <v>0.00707</v>
      </c>
      <c r="F474" s="4">
        <v>1.77E-4</v>
      </c>
      <c r="G474" s="4">
        <v>-0.00903</v>
      </c>
      <c r="H474" s="4">
        <v>0.005731</v>
      </c>
      <c r="I474" s="4">
        <v>4.95E-4</v>
      </c>
      <c r="J474" s="4">
        <v>0.007821</v>
      </c>
      <c r="K474" s="4">
        <v>0.002015</v>
      </c>
      <c r="L474" s="4">
        <v>-0.003485</v>
      </c>
      <c r="M474" s="4">
        <v>-0.001506</v>
      </c>
      <c r="N474" s="4">
        <v>5.34E-4</v>
      </c>
      <c r="O474" s="4">
        <v>0.029669</v>
      </c>
      <c r="P474" s="4">
        <v>0.004087</v>
      </c>
      <c r="Q474" s="4">
        <v>0.022814</v>
      </c>
      <c r="R474" s="4">
        <v>-0.008974</v>
      </c>
      <c r="S474" s="4">
        <v>0.010765</v>
      </c>
      <c r="T474" s="4">
        <v>-0.020314</v>
      </c>
      <c r="U474" s="4">
        <v>9.58E-4</v>
      </c>
      <c r="V474" s="4">
        <v>0.00728038803324704</v>
      </c>
      <c r="W474" s="4">
        <v>0.0021333743134048</v>
      </c>
      <c r="X474" s="4">
        <v>-0.005714308472811</v>
      </c>
      <c r="Y474" s="4">
        <v>-0.0010278448560394</v>
      </c>
      <c r="Z474" s="4">
        <v>0.0062414186170782</v>
      </c>
      <c r="AA474" s="4">
        <v>-0.0042322730655858</v>
      </c>
      <c r="AB474" s="4">
        <v>0.004841195413467</v>
      </c>
      <c r="AC474" s="4">
        <v>-0.0066555891227356</v>
      </c>
      <c r="AD474" s="4">
        <v>-0.0167786892017892</v>
      </c>
      <c r="AE474" s="4">
        <v>-0.0041523263438402</v>
      </c>
      <c r="AF474" s="4">
        <v>0.0196135989011088</v>
      </c>
      <c r="AG474" s="4">
        <v>0.0072990394705167</v>
      </c>
      <c r="AH474" s="4">
        <v>-0.0097859526105522</v>
      </c>
      <c r="AI474" s="4">
        <v>0.0027992244283803</v>
      </c>
      <c r="AJ474" s="4">
        <v>-1.1E-5</v>
      </c>
      <c r="AK474" s="4">
        <f>Weights!E530</f>
        <v>0.0009978862105</v>
      </c>
      <c r="AL474" s="5">
        <v>0.00770426952236325</v>
      </c>
      <c r="AM474" s="5">
        <v>0.00741756754438815</v>
      </c>
      <c r="AN474" s="5">
        <v>0.00428789685656894</v>
      </c>
      <c r="AO474" s="5">
        <v>0.00485082156248051</v>
      </c>
      <c r="AP474" s="6">
        <f t="shared" si="3"/>
        <v>1.4801173</v>
      </c>
      <c r="AQ474" s="4">
        <f t="shared" si="4"/>
        <v>1.44942668</v>
      </c>
      <c r="AR474" s="7">
        <f t="shared" si="5"/>
        <v>1.418724799</v>
      </c>
      <c r="AS474" s="7">
        <f t="shared" ref="AS474:AU474" si="476">AS473*(1+AM474)</f>
        <v>1.522223299</v>
      </c>
      <c r="AT474" s="5">
        <f t="shared" si="476"/>
        <v>1.345336907</v>
      </c>
      <c r="AU474" s="5">
        <f t="shared" si="476"/>
        <v>1.327376527</v>
      </c>
    </row>
    <row r="475" ht="15.75" customHeight="1">
      <c r="A475" s="3">
        <v>44516.0</v>
      </c>
      <c r="B475" s="4">
        <v>-0.003903</v>
      </c>
      <c r="C475" s="4">
        <v>-0.006489</v>
      </c>
      <c r="D475" s="4">
        <v>-0.006197</v>
      </c>
      <c r="E475" s="4">
        <v>-0.002991</v>
      </c>
      <c r="F475" s="4">
        <v>-0.007065</v>
      </c>
      <c r="G475" s="4">
        <v>-0.005198</v>
      </c>
      <c r="H475" s="4">
        <v>-0.001425</v>
      </c>
      <c r="I475" s="4">
        <v>-0.002473</v>
      </c>
      <c r="J475" s="4">
        <v>-0.008713</v>
      </c>
      <c r="K475" s="4">
        <v>-0.005363</v>
      </c>
      <c r="L475" s="4">
        <v>-0.002363</v>
      </c>
      <c r="M475" s="4">
        <v>0.03268</v>
      </c>
      <c r="N475" s="4">
        <v>0.0</v>
      </c>
      <c r="O475" s="4">
        <v>0.015665</v>
      </c>
      <c r="P475" s="4">
        <v>-0.014075</v>
      </c>
      <c r="Q475" s="4">
        <v>0.005576</v>
      </c>
      <c r="R475" s="4">
        <v>-0.030837</v>
      </c>
      <c r="S475" s="4">
        <v>-0.009984</v>
      </c>
      <c r="T475" s="4">
        <v>0.015824</v>
      </c>
      <c r="U475" s="4">
        <v>0.003753</v>
      </c>
      <c r="V475" s="4">
        <v>-0.00212589334770763</v>
      </c>
      <c r="W475" s="4">
        <v>-0.0198688162349168</v>
      </c>
      <c r="X475" s="4">
        <v>-0.0028734349974992</v>
      </c>
      <c r="Y475" s="4">
        <v>-0.0062935767884367</v>
      </c>
      <c r="Z475" s="4">
        <v>-3.209419646662E-4</v>
      </c>
      <c r="AA475" s="4">
        <v>-0.0098604516725058</v>
      </c>
      <c r="AB475" s="4">
        <v>-0.0133832114040142</v>
      </c>
      <c r="AC475" s="4">
        <v>0.0033499782921346</v>
      </c>
      <c r="AD475" s="4">
        <v>-0.0017063961478027</v>
      </c>
      <c r="AE475" s="4">
        <v>-0.0017126535530589</v>
      </c>
      <c r="AF475" s="4">
        <v>0.0037324949877473</v>
      </c>
      <c r="AG475" s="4">
        <v>-0.0026039496989189</v>
      </c>
      <c r="AH475" s="4">
        <v>-0.0555898187164627</v>
      </c>
      <c r="AI475" s="4">
        <v>4.644275826579E-4</v>
      </c>
      <c r="AJ475" s="4">
        <v>0.003865</v>
      </c>
      <c r="AK475" s="4">
        <f>Weights!E531</f>
        <v>-0.005162109093</v>
      </c>
      <c r="AL475" s="5">
        <v>-8.08573322041206E-4</v>
      </c>
      <c r="AM475" s="5">
        <v>0.0</v>
      </c>
      <c r="AN475" s="5">
        <v>0.0118936987812967</v>
      </c>
      <c r="AO475" s="5">
        <v>0.0101151323314145</v>
      </c>
      <c r="AP475" s="6">
        <f t="shared" si="3"/>
        <v>1.472476773</v>
      </c>
      <c r="AQ475" s="4">
        <f t="shared" si="4"/>
        <v>1.455028714</v>
      </c>
      <c r="AR475" s="7">
        <f t="shared" si="5"/>
        <v>1.417577656</v>
      </c>
      <c r="AS475" s="7">
        <f t="shared" ref="AS475:AU475" si="477">AS474*(1+AM475)</f>
        <v>1.522223299</v>
      </c>
      <c r="AT475" s="5">
        <f t="shared" si="477"/>
        <v>1.361337939</v>
      </c>
      <c r="AU475" s="5">
        <f t="shared" si="477"/>
        <v>1.340803116</v>
      </c>
    </row>
    <row r="476" ht="15.75" customHeight="1">
      <c r="A476" s="3">
        <v>44517.0</v>
      </c>
      <c r="B476" s="4">
        <v>-0.002177</v>
      </c>
      <c r="C476" s="4">
        <v>-0.006339</v>
      </c>
      <c r="D476" s="4">
        <v>-0.014758</v>
      </c>
      <c r="E476" s="4">
        <v>3.67E-4</v>
      </c>
      <c r="F476" s="4">
        <v>-0.005514</v>
      </c>
      <c r="G476" s="4">
        <v>0.00375</v>
      </c>
      <c r="H476" s="4">
        <v>-6.11E-4</v>
      </c>
      <c r="I476" s="4">
        <v>-0.002728</v>
      </c>
      <c r="J476" s="4">
        <v>0.002033</v>
      </c>
      <c r="K476" s="4">
        <v>-0.010918</v>
      </c>
      <c r="L476" s="4">
        <v>-0.007294</v>
      </c>
      <c r="M476" s="4">
        <v>-0.011198</v>
      </c>
      <c r="N476" s="4">
        <v>-0.001245</v>
      </c>
      <c r="O476" s="4">
        <v>-0.014823</v>
      </c>
      <c r="P476" s="4">
        <v>-0.003268</v>
      </c>
      <c r="Q476" s="4">
        <v>0.014787</v>
      </c>
      <c r="R476" s="4">
        <v>-0.018434</v>
      </c>
      <c r="S476" s="4">
        <v>0.009861</v>
      </c>
      <c r="T476" s="4">
        <v>-0.023187</v>
      </c>
      <c r="U476" s="4">
        <v>0.011878</v>
      </c>
      <c r="V476" s="4">
        <v>0.0136344324766846</v>
      </c>
      <c r="W476" s="4">
        <v>3.620274208115E-4</v>
      </c>
      <c r="X476" s="4">
        <v>-0.0014410445550423</v>
      </c>
      <c r="Y476" s="4">
        <v>-4.262200536585E-4</v>
      </c>
      <c r="Z476" s="4">
        <v>0.0209670811825826</v>
      </c>
      <c r="AA476" s="4">
        <v>-6.870148848712E-4</v>
      </c>
      <c r="AB476" s="4">
        <v>0.0029841038445013</v>
      </c>
      <c r="AC476" s="4">
        <v>-0.0116861150937975</v>
      </c>
      <c r="AD476" s="4">
        <v>0.0</v>
      </c>
      <c r="AE476" s="4">
        <v>0.0057434928884967</v>
      </c>
      <c r="AF476" s="4">
        <v>0.0034324174513873</v>
      </c>
      <c r="AG476" s="4">
        <v>0.0060167004528923</v>
      </c>
      <c r="AH476" s="4">
        <v>0.0255068109902074</v>
      </c>
      <c r="AI476" s="4">
        <v>-0.0018592694084197</v>
      </c>
      <c r="AJ476" s="4">
        <v>-0.002602</v>
      </c>
      <c r="AK476" s="4">
        <f>Weights!E532</f>
        <v>0.0006604648247</v>
      </c>
      <c r="AL476" s="5">
        <v>0.00242792047975459</v>
      </c>
      <c r="AM476" s="5">
        <v>0.00430177855487667</v>
      </c>
      <c r="AN476" s="5">
        <v>-0.00391800976356782</v>
      </c>
      <c r="AO476" s="5">
        <v>-0.00364137044735946</v>
      </c>
      <c r="AP476" s="6">
        <f t="shared" si="3"/>
        <v>1.473449292</v>
      </c>
      <c r="AQ476" s="4">
        <f t="shared" si="4"/>
        <v>1.45124273</v>
      </c>
      <c r="AR476" s="7">
        <f t="shared" si="5"/>
        <v>1.421019422</v>
      </c>
      <c r="AS476" s="7">
        <f t="shared" ref="AS476:AU476" si="478">AS475*(1+AM476)</f>
        <v>1.528771566</v>
      </c>
      <c r="AT476" s="5">
        <f t="shared" si="478"/>
        <v>1.356004204</v>
      </c>
      <c r="AU476" s="5">
        <f t="shared" si="478"/>
        <v>1.335920755</v>
      </c>
    </row>
    <row r="477" ht="15.75" customHeight="1">
      <c r="A477" s="3">
        <v>44518.0</v>
      </c>
      <c r="B477" s="4">
        <v>0.004799</v>
      </c>
      <c r="C477" s="4">
        <v>-0.009472</v>
      </c>
      <c r="D477" s="4">
        <v>-0.007806</v>
      </c>
      <c r="E477" s="4">
        <v>3.06E-4</v>
      </c>
      <c r="F477" s="4">
        <v>-0.008943</v>
      </c>
      <c r="G477" s="4">
        <v>-0.00539</v>
      </c>
      <c r="H477" s="4">
        <v>1.36E-4</v>
      </c>
      <c r="I477" s="4">
        <v>-0.00373</v>
      </c>
      <c r="J477" s="4">
        <v>-0.004958</v>
      </c>
      <c r="K477" s="4">
        <v>-0.00218</v>
      </c>
      <c r="L477" s="4">
        <v>-0.001527</v>
      </c>
      <c r="M477" s="4">
        <v>-0.024126</v>
      </c>
      <c r="N477" s="4">
        <v>-0.004987</v>
      </c>
      <c r="O477" s="4">
        <v>0.0024</v>
      </c>
      <c r="P477" s="4">
        <v>-0.01346</v>
      </c>
      <c r="Q477" s="4">
        <v>-0.013661</v>
      </c>
      <c r="R477" s="4">
        <v>-0.002058</v>
      </c>
      <c r="S477" s="4">
        <v>-0.015979</v>
      </c>
      <c r="T477" s="4">
        <v>0.023737</v>
      </c>
      <c r="U477" s="4">
        <v>0.002029</v>
      </c>
      <c r="V477" s="4">
        <v>-0.0201765014769097</v>
      </c>
      <c r="W477" s="4">
        <v>0.0068752355290091</v>
      </c>
      <c r="X477" s="4">
        <v>0.0</v>
      </c>
      <c r="Y477" s="4">
        <v>0.0020713222023098</v>
      </c>
      <c r="Z477" s="4">
        <v>0.0036672129721875</v>
      </c>
      <c r="AA477" s="4">
        <v>7.474420142459E-4</v>
      </c>
      <c r="AB477" s="4">
        <v>-0.0151473939031239</v>
      </c>
      <c r="AC477" s="4">
        <v>0.0</v>
      </c>
      <c r="AD477" s="4">
        <v>0.0</v>
      </c>
      <c r="AE477" s="4">
        <v>-0.0063039273615121</v>
      </c>
      <c r="AF477" s="4">
        <v>-0.0108323271872249</v>
      </c>
      <c r="AG477" s="4">
        <v>0.0074476102447667</v>
      </c>
      <c r="AH477" s="4">
        <v>-0.0070152539998025</v>
      </c>
      <c r="AI477" s="4">
        <v>-0.002328618076311</v>
      </c>
      <c r="AJ477" s="4">
        <v>0.003385</v>
      </c>
      <c r="AK477" s="4">
        <f>Weights!E533</f>
        <v>-0.00410238801</v>
      </c>
      <c r="AL477" s="5">
        <v>-0.00264207460560839</v>
      </c>
      <c r="AM477" s="5">
        <v>-0.00411865149395151</v>
      </c>
      <c r="AN477" s="5">
        <v>9.07742150906054E-4</v>
      </c>
      <c r="AO477" s="5">
        <v>0.00137029890660445</v>
      </c>
      <c r="AP477" s="6">
        <f t="shared" si="3"/>
        <v>1.467404632</v>
      </c>
      <c r="AQ477" s="4">
        <f t="shared" si="4"/>
        <v>1.456155186</v>
      </c>
      <c r="AR477" s="7">
        <f t="shared" si="5"/>
        <v>1.417264982</v>
      </c>
      <c r="AS477" s="7">
        <f t="shared" ref="AS477:AU477" si="479">AS476*(1+AM477)</f>
        <v>1.522475089</v>
      </c>
      <c r="AT477" s="5">
        <f t="shared" si="479"/>
        <v>1.357235106</v>
      </c>
      <c r="AU477" s="5">
        <f t="shared" si="479"/>
        <v>1.337751366</v>
      </c>
    </row>
    <row r="478" ht="15.75" customHeight="1">
      <c r="A478" s="3">
        <v>44519.0</v>
      </c>
      <c r="B478" s="4">
        <v>-8.68E-4</v>
      </c>
      <c r="C478" s="4">
        <v>-0.007416</v>
      </c>
      <c r="D478" s="4">
        <v>-0.011057</v>
      </c>
      <c r="E478" s="4">
        <v>0.002386</v>
      </c>
      <c r="F478" s="4">
        <v>-0.005053</v>
      </c>
      <c r="G478" s="4">
        <v>0.003017</v>
      </c>
      <c r="H478" s="4">
        <v>-0.002039</v>
      </c>
      <c r="I478" s="4">
        <v>-0.008735</v>
      </c>
      <c r="J478" s="4">
        <v>0.00838</v>
      </c>
      <c r="K478" s="4">
        <v>-0.008058</v>
      </c>
      <c r="L478" s="4">
        <v>-0.002772</v>
      </c>
      <c r="M478" s="4">
        <v>-0.025732</v>
      </c>
      <c r="N478" s="4">
        <v>-3.58E-4</v>
      </c>
      <c r="O478" s="4">
        <v>-0.01083</v>
      </c>
      <c r="P478" s="4">
        <v>-0.010845</v>
      </c>
      <c r="Q478" s="4">
        <v>9.23E-4</v>
      </c>
      <c r="R478" s="4">
        <v>-0.013148</v>
      </c>
      <c r="S478" s="4">
        <v>-0.003383</v>
      </c>
      <c r="T478" s="4">
        <v>0.010295</v>
      </c>
      <c r="U478" s="4">
        <v>-0.005496</v>
      </c>
      <c r="V478" s="4">
        <v>-0.0132989885484632</v>
      </c>
      <c r="W478" s="4">
        <v>0.0107817916967578</v>
      </c>
      <c r="X478" s="4">
        <v>0.0014388780482754</v>
      </c>
      <c r="Y478" s="4">
        <v>0.0021279997995211</v>
      </c>
      <c r="Z478" s="4">
        <v>-0.0018790015982528</v>
      </c>
      <c r="AA478" s="4">
        <v>0.0022577798201008</v>
      </c>
      <c r="AB478" s="4">
        <v>0.0074157405785184</v>
      </c>
      <c r="AC478" s="4">
        <v>0.0</v>
      </c>
      <c r="AD478" s="4">
        <v>-0.00173619704461</v>
      </c>
      <c r="AE478" s="4">
        <v>0.0067914753943159</v>
      </c>
      <c r="AF478" s="4">
        <v>-0.0051874150715565</v>
      </c>
      <c r="AG478" s="4">
        <v>0.015344913652026</v>
      </c>
      <c r="AH478" s="4">
        <v>0.011560697624688</v>
      </c>
      <c r="AI478" s="4">
        <v>-9.340468117635E-4</v>
      </c>
      <c r="AJ478" s="4">
        <v>-0.001399</v>
      </c>
      <c r="AK478" s="4">
        <f>Weights!E534</f>
        <v>-0.0008173668416</v>
      </c>
      <c r="AL478" s="5">
        <v>0.0024280997119972</v>
      </c>
      <c r="AM478" s="5">
        <v>0.00157162943539446</v>
      </c>
      <c r="AN478" s="5">
        <v>-0.00241845040637556</v>
      </c>
      <c r="AO478" s="5">
        <v>-0.0025089056685853</v>
      </c>
      <c r="AP478" s="6">
        <f t="shared" si="3"/>
        <v>1.466205224</v>
      </c>
      <c r="AQ478" s="4">
        <f t="shared" si="4"/>
        <v>1.454118025</v>
      </c>
      <c r="AR478" s="7">
        <f t="shared" si="5"/>
        <v>1.420706243</v>
      </c>
      <c r="AS478" s="7">
        <f t="shared" ref="AS478:AU478" si="480">AS477*(1+AM478)</f>
        <v>1.524867856</v>
      </c>
      <c r="AT478" s="5">
        <f t="shared" si="480"/>
        <v>1.3539527</v>
      </c>
      <c r="AU478" s="5">
        <f t="shared" si="480"/>
        <v>1.334395074</v>
      </c>
    </row>
    <row r="479" ht="15.75" customHeight="1">
      <c r="A479" s="3">
        <v>44522.0</v>
      </c>
      <c r="B479" s="4">
        <v>-0.004781</v>
      </c>
      <c r="C479" s="4">
        <v>0.01337</v>
      </c>
      <c r="D479" s="4">
        <v>0.001505</v>
      </c>
      <c r="E479" s="4">
        <v>0.002076</v>
      </c>
      <c r="F479" s="4">
        <v>0.006167</v>
      </c>
      <c r="G479" s="4">
        <v>-0.013076</v>
      </c>
      <c r="H479" s="4">
        <v>0.006675</v>
      </c>
      <c r="I479" s="4">
        <v>-0.006294</v>
      </c>
      <c r="J479" s="4">
        <v>0.0</v>
      </c>
      <c r="K479" s="4">
        <v>0.008123</v>
      </c>
      <c r="L479" s="4">
        <v>-0.006613</v>
      </c>
      <c r="M479" s="4">
        <v>-0.003107</v>
      </c>
      <c r="N479" s="4">
        <v>-0.003581</v>
      </c>
      <c r="O479" s="4">
        <v>-0.01187</v>
      </c>
      <c r="P479" s="4">
        <v>-0.013086</v>
      </c>
      <c r="Q479" s="4">
        <v>0.00369</v>
      </c>
      <c r="R479" s="4">
        <v>-0.014107</v>
      </c>
      <c r="S479" s="4">
        <v>-0.024892</v>
      </c>
      <c r="T479" s="4">
        <v>0.060434</v>
      </c>
      <c r="U479" s="4">
        <v>-0.005235</v>
      </c>
      <c r="V479" s="4">
        <v>-0.00739128354781615</v>
      </c>
      <c r="W479" s="4">
        <v>-0.0328889411956544</v>
      </c>
      <c r="X479" s="4">
        <v>0.0172413552187367</v>
      </c>
      <c r="Y479" s="4">
        <v>-0.0032154379125166</v>
      </c>
      <c r="Z479" s="4">
        <v>0.0080535553295999</v>
      </c>
      <c r="AA479" s="4">
        <v>-3.466477548497E-4</v>
      </c>
      <c r="AB479" s="4">
        <v>0.0021808623886834</v>
      </c>
      <c r="AC479" s="4">
        <v>-0.0083334089822442</v>
      </c>
      <c r="AD479" s="4">
        <v>0.0104348148404747</v>
      </c>
      <c r="AE479" s="4">
        <v>-9.634812897929E-4</v>
      </c>
      <c r="AF479" s="4">
        <v>-0.0043452103122834</v>
      </c>
      <c r="AG479" s="4">
        <v>0.0055157147347026</v>
      </c>
      <c r="AH479" s="4">
        <v>-0.0165079505403321</v>
      </c>
      <c r="AI479" s="4">
        <v>9.34920070875E-4</v>
      </c>
      <c r="AJ479" s="4">
        <v>-0.003197</v>
      </c>
      <c r="AK479" s="4">
        <f>Weights!E535</f>
        <v>-0.001087713275</v>
      </c>
      <c r="AL479" s="5">
        <v>-0.00440438886334226</v>
      </c>
      <c r="AM479" s="5">
        <v>-0.00284937851599409</v>
      </c>
      <c r="AN479" s="5">
        <v>0.00181836368610843</v>
      </c>
      <c r="AO479" s="5">
        <v>-6.86223304635302E-4</v>
      </c>
      <c r="AP479" s="6">
        <f t="shared" si="3"/>
        <v>1.464610413</v>
      </c>
      <c r="AQ479" s="4">
        <f t="shared" si="4"/>
        <v>1.44946921</v>
      </c>
      <c r="AR479" s="7">
        <f t="shared" si="5"/>
        <v>1.4144489</v>
      </c>
      <c r="AS479" s="7">
        <f t="shared" ref="AS479:AU479" si="481">AS478*(1+AM479)</f>
        <v>1.52052293</v>
      </c>
      <c r="AT479" s="5">
        <f t="shared" si="481"/>
        <v>1.356414678</v>
      </c>
      <c r="AU479" s="5">
        <f t="shared" si="481"/>
        <v>1.333479381</v>
      </c>
    </row>
    <row r="480" ht="15.75" customHeight="1">
      <c r="A480" s="3">
        <v>44523.0</v>
      </c>
      <c r="B480" s="4">
        <v>0.006987</v>
      </c>
      <c r="C480" s="4">
        <v>0.004074</v>
      </c>
      <c r="D480" s="4">
        <v>0.005367</v>
      </c>
      <c r="E480" s="4">
        <v>0.006701</v>
      </c>
      <c r="F480" s="4">
        <v>0.007391</v>
      </c>
      <c r="G480" s="4">
        <v>0.006199</v>
      </c>
      <c r="H480" s="4">
        <v>0.011096</v>
      </c>
      <c r="I480" s="4">
        <v>0.008614</v>
      </c>
      <c r="J480" s="4">
        <v>0.002246</v>
      </c>
      <c r="K480" s="4">
        <v>0.026905</v>
      </c>
      <c r="L480" s="4">
        <v>0.002508</v>
      </c>
      <c r="M480" s="4">
        <v>0.013507</v>
      </c>
      <c r="N480" s="4">
        <v>-1.58E-4</v>
      </c>
      <c r="O480" s="4">
        <v>-0.011119</v>
      </c>
      <c r="P480" s="4">
        <v>-0.005734</v>
      </c>
      <c r="Q480" s="4">
        <v>0.0</v>
      </c>
      <c r="R480" s="4">
        <v>0.024907</v>
      </c>
      <c r="S480" s="4">
        <v>-0.017637</v>
      </c>
      <c r="T480" s="4">
        <v>-0.002423</v>
      </c>
      <c r="U480" s="4">
        <v>0.001389</v>
      </c>
      <c r="V480" s="4">
        <v>-0.00963646635767512</v>
      </c>
      <c r="W480" s="4">
        <v>0.0148897230811153</v>
      </c>
      <c r="X480" s="4">
        <v>-0.0014123663881524</v>
      </c>
      <c r="Y480" s="4">
        <v>9.128994383029E-4</v>
      </c>
      <c r="Z480" s="4">
        <v>-0.0045651954970489</v>
      </c>
      <c r="AA480" s="4">
        <v>-0.0015600184889902</v>
      </c>
      <c r="AB480" s="4">
        <v>0.0016322107680646</v>
      </c>
      <c r="AC480" s="4">
        <v>-0.0016806573923732</v>
      </c>
      <c r="AD480" s="4">
        <v>-0.0120484056585942</v>
      </c>
      <c r="AE480" s="4">
        <v>-2.96923283827E-4</v>
      </c>
      <c r="AF480" s="4">
        <v>-0.0066919933957093</v>
      </c>
      <c r="AG480" s="4">
        <v>0.0569390854393443</v>
      </c>
      <c r="AH480" s="4">
        <v>0.0193673149835684</v>
      </c>
      <c r="AI480" s="4">
        <v>-0.0018678909883581</v>
      </c>
      <c r="AJ480" s="4">
        <v>0.001657</v>
      </c>
      <c r="AK480" s="4">
        <f>Weights!E536</f>
        <v>0.005980979825</v>
      </c>
      <c r="AL480" s="5">
        <v>-0.00516162202101599</v>
      </c>
      <c r="AM480" s="5">
        <v>-0.0048036390042383</v>
      </c>
      <c r="AN480" s="5">
        <v>-0.00393229479152701</v>
      </c>
      <c r="AO480" s="5">
        <v>-0.00366127268613636</v>
      </c>
      <c r="AP480" s="6">
        <f t="shared" si="3"/>
        <v>1.473370218</v>
      </c>
      <c r="AQ480" s="4">
        <f t="shared" si="4"/>
        <v>1.45187098</v>
      </c>
      <c r="AR480" s="7">
        <f t="shared" si="5"/>
        <v>1.40714805</v>
      </c>
      <c r="AS480" s="7">
        <f t="shared" ref="AS480:AU480" si="482">AS479*(1+AM480)</f>
        <v>1.513218887</v>
      </c>
      <c r="AT480" s="5">
        <f t="shared" si="482"/>
        <v>1.351080856</v>
      </c>
      <c r="AU480" s="5">
        <f t="shared" si="482"/>
        <v>1.328597149</v>
      </c>
    </row>
    <row r="481" ht="15.75" customHeight="1">
      <c r="A481" s="3">
        <v>44524.0</v>
      </c>
      <c r="B481" s="4">
        <v>0.010408</v>
      </c>
      <c r="C481" s="4">
        <v>-0.001739</v>
      </c>
      <c r="D481" s="4">
        <v>-0.001708</v>
      </c>
      <c r="E481" s="4">
        <v>-0.009138</v>
      </c>
      <c r="F481" s="4">
        <v>-0.008053</v>
      </c>
      <c r="G481" s="4">
        <v>-0.0028</v>
      </c>
      <c r="H481" s="4">
        <v>-0.005219</v>
      </c>
      <c r="I481" s="4">
        <v>0.002261</v>
      </c>
      <c r="J481" s="4">
        <v>-0.006948</v>
      </c>
      <c r="K481" s="4">
        <v>0.005719</v>
      </c>
      <c r="L481" s="4">
        <v>0.003753</v>
      </c>
      <c r="M481" s="4">
        <v>0.003075</v>
      </c>
      <c r="N481" s="4">
        <v>-0.001633</v>
      </c>
      <c r="O481" s="4">
        <v>0.002516</v>
      </c>
      <c r="P481" s="4">
        <v>-3.6E-4</v>
      </c>
      <c r="Q481" s="4">
        <v>-0.023897</v>
      </c>
      <c r="R481" s="4">
        <v>-7.76E-4</v>
      </c>
      <c r="S481" s="4">
        <v>0.008505</v>
      </c>
      <c r="T481" s="4">
        <v>-0.030072</v>
      </c>
      <c r="U481" s="4">
        <v>0.002044</v>
      </c>
      <c r="V481" s="4">
        <v>-0.0128263124386885</v>
      </c>
      <c r="W481" s="4">
        <v>-0.0025356737136191</v>
      </c>
      <c r="X481" s="4">
        <v>0.0042432753746417</v>
      </c>
      <c r="Y481" s="4">
        <v>-3.647272631789E-4</v>
      </c>
      <c r="Z481" s="4">
        <v>-0.0093812134929287</v>
      </c>
      <c r="AA481" s="4">
        <v>0.0131945060547853</v>
      </c>
      <c r="AB481" s="4">
        <v>0.0198263064128447</v>
      </c>
      <c r="AC481" s="4">
        <v>0.0033670492952051</v>
      </c>
      <c r="AD481" s="4">
        <v>0.0104531902832305</v>
      </c>
      <c r="AE481" s="4">
        <v>0.002301058111944</v>
      </c>
      <c r="AF481" s="4">
        <v>0.0377856780963543</v>
      </c>
      <c r="AG481" s="4">
        <v>-0.0192028239016298</v>
      </c>
      <c r="AH481" s="4">
        <v>-0.0348321391265274</v>
      </c>
      <c r="AI481" s="4">
        <v>0.0046773497569256</v>
      </c>
      <c r="AJ481" s="4">
        <v>0.002294</v>
      </c>
      <c r="AK481" s="4">
        <f>Weights!E537</f>
        <v>-0.001549058941</v>
      </c>
      <c r="AL481" s="7">
        <v>7.40679006410172E-5</v>
      </c>
      <c r="AM481" s="5">
        <v>3.32854513473757E-4</v>
      </c>
      <c r="AN481" s="5">
        <v>-0.0060735376188844</v>
      </c>
      <c r="AO481" s="5">
        <v>-0.00597150409100988</v>
      </c>
      <c r="AP481" s="6">
        <f t="shared" si="3"/>
        <v>1.471087881</v>
      </c>
      <c r="AQ481" s="4">
        <f t="shared" si="4"/>
        <v>1.455201572</v>
      </c>
      <c r="AR481" s="7">
        <f t="shared" si="5"/>
        <v>1.407252274</v>
      </c>
      <c r="AS481" s="7">
        <f t="shared" ref="AS481:AU481" si="483">AS480*(1+AM481)</f>
        <v>1.513722568</v>
      </c>
      <c r="AT481" s="5">
        <f t="shared" si="483"/>
        <v>1.342875016</v>
      </c>
      <c r="AU481" s="5">
        <f t="shared" si="483"/>
        <v>1.320663426</v>
      </c>
    </row>
    <row r="482" ht="15.75" customHeight="1">
      <c r="A482" s="3">
        <v>44526.0</v>
      </c>
      <c r="B482" s="4">
        <v>-0.013734</v>
      </c>
      <c r="C482" s="4">
        <v>0.00271</v>
      </c>
      <c r="D482" s="4">
        <v>-0.019037</v>
      </c>
      <c r="E482" s="4">
        <v>-0.015879</v>
      </c>
      <c r="F482" s="4">
        <v>-0.030669</v>
      </c>
      <c r="G482" s="4">
        <v>-0.00649</v>
      </c>
      <c r="H482" s="4">
        <v>-0.008005</v>
      </c>
      <c r="I482" s="4">
        <v>-0.022807</v>
      </c>
      <c r="J482" s="4">
        <v>-0.013541</v>
      </c>
      <c r="K482" s="4">
        <v>-0.022084</v>
      </c>
      <c r="L482" s="4">
        <v>-0.026654</v>
      </c>
      <c r="M482" s="4">
        <v>-0.027082</v>
      </c>
      <c r="N482" s="4">
        <v>-0.021261</v>
      </c>
      <c r="O482" s="4">
        <v>-0.014863</v>
      </c>
      <c r="P482" s="4">
        <v>0.008473</v>
      </c>
      <c r="Q482" s="4">
        <v>0.006591</v>
      </c>
      <c r="R482" s="4">
        <v>-0.036481</v>
      </c>
      <c r="S482" s="4">
        <v>-0.016632</v>
      </c>
      <c r="T482" s="4">
        <v>-0.015632</v>
      </c>
      <c r="U482" s="4">
        <v>-0.022363</v>
      </c>
      <c r="V482" s="4">
        <v>0.00806452673064983</v>
      </c>
      <c r="W482" s="4">
        <v>-0.00944276768144</v>
      </c>
      <c r="X482" s="4">
        <v>0.0</v>
      </c>
      <c r="Y482" s="4">
        <v>0.0063870956251483</v>
      </c>
      <c r="Z482" s="4">
        <v>0.0045247157137635</v>
      </c>
      <c r="AA482" s="4">
        <v>0.0034270826463778</v>
      </c>
      <c r="AB482" s="4">
        <v>0.0138482565770012</v>
      </c>
      <c r="AC482" s="4">
        <v>0.0</v>
      </c>
      <c r="AD482" s="4">
        <v>0.0</v>
      </c>
      <c r="AE482" s="4">
        <v>0.0197717737656113</v>
      </c>
      <c r="AF482" s="4">
        <v>0.0273778912775863</v>
      </c>
      <c r="AG482" s="4">
        <v>-0.0075141526583383</v>
      </c>
      <c r="AH482" s="4">
        <v>-0.0465879901025002</v>
      </c>
      <c r="AI482" s="4">
        <v>0.004189905469994</v>
      </c>
      <c r="AJ482" s="4">
        <v>-0.022725</v>
      </c>
      <c r="AK482" s="4">
        <f>Weights!E538</f>
        <v>-0.00884135571</v>
      </c>
      <c r="AL482" s="5">
        <v>7.4122239238239E-4</v>
      </c>
      <c r="AM482" s="5">
        <v>0.00336930644496225</v>
      </c>
      <c r="AN482" s="5">
        <v>0.00325813231913918</v>
      </c>
      <c r="AO482" s="5">
        <v>0.00207958583604028</v>
      </c>
      <c r="AP482" s="6">
        <f t="shared" si="3"/>
        <v>1.45808147</v>
      </c>
      <c r="AQ482" s="4">
        <f t="shared" si="4"/>
        <v>1.422132117</v>
      </c>
      <c r="AR482" s="7">
        <f t="shared" si="5"/>
        <v>1.408295361</v>
      </c>
      <c r="AS482" s="7">
        <f t="shared" ref="AS482:AU482" si="484">AS481*(1+AM482)</f>
        <v>1.518822764</v>
      </c>
      <c r="AT482" s="5">
        <f t="shared" si="484"/>
        <v>1.34725028</v>
      </c>
      <c r="AU482" s="5">
        <f t="shared" si="484"/>
        <v>1.323409859</v>
      </c>
    </row>
    <row r="483" ht="15.75" customHeight="1">
      <c r="A483" s="3">
        <v>44529.0</v>
      </c>
      <c r="B483" s="4">
        <v>0.006527</v>
      </c>
      <c r="C483" s="4">
        <v>-0.002703</v>
      </c>
      <c r="D483" s="4">
        <v>-0.013519</v>
      </c>
      <c r="E483" s="4">
        <v>0.018617</v>
      </c>
      <c r="F483" s="4">
        <v>0.01582</v>
      </c>
      <c r="G483" s="4">
        <v>0.003455</v>
      </c>
      <c r="H483" s="4">
        <v>0.010511</v>
      </c>
      <c r="I483" s="4">
        <v>-0.020005</v>
      </c>
      <c r="J483" s="4">
        <v>0.003889</v>
      </c>
      <c r="K483" s="4">
        <v>-0.007843</v>
      </c>
      <c r="L483" s="4">
        <v>0.001773</v>
      </c>
      <c r="M483" s="4">
        <v>-0.015231</v>
      </c>
      <c r="N483" s="4">
        <v>-9.28E-4</v>
      </c>
      <c r="O483" s="4">
        <v>0.02273</v>
      </c>
      <c r="P483" s="4">
        <v>-0.009653</v>
      </c>
      <c r="Q483" s="4">
        <v>0.021515</v>
      </c>
      <c r="R483" s="4">
        <v>0.019871</v>
      </c>
      <c r="S483" s="4">
        <v>0.009052</v>
      </c>
      <c r="T483" s="4">
        <v>-0.016757</v>
      </c>
      <c r="U483" s="4">
        <v>0.022204</v>
      </c>
      <c r="V483" s="4">
        <v>0.0222223478006573</v>
      </c>
      <c r="W483" s="4">
        <v>0.014482198159966</v>
      </c>
      <c r="X483" s="4">
        <v>0.0289255785035327</v>
      </c>
      <c r="Y483" s="4">
        <v>-0.008099567615729</v>
      </c>
      <c r="Z483" s="4">
        <v>0.004085115663081</v>
      </c>
      <c r="AA483" s="4">
        <v>-0.0078554474219421</v>
      </c>
      <c r="AB483" s="4">
        <v>0.0084054179099233</v>
      </c>
      <c r="AC483" s="4">
        <v>-0.0033221550481591</v>
      </c>
      <c r="AD483" s="4">
        <v>-0.0034363091671659</v>
      </c>
      <c r="AE483" s="4">
        <v>0.0034129301116219</v>
      </c>
      <c r="AF483" s="4">
        <v>0.009615416233734</v>
      </c>
      <c r="AG483" s="4">
        <v>-2.13377278482E-4</v>
      </c>
      <c r="AH483" s="4">
        <v>0.0302821962109494</v>
      </c>
      <c r="AI483" s="4">
        <v>-0.0023176217327417</v>
      </c>
      <c r="AJ483" s="4">
        <v>0.0132</v>
      </c>
      <c r="AK483" s="4">
        <f>Weights!E539</f>
        <v>0.004307707084</v>
      </c>
      <c r="AL483" s="5">
        <v>-0.0224394146803139</v>
      </c>
      <c r="AM483" s="5">
        <v>-0.0216407728101808</v>
      </c>
      <c r="AN483" s="5">
        <v>0.0049019497001661</v>
      </c>
      <c r="AO483" s="5">
        <v>0.00438075700496409</v>
      </c>
      <c r="AP483" s="6">
        <f t="shared" si="3"/>
        <v>1.464362458</v>
      </c>
      <c r="AQ483" s="4">
        <f t="shared" si="4"/>
        <v>1.44090426</v>
      </c>
      <c r="AR483" s="7">
        <f t="shared" si="5"/>
        <v>1.376694038</v>
      </c>
      <c r="AS483" s="7">
        <f t="shared" ref="AS483:AU483" si="485">AS482*(1+AM483)</f>
        <v>1.485954265</v>
      </c>
      <c r="AT483" s="5">
        <f t="shared" si="485"/>
        <v>1.353854433</v>
      </c>
      <c r="AU483" s="5">
        <f t="shared" si="485"/>
        <v>1.329207396</v>
      </c>
    </row>
    <row r="484" ht="15.75" customHeight="1">
      <c r="A484" s="3">
        <v>44530.0</v>
      </c>
      <c r="B484" s="4">
        <v>-0.011673</v>
      </c>
      <c r="C484" s="4">
        <v>-0.026907</v>
      </c>
      <c r="D484" s="4">
        <v>-0.012157</v>
      </c>
      <c r="E484" s="4">
        <v>-0.026563</v>
      </c>
      <c r="F484" s="4">
        <v>-0.03133</v>
      </c>
      <c r="G484" s="4">
        <v>-0.023912</v>
      </c>
      <c r="H484" s="4">
        <v>-0.029795</v>
      </c>
      <c r="I484" s="4">
        <v>-0.017535</v>
      </c>
      <c r="J484" s="4">
        <v>-0.01299</v>
      </c>
      <c r="K484" s="4">
        <v>-0.017855</v>
      </c>
      <c r="L484" s="4">
        <v>-0.026254</v>
      </c>
      <c r="M484" s="4">
        <v>-0.028864</v>
      </c>
      <c r="N484" s="4">
        <v>-0.013566</v>
      </c>
      <c r="O484" s="4">
        <v>-0.008057</v>
      </c>
      <c r="P484" s="4">
        <v>-0.008664</v>
      </c>
      <c r="Q484" s="4">
        <v>0.038462</v>
      </c>
      <c r="R484" s="4">
        <v>-0.023697</v>
      </c>
      <c r="S484" s="4">
        <v>-0.013928</v>
      </c>
      <c r="T484" s="4">
        <v>-0.051843</v>
      </c>
      <c r="U484" s="4">
        <v>-0.030104</v>
      </c>
      <c r="V484" s="4">
        <v>-0.0830434759497573</v>
      </c>
      <c r="W484" s="4">
        <v>-0.0135526691508249</v>
      </c>
      <c r="X484" s="4">
        <v>-0.0160641479252475</v>
      </c>
      <c r="Y484" s="4">
        <v>0.0010971135358512</v>
      </c>
      <c r="Z484" s="4">
        <v>0.0109531898823593</v>
      </c>
      <c r="AA484" s="4">
        <v>0.004130903532507</v>
      </c>
      <c r="AB484" s="4">
        <v>0.005209774497803</v>
      </c>
      <c r="AC484" s="4">
        <v>-0.0066666821715675</v>
      </c>
      <c r="AD484" s="4">
        <v>-0.0086207319483945</v>
      </c>
      <c r="AE484" s="4">
        <v>-0.027500317523038</v>
      </c>
      <c r="AF484" s="4">
        <v>-0.023129156111634</v>
      </c>
      <c r="AG484" s="4">
        <v>-0.0106653408774749</v>
      </c>
      <c r="AH484" s="4">
        <v>-0.0434201328805344</v>
      </c>
      <c r="AI484" s="4">
        <v>0.0037168089295385</v>
      </c>
      <c r="AJ484" s="4">
        <v>-0.018961</v>
      </c>
      <c r="AK484" s="4">
        <f>Weights!E540</f>
        <v>-0.01764073385</v>
      </c>
      <c r="AL484" s="5">
        <v>0.00878787015245352</v>
      </c>
      <c r="AM484" s="5">
        <v>0.00940733124982551</v>
      </c>
      <c r="AN484" s="5">
        <v>0.00396351822272689</v>
      </c>
      <c r="AO484" s="5">
        <v>0.00321393410497039</v>
      </c>
      <c r="AP484" s="6">
        <f t="shared" si="3"/>
        <v>1.438530029</v>
      </c>
      <c r="AQ484" s="4">
        <f t="shared" si="4"/>
        <v>1.413583275</v>
      </c>
      <c r="AR484" s="7">
        <f t="shared" si="5"/>
        <v>1.388792246</v>
      </c>
      <c r="AS484" s="7">
        <f t="shared" ref="AS484:AU484" si="486">AS483*(1+AM484)</f>
        <v>1.499933129</v>
      </c>
      <c r="AT484" s="5">
        <f t="shared" si="486"/>
        <v>1.35922046</v>
      </c>
      <c r="AU484" s="5">
        <f t="shared" si="486"/>
        <v>1.333479381</v>
      </c>
    </row>
    <row r="485" ht="15.75" customHeight="1">
      <c r="A485" s="3">
        <v>44531.0</v>
      </c>
      <c r="B485" s="4">
        <v>-8.75E-4</v>
      </c>
      <c r="C485" s="4">
        <v>-0.009946</v>
      </c>
      <c r="D485" s="4">
        <v>2.24E-4</v>
      </c>
      <c r="E485" s="4">
        <v>0.002378</v>
      </c>
      <c r="F485" s="4">
        <v>-0.00286</v>
      </c>
      <c r="G485" s="4">
        <v>0.013788</v>
      </c>
      <c r="H485" s="4">
        <v>0.012588</v>
      </c>
      <c r="I485" s="4">
        <v>-0.01252</v>
      </c>
      <c r="J485" s="4">
        <v>-0.001155</v>
      </c>
      <c r="K485" s="4">
        <v>-0.004579</v>
      </c>
      <c r="L485" s="4">
        <v>-0.0103</v>
      </c>
      <c r="M485" s="4">
        <v>0.001671</v>
      </c>
      <c r="N485" s="4">
        <v>-0.008289</v>
      </c>
      <c r="O485" s="4">
        <v>-0.006121</v>
      </c>
      <c r="P485" s="4">
        <v>-0.019119</v>
      </c>
      <c r="Q485" s="4">
        <v>-0.029982</v>
      </c>
      <c r="R485" s="4">
        <v>-0.022923</v>
      </c>
      <c r="S485" s="4">
        <v>-0.029208</v>
      </c>
      <c r="T485" s="4">
        <v>-0.014775</v>
      </c>
      <c r="U485" s="4">
        <v>-0.005486</v>
      </c>
      <c r="V485" s="4">
        <v>0.0194404451877947</v>
      </c>
      <c r="W485" s="4">
        <v>0.002564831014205</v>
      </c>
      <c r="X485" s="4">
        <v>0.0136052747553634</v>
      </c>
      <c r="Y485" s="4">
        <v>-0.0046264836543754</v>
      </c>
      <c r="Z485" s="4">
        <v>-0.0011349363788845</v>
      </c>
      <c r="AA485" s="4">
        <v>0.0106273633159115</v>
      </c>
      <c r="AB485" s="4">
        <v>-0.0080332165562553</v>
      </c>
      <c r="AC485" s="4">
        <v>-0.0016779129228448</v>
      </c>
      <c r="AD485" s="4">
        <v>0.0</v>
      </c>
      <c r="AE485" s="4">
        <v>-0.0083345445091652</v>
      </c>
      <c r="AF485" s="4">
        <v>-0.0033427475333909</v>
      </c>
      <c r="AG485" s="4">
        <v>0.0021562282100859</v>
      </c>
      <c r="AH485" s="4">
        <v>0.0893854037053276</v>
      </c>
      <c r="AI485" s="4">
        <v>-0.0041665289344631</v>
      </c>
      <c r="AJ485" s="4">
        <v>-0.011815</v>
      </c>
      <c r="AK485" s="4">
        <f>Weights!E541</f>
        <v>0.001446216896</v>
      </c>
      <c r="AL485" s="5">
        <v>-0.0154701410171783</v>
      </c>
      <c r="AM485" s="5">
        <v>-0.0199826624510984</v>
      </c>
      <c r="AN485" s="5">
        <v>-0.0236865201963132</v>
      </c>
      <c r="AO485" s="5">
        <v>-0.0228831965257345</v>
      </c>
      <c r="AP485" s="6">
        <f t="shared" si="3"/>
        <v>1.440610456</v>
      </c>
      <c r="AQ485" s="4">
        <f t="shared" si="4"/>
        <v>1.396881788</v>
      </c>
      <c r="AR485" s="7">
        <f t="shared" si="5"/>
        <v>1.367307434</v>
      </c>
      <c r="AS485" s="7">
        <f t="shared" ref="AS485:AU485" si="487">AS484*(1+AM485)</f>
        <v>1.469960472</v>
      </c>
      <c r="AT485" s="5">
        <f t="shared" si="487"/>
        <v>1.327025257</v>
      </c>
      <c r="AU485" s="5">
        <f t="shared" si="487"/>
        <v>1.30296511</v>
      </c>
    </row>
    <row r="486" ht="15.75" customHeight="1">
      <c r="A486" s="3">
        <v>44532.0</v>
      </c>
      <c r="B486" s="4">
        <v>0.005692</v>
      </c>
      <c r="C486" s="4">
        <v>0.019289</v>
      </c>
      <c r="D486" s="4">
        <v>0.020582</v>
      </c>
      <c r="E486" s="4">
        <v>0.009584</v>
      </c>
      <c r="F486" s="4">
        <v>0.014723</v>
      </c>
      <c r="G486" s="4">
        <v>-0.006263</v>
      </c>
      <c r="H486" s="4">
        <v>0.005874</v>
      </c>
      <c r="I486" s="4">
        <v>0.008632</v>
      </c>
      <c r="J486" s="4">
        <v>0.011789</v>
      </c>
      <c r="K486" s="4">
        <v>0.050049</v>
      </c>
      <c r="L486" s="4">
        <v>0.021324</v>
      </c>
      <c r="M486" s="4">
        <v>0.016129</v>
      </c>
      <c r="N486" s="4">
        <v>0.019757</v>
      </c>
      <c r="O486" s="4">
        <v>0.010225</v>
      </c>
      <c r="P486" s="4">
        <v>-0.011138</v>
      </c>
      <c r="Q486" s="4">
        <v>-0.006364</v>
      </c>
      <c r="R486" s="4">
        <v>0.024013</v>
      </c>
      <c r="S486" s="4">
        <v>-0.011591</v>
      </c>
      <c r="T486" s="4">
        <v>0.027414</v>
      </c>
      <c r="U486" s="4">
        <v>0.024106</v>
      </c>
      <c r="V486" s="4">
        <v>-0.0279069730414066</v>
      </c>
      <c r="W486" s="4">
        <v>0.0586514345542816</v>
      </c>
      <c r="X486" s="4">
        <v>0.0</v>
      </c>
      <c r="Y486" s="4">
        <v>-5.502524199203E-4</v>
      </c>
      <c r="Z486" s="4">
        <v>0.0</v>
      </c>
      <c r="AA486" s="4">
        <v>-0.0016960259899119</v>
      </c>
      <c r="AB486" s="4">
        <v>0.0052247449244564</v>
      </c>
      <c r="AC486" s="4">
        <v>0.00504204783129</v>
      </c>
      <c r="AD486" s="4">
        <v>0.0017392166674479</v>
      </c>
      <c r="AE486" s="4">
        <v>0.0066034052129468</v>
      </c>
      <c r="AF486" s="4">
        <v>0.008384521937105</v>
      </c>
      <c r="AG486" s="4">
        <v>0.0134465393823763</v>
      </c>
      <c r="AH486" s="4">
        <v>0.0</v>
      </c>
      <c r="AI486" s="4">
        <v>-0.0051136971291702</v>
      </c>
      <c r="AJ486" s="4">
        <v>0.014194</v>
      </c>
      <c r="AK486" s="4">
        <f>Weights!E542</f>
        <v>0.008762638258</v>
      </c>
      <c r="AL486" s="5">
        <v>-0.0118230485781863</v>
      </c>
      <c r="AM486" s="5">
        <v>-0.014092861208903</v>
      </c>
      <c r="AN486" s="5">
        <v>0.00186608341093097</v>
      </c>
      <c r="AO486" s="5">
        <v>0.00117122772153521</v>
      </c>
      <c r="AP486" s="6">
        <f t="shared" si="3"/>
        <v>1.453234004</v>
      </c>
      <c r="AQ486" s="4">
        <f t="shared" si="4"/>
        <v>1.416709129</v>
      </c>
      <c r="AR486" s="7">
        <f t="shared" si="5"/>
        <v>1.351141692</v>
      </c>
      <c r="AS486" s="7">
        <f t="shared" ref="AS486:AU486" si="488">AS485*(1+AM486)</f>
        <v>1.449244523</v>
      </c>
      <c r="AT486" s="5">
        <f t="shared" si="488"/>
        <v>1.329501597</v>
      </c>
      <c r="AU486" s="5">
        <f t="shared" si="488"/>
        <v>1.304491179</v>
      </c>
    </row>
    <row r="487" ht="15.75" customHeight="1">
      <c r="A487" s="3">
        <v>44533.0</v>
      </c>
      <c r="B487" s="4">
        <v>0.002177</v>
      </c>
      <c r="C487" s="4">
        <v>0.013601</v>
      </c>
      <c r="D487" s="4">
        <v>-6.58E-4</v>
      </c>
      <c r="E487" s="4">
        <v>0.025464</v>
      </c>
      <c r="F487" s="4">
        <v>0.008856</v>
      </c>
      <c r="G487" s="4">
        <v>0.014578</v>
      </c>
      <c r="H487" s="4">
        <v>0.017792</v>
      </c>
      <c r="I487" s="4">
        <v>-0.002942</v>
      </c>
      <c r="J487" s="4">
        <v>0.002285</v>
      </c>
      <c r="K487" s="4">
        <v>-0.011816</v>
      </c>
      <c r="L487" s="4">
        <v>0.001099</v>
      </c>
      <c r="M487" s="4">
        <v>-0.007116</v>
      </c>
      <c r="N487" s="4">
        <v>-0.007824</v>
      </c>
      <c r="O487" s="4">
        <v>-0.004299</v>
      </c>
      <c r="P487" s="4">
        <v>0.026281</v>
      </c>
      <c r="Q487" s="4">
        <v>0.006404</v>
      </c>
      <c r="R487" s="4">
        <v>-0.014555</v>
      </c>
      <c r="S487" s="4">
        <v>-0.005739</v>
      </c>
      <c r="T487" s="4">
        <v>0.027334</v>
      </c>
      <c r="U487" s="4">
        <v>-0.012397</v>
      </c>
      <c r="V487" s="4">
        <v>0.0454544125077844</v>
      </c>
      <c r="W487" s="4">
        <v>-0.0020711479487711</v>
      </c>
      <c r="X487" s="4">
        <v>0.0</v>
      </c>
      <c r="Y487" s="4">
        <v>-0.0039161390385987</v>
      </c>
      <c r="Z487" s="4">
        <v>0.0047519159330071</v>
      </c>
      <c r="AA487" s="4">
        <v>-0.0108731163474496</v>
      </c>
      <c r="AB487" s="4">
        <v>-0.0036382179365476</v>
      </c>
      <c r="AC487" s="4">
        <v>0.0</v>
      </c>
      <c r="AD487" s="4">
        <v>0.0</v>
      </c>
      <c r="AE487" s="4">
        <v>-0.0010436153160494</v>
      </c>
      <c r="AF487" s="4">
        <v>0.0133038795884545</v>
      </c>
      <c r="AG487" s="4">
        <v>-0.0020167945656491</v>
      </c>
      <c r="AH487" s="4">
        <v>0.0141026123035605</v>
      </c>
      <c r="AI487" s="4">
        <v>0.0037382605111826</v>
      </c>
      <c r="AJ487" s="4">
        <v>-0.008449</v>
      </c>
      <c r="AK487" s="4">
        <f>Weights!E543</f>
        <v>0.00328356727</v>
      </c>
      <c r="AL487" s="5">
        <v>0.0142030057938313</v>
      </c>
      <c r="AM487" s="5">
        <v>0.0162496582155617</v>
      </c>
      <c r="AN487" s="5">
        <v>-0.0211115389757078</v>
      </c>
      <c r="AO487" s="5">
        <v>-0.0215205850258431</v>
      </c>
      <c r="AP487" s="6">
        <f t="shared" si="3"/>
        <v>1.458005795</v>
      </c>
      <c r="AQ487" s="4">
        <f t="shared" si="4"/>
        <v>1.404739353</v>
      </c>
      <c r="AR487" s="7">
        <f t="shared" si="5"/>
        <v>1.370331965</v>
      </c>
      <c r="AS487" s="7">
        <f t="shared" ref="AS487:AU487" si="489">AS486*(1+AM487)</f>
        <v>1.472794251</v>
      </c>
      <c r="AT487" s="5">
        <f t="shared" si="489"/>
        <v>1.301433772</v>
      </c>
      <c r="AU487" s="5">
        <f t="shared" si="489"/>
        <v>1.276417766</v>
      </c>
    </row>
    <row r="488" ht="15.75" customHeight="1">
      <c r="A488" s="3">
        <v>44536.0</v>
      </c>
      <c r="B488" s="4">
        <v>0.013901</v>
      </c>
      <c r="C488" s="4">
        <v>-0.006807</v>
      </c>
      <c r="D488" s="4">
        <v>0.012283</v>
      </c>
      <c r="E488" s="4">
        <v>0.010382</v>
      </c>
      <c r="F488" s="4">
        <v>0.025588</v>
      </c>
      <c r="G488" s="4">
        <v>0.022337</v>
      </c>
      <c r="H488" s="4">
        <v>0.015145</v>
      </c>
      <c r="I488" s="4">
        <v>0.015826</v>
      </c>
      <c r="J488" s="4">
        <v>0.022567</v>
      </c>
      <c r="K488" s="4">
        <v>-0.005509</v>
      </c>
      <c r="L488" s="4">
        <v>0.00958</v>
      </c>
      <c r="M488" s="4">
        <v>0.014884</v>
      </c>
      <c r="N488" s="4">
        <v>0.015021</v>
      </c>
      <c r="O488" s="4">
        <v>0.021666</v>
      </c>
      <c r="P488" s="4">
        <v>0.021218</v>
      </c>
      <c r="Q488" s="4">
        <v>-0.012727</v>
      </c>
      <c r="R488" s="4">
        <v>0.022155</v>
      </c>
      <c r="S488" s="4">
        <v>0.009787</v>
      </c>
      <c r="T488" s="4">
        <v>-0.002353</v>
      </c>
      <c r="U488" s="4">
        <v>0.00934</v>
      </c>
      <c r="V488" s="4">
        <v>-0.0205948255998664</v>
      </c>
      <c r="W488" s="4">
        <v>-0.01418193592042</v>
      </c>
      <c r="X488" s="4">
        <v>-0.0040322524423053</v>
      </c>
      <c r="Y488" s="4">
        <v>-0.0071257761790888</v>
      </c>
      <c r="Z488" s="4">
        <v>-0.0094591251126894</v>
      </c>
      <c r="AA488" s="4">
        <v>0.0075574748892444</v>
      </c>
      <c r="AB488" s="4">
        <v>0.0020864379405329</v>
      </c>
      <c r="AC488" s="4">
        <v>0.0182724883478939</v>
      </c>
      <c r="AD488" s="4">
        <v>-0.0051723814512277</v>
      </c>
      <c r="AE488" s="4">
        <v>-0.0063432164217911</v>
      </c>
      <c r="AF488" s="4">
        <v>-0.0278993878442791</v>
      </c>
      <c r="AG488" s="4">
        <v>-0.0056371263172687</v>
      </c>
      <c r="AH488" s="4">
        <v>0.0259165664590272</v>
      </c>
      <c r="AI488" s="4">
        <v>-0.0032589725305068</v>
      </c>
      <c r="AJ488" s="4">
        <v>0.011731</v>
      </c>
      <c r="AK488" s="4">
        <f>Weights!E544</f>
        <v>0.005054190412</v>
      </c>
      <c r="AL488" s="5">
        <v>-0.00753482626249268</v>
      </c>
      <c r="AM488" s="5">
        <v>-0.0115861591091335</v>
      </c>
      <c r="AN488" s="5">
        <v>-0.0101489083954512</v>
      </c>
      <c r="AO488" s="5">
        <v>-0.0102798641984519</v>
      </c>
      <c r="AP488" s="6">
        <f t="shared" si="3"/>
        <v>1.465374834</v>
      </c>
      <c r="AQ488" s="4">
        <f t="shared" si="4"/>
        <v>1.42121835</v>
      </c>
      <c r="AR488" s="7">
        <f t="shared" si="5"/>
        <v>1.360006752</v>
      </c>
      <c r="AS488" s="7">
        <f t="shared" ref="AS488:AU488" si="490">AS487*(1+AM488)</f>
        <v>1.455730223</v>
      </c>
      <c r="AT488" s="5">
        <f t="shared" si="490"/>
        <v>1.28822564</v>
      </c>
      <c r="AU488" s="5">
        <f t="shared" si="490"/>
        <v>1.263296364</v>
      </c>
    </row>
    <row r="489" ht="15.75" customHeight="1">
      <c r="A489" s="3">
        <v>44537.0</v>
      </c>
      <c r="B489" s="4">
        <v>0.011997</v>
      </c>
      <c r="C489" s="4">
        <v>-0.005483</v>
      </c>
      <c r="D489" s="4">
        <v>0.006934</v>
      </c>
      <c r="E489" s="4">
        <v>-0.001142</v>
      </c>
      <c r="F489" s="4">
        <v>0.005463</v>
      </c>
      <c r="G489" s="4">
        <v>0.002578</v>
      </c>
      <c r="H489" s="4">
        <v>-0.002629</v>
      </c>
      <c r="I489" s="4">
        <v>0.021917</v>
      </c>
      <c r="J489" s="4">
        <v>0.018279</v>
      </c>
      <c r="K489" s="4">
        <v>0.01378</v>
      </c>
      <c r="L489" s="4">
        <v>0.018978</v>
      </c>
      <c r="M489" s="4">
        <v>0.024443</v>
      </c>
      <c r="N489" s="4">
        <v>0.010914</v>
      </c>
      <c r="O489" s="4">
        <v>0.021552</v>
      </c>
      <c r="P489" s="4">
        <v>0.01003</v>
      </c>
      <c r="Q489" s="4">
        <v>-0.044199</v>
      </c>
      <c r="R489" s="4">
        <v>0.037463</v>
      </c>
      <c r="S489" s="4">
        <v>0.021123</v>
      </c>
      <c r="T489" s="4">
        <v>0.034198</v>
      </c>
      <c r="U489" s="4">
        <v>0.001703</v>
      </c>
      <c r="V489" s="4">
        <v>0.0098130769041802</v>
      </c>
      <c r="W489" s="4">
        <v>-0.0029823707398456</v>
      </c>
      <c r="X489" s="4">
        <v>-0.0013494674446556</v>
      </c>
      <c r="Y489" s="4">
        <v>0.0070532541025412</v>
      </c>
      <c r="Z489" s="4">
        <v>0.0073699091140808</v>
      </c>
      <c r="AA489" s="4">
        <v>0.0109102653431958</v>
      </c>
      <c r="AB489" s="4">
        <v>-0.0091096913181504</v>
      </c>
      <c r="AC489" s="4">
        <v>0.0016313803081176</v>
      </c>
      <c r="AD489" s="4">
        <v>0.0051992740800392</v>
      </c>
      <c r="AE489" s="4">
        <v>0.0081863856073898</v>
      </c>
      <c r="AF489" s="4">
        <v>0.0033764705947041</v>
      </c>
      <c r="AG489" s="4">
        <v>-0.0064178116928088</v>
      </c>
      <c r="AH489" s="4">
        <v>0.0067775217556949</v>
      </c>
      <c r="AI489" s="4">
        <v>-0.0037364138009605</v>
      </c>
      <c r="AJ489" s="4">
        <v>0.020707</v>
      </c>
      <c r="AK489" s="4">
        <f>Weights!E545</f>
        <v>0.007265376349</v>
      </c>
      <c r="AL489" s="5">
        <v>0.0103528819539941</v>
      </c>
      <c r="AM489" s="5">
        <v>0.0128466261653832</v>
      </c>
      <c r="AN489" s="5">
        <v>0.0163408273328433</v>
      </c>
      <c r="AO489" s="5">
        <v>0.0149758511421487</v>
      </c>
      <c r="AP489" s="6">
        <f t="shared" si="3"/>
        <v>1.476021334</v>
      </c>
      <c r="AQ489" s="4">
        <f t="shared" si="4"/>
        <v>1.450647519</v>
      </c>
      <c r="AR489" s="7">
        <f t="shared" si="5"/>
        <v>1.374086741</v>
      </c>
      <c r="AS489" s="7">
        <f t="shared" ref="AS489:AU489" si="491">AS488*(1+AM489)</f>
        <v>1.474431445</v>
      </c>
      <c r="AT489" s="5">
        <f t="shared" si="491"/>
        <v>1.309276313</v>
      </c>
      <c r="AU489" s="5">
        <f t="shared" si="491"/>
        <v>1.282215303</v>
      </c>
    </row>
    <row r="490" ht="15.75" customHeight="1">
      <c r="A490" s="3">
        <v>44538.0</v>
      </c>
      <c r="B490" s="4">
        <v>-0.012278</v>
      </c>
      <c r="C490" s="4">
        <v>-0.005907</v>
      </c>
      <c r="D490" s="4">
        <v>-0.002582</v>
      </c>
      <c r="E490" s="4">
        <v>0.001745</v>
      </c>
      <c r="F490" s="4">
        <v>-0.003804</v>
      </c>
      <c r="G490" s="4">
        <v>0.005999</v>
      </c>
      <c r="H490" s="4">
        <v>0.004481</v>
      </c>
      <c r="I490" s="4">
        <v>-0.006202</v>
      </c>
      <c r="J490" s="4">
        <v>8.76E-4</v>
      </c>
      <c r="K490" s="4">
        <v>0.005997</v>
      </c>
      <c r="L490" s="4">
        <v>-0.00582</v>
      </c>
      <c r="M490" s="4">
        <v>0.002651</v>
      </c>
      <c r="N490" s="4">
        <v>0.003843</v>
      </c>
      <c r="O490" s="4">
        <v>0.007935</v>
      </c>
      <c r="P490" s="4">
        <v>0.009222</v>
      </c>
      <c r="Q490" s="4">
        <v>9.63E-4</v>
      </c>
      <c r="R490" s="4">
        <v>-0.00129</v>
      </c>
      <c r="S490" s="4">
        <v>0.006328</v>
      </c>
      <c r="T490" s="4">
        <v>-0.010525</v>
      </c>
      <c r="U490" s="4">
        <v>-0.010346</v>
      </c>
      <c r="V490" s="4">
        <v>0.011105832066721</v>
      </c>
      <c r="W490" s="4">
        <v>0.012669264069413</v>
      </c>
      <c r="X490" s="4">
        <v>-0.0040540481341004</v>
      </c>
      <c r="Y490" s="4">
        <v>-0.0105671797413383</v>
      </c>
      <c r="Z490" s="4">
        <v>-0.0290572431515261</v>
      </c>
      <c r="AA490" s="4">
        <v>0.0033726806293692</v>
      </c>
      <c r="AB490" s="4">
        <v>0.0018386405088028</v>
      </c>
      <c r="AC490" s="4">
        <v>-0.0097720461942744</v>
      </c>
      <c r="AD490" s="4">
        <v>0.0</v>
      </c>
      <c r="AE490" s="4">
        <v>-0.004395361757998</v>
      </c>
      <c r="AF490" s="4">
        <v>0.0014022141283041</v>
      </c>
      <c r="AG490" s="4">
        <v>-0.001722367274857</v>
      </c>
      <c r="AH490" s="4">
        <v>-0.0183598362440754</v>
      </c>
      <c r="AI490" s="4">
        <v>0.0042197771964964</v>
      </c>
      <c r="AJ490" s="4">
        <v>0.003085</v>
      </c>
      <c r="AK490" s="4">
        <f>Weights!E546</f>
        <v>-0.001712562519</v>
      </c>
      <c r="AL490" s="5">
        <v>0.0208727849405734</v>
      </c>
      <c r="AM490" s="5">
        <v>0.0213954118817119</v>
      </c>
      <c r="AN490" s="5">
        <v>-0.00598998128695915</v>
      </c>
      <c r="AO490" s="5">
        <v>-0.00571158107709257</v>
      </c>
      <c r="AP490" s="6">
        <f t="shared" si="3"/>
        <v>1.473493555</v>
      </c>
      <c r="AQ490" s="4">
        <f t="shared" si="4"/>
        <v>1.455122766</v>
      </c>
      <c r="AR490" s="7">
        <f t="shared" si="5"/>
        <v>1.402767758</v>
      </c>
      <c r="AS490" s="7">
        <f t="shared" ref="AS490:AU490" si="492">AS489*(1+AM490)</f>
        <v>1.505977513</v>
      </c>
      <c r="AT490" s="5">
        <f t="shared" si="492"/>
        <v>1.301433772</v>
      </c>
      <c r="AU490" s="5">
        <f t="shared" si="492"/>
        <v>1.274891826</v>
      </c>
    </row>
    <row r="491" ht="15.75" customHeight="1">
      <c r="A491" s="3">
        <v>44539.0</v>
      </c>
      <c r="B491" s="4">
        <v>-0.008885</v>
      </c>
      <c r="C491" s="4">
        <v>-0.006536</v>
      </c>
      <c r="D491" s="4">
        <v>-0.022006</v>
      </c>
      <c r="E491" s="4">
        <v>-0.001261</v>
      </c>
      <c r="F491" s="4">
        <v>-0.002545</v>
      </c>
      <c r="G491" s="4">
        <v>0.009493</v>
      </c>
      <c r="H491" s="4">
        <v>0.005839</v>
      </c>
      <c r="I491" s="4">
        <v>-0.017681</v>
      </c>
      <c r="J491" s="4">
        <v>-0.00678</v>
      </c>
      <c r="K491" s="4">
        <v>-0.005829</v>
      </c>
      <c r="L491" s="4">
        <v>-0.004586</v>
      </c>
      <c r="M491" s="4">
        <v>-0.006875</v>
      </c>
      <c r="N491" s="4">
        <v>-0.004922</v>
      </c>
      <c r="O491" s="4">
        <v>-0.012909</v>
      </c>
      <c r="P491" s="4">
        <v>-0.002661</v>
      </c>
      <c r="Q491" s="4">
        <v>-0.017324</v>
      </c>
      <c r="R491" s="4">
        <v>-0.006457</v>
      </c>
      <c r="S491" s="4">
        <v>-0.01451</v>
      </c>
      <c r="T491" s="4">
        <v>7.09E-4</v>
      </c>
      <c r="U491" s="4">
        <v>-0.009633</v>
      </c>
      <c r="V491" s="4">
        <v>0.0347827799612601</v>
      </c>
      <c r="W491" s="4">
        <v>-0.027454266394102</v>
      </c>
      <c r="X491" s="4">
        <v>0.0</v>
      </c>
      <c r="Y491" s="4">
        <v>0.0108662004302158</v>
      </c>
      <c r="Z491" s="4">
        <v>0.0108246685198232</v>
      </c>
      <c r="AA491" s="4">
        <v>-0.0021848465445788</v>
      </c>
      <c r="AB491" s="4">
        <v>0.0020977356769835</v>
      </c>
      <c r="AC491" s="4">
        <v>0.0</v>
      </c>
      <c r="AD491" s="4">
        <v>0.0</v>
      </c>
      <c r="AE491" s="4">
        <v>-0.0053122331721496</v>
      </c>
      <c r="AF491" s="4">
        <v>-0.0030804830844314</v>
      </c>
      <c r="AG491" s="4">
        <v>0.0281462351434746</v>
      </c>
      <c r="AH491" s="4">
        <v>-0.0093516121904729</v>
      </c>
      <c r="AI491" s="4">
        <v>4.663648415821E-4</v>
      </c>
      <c r="AJ491" s="4">
        <v>-0.007181</v>
      </c>
      <c r="AK491" s="4">
        <f>Weights!E547</f>
        <v>-0.001623988995</v>
      </c>
      <c r="AL491" s="5">
        <v>0.00342004312353538</v>
      </c>
      <c r="AM491" s="5">
        <v>0.00430670499958152</v>
      </c>
      <c r="AN491" s="5">
        <v>0.0107834576070231</v>
      </c>
      <c r="AO491" s="5">
        <v>0.0110101158232522</v>
      </c>
      <c r="AP491" s="6">
        <f t="shared" si="3"/>
        <v>1.471100618</v>
      </c>
      <c r="AQ491" s="4">
        <f t="shared" si="4"/>
        <v>1.44467353</v>
      </c>
      <c r="AR491" s="7">
        <f t="shared" si="5"/>
        <v>1.407565284</v>
      </c>
      <c r="AS491" s="7">
        <f t="shared" ref="AS491:AU491" si="493">AS490*(1+AM491)</f>
        <v>1.512463313</v>
      </c>
      <c r="AT491" s="5">
        <f t="shared" si="493"/>
        <v>1.315467728</v>
      </c>
      <c r="AU491" s="5">
        <f t="shared" si="493"/>
        <v>1.288928533</v>
      </c>
    </row>
    <row r="492" ht="15.75" customHeight="1">
      <c r="A492" s="3">
        <v>44540.0</v>
      </c>
      <c r="B492" s="4">
        <v>0.010936</v>
      </c>
      <c r="C492" s="4">
        <v>5.98E-4</v>
      </c>
      <c r="D492" s="4">
        <v>0.001324</v>
      </c>
      <c r="E492" s="4">
        <v>0.015994</v>
      </c>
      <c r="F492" s="4">
        <v>0.025884</v>
      </c>
      <c r="G492" s="4">
        <v>-0.002471</v>
      </c>
      <c r="H492" s="4">
        <v>0.013958</v>
      </c>
      <c r="I492" s="4">
        <v>2.65E-4</v>
      </c>
      <c r="J492" s="4">
        <v>0.003303</v>
      </c>
      <c r="K492" s="4">
        <v>-0.001333</v>
      </c>
      <c r="L492" s="4">
        <v>0.002941</v>
      </c>
      <c r="M492" s="4">
        <v>0.005857</v>
      </c>
      <c r="N492" s="4">
        <v>-0.001099</v>
      </c>
      <c r="O492" s="4">
        <v>-0.01202</v>
      </c>
      <c r="P492" s="4">
        <v>-0.001957</v>
      </c>
      <c r="Q492" s="4">
        <v>-0.041136</v>
      </c>
      <c r="R492" s="4">
        <v>-0.002599</v>
      </c>
      <c r="S492" s="4">
        <v>-0.002209</v>
      </c>
      <c r="T492" s="4">
        <v>0.002835</v>
      </c>
      <c r="U492" s="4">
        <v>3.77E-4</v>
      </c>
      <c r="V492" s="4">
        <v>-0.00619194577700021</v>
      </c>
      <c r="W492" s="4">
        <v>0.0162586434728038</v>
      </c>
      <c r="X492" s="4">
        <v>0.0</v>
      </c>
      <c r="Y492" s="4">
        <v>0.0054055922254636</v>
      </c>
      <c r="Z492" s="4">
        <v>-0.0056695360468916</v>
      </c>
      <c r="AA492" s="4">
        <v>-1.685163284672E-4</v>
      </c>
      <c r="AB492" s="4">
        <v>-0.0073261122619542</v>
      </c>
      <c r="AC492" s="4">
        <v>0.0</v>
      </c>
      <c r="AD492" s="4">
        <v>0.0</v>
      </c>
      <c r="AE492" s="4">
        <v>0.0043628402003239</v>
      </c>
      <c r="AF492" s="4">
        <v>-0.0098314246312795</v>
      </c>
      <c r="AG492" s="4">
        <v>-0.0228653493498974</v>
      </c>
      <c r="AH492" s="4">
        <v>-0.0333542943627734</v>
      </c>
      <c r="AI492" s="4">
        <v>0.0028001253321923</v>
      </c>
      <c r="AJ492" s="4">
        <v>0.009549</v>
      </c>
      <c r="AK492" s="4">
        <f>Weights!E548</f>
        <v>-0.002331627926</v>
      </c>
      <c r="AL492" s="5">
        <v>-0.0085951313056507</v>
      </c>
      <c r="AM492" s="5">
        <v>-0.00953369926126945</v>
      </c>
      <c r="AN492" s="5">
        <v>0.0138061221080239</v>
      </c>
      <c r="AO492" s="5">
        <v>0.0144411584443486</v>
      </c>
      <c r="AP492" s="6">
        <f t="shared" si="3"/>
        <v>1.467670559</v>
      </c>
      <c r="AQ492" s="4">
        <f t="shared" si="4"/>
        <v>1.458468717</v>
      </c>
      <c r="AR492" s="7">
        <f t="shared" si="5"/>
        <v>1.395467076</v>
      </c>
      <c r="AS492" s="7">
        <f t="shared" ref="AS492:AU492" si="494">AS491*(1+AM492)</f>
        <v>1.498043943</v>
      </c>
      <c r="AT492" s="5">
        <f t="shared" si="494"/>
        <v>1.333629236</v>
      </c>
      <c r="AU492" s="5">
        <f t="shared" si="494"/>
        <v>1.307542154</v>
      </c>
    </row>
    <row r="493" ht="15.75" customHeight="1">
      <c r="A493" s="3">
        <v>44543.0</v>
      </c>
      <c r="B493" s="4">
        <v>-0.011251</v>
      </c>
      <c r="C493" s="4">
        <v>0.001793</v>
      </c>
      <c r="D493" s="4">
        <v>-0.009694</v>
      </c>
      <c r="E493" s="4">
        <v>0.004971</v>
      </c>
      <c r="F493" s="4">
        <v>0.026297</v>
      </c>
      <c r="G493" s="4">
        <v>0.017886</v>
      </c>
      <c r="H493" s="4">
        <v>0.014216</v>
      </c>
      <c r="I493" s="4">
        <v>-0.006351</v>
      </c>
      <c r="J493" s="4">
        <v>0.006585</v>
      </c>
      <c r="K493" s="4">
        <v>-0.011207</v>
      </c>
      <c r="L493" s="4">
        <v>-0.022479</v>
      </c>
      <c r="M493" s="4">
        <v>-0.021705</v>
      </c>
      <c r="N493" s="4">
        <v>-0.01027</v>
      </c>
      <c r="O493" s="4">
        <v>0.008072</v>
      </c>
      <c r="P493" s="4">
        <v>0.019073</v>
      </c>
      <c r="Q493" s="4">
        <v>0.005107</v>
      </c>
      <c r="R493" s="4">
        <v>-0.019286</v>
      </c>
      <c r="S493" s="4">
        <v>0.00664</v>
      </c>
      <c r="T493" s="4">
        <v>0.02067</v>
      </c>
      <c r="U493" s="4">
        <v>-0.006482</v>
      </c>
      <c r="V493" s="4">
        <v>-0.0186099605042442</v>
      </c>
      <c r="W493" s="4">
        <v>0.0112518601241642</v>
      </c>
      <c r="X493" s="4">
        <v>-0.0451977390782447</v>
      </c>
      <c r="Y493" s="4">
        <v>0.0029937002186666</v>
      </c>
      <c r="Z493" s="4">
        <v>-0.0104528515503801</v>
      </c>
      <c r="AA493" s="4">
        <v>0.0030324914211041</v>
      </c>
      <c r="AB493" s="4">
        <v>0.0065892183607609</v>
      </c>
      <c r="AC493" s="4">
        <v>-0.0148760490454193</v>
      </c>
      <c r="AD493" s="4">
        <v>0.0017607491155</v>
      </c>
      <c r="AE493" s="4">
        <v>-0.0011234830557449</v>
      </c>
      <c r="AF493" s="4">
        <v>-0.0116311309305563</v>
      </c>
      <c r="AG493" s="4">
        <v>-0.0018250928097545</v>
      </c>
      <c r="AH493" s="4">
        <v>0.0579426991373315</v>
      </c>
      <c r="AI493" s="4">
        <v>-0.0083761116712555</v>
      </c>
      <c r="AJ493" s="4">
        <v>-0.009136</v>
      </c>
      <c r="AK493" s="4">
        <f>Weights!E549</f>
        <v>-0.001182546575</v>
      </c>
      <c r="AL493" s="5">
        <v>0.00582957742094358</v>
      </c>
      <c r="AM493" s="5">
        <v>0.0068092748170303</v>
      </c>
      <c r="AN493" s="5">
        <v>-0.00340465773781839</v>
      </c>
      <c r="AO493" s="5">
        <v>-0.0042006127841162</v>
      </c>
      <c r="AP493" s="6">
        <f t="shared" si="3"/>
        <v>1.46593497</v>
      </c>
      <c r="AQ493" s="4">
        <f t="shared" si="4"/>
        <v>1.445144147</v>
      </c>
      <c r="AR493" s="7">
        <f t="shared" si="5"/>
        <v>1.403602059</v>
      </c>
      <c r="AS493" s="7">
        <f t="shared" ref="AS493:AU493" si="495">AS492*(1+AM493)</f>
        <v>1.508244536</v>
      </c>
      <c r="AT493" s="5">
        <f t="shared" si="495"/>
        <v>1.329088685</v>
      </c>
      <c r="AU493" s="5">
        <f t="shared" si="495"/>
        <v>1.302049675</v>
      </c>
    </row>
    <row r="494" ht="15.75" customHeight="1">
      <c r="A494" s="3">
        <v>44544.0</v>
      </c>
      <c r="B494" s="4">
        <v>-0.005689</v>
      </c>
      <c r="C494" s="4">
        <v>0.007359</v>
      </c>
      <c r="D494" s="4">
        <v>0.004004</v>
      </c>
      <c r="E494" s="4">
        <v>-0.002473</v>
      </c>
      <c r="F494" s="4">
        <v>6.93E-4</v>
      </c>
      <c r="G494" s="4">
        <v>0.010923</v>
      </c>
      <c r="H494" s="4">
        <v>0.003679</v>
      </c>
      <c r="I494" s="4">
        <v>-0.004794</v>
      </c>
      <c r="J494" s="4">
        <v>0.013737</v>
      </c>
      <c r="K494" s="4">
        <v>-0.005532</v>
      </c>
      <c r="L494" s="4">
        <v>0.0</v>
      </c>
      <c r="M494" s="4">
        <v>0.00487</v>
      </c>
      <c r="N494" s="4">
        <v>-0.002224</v>
      </c>
      <c r="O494" s="4">
        <v>-0.02668</v>
      </c>
      <c r="P494" s="4">
        <v>-0.017492</v>
      </c>
      <c r="Q494" s="4">
        <v>0.017276</v>
      </c>
      <c r="R494" s="4">
        <v>0.00877</v>
      </c>
      <c r="S494" s="4">
        <v>-0.021011</v>
      </c>
      <c r="T494" s="4">
        <v>0.024838</v>
      </c>
      <c r="U494" s="4">
        <v>-0.005234</v>
      </c>
      <c r="V494" s="4">
        <v>-0.0145125999367748</v>
      </c>
      <c r="W494" s="4">
        <v>0.0010431354175415</v>
      </c>
      <c r="X494" s="4">
        <v>0.0207100946413689</v>
      </c>
      <c r="Y494" s="4">
        <v>0.0068829523485769</v>
      </c>
      <c r="Z494" s="4">
        <v>0.0164318518662445</v>
      </c>
      <c r="AA494" s="4">
        <v>-1.680351658077E-4</v>
      </c>
      <c r="AB494" s="4">
        <v>0.003666082898277</v>
      </c>
      <c r="AC494" s="4">
        <v>-0.0016779129228448</v>
      </c>
      <c r="AD494" s="4">
        <v>-0.0052723746454171</v>
      </c>
      <c r="AE494" s="4">
        <v>-0.0054735209727244</v>
      </c>
      <c r="AF494" s="4">
        <v>0.001435076529235</v>
      </c>
      <c r="AG494" s="4">
        <v>0.0069900663534547</v>
      </c>
      <c r="AH494" s="4">
        <v>0.0258461878849909</v>
      </c>
      <c r="AI494" s="4">
        <v>-7.059590808519E-4</v>
      </c>
      <c r="AJ494" s="4">
        <v>-0.007471</v>
      </c>
      <c r="AK494" s="4">
        <f>Weights!E550</f>
        <v>0.002787666691</v>
      </c>
      <c r="AL494" s="5">
        <v>-0.00871836731560238</v>
      </c>
      <c r="AM494" s="5">
        <v>-0.00910102255188294</v>
      </c>
      <c r="AN494" s="5">
        <v>-0.00621103572620918</v>
      </c>
      <c r="AO494" s="5">
        <v>-0.00679613047467031</v>
      </c>
      <c r="AP494" s="6">
        <f t="shared" si="3"/>
        <v>1.470021508</v>
      </c>
      <c r="AQ494" s="4">
        <f t="shared" si="4"/>
        <v>1.434347475</v>
      </c>
      <c r="AR494" s="7">
        <f t="shared" si="5"/>
        <v>1.391364941</v>
      </c>
      <c r="AS494" s="7">
        <f t="shared" ref="AS494:AU494" si="496">AS493*(1+AM494)</f>
        <v>1.494517968</v>
      </c>
      <c r="AT494" s="5">
        <f t="shared" si="496"/>
        <v>1.320833668</v>
      </c>
      <c r="AU494" s="5">
        <f t="shared" si="496"/>
        <v>1.293200776</v>
      </c>
    </row>
    <row r="495" ht="15.75" customHeight="1">
      <c r="A495" s="3">
        <v>44545.0</v>
      </c>
      <c r="B495" s="4">
        <v>0.003961</v>
      </c>
      <c r="C495" s="4">
        <v>-0.001974</v>
      </c>
      <c r="D495" s="4">
        <v>-0.015068</v>
      </c>
      <c r="E495" s="4">
        <v>0.01287</v>
      </c>
      <c r="F495" s="4">
        <v>0.004498</v>
      </c>
      <c r="G495" s="4">
        <v>0.004992</v>
      </c>
      <c r="H495" s="4">
        <v>0.003855</v>
      </c>
      <c r="I495" s="4">
        <v>-0.00776</v>
      </c>
      <c r="J495" s="4">
        <v>0.005378</v>
      </c>
      <c r="K495" s="4">
        <v>0.006242</v>
      </c>
      <c r="L495" s="4">
        <v>0.014497</v>
      </c>
      <c r="M495" s="4">
        <v>0.001077</v>
      </c>
      <c r="N495" s="4">
        <v>0.003528</v>
      </c>
      <c r="O495" s="4">
        <v>3.9E-4</v>
      </c>
      <c r="P495" s="4">
        <v>-0.034538</v>
      </c>
      <c r="Q495" s="4">
        <v>-0.007992</v>
      </c>
      <c r="R495" s="4">
        <v>-0.018704</v>
      </c>
      <c r="S495" s="4">
        <v>-0.02271</v>
      </c>
      <c r="T495" s="4">
        <v>-0.086134</v>
      </c>
      <c r="U495" s="4">
        <v>0.005262</v>
      </c>
      <c r="V495" s="4">
        <v>-0.00598254170316847</v>
      </c>
      <c r="W495" s="4">
        <v>-0.0045155714572476</v>
      </c>
      <c r="X495" s="4">
        <v>0.0289855290351892</v>
      </c>
      <c r="Y495" s="4">
        <v>0.0033275097624632</v>
      </c>
      <c r="Z495" s="4">
        <v>-0.0072431878263575</v>
      </c>
      <c r="AA495" s="4">
        <v>-0.005207345626903</v>
      </c>
      <c r="AB495" s="4">
        <v>-0.0052180466940364</v>
      </c>
      <c r="AC495" s="4">
        <v>-0.0016806573923732</v>
      </c>
      <c r="AD495" s="4">
        <v>0.0070669946479278</v>
      </c>
      <c r="AE495" s="4">
        <v>-0.0012815118280243</v>
      </c>
      <c r="AF495" s="4">
        <v>-0.0028661100843359</v>
      </c>
      <c r="AG495" s="4">
        <v>-0.010572566262631</v>
      </c>
      <c r="AH495" s="4">
        <v>-0.0131974047130216</v>
      </c>
      <c r="AI495" s="4">
        <v>0.0014127117972135</v>
      </c>
      <c r="AJ495" s="4">
        <v>0.016348</v>
      </c>
      <c r="AK495" s="4">
        <f>Weights!E551</f>
        <v>-0.003321958265</v>
      </c>
      <c r="AL495" s="5">
        <v>-0.00800258100149098</v>
      </c>
      <c r="AM495" s="5">
        <v>-0.00749958202804601</v>
      </c>
      <c r="AN495" s="5">
        <v>0.0</v>
      </c>
      <c r="AO495" s="5">
        <v>-0.00141596541975053</v>
      </c>
      <c r="AP495" s="6">
        <f t="shared" si="3"/>
        <v>1.465138158</v>
      </c>
      <c r="AQ495" s="4">
        <f t="shared" si="4"/>
        <v>1.457796188</v>
      </c>
      <c r="AR495" s="7">
        <f t="shared" si="5"/>
        <v>1.38023043</v>
      </c>
      <c r="AS495" s="7">
        <f t="shared" ref="AS495:AU495" si="497">AS494*(1+AM495)</f>
        <v>1.483309708</v>
      </c>
      <c r="AT495" s="5">
        <f t="shared" si="497"/>
        <v>1.320833668</v>
      </c>
      <c r="AU495" s="5">
        <f t="shared" si="497"/>
        <v>1.291369648</v>
      </c>
    </row>
    <row r="496" ht="15.75" customHeight="1">
      <c r="A496" s="3">
        <v>44546.0</v>
      </c>
      <c r="B496" s="4">
        <v>0.006576</v>
      </c>
      <c r="C496" s="4">
        <v>0.043521</v>
      </c>
      <c r="D496" s="4">
        <v>0.007424</v>
      </c>
      <c r="E496" s="4">
        <v>0.001457</v>
      </c>
      <c r="F496" s="4">
        <v>0.010162</v>
      </c>
      <c r="G496" s="4">
        <v>0.010927</v>
      </c>
      <c r="H496" s="4">
        <v>0.014163</v>
      </c>
      <c r="I496" s="4">
        <v>0.007281</v>
      </c>
      <c r="J496" s="4">
        <v>0.007488</v>
      </c>
      <c r="K496" s="4">
        <v>0.008091</v>
      </c>
      <c r="L496" s="4">
        <v>0.014093</v>
      </c>
      <c r="M496" s="4">
        <v>-0.008607</v>
      </c>
      <c r="N496" s="4">
        <v>0.007587</v>
      </c>
      <c r="O496" s="4">
        <v>-0.010875</v>
      </c>
      <c r="P496" s="4">
        <v>0.087959</v>
      </c>
      <c r="Q496" s="4">
        <v>0.047331</v>
      </c>
      <c r="R496" s="4">
        <v>0.027651</v>
      </c>
      <c r="S496" s="4">
        <v>0.042901</v>
      </c>
      <c r="T496" s="4">
        <v>0.052486</v>
      </c>
      <c r="U496" s="4">
        <v>0.003414</v>
      </c>
      <c r="V496" s="4">
        <v>-0.0180554173666195</v>
      </c>
      <c r="W496" s="4">
        <v>-0.0071527364616319</v>
      </c>
      <c r="X496" s="4">
        <v>-0.0042253460677232</v>
      </c>
      <c r="Y496" s="4">
        <v>-0.0021104207981235</v>
      </c>
      <c r="Z496" s="4">
        <v>0.0015860620909591</v>
      </c>
      <c r="AA496" s="4">
        <v>8.443284521337E-4</v>
      </c>
      <c r="AB496" s="4">
        <v>7.869018065924E-4</v>
      </c>
      <c r="AC496" s="4">
        <v>0.001683486756836</v>
      </c>
      <c r="AD496" s="4">
        <v>-0.0087716799627414</v>
      </c>
      <c r="AE496" s="4">
        <v>-0.0089077940466881</v>
      </c>
      <c r="AF496" s="4">
        <v>0.020408104514862</v>
      </c>
      <c r="AG496" s="4">
        <v>0.0</v>
      </c>
      <c r="AH496" s="4">
        <v>0.0</v>
      </c>
      <c r="AI496" s="4">
        <v>-0.0014107188580403</v>
      </c>
      <c r="AJ496" s="4">
        <v>-0.008743</v>
      </c>
      <c r="AK496" s="4">
        <f>Weights!E552</f>
        <v>0.007848482331</v>
      </c>
      <c r="AL496" s="5">
        <v>0.015220870698142</v>
      </c>
      <c r="AM496" s="5">
        <v>0.0154094085686287</v>
      </c>
      <c r="AN496" s="5">
        <v>-0.00843762880772525</v>
      </c>
      <c r="AO496" s="5">
        <v>-0.00708886555838894</v>
      </c>
      <c r="AP496" s="6">
        <f t="shared" si="3"/>
        <v>1.476637269</v>
      </c>
      <c r="AQ496" s="4">
        <f t="shared" si="4"/>
        <v>1.445050676</v>
      </c>
      <c r="AR496" s="7">
        <f t="shared" si="5"/>
        <v>1.401238739</v>
      </c>
      <c r="AS496" s="7">
        <f t="shared" ref="AS496:AU496" si="498">AS495*(1+AM496)</f>
        <v>1.506166634</v>
      </c>
      <c r="AT496" s="5">
        <f t="shared" si="498"/>
        <v>1.309688964</v>
      </c>
      <c r="AU496" s="5">
        <f t="shared" si="498"/>
        <v>1.282215303</v>
      </c>
    </row>
    <row r="497" ht="15.75" customHeight="1">
      <c r="A497" s="3">
        <v>44547.0</v>
      </c>
      <c r="B497" s="4">
        <v>-0.001742</v>
      </c>
      <c r="C497" s="4">
        <v>0.007962</v>
      </c>
      <c r="D497" s="4">
        <v>0.020768</v>
      </c>
      <c r="E497" s="4">
        <v>-0.020487</v>
      </c>
      <c r="F497" s="4">
        <v>-0.015686</v>
      </c>
      <c r="G497" s="4">
        <v>-0.027628</v>
      </c>
      <c r="H497" s="4">
        <v>-0.022655</v>
      </c>
      <c r="I497" s="4">
        <v>-0.011513</v>
      </c>
      <c r="J497" s="4">
        <v>-0.003185</v>
      </c>
      <c r="K497" s="4">
        <v>-0.023408</v>
      </c>
      <c r="L497" s="4">
        <v>-0.0138</v>
      </c>
      <c r="M497" s="4">
        <v>-0.01465</v>
      </c>
      <c r="N497" s="4">
        <v>-0.015243</v>
      </c>
      <c r="O497" s="4">
        <v>-0.003113</v>
      </c>
      <c r="P497" s="4">
        <v>0.004068</v>
      </c>
      <c r="Q497" s="4">
        <v>9.62E-4</v>
      </c>
      <c r="R497" s="4">
        <v>-0.007314</v>
      </c>
      <c r="S497" s="4">
        <v>0.00857</v>
      </c>
      <c r="T497" s="4">
        <v>0.035996</v>
      </c>
      <c r="U497" s="4">
        <v>-0.015272</v>
      </c>
      <c r="V497" s="4">
        <v>-9.4305345053125E-4</v>
      </c>
      <c r="W497" s="4">
        <v>-0.0739765540020597</v>
      </c>
      <c r="X497" s="4">
        <v>0.0</v>
      </c>
      <c r="Y497" s="4">
        <v>-0.0220544291843923</v>
      </c>
      <c r="Z497" s="4">
        <v>-0.030616519471227</v>
      </c>
      <c r="AA497" s="4">
        <v>-0.0023622026523913</v>
      </c>
      <c r="AB497" s="4">
        <v>-0.0209645191245715</v>
      </c>
      <c r="AC497" s="4">
        <v>0.0</v>
      </c>
      <c r="AD497" s="4">
        <v>0.0</v>
      </c>
      <c r="AE497" s="4">
        <v>-0.0119581675201905</v>
      </c>
      <c r="AF497" s="4">
        <v>-0.0523943666623752</v>
      </c>
      <c r="AG497" s="4">
        <v>-0.012196389130726</v>
      </c>
      <c r="AH497" s="4">
        <v>-0.0990881395089301</v>
      </c>
      <c r="AI497" s="4">
        <v>0.0084750478326562</v>
      </c>
      <c r="AJ497" s="4">
        <v>-0.010288</v>
      </c>
      <c r="AK497" s="4">
        <f>Weights!E553</f>
        <v>-0.01476545743</v>
      </c>
      <c r="AL497" s="5">
        <v>-0.00479776710218771</v>
      </c>
      <c r="AM497" s="5">
        <v>-0.0112038781424489</v>
      </c>
      <c r="AN497" s="5">
        <v>-0.00126050096257157</v>
      </c>
      <c r="AO497" s="5">
        <v>-0.00285558900075244</v>
      </c>
      <c r="AP497" s="6">
        <f t="shared" si="3"/>
        <v>1.454834044</v>
      </c>
      <c r="AQ497" s="4">
        <f t="shared" si="4"/>
        <v>1.430183994</v>
      </c>
      <c r="AR497" s="7">
        <f t="shared" si="5"/>
        <v>1.394515922</v>
      </c>
      <c r="AS497" s="7">
        <f t="shared" ref="AS497:AU497" si="499">AS496*(1+AM497)</f>
        <v>1.489291726</v>
      </c>
      <c r="AT497" s="5">
        <f t="shared" si="499"/>
        <v>1.308038099</v>
      </c>
      <c r="AU497" s="5">
        <f t="shared" si="499"/>
        <v>1.278553823</v>
      </c>
    </row>
    <row r="498" ht="15.75" customHeight="1">
      <c r="A498" s="3">
        <v>44550.0</v>
      </c>
      <c r="B498" s="4">
        <v>0.002181</v>
      </c>
      <c r="C498" s="4">
        <v>-0.001505</v>
      </c>
      <c r="D498" s="4">
        <v>0.002406</v>
      </c>
      <c r="E498" s="4">
        <v>0.006655</v>
      </c>
      <c r="F498" s="4">
        <v>-0.003291</v>
      </c>
      <c r="G498" s="4">
        <v>-0.002853</v>
      </c>
      <c r="H498" s="4">
        <v>0.00254</v>
      </c>
      <c r="I498" s="4">
        <v>-8.13E-4</v>
      </c>
      <c r="J498" s="4">
        <v>-4.26E-4</v>
      </c>
      <c r="K498" s="4">
        <v>-0.005479</v>
      </c>
      <c r="L498" s="4">
        <v>-0.010347</v>
      </c>
      <c r="M498" s="4">
        <v>-0.012665</v>
      </c>
      <c r="N498" s="4">
        <v>-0.013428</v>
      </c>
      <c r="O498" s="4">
        <v>-0.019567</v>
      </c>
      <c r="P498" s="4">
        <v>-0.008947</v>
      </c>
      <c r="Q498" s="4">
        <v>-0.006724</v>
      </c>
      <c r="R498" s="4">
        <v>-0.015263</v>
      </c>
      <c r="S498" s="4">
        <v>-0.00267</v>
      </c>
      <c r="T498" s="4">
        <v>-0.05822</v>
      </c>
      <c r="U498" s="4">
        <v>-0.013436</v>
      </c>
      <c r="V498" s="4">
        <v>0.0169893701630965</v>
      </c>
      <c r="W498" s="4">
        <v>0.0184061174729899</v>
      </c>
      <c r="X498" s="4">
        <v>-0.04526166513275</v>
      </c>
      <c r="Y498" s="4">
        <v>0.0118010553067913</v>
      </c>
      <c r="Z498" s="4">
        <v>-0.004138556438625</v>
      </c>
      <c r="AA498" s="4">
        <v>0.0037206225857826</v>
      </c>
      <c r="AB498" s="4">
        <v>0.0024091176097067</v>
      </c>
      <c r="AC498" s="4">
        <v>-0.0453781278649286</v>
      </c>
      <c r="AD498" s="4">
        <v>-0.0176991989382376</v>
      </c>
      <c r="AE498" s="4">
        <v>-0.0085568895528854</v>
      </c>
      <c r="AF498" s="4">
        <v>-0.0020809065046536</v>
      </c>
      <c r="AG498" s="4">
        <v>0.0054632825337064</v>
      </c>
      <c r="AH498" s="4">
        <v>0.0323886493128935</v>
      </c>
      <c r="AI498" s="4">
        <v>-0.0023343958371355</v>
      </c>
      <c r="AJ498" s="4">
        <v>-0.011388</v>
      </c>
      <c r="AK498" s="4">
        <f>Weights!E554</f>
        <v>-0.004343328518</v>
      </c>
      <c r="AL498" s="5">
        <v>-0.0106205823037022</v>
      </c>
      <c r="AM498" s="5">
        <v>-0.00456623953485135</v>
      </c>
      <c r="AN498" s="5">
        <v>0.0056799788398163</v>
      </c>
      <c r="AO498" s="5">
        <v>0.00525044114114514</v>
      </c>
      <c r="AP498" s="6">
        <f t="shared" si="3"/>
        <v>1.448515222</v>
      </c>
      <c r="AQ498" s="4">
        <f t="shared" si="4"/>
        <v>1.413897059</v>
      </c>
      <c r="AR498" s="7">
        <f t="shared" si="5"/>
        <v>1.379705351</v>
      </c>
      <c r="AS498" s="7">
        <f t="shared" ref="AS498:AU498" si="500">AS497*(1+AM498)</f>
        <v>1.482491264</v>
      </c>
      <c r="AT498" s="5">
        <f t="shared" si="500"/>
        <v>1.315467728</v>
      </c>
      <c r="AU498" s="5">
        <f t="shared" si="500"/>
        <v>1.285266794</v>
      </c>
    </row>
    <row r="499" ht="15.75" customHeight="1">
      <c r="A499" s="3">
        <v>44551.0</v>
      </c>
      <c r="B499" s="4">
        <v>0.001741</v>
      </c>
      <c r="C499" s="4">
        <v>-0.005839</v>
      </c>
      <c r="D499" s="4">
        <v>0.006547</v>
      </c>
      <c r="E499" s="4">
        <v>-0.002951</v>
      </c>
      <c r="F499" s="4">
        <v>0.003997</v>
      </c>
      <c r="G499" s="4">
        <v>-0.003219</v>
      </c>
      <c r="H499" s="4">
        <v>-6.34E-4</v>
      </c>
      <c r="I499" s="4">
        <v>0.013554</v>
      </c>
      <c r="J499" s="4">
        <v>0.005968</v>
      </c>
      <c r="K499" s="4">
        <v>0.010329</v>
      </c>
      <c r="L499" s="4">
        <v>0.014338</v>
      </c>
      <c r="M499" s="4">
        <v>0.015616</v>
      </c>
      <c r="N499" s="4">
        <v>0.014178</v>
      </c>
      <c r="O499" s="4">
        <v>0.038705</v>
      </c>
      <c r="P499" s="4">
        <v>-0.009027</v>
      </c>
      <c r="Q499" s="4">
        <v>0.024178</v>
      </c>
      <c r="R499" s="4">
        <v>0.047034</v>
      </c>
      <c r="S499" s="4">
        <v>0.010954</v>
      </c>
      <c r="T499" s="4">
        <v>0.012508</v>
      </c>
      <c r="U499" s="4">
        <v>0.004825</v>
      </c>
      <c r="V499" s="4">
        <v>-0.00974486829304266</v>
      </c>
      <c r="W499" s="4">
        <v>0.0329792231877783</v>
      </c>
      <c r="X499" s="4">
        <v>-0.0207407748926855</v>
      </c>
      <c r="Y499" s="4">
        <v>-0.0116023873578504</v>
      </c>
      <c r="Z499" s="4">
        <v>-0.0223097271015294</v>
      </c>
      <c r="AA499" s="4">
        <v>-0.0111204926014099</v>
      </c>
      <c r="AB499" s="4">
        <v>-0.0098796477839223</v>
      </c>
      <c r="AC499" s="4">
        <v>-0.0211268107925105</v>
      </c>
      <c r="AD499" s="4">
        <v>0.0</v>
      </c>
      <c r="AE499" s="4">
        <v>-0.0360781336983334</v>
      </c>
      <c r="AF499" s="4">
        <v>-0.006553421459832</v>
      </c>
      <c r="AG499" s="4">
        <v>-0.0321668514370444</v>
      </c>
      <c r="AH499" s="4">
        <v>-0.0568627542644591</v>
      </c>
      <c r="AI499" s="4">
        <v>9.356393190953E-4</v>
      </c>
      <c r="AJ499" s="4">
        <v>0.017778</v>
      </c>
      <c r="AK499" s="4">
        <f>Weights!E555</f>
        <v>-0.003408125067</v>
      </c>
      <c r="AL499" s="5">
        <v>-0.00837457026829247</v>
      </c>
      <c r="AM499" s="5">
        <v>-0.014058901322239</v>
      </c>
      <c r="AN499" s="5">
        <v>-0.00125502982912395</v>
      </c>
      <c r="AO499" s="5">
        <v>-0.00142450514782177</v>
      </c>
      <c r="AP499" s="6">
        <f t="shared" si="3"/>
        <v>1.443578501</v>
      </c>
      <c r="AQ499" s="4">
        <f t="shared" si="4"/>
        <v>1.439033321</v>
      </c>
      <c r="AR499" s="7">
        <f t="shared" si="5"/>
        <v>1.368150912</v>
      </c>
      <c r="AS499" s="7">
        <f t="shared" ref="AS499:AU499" si="501">AS498*(1+AM499)</f>
        <v>1.461649065</v>
      </c>
      <c r="AT499" s="5">
        <f t="shared" si="501"/>
        <v>1.313816777</v>
      </c>
      <c r="AU499" s="5">
        <f t="shared" si="501"/>
        <v>1.283435925</v>
      </c>
    </row>
    <row r="500" ht="15.75" customHeight="1">
      <c r="A500" s="3">
        <v>44552.0</v>
      </c>
      <c r="B500" s="4">
        <v>0.011734</v>
      </c>
      <c r="C500" s="4">
        <v>-1.89E-4</v>
      </c>
      <c r="D500" s="4">
        <v>0.011492</v>
      </c>
      <c r="E500" s="4">
        <v>0.006216</v>
      </c>
      <c r="F500" s="4">
        <v>0.007097</v>
      </c>
      <c r="G500" s="4">
        <v>0.004306</v>
      </c>
      <c r="H500" s="4">
        <v>0.009889</v>
      </c>
      <c r="I500" s="4">
        <v>0.005884</v>
      </c>
      <c r="J500" s="4">
        <v>0.00678</v>
      </c>
      <c r="K500" s="4">
        <v>0.013495</v>
      </c>
      <c r="L500" s="4">
        <v>0.014136</v>
      </c>
      <c r="M500" s="4">
        <v>0.012631</v>
      </c>
      <c r="N500" s="4">
        <v>0.008947</v>
      </c>
      <c r="O500" s="4">
        <v>0.015798</v>
      </c>
      <c r="P500" s="4">
        <v>0.0055</v>
      </c>
      <c r="Q500" s="4">
        <v>0.0</v>
      </c>
      <c r="R500" s="4">
        <v>0.024502</v>
      </c>
      <c r="S500" s="4">
        <v>0.008187</v>
      </c>
      <c r="T500" s="4">
        <v>0.009954</v>
      </c>
      <c r="U500" s="4">
        <v>0.010843</v>
      </c>
      <c r="V500" s="4">
        <v>-0.0210873213817812</v>
      </c>
      <c r="W500" s="4">
        <v>0.0259740866764752</v>
      </c>
      <c r="X500" s="4">
        <v>0.0166414943397084</v>
      </c>
      <c r="Y500" s="4">
        <v>2.469748860696E-4</v>
      </c>
      <c r="Z500" s="4">
        <v>-0.0135346091498157</v>
      </c>
      <c r="AA500" s="4">
        <v>-0.002044766001656</v>
      </c>
      <c r="AB500" s="4">
        <v>-0.0059333464610805</v>
      </c>
      <c r="AC500" s="4">
        <v>-0.0053955548769236</v>
      </c>
      <c r="AD500" s="4">
        <v>0.007207061031867</v>
      </c>
      <c r="AE500" s="4">
        <v>0.0059692677462008</v>
      </c>
      <c r="AF500" s="4">
        <v>0.0248876356390901</v>
      </c>
      <c r="AG500" s="4">
        <v>-0.0031439796315381</v>
      </c>
      <c r="AH500" s="4">
        <v>-0.0062369674213311</v>
      </c>
      <c r="AI500" s="4">
        <v>0.0046753415503979</v>
      </c>
      <c r="AJ500" s="4">
        <v>0.01018</v>
      </c>
      <c r="AK500" s="4">
        <f>Weights!E556</f>
        <v>0.00518895034</v>
      </c>
      <c r="AL500" s="5">
        <v>0.0161228937448654</v>
      </c>
      <c r="AM500" s="5">
        <v>0.0196009572835986</v>
      </c>
      <c r="AN500" s="5">
        <v>-0.00188510910876371</v>
      </c>
      <c r="AO500" s="5">
        <v>0.0</v>
      </c>
      <c r="AP500" s="6">
        <f t="shared" si="3"/>
        <v>1.451069158</v>
      </c>
      <c r="AQ500" s="4">
        <f t="shared" si="4"/>
        <v>1.45368268</v>
      </c>
      <c r="AR500" s="7">
        <f t="shared" si="5"/>
        <v>1.390209463</v>
      </c>
      <c r="AS500" s="7">
        <f t="shared" ref="AS500:AU500" si="502">AS499*(1+AM500)</f>
        <v>1.490298786</v>
      </c>
      <c r="AT500" s="5">
        <f t="shared" si="502"/>
        <v>1.311340089</v>
      </c>
      <c r="AU500" s="5">
        <f t="shared" si="502"/>
        <v>1.283435925</v>
      </c>
    </row>
    <row r="501" ht="15.75" customHeight="1">
      <c r="A501" s="3">
        <v>44553.0</v>
      </c>
      <c r="B501" s="4">
        <v>-0.002148</v>
      </c>
      <c r="C501" s="4">
        <v>-0.001706</v>
      </c>
      <c r="D501" s="4">
        <v>0.003215</v>
      </c>
      <c r="E501" s="4">
        <v>-0.001118</v>
      </c>
      <c r="F501" s="4">
        <v>6.88E-4</v>
      </c>
      <c r="G501" s="4">
        <v>0.001906</v>
      </c>
      <c r="H501" s="4">
        <v>0.004896</v>
      </c>
      <c r="I501" s="4">
        <v>0.01037</v>
      </c>
      <c r="J501" s="4">
        <v>-0.001684</v>
      </c>
      <c r="K501" s="4">
        <v>0.010491</v>
      </c>
      <c r="L501" s="4">
        <v>0.009873</v>
      </c>
      <c r="M501" s="4">
        <v>0.015184</v>
      </c>
      <c r="N501" s="4">
        <v>0.009422</v>
      </c>
      <c r="O501" s="4">
        <v>-0.011005</v>
      </c>
      <c r="P501" s="4">
        <v>0.017607</v>
      </c>
      <c r="Q501" s="4">
        <v>-9.44E-4</v>
      </c>
      <c r="R501" s="4">
        <v>0.024664</v>
      </c>
      <c r="S501" s="4">
        <v>0.010509</v>
      </c>
      <c r="T501" s="4">
        <v>0.005808</v>
      </c>
      <c r="U501" s="4">
        <v>0.012795</v>
      </c>
      <c r="V501" s="4">
        <v>0.0129250155282065</v>
      </c>
      <c r="W501" s="4">
        <v>-0.0154711787342078</v>
      </c>
      <c r="X501" s="4">
        <v>-0.0074405297432569</v>
      </c>
      <c r="Y501" s="4">
        <v>0.0204450572614964</v>
      </c>
      <c r="Z501" s="4">
        <v>0.0131532258378976</v>
      </c>
      <c r="AA501" s="4">
        <v>0.0058050740728674</v>
      </c>
      <c r="AB501" s="4">
        <v>0.0206214478358697</v>
      </c>
      <c r="AC501" s="4">
        <v>0.0036166041446461</v>
      </c>
      <c r="AD501" s="4">
        <v>0.0</v>
      </c>
      <c r="AE501" s="4">
        <v>0.0091412006726283</v>
      </c>
      <c r="AF501" s="4">
        <v>-0.0081919798840318</v>
      </c>
      <c r="AG501" s="4">
        <v>0.0136291389194598</v>
      </c>
      <c r="AH501" s="4">
        <v>0.0097628583095357</v>
      </c>
      <c r="AI501" s="4">
        <v>0.0013961760630292</v>
      </c>
      <c r="AJ501" s="4">
        <v>0.006224</v>
      </c>
      <c r="AK501" s="4">
        <f>Weights!E557</f>
        <v>0.006886295139</v>
      </c>
      <c r="AL501" s="5">
        <v>0.00884014375657082</v>
      </c>
      <c r="AM501" s="5">
        <v>0.00988696937965416</v>
      </c>
      <c r="AN501" s="5">
        <v>-0.00881332618088137</v>
      </c>
      <c r="AO501" s="5">
        <v>-0.00974807170821245</v>
      </c>
      <c r="AP501" s="6">
        <f t="shared" si="3"/>
        <v>1.461061648</v>
      </c>
      <c r="AQ501" s="4">
        <f t="shared" si="4"/>
        <v>1.462730401</v>
      </c>
      <c r="AR501" s="7">
        <f t="shared" si="5"/>
        <v>1.402499115</v>
      </c>
      <c r="AS501" s="7">
        <f t="shared" ref="AS501:AU501" si="503">AS500*(1+AM501)</f>
        <v>1.505033324</v>
      </c>
      <c r="AT501" s="5">
        <f t="shared" si="503"/>
        <v>1.299782821</v>
      </c>
      <c r="AU501" s="5">
        <f t="shared" si="503"/>
        <v>1.2709249</v>
      </c>
    </row>
    <row r="502" ht="15.75" customHeight="1">
      <c r="A502" s="3">
        <v>44557.0</v>
      </c>
      <c r="B502" s="4">
        <v>0.010331</v>
      </c>
      <c r="C502" s="4">
        <v>0.0</v>
      </c>
      <c r="D502" s="4">
        <v>2.14E-4</v>
      </c>
      <c r="E502" s="4">
        <v>0.009954</v>
      </c>
      <c r="F502" s="4">
        <v>0.007386</v>
      </c>
      <c r="G502" s="4">
        <v>0.00844</v>
      </c>
      <c r="H502" s="4">
        <v>0.01168</v>
      </c>
      <c r="I502" s="4">
        <v>0.011579</v>
      </c>
      <c r="J502" s="4">
        <v>0.00253</v>
      </c>
      <c r="K502" s="4">
        <v>0.017836</v>
      </c>
      <c r="L502" s="4">
        <v>0.012077</v>
      </c>
      <c r="M502" s="4">
        <v>0.01015</v>
      </c>
      <c r="N502" s="4">
        <v>0.016838</v>
      </c>
      <c r="O502" s="4">
        <v>0.012557</v>
      </c>
      <c r="P502" s="4">
        <v>0.010919</v>
      </c>
      <c r="Q502" s="4">
        <v>0.010397</v>
      </c>
      <c r="R502" s="4">
        <v>0.020909</v>
      </c>
      <c r="S502" s="4">
        <v>0.011108</v>
      </c>
      <c r="T502" s="4">
        <v>0.02056</v>
      </c>
      <c r="U502" s="4">
        <v>0.021182</v>
      </c>
      <c r="V502" s="4">
        <v>0.0245745538595714</v>
      </c>
      <c r="W502" s="4">
        <v>-0.0296429625989838</v>
      </c>
      <c r="X502" s="4">
        <v>0.0</v>
      </c>
      <c r="Y502" s="4">
        <v>-0.005266145744848</v>
      </c>
      <c r="Z502" s="4">
        <v>-0.0105203604671525</v>
      </c>
      <c r="AA502" s="4">
        <v>0.0040741041545662</v>
      </c>
      <c r="AB502" s="4">
        <v>5.387013537312E-4</v>
      </c>
      <c r="AC502" s="4">
        <v>0.0</v>
      </c>
      <c r="AD502" s="4">
        <v>0.0</v>
      </c>
      <c r="AE502" s="4">
        <v>-0.0152562159446723</v>
      </c>
      <c r="AF502" s="4">
        <v>0.0126842505750175</v>
      </c>
      <c r="AG502" s="4">
        <v>0.009778909918664</v>
      </c>
      <c r="AH502" s="4">
        <v>-0.0725137452925501</v>
      </c>
      <c r="AI502" s="4">
        <v>0.0032524644698306</v>
      </c>
      <c r="AJ502" s="4">
        <v>0.013839</v>
      </c>
      <c r="AK502" s="4">
        <f>Weights!E558</f>
        <v>0.002806438599</v>
      </c>
      <c r="AL502" s="5">
        <v>0.00718991316014983</v>
      </c>
      <c r="AM502" s="5">
        <v>0.0069031770557284</v>
      </c>
      <c r="AN502" s="5">
        <v>0.0181009267895766</v>
      </c>
      <c r="AO502" s="5">
        <v>0.0184875128541532</v>
      </c>
      <c r="AP502" s="6">
        <f t="shared" si="3"/>
        <v>1.465162028</v>
      </c>
      <c r="AQ502" s="4">
        <f t="shared" si="4"/>
        <v>1.482973127</v>
      </c>
      <c r="AR502" s="7">
        <f t="shared" si="5"/>
        <v>1.412582962</v>
      </c>
      <c r="AS502" s="7">
        <f t="shared" ref="AS502:AU502" si="504">AS501*(1+AM502)</f>
        <v>1.515422836</v>
      </c>
      <c r="AT502" s="5">
        <f t="shared" si="504"/>
        <v>1.323310095</v>
      </c>
      <c r="AU502" s="5">
        <f t="shared" si="504"/>
        <v>1.29442114</v>
      </c>
    </row>
    <row r="503" ht="15.75" customHeight="1">
      <c r="A503" s="3">
        <v>44558.0</v>
      </c>
      <c r="B503" s="4">
        <v>-0.004687</v>
      </c>
      <c r="C503" s="4">
        <v>7.59E-4</v>
      </c>
      <c r="D503" s="4">
        <v>-0.002136</v>
      </c>
      <c r="E503" s="4">
        <v>0.00519</v>
      </c>
      <c r="F503" s="4">
        <v>0.003922</v>
      </c>
      <c r="G503" s="4">
        <v>0.004008</v>
      </c>
      <c r="H503" s="4">
        <v>0.005371</v>
      </c>
      <c r="I503" s="4">
        <v>-0.003642</v>
      </c>
      <c r="J503" s="4">
        <v>0.002313</v>
      </c>
      <c r="K503" s="4">
        <v>3.92E-4</v>
      </c>
      <c r="L503" s="4">
        <v>0.001326</v>
      </c>
      <c r="M503" s="4">
        <v>0.005288</v>
      </c>
      <c r="N503" s="4">
        <v>0.00144</v>
      </c>
      <c r="O503" s="4">
        <v>-0.004503</v>
      </c>
      <c r="P503" s="4">
        <v>0.001828</v>
      </c>
      <c r="Q503" s="4">
        <v>-0.014032</v>
      </c>
      <c r="R503" s="4">
        <v>0.0</v>
      </c>
      <c r="S503" s="4">
        <v>-0.012155</v>
      </c>
      <c r="T503" s="4">
        <v>-0.01886</v>
      </c>
      <c r="U503" s="4">
        <v>-8.89E-4</v>
      </c>
      <c r="V503" s="4">
        <v>0.00184499264935089</v>
      </c>
      <c r="W503" s="4">
        <v>0.0351492326072242</v>
      </c>
      <c r="X503" s="4">
        <v>-0.0086830555250353</v>
      </c>
      <c r="Y503" s="4">
        <v>0.0094923395337982</v>
      </c>
      <c r="Z503" s="4">
        <v>0.0360819410931041</v>
      </c>
      <c r="AA503" s="4">
        <v>0.0096366587466956</v>
      </c>
      <c r="AB503" s="4">
        <v>0.012654833903724</v>
      </c>
      <c r="AC503" s="4">
        <v>-0.0035274639969552</v>
      </c>
      <c r="AD503" s="4">
        <v>-0.0533563333451129</v>
      </c>
      <c r="AE503" s="4">
        <v>0.0046799457397594</v>
      </c>
      <c r="AF503" s="4">
        <v>0.016603611674222</v>
      </c>
      <c r="AG503" s="4">
        <v>0.0195883477177645</v>
      </c>
      <c r="AH503" s="4">
        <v>0.0677587172122318</v>
      </c>
      <c r="AI503" s="4">
        <v>-0.0027791182037104</v>
      </c>
      <c r="AJ503" s="4">
        <v>-0.00101</v>
      </c>
      <c r="AK503" s="4">
        <f>Weights!E559</f>
        <v>0.005911857666</v>
      </c>
      <c r="AL503" s="5">
        <v>0.0110054562413024</v>
      </c>
      <c r="AM503" s="5">
        <v>0.013130936778869</v>
      </c>
      <c r="AN503" s="5">
        <v>0.00686215126633427</v>
      </c>
      <c r="AO503" s="5">
        <v>0.00683648221370702</v>
      </c>
      <c r="AP503" s="6">
        <f t="shared" si="3"/>
        <v>1.473823858</v>
      </c>
      <c r="AQ503" s="4">
        <f t="shared" si="4"/>
        <v>1.481475324</v>
      </c>
      <c r="AR503" s="7">
        <f t="shared" si="5"/>
        <v>1.428129082</v>
      </c>
      <c r="AS503" s="7">
        <f t="shared" ref="AS503:AU503" si="505">AS502*(1+AM503)</f>
        <v>1.535321757</v>
      </c>
      <c r="AT503" s="5">
        <f t="shared" si="505"/>
        <v>1.332390849</v>
      </c>
      <c r="AU503" s="5">
        <f t="shared" si="505"/>
        <v>1.303270427</v>
      </c>
    </row>
    <row r="504" ht="15.75" customHeight="1">
      <c r="A504" s="3">
        <v>44559.0</v>
      </c>
      <c r="B504" s="4">
        <v>-0.001284</v>
      </c>
      <c r="C504" s="4">
        <v>-0.006829</v>
      </c>
      <c r="D504" s="4">
        <v>0.004496</v>
      </c>
      <c r="E504" s="4">
        <v>0.003539</v>
      </c>
      <c r="F504" s="4">
        <v>0.001189</v>
      </c>
      <c r="G504" s="4">
        <v>0.007044</v>
      </c>
      <c r="H504" s="4">
        <v>0.00829</v>
      </c>
      <c r="I504" s="4">
        <v>0.00235</v>
      </c>
      <c r="J504" s="4">
        <v>0.002727</v>
      </c>
      <c r="K504" s="4">
        <v>-0.004052</v>
      </c>
      <c r="L504" s="4">
        <v>-0.004162</v>
      </c>
      <c r="M504" s="4">
        <v>-0.004208</v>
      </c>
      <c r="N504" s="4">
        <v>-0.011323</v>
      </c>
      <c r="O504" s="4">
        <v>8.43E-4</v>
      </c>
      <c r="P504" s="4">
        <v>0.005474</v>
      </c>
      <c r="Q504" s="4">
        <v>0.018975</v>
      </c>
      <c r="R504" s="4">
        <v>-2.38E-4</v>
      </c>
      <c r="S504" s="4">
        <v>0.004496</v>
      </c>
      <c r="T504" s="4">
        <v>0.003844</v>
      </c>
      <c r="U504" s="4">
        <v>0.009491</v>
      </c>
      <c r="V504" s="4">
        <v>0.00736660481489259</v>
      </c>
      <c r="W504" s="4">
        <v>0.064888773613122</v>
      </c>
      <c r="X504" s="4">
        <v>0.0145984558590175</v>
      </c>
      <c r="Y504" s="4">
        <v>0.0048221693195664</v>
      </c>
      <c r="Z504" s="4">
        <v>0.0065500374518221</v>
      </c>
      <c r="AA504" s="4">
        <v>0.0073674983289377</v>
      </c>
      <c r="AB504" s="4">
        <v>0.0079767905523626</v>
      </c>
      <c r="AC504" s="4">
        <v>0.0088496386034402</v>
      </c>
      <c r="AD504" s="4">
        <v>0.0</v>
      </c>
      <c r="AE504" s="4">
        <v>0.0126897814650288</v>
      </c>
      <c r="AF504" s="4">
        <v>0.0171920139789314</v>
      </c>
      <c r="AG504" s="4">
        <v>0.0030222488469846</v>
      </c>
      <c r="AH504" s="4">
        <v>0.0320781055266556</v>
      </c>
      <c r="AI504" s="4">
        <v>-0.0051088303318176</v>
      </c>
      <c r="AJ504" s="4">
        <v>0.001402</v>
      </c>
      <c r="AK504" s="4">
        <f>Weights!E560</f>
        <v>0.006419731959</v>
      </c>
      <c r="AL504" s="5">
        <v>-0.00102973364749603</v>
      </c>
      <c r="AM504" s="5">
        <v>-0.00205772768570555</v>
      </c>
      <c r="AN504" s="5">
        <v>0.00743512370021548</v>
      </c>
      <c r="AO504" s="5">
        <v>0.00842876224650535</v>
      </c>
      <c r="AP504" s="6">
        <f t="shared" si="3"/>
        <v>1.483285412</v>
      </c>
      <c r="AQ504" s="4">
        <f t="shared" si="4"/>
        <v>1.483552353</v>
      </c>
      <c r="AR504" s="7">
        <f t="shared" si="5"/>
        <v>1.426658489</v>
      </c>
      <c r="AS504" s="7">
        <f t="shared" ref="AS504:AU504" si="506">AS503*(1+AM504)</f>
        <v>1.532162483</v>
      </c>
      <c r="AT504" s="5">
        <f t="shared" si="506"/>
        <v>1.342297339</v>
      </c>
      <c r="AU504" s="5">
        <f t="shared" si="506"/>
        <v>1.314255384</v>
      </c>
    </row>
    <row r="505" ht="15.75" customHeight="1">
      <c r="A505" s="3">
        <v>44560.0</v>
      </c>
      <c r="B505" s="4">
        <v>0.002143</v>
      </c>
      <c r="C505" s="4">
        <v>-0.002101</v>
      </c>
      <c r="D505" s="4">
        <v>0.004689</v>
      </c>
      <c r="E505" s="4">
        <v>-0.001734</v>
      </c>
      <c r="F505" s="4">
        <v>-0.002884</v>
      </c>
      <c r="G505" s="4">
        <v>0.00443</v>
      </c>
      <c r="H505" s="4">
        <v>-0.008649</v>
      </c>
      <c r="I505" s="4">
        <v>0.006773</v>
      </c>
      <c r="J505" s="4">
        <v>0.003347</v>
      </c>
      <c r="K505" s="4">
        <v>0.001444</v>
      </c>
      <c r="L505" s="4">
        <v>0.001899</v>
      </c>
      <c r="M505" s="4">
        <v>0.00898</v>
      </c>
      <c r="N505" s="4">
        <v>0.002727</v>
      </c>
      <c r="O505" s="4">
        <v>0.00337</v>
      </c>
      <c r="P505" s="4">
        <v>0.016001</v>
      </c>
      <c r="Q505" s="4">
        <v>0.020484</v>
      </c>
      <c r="R505" s="4">
        <v>-0.008576</v>
      </c>
      <c r="S505" s="4">
        <v>0.007774</v>
      </c>
      <c r="T505" s="4">
        <v>-0.0047</v>
      </c>
      <c r="U505" s="4">
        <v>-0.004113</v>
      </c>
      <c r="V505" s="4">
        <v>0.0054843834750653</v>
      </c>
      <c r="W505" s="4">
        <v>-0.0013354490254511</v>
      </c>
      <c r="X505" s="4">
        <v>-0.0230214890428746</v>
      </c>
      <c r="Y505" s="4">
        <v>-0.0110484585024914</v>
      </c>
      <c r="Z505" s="4">
        <v>-0.010954331381451</v>
      </c>
      <c r="AA505" s="4">
        <v>-0.003656845765793</v>
      </c>
      <c r="AB505" s="4">
        <v>-0.0023742292752617</v>
      </c>
      <c r="AC505" s="4">
        <v>-0.0052631109269827</v>
      </c>
      <c r="AD505" s="4">
        <v>0.0181819085586905</v>
      </c>
      <c r="AE505" s="4">
        <v>-0.0097549171188152</v>
      </c>
      <c r="AF505" s="4">
        <v>-0.0098591183926115</v>
      </c>
      <c r="AG505" s="4">
        <v>0.001829244597689</v>
      </c>
      <c r="AH505" s="4">
        <v>0.0195945434364814</v>
      </c>
      <c r="AI505" s="4">
        <v>0.0018673145575147</v>
      </c>
      <c r="AJ505" s="4">
        <v>-0.00299</v>
      </c>
      <c r="AK505" s="4">
        <f>Weights!E561</f>
        <v>0.0007291698609</v>
      </c>
      <c r="AL505" s="5">
        <v>6.62687707916109E-4</v>
      </c>
      <c r="AM505" s="5">
        <v>5.77391431677565E-4</v>
      </c>
      <c r="AN505" s="5">
        <v>6.15101939237527E-4</v>
      </c>
      <c r="AO505" s="5">
        <v>0.0</v>
      </c>
      <c r="AP505" s="6">
        <f t="shared" si="3"/>
        <v>1.484366979</v>
      </c>
      <c r="AQ505" s="4">
        <f t="shared" si="4"/>
        <v>1.479116531</v>
      </c>
      <c r="AR505" s="7">
        <f t="shared" si="5"/>
        <v>1.427603918</v>
      </c>
      <c r="AS505" s="7">
        <f t="shared" ref="AS505:AU505" si="507">AS504*(1+AM505)</f>
        <v>1.533047141</v>
      </c>
      <c r="AT505" s="5">
        <f t="shared" si="507"/>
        <v>1.343122989</v>
      </c>
      <c r="AU505" s="5">
        <f t="shared" si="507"/>
        <v>1.314255384</v>
      </c>
    </row>
    <row r="506" ht="15.75" customHeight="1">
      <c r="A506" s="3">
        <v>44561.0</v>
      </c>
      <c r="B506" s="4">
        <v>0.008127</v>
      </c>
      <c r="C506" s="4">
        <v>-0.00555</v>
      </c>
      <c r="D506" s="4">
        <v>0.010395</v>
      </c>
      <c r="E506" s="4">
        <v>0.006023</v>
      </c>
      <c r="F506" s="4">
        <v>0.007315</v>
      </c>
      <c r="G506" s="4">
        <v>-0.007196</v>
      </c>
      <c r="H506" s="4">
        <v>0.004976</v>
      </c>
      <c r="I506" s="4">
        <v>0.011125</v>
      </c>
      <c r="J506" s="4">
        <v>0.006464</v>
      </c>
      <c r="K506" s="4">
        <v>0.00498</v>
      </c>
      <c r="L506" s="4">
        <v>0.006162</v>
      </c>
      <c r="M506" s="4">
        <v>-0.001571</v>
      </c>
      <c r="N506" s="4">
        <v>0.009608</v>
      </c>
      <c r="O506" s="4">
        <v>-0.005763</v>
      </c>
      <c r="P506" s="4">
        <v>0.006982</v>
      </c>
      <c r="Q506" s="4">
        <v>0.002737</v>
      </c>
      <c r="R506" s="4">
        <v>0.002643</v>
      </c>
      <c r="S506" s="4">
        <v>0.003506</v>
      </c>
      <c r="T506" s="4">
        <v>0.002635</v>
      </c>
      <c r="U506" s="4">
        <v>0.005015</v>
      </c>
      <c r="V506" s="4">
        <v>-0.0081817036125078</v>
      </c>
      <c r="W506" s="4">
        <v>-0.0060180880198192</v>
      </c>
      <c r="X506" s="4">
        <v>-0.0073639186130395</v>
      </c>
      <c r="Y506" s="4">
        <v>-0.0035920066244364</v>
      </c>
      <c r="Z506" s="4">
        <v>0.0046059583833635</v>
      </c>
      <c r="AA506" s="4">
        <v>-0.0033365162521333</v>
      </c>
      <c r="AB506" s="4">
        <v>0.0031728574488754</v>
      </c>
      <c r="AC506" s="4">
        <v>-0.0123458064286665</v>
      </c>
      <c r="AD506" s="4">
        <v>-0.0178572300350812</v>
      </c>
      <c r="AE506" s="4">
        <v>-0.0037642549734279</v>
      </c>
      <c r="AF506" s="4">
        <v>5.689541584315E-4</v>
      </c>
      <c r="AG506" s="4">
        <v>0.0452202069571472</v>
      </c>
      <c r="AH506" s="4">
        <v>-0.0145791623576073</v>
      </c>
      <c r="AI506" s="4">
        <v>0.0065235205425229</v>
      </c>
      <c r="AJ506" s="4">
        <v>-0.002626</v>
      </c>
      <c r="AK506" s="4">
        <f>Weights!E562</f>
        <v>0.002792341423</v>
      </c>
      <c r="AL506" s="5">
        <v>-0.00142085695825977</v>
      </c>
      <c r="AM506" s="5">
        <v>-0.0016075476946431</v>
      </c>
      <c r="AN506" s="5">
        <v>0.00583877464792381</v>
      </c>
      <c r="AO506" s="5">
        <v>0.00487579671029481</v>
      </c>
      <c r="AP506" s="6">
        <f t="shared" si="3"/>
        <v>1.488511838</v>
      </c>
      <c r="AQ506" s="4">
        <f t="shared" si="4"/>
        <v>1.475232371</v>
      </c>
      <c r="AR506" s="7">
        <f t="shared" si="5"/>
        <v>1.425575497</v>
      </c>
      <c r="AS506" s="7">
        <f t="shared" ref="AS506:AU506" si="508">AS505*(1+AM506)</f>
        <v>1.530582694</v>
      </c>
      <c r="AT506" s="5">
        <f t="shared" si="508"/>
        <v>1.350965182</v>
      </c>
      <c r="AU506" s="5">
        <f t="shared" si="508"/>
        <v>1.320663426</v>
      </c>
    </row>
    <row r="507" ht="15.75" customHeight="1">
      <c r="A507" s="3">
        <v>44564.0</v>
      </c>
      <c r="B507" s="4">
        <v>8.49E-4</v>
      </c>
      <c r="C507" s="4">
        <v>0.009238</v>
      </c>
      <c r="D507" s="4">
        <v>0.002309</v>
      </c>
      <c r="E507" s="4">
        <v>-0.004202</v>
      </c>
      <c r="F507" s="4">
        <v>0.00152</v>
      </c>
      <c r="G507" s="4">
        <v>0.002747</v>
      </c>
      <c r="H507" s="4">
        <v>-0.004157</v>
      </c>
      <c r="I507" s="4">
        <v>0.003838</v>
      </c>
      <c r="J507" s="4">
        <v>-0.011394</v>
      </c>
      <c r="K507" s="4">
        <v>0.014085</v>
      </c>
      <c r="L507" s="4">
        <v>0.008762</v>
      </c>
      <c r="M507" s="4">
        <v>0.017829</v>
      </c>
      <c r="N507" s="4">
        <v>0.001437</v>
      </c>
      <c r="O507" s="4">
        <v>-0.003724</v>
      </c>
      <c r="P507" s="4">
        <v>-0.016769</v>
      </c>
      <c r="Q507" s="4">
        <v>-0.034577</v>
      </c>
      <c r="R507" s="4">
        <v>-0.005991</v>
      </c>
      <c r="S507" s="4">
        <v>-0.025623</v>
      </c>
      <c r="T507" s="4">
        <v>-0.009724</v>
      </c>
      <c r="U507" s="4">
        <v>-0.016218</v>
      </c>
      <c r="V507" s="4">
        <v>0.00549946405997148</v>
      </c>
      <c r="W507" s="4">
        <v>-0.0191725107426679</v>
      </c>
      <c r="X507" s="4">
        <v>0.0</v>
      </c>
      <c r="Y507" s="4">
        <v>0.0064158133723501</v>
      </c>
      <c r="Z507" s="4">
        <v>0.0078592883336097</v>
      </c>
      <c r="AA507" s="4">
        <v>-0.0048545553084206</v>
      </c>
      <c r="AB507" s="4">
        <v>-0.0013178819136772</v>
      </c>
      <c r="AC507" s="4">
        <v>0.0</v>
      </c>
      <c r="AD507" s="4">
        <v>0.0</v>
      </c>
      <c r="AE507" s="4">
        <v>-0.0026529792716295</v>
      </c>
      <c r="AF507" s="4">
        <v>-0.0284333375214885</v>
      </c>
      <c r="AG507" s="4">
        <v>0.0159284289484979</v>
      </c>
      <c r="AH507" s="4">
        <v>0.0013449726067151</v>
      </c>
      <c r="AI507" s="4">
        <v>4.628884520005E-4</v>
      </c>
      <c r="AJ507" s="4">
        <v>0.006374</v>
      </c>
      <c r="AK507" s="4">
        <f>Weights!E563</f>
        <v>-0.0011298822</v>
      </c>
      <c r="AL507" s="5">
        <v>-0.00235914156727357</v>
      </c>
      <c r="AM507" s="5">
        <v>-0.00317919520581355</v>
      </c>
      <c r="AN507" s="5">
        <v>-0.00244410627378166</v>
      </c>
      <c r="AO507" s="5">
        <v>-0.00130130651134607</v>
      </c>
      <c r="AP507" s="6">
        <f t="shared" si="3"/>
        <v>1.486829995</v>
      </c>
      <c r="AQ507" s="4">
        <f t="shared" si="4"/>
        <v>1.484635502</v>
      </c>
      <c r="AR507" s="7">
        <f t="shared" si="5"/>
        <v>1.422212363</v>
      </c>
      <c r="AS507" s="7">
        <f t="shared" ref="AS507:AU507" si="509">AS506*(1+AM507)</f>
        <v>1.525716673</v>
      </c>
      <c r="AT507" s="5">
        <f t="shared" si="509"/>
        <v>1.347663279</v>
      </c>
      <c r="AU507" s="5">
        <f t="shared" si="509"/>
        <v>1.318944838</v>
      </c>
    </row>
    <row r="508" ht="15.75" customHeight="1">
      <c r="A508" s="3">
        <v>44565.0</v>
      </c>
      <c r="B508" s="4">
        <v>-0.006359</v>
      </c>
      <c r="C508" s="4">
        <v>0.019642</v>
      </c>
      <c r="D508" s="4">
        <v>0.00377</v>
      </c>
      <c r="E508" s="4">
        <v>0.001445</v>
      </c>
      <c r="F508" s="4">
        <v>0.016695</v>
      </c>
      <c r="G508" s="4">
        <v>-0.002682</v>
      </c>
      <c r="H508" s="4">
        <v>0.003499</v>
      </c>
      <c r="I508" s="4">
        <v>-0.006628</v>
      </c>
      <c r="J508" s="4">
        <v>-0.002934</v>
      </c>
      <c r="K508" s="4">
        <v>0.005787</v>
      </c>
      <c r="L508" s="4">
        <v>0.00467</v>
      </c>
      <c r="M508" s="4">
        <v>0.010304</v>
      </c>
      <c r="N508" s="4">
        <v>-0.001614</v>
      </c>
      <c r="O508" s="4">
        <v>-0.02339</v>
      </c>
      <c r="P508" s="4">
        <v>-0.009019</v>
      </c>
      <c r="Q508" s="4">
        <v>-0.01131</v>
      </c>
      <c r="R508" s="4">
        <v>0.016152</v>
      </c>
      <c r="S508" s="4">
        <v>-0.00263</v>
      </c>
      <c r="T508" s="4">
        <v>0.035651</v>
      </c>
      <c r="U508" s="4">
        <v>-6.71E-4</v>
      </c>
      <c r="V508" s="4">
        <v>0.00638106103847446</v>
      </c>
      <c r="W508" s="4">
        <v>-0.0162895267541376</v>
      </c>
      <c r="X508" s="4">
        <v>0.0103859674774771</v>
      </c>
      <c r="Y508" s="4">
        <v>-0.0232531518139161</v>
      </c>
      <c r="Z508" s="4">
        <v>-0.0223113722295525</v>
      </c>
      <c r="AA508" s="4">
        <v>0.0079058288299862</v>
      </c>
      <c r="AB508" s="4">
        <v>-0.0047504939871468</v>
      </c>
      <c r="AC508" s="4">
        <v>0.0</v>
      </c>
      <c r="AD508" s="4">
        <v>0.0242991219503037</v>
      </c>
      <c r="AE508" s="4">
        <v>-0.0082218401107562</v>
      </c>
      <c r="AF508" s="4">
        <v>-0.0111208803369599</v>
      </c>
      <c r="AG508" s="4">
        <v>4.047395004092E-4</v>
      </c>
      <c r="AH508" s="4">
        <v>-0.0436534181563358</v>
      </c>
      <c r="AI508" s="4">
        <v>0.0046278446981022</v>
      </c>
      <c r="AJ508" s="4">
        <v>-6.3E-4</v>
      </c>
      <c r="AK508" s="4">
        <f>Weights!E564</f>
        <v>-0.001497529127</v>
      </c>
      <c r="AL508" s="5">
        <v>0.00539455512915454</v>
      </c>
      <c r="AM508" s="5">
        <v>0.00633712972748212</v>
      </c>
      <c r="AN508" s="5">
        <v>-0.00398166200836969</v>
      </c>
      <c r="AO508" s="5">
        <v>-0.00372248533375652</v>
      </c>
      <c r="AP508" s="6">
        <f t="shared" si="3"/>
        <v>1.484603424</v>
      </c>
      <c r="AQ508" s="4">
        <f t="shared" si="4"/>
        <v>1.483700182</v>
      </c>
      <c r="AR508" s="7">
        <f t="shared" si="5"/>
        <v>1.429884566</v>
      </c>
      <c r="AS508" s="7">
        <f t="shared" ref="AS508:AU508" si="510">AS507*(1+AM508)</f>
        <v>1.535385338</v>
      </c>
      <c r="AT508" s="5">
        <f t="shared" si="510"/>
        <v>1.342297339</v>
      </c>
      <c r="AU508" s="5">
        <f t="shared" si="510"/>
        <v>1.314035085</v>
      </c>
    </row>
    <row r="509" ht="15.75" customHeight="1">
      <c r="A509" s="3">
        <v>44566.0</v>
      </c>
      <c r="B509" s="4">
        <v>-0.005546</v>
      </c>
      <c r="C509" s="4">
        <v>0.010286</v>
      </c>
      <c r="D509" s="4">
        <v>0.008765</v>
      </c>
      <c r="E509" s="4">
        <v>0.003406</v>
      </c>
      <c r="F509" s="4">
        <v>0.008293</v>
      </c>
      <c r="G509" s="4">
        <v>0.006664</v>
      </c>
      <c r="H509" s="4">
        <v>0.004527</v>
      </c>
      <c r="I509" s="4">
        <v>0.010008</v>
      </c>
      <c r="J509" s="4">
        <v>-0.010929</v>
      </c>
      <c r="K509" s="4">
        <v>0.001151</v>
      </c>
      <c r="L509" s="4">
        <v>0.007158</v>
      </c>
      <c r="M509" s="4">
        <v>-0.00459</v>
      </c>
      <c r="N509" s="4">
        <v>-0.002694</v>
      </c>
      <c r="O509" s="4">
        <v>-0.034328</v>
      </c>
      <c r="P509" s="4">
        <v>-0.001655</v>
      </c>
      <c r="Q509" s="4">
        <v>-0.019066</v>
      </c>
      <c r="R509" s="4">
        <v>-0.011151</v>
      </c>
      <c r="S509" s="4">
        <v>-0.029722</v>
      </c>
      <c r="T509" s="4">
        <v>0.048262</v>
      </c>
      <c r="U509" s="4">
        <v>-0.028365</v>
      </c>
      <c r="V509" s="4">
        <v>-0.0144926605444649</v>
      </c>
      <c r="W509" s="4">
        <v>0.0102841769509429</v>
      </c>
      <c r="X509" s="4">
        <v>0.0044051844269923</v>
      </c>
      <c r="Y509" s="4">
        <v>0.0046618556724005</v>
      </c>
      <c r="Z509" s="4">
        <v>0.0362248699461325</v>
      </c>
      <c r="AA509" s="4">
        <v>0.0196927592102531</v>
      </c>
      <c r="AB509" s="4">
        <v>0.0045080323905466</v>
      </c>
      <c r="AC509" s="4">
        <v>0.0</v>
      </c>
      <c r="AD509" s="4">
        <v>-0.0054747234384995</v>
      </c>
      <c r="AE509" s="4">
        <v>0.0159297041703823</v>
      </c>
      <c r="AF509" s="4">
        <v>-0.0221958549558412</v>
      </c>
      <c r="AG509" s="4">
        <v>-0.0012134695115785</v>
      </c>
      <c r="AH509" s="4">
        <v>0.0098314176411997</v>
      </c>
      <c r="AI509" s="4">
        <v>-0.0036851413624613</v>
      </c>
      <c r="AJ509" s="4">
        <v>-0.019393</v>
      </c>
      <c r="AK509" s="4">
        <f>Weights!E565</f>
        <v>0.001421964378</v>
      </c>
      <c r="AL509" s="5">
        <v>0.0</v>
      </c>
      <c r="AM509" s="5">
        <v>-0.00189332121101337</v>
      </c>
      <c r="AN509" s="5">
        <v>6.15101939237527E-4</v>
      </c>
      <c r="AO509" s="5">
        <v>0.00116735886825969</v>
      </c>
      <c r="AP509" s="6">
        <f t="shared" si="3"/>
        <v>1.486714477</v>
      </c>
      <c r="AQ509" s="4">
        <f t="shared" si="4"/>
        <v>1.454926784</v>
      </c>
      <c r="AR509" s="7">
        <f t="shared" si="5"/>
        <v>1.429884566</v>
      </c>
      <c r="AS509" s="7">
        <f t="shared" ref="AS509:AU509" si="511">AS508*(1+AM509)</f>
        <v>1.53247836</v>
      </c>
      <c r="AT509" s="5">
        <f t="shared" si="511"/>
        <v>1.343122989</v>
      </c>
      <c r="AU509" s="5">
        <f t="shared" si="511"/>
        <v>1.315569036</v>
      </c>
    </row>
    <row r="510" ht="15.75" customHeight="1">
      <c r="A510" s="3">
        <v>44567.0</v>
      </c>
      <c r="B510" s="4">
        <v>0.003432</v>
      </c>
      <c r="C510" s="4">
        <v>-0.004813</v>
      </c>
      <c r="D510" s="4">
        <v>-0.004551</v>
      </c>
      <c r="E510" s="4">
        <v>2.3E-4</v>
      </c>
      <c r="F510" s="4">
        <v>-0.005264</v>
      </c>
      <c r="G510" s="4">
        <v>-0.003426</v>
      </c>
      <c r="H510" s="4">
        <v>-0.008404</v>
      </c>
      <c r="I510" s="4">
        <v>0.016768</v>
      </c>
      <c r="J510" s="4">
        <v>-0.007225</v>
      </c>
      <c r="K510" s="4">
        <v>0.009834</v>
      </c>
      <c r="L510" s="4">
        <v>0.014491</v>
      </c>
      <c r="M510" s="4">
        <v>0.018443</v>
      </c>
      <c r="N510" s="4">
        <v>0.001621</v>
      </c>
      <c r="O510" s="4">
        <v>-0.012013</v>
      </c>
      <c r="P510" s="4">
        <v>-0.027515</v>
      </c>
      <c r="Q510" s="4">
        <v>-0.029155</v>
      </c>
      <c r="R510" s="4">
        <v>-0.027591</v>
      </c>
      <c r="S510" s="4">
        <v>-0.045455</v>
      </c>
      <c r="T510" s="4">
        <v>-0.04987</v>
      </c>
      <c r="U510" s="4">
        <v>0.007682</v>
      </c>
      <c r="V510" s="4">
        <v>-0.0349265379216054</v>
      </c>
      <c r="W510" s="4">
        <v>-0.0175985134451623</v>
      </c>
      <c r="X510" s="4">
        <v>0.0160818168832157</v>
      </c>
      <c r="Y510" s="4">
        <v>0.0169521465029391</v>
      </c>
      <c r="Z510" s="4">
        <v>0.0112249374802555</v>
      </c>
      <c r="AA510" s="4">
        <v>0.0144029484601331</v>
      </c>
      <c r="AB510" s="4">
        <v>-0.0018477444845488</v>
      </c>
      <c r="AC510" s="4">
        <v>0.0</v>
      </c>
      <c r="AD510" s="4">
        <v>0.0055048610302073</v>
      </c>
      <c r="AE510" s="4">
        <v>0.0063201836084934</v>
      </c>
      <c r="AF510" s="4">
        <v>0.0012105774034274</v>
      </c>
      <c r="AG510" s="4">
        <v>0.0179187007843029</v>
      </c>
      <c r="AH510" s="4">
        <v>0.0173853240594361</v>
      </c>
      <c r="AI510" s="4">
        <v>4.621463324614E-4</v>
      </c>
      <c r="AJ510" s="4">
        <v>-9.64E-4</v>
      </c>
      <c r="AK510" s="4">
        <f>Weights!E566</f>
        <v>0.000178807329</v>
      </c>
      <c r="AL510" s="5">
        <v>-0.0167584937338609</v>
      </c>
      <c r="AM510" s="5">
        <v>-0.0216897988537925</v>
      </c>
      <c r="AN510" s="5">
        <v>-0.00768301091546286</v>
      </c>
      <c r="AO510" s="5">
        <v>-0.0086304653442728</v>
      </c>
      <c r="AP510" s="6">
        <f t="shared" si="3"/>
        <v>1.486980313</v>
      </c>
      <c r="AQ510" s="4">
        <f t="shared" si="4"/>
        <v>1.453524235</v>
      </c>
      <c r="AR510" s="7">
        <f t="shared" si="5"/>
        <v>1.405921854</v>
      </c>
      <c r="AS510" s="7">
        <f t="shared" ref="AS510:AU510" si="512">AS509*(1+AM510)</f>
        <v>1.499239213</v>
      </c>
      <c r="AT510" s="5">
        <f t="shared" si="512"/>
        <v>1.33280376</v>
      </c>
      <c r="AU510" s="5">
        <f t="shared" si="512"/>
        <v>1.304215063</v>
      </c>
    </row>
    <row r="511" ht="15.75" customHeight="1">
      <c r="A511" s="3">
        <v>44568.0</v>
      </c>
      <c r="B511" s="4">
        <v>0.002565</v>
      </c>
      <c r="C511" s="4">
        <v>0.008929</v>
      </c>
      <c r="D511" s="4">
        <v>0.012885</v>
      </c>
      <c r="E511" s="4">
        <v>0.001265</v>
      </c>
      <c r="F511" s="4">
        <v>-0.002315</v>
      </c>
      <c r="G511" s="4">
        <v>0.013517</v>
      </c>
      <c r="H511" s="4">
        <v>-5.53E-4</v>
      </c>
      <c r="I511" s="4">
        <v>0.013993</v>
      </c>
      <c r="J511" s="4">
        <v>-0.004281</v>
      </c>
      <c r="K511" s="4">
        <v>0.0106</v>
      </c>
      <c r="L511" s="4">
        <v>0.020198</v>
      </c>
      <c r="M511" s="4">
        <v>0.0166</v>
      </c>
      <c r="N511" s="4">
        <v>0.00845</v>
      </c>
      <c r="O511" s="4">
        <v>-0.0189</v>
      </c>
      <c r="P511" s="4">
        <v>0.012954</v>
      </c>
      <c r="Q511" s="4">
        <v>0.019019</v>
      </c>
      <c r="R511" s="4">
        <v>0.033309</v>
      </c>
      <c r="S511" s="4">
        <v>-0.00207</v>
      </c>
      <c r="T511" s="4">
        <v>-0.018525</v>
      </c>
      <c r="U511" s="4">
        <v>-0.00709</v>
      </c>
      <c r="V511" s="4">
        <v>-0.00619050540794574</v>
      </c>
      <c r="W511" s="4">
        <v>0.0173868885381311</v>
      </c>
      <c r="X511" s="4">
        <v>0.0215827975711095</v>
      </c>
      <c r="Y511" s="4">
        <v>0.0014602819953346</v>
      </c>
      <c r="Z511" s="4">
        <v>-0.0024314701041049</v>
      </c>
      <c r="AA511" s="4">
        <v>0.0011292000383382</v>
      </c>
      <c r="AB511" s="4">
        <v>0.0055540864709135</v>
      </c>
      <c r="AC511" s="4">
        <v>-0.0017761830286451</v>
      </c>
      <c r="AD511" s="4">
        <v>0.010948835995115</v>
      </c>
      <c r="AE511" s="4">
        <v>-0.0068366903770602</v>
      </c>
      <c r="AF511" s="4">
        <v>0.0220676907235786</v>
      </c>
      <c r="AG511" s="4">
        <v>0.0066633495409402</v>
      </c>
      <c r="AH511" s="4">
        <v>-0.0280246117061072</v>
      </c>
      <c r="AI511" s="4">
        <v>0.0036968632178615</v>
      </c>
      <c r="AJ511" s="4">
        <v>-0.00405</v>
      </c>
      <c r="AK511" s="4">
        <f>Weights!E567</f>
        <v>0.004540672256</v>
      </c>
      <c r="AL511" s="5">
        <v>-0.00186900128552225</v>
      </c>
      <c r="AM511" s="5">
        <v>-2.53032250841056E-4</v>
      </c>
      <c r="AN511" s="5">
        <v>0.00216793039478635</v>
      </c>
      <c r="AO511" s="5">
        <v>0.00211750309392821</v>
      </c>
      <c r="AP511" s="6">
        <f t="shared" si="3"/>
        <v>1.493732203</v>
      </c>
      <c r="AQ511" s="4">
        <f t="shared" si="4"/>
        <v>1.447637462</v>
      </c>
      <c r="AR511" s="7">
        <f t="shared" si="5"/>
        <v>1.403294185</v>
      </c>
      <c r="AS511" s="7">
        <f t="shared" ref="AS511:AU511" si="513">AS510*(1+AM511)</f>
        <v>1.498859857</v>
      </c>
      <c r="AT511" s="5">
        <f t="shared" si="513"/>
        <v>1.335693186</v>
      </c>
      <c r="AU511" s="5">
        <f t="shared" si="513"/>
        <v>1.306976742</v>
      </c>
    </row>
    <row r="512" ht="15.75" customHeight="1">
      <c r="A512" s="3">
        <v>44571.0</v>
      </c>
      <c r="B512" s="4">
        <v>-0.008529</v>
      </c>
      <c r="C512" s="4">
        <v>-0.006822</v>
      </c>
      <c r="D512" s="4">
        <v>2.05E-4</v>
      </c>
      <c r="E512" s="4">
        <v>5.17E-4</v>
      </c>
      <c r="F512" s="4">
        <v>0.001658</v>
      </c>
      <c r="G512" s="4">
        <v>-0.004944</v>
      </c>
      <c r="H512" s="4">
        <v>-0.013641</v>
      </c>
      <c r="I512" s="4">
        <v>0.003943</v>
      </c>
      <c r="J512" s="4">
        <v>0.003869</v>
      </c>
      <c r="K512" s="4">
        <v>-0.006565</v>
      </c>
      <c r="L512" s="4">
        <v>0.002943</v>
      </c>
      <c r="M512" s="4">
        <v>9.9E-4</v>
      </c>
      <c r="N512" s="4">
        <v>-0.002853</v>
      </c>
      <c r="O512" s="4">
        <v>5.06E-4</v>
      </c>
      <c r="P512" s="4">
        <v>0.016827</v>
      </c>
      <c r="Q512" s="4">
        <v>0.010805</v>
      </c>
      <c r="R512" s="4">
        <v>-0.006208</v>
      </c>
      <c r="S512" s="4">
        <v>0.020487</v>
      </c>
      <c r="T512" s="4">
        <v>-0.022545</v>
      </c>
      <c r="U512" s="4">
        <v>-0.01789</v>
      </c>
      <c r="V512" s="4">
        <v>-0.0191662908053584</v>
      </c>
      <c r="W512" s="4">
        <v>0.0160537450326576</v>
      </c>
      <c r="X512" s="4">
        <v>0.0</v>
      </c>
      <c r="Y512" s="4">
        <v>-0.0029767936025419</v>
      </c>
      <c r="Z512" s="4">
        <v>-0.0101737369775121</v>
      </c>
      <c r="AA512" s="4">
        <v>0.0122483179798724</v>
      </c>
      <c r="AB512" s="4">
        <v>-0.0165705799255857</v>
      </c>
      <c r="AC512" s="4">
        <v>0.0</v>
      </c>
      <c r="AD512" s="4">
        <v>0.0</v>
      </c>
      <c r="AE512" s="4">
        <v>-0.0012807478055589</v>
      </c>
      <c r="AF512" s="4">
        <v>-0.0289854883987747</v>
      </c>
      <c r="AG512" s="4">
        <v>-0.0084963645831243</v>
      </c>
      <c r="AH512" s="4">
        <v>-0.0140647675280612</v>
      </c>
      <c r="AI512" s="4">
        <v>0.0041437771786196</v>
      </c>
      <c r="AJ512" s="4">
        <v>-0.001441</v>
      </c>
      <c r="AK512" s="4">
        <f>Weights!E568</f>
        <v>-0.003022791474</v>
      </c>
      <c r="AL512" s="5">
        <v>-0.002471410943776</v>
      </c>
      <c r="AM512" s="5">
        <v>-0.00455323404645646</v>
      </c>
      <c r="AN512" s="5">
        <v>0.00154496708514395</v>
      </c>
      <c r="AO512" s="5">
        <v>0.00117395978265877</v>
      </c>
      <c r="AP512" s="6">
        <f t="shared" si="3"/>
        <v>1.489216962</v>
      </c>
      <c r="AQ512" s="4">
        <f t="shared" si="4"/>
        <v>1.445551416</v>
      </c>
      <c r="AR512" s="7">
        <f t="shared" si="5"/>
        <v>1.399826068</v>
      </c>
      <c r="AS512" s="7">
        <f t="shared" ref="AS512:AU512" si="514">AS511*(1+AM512)</f>
        <v>1.492035197</v>
      </c>
      <c r="AT512" s="5">
        <f t="shared" si="514"/>
        <v>1.337756788</v>
      </c>
      <c r="AU512" s="5">
        <f t="shared" si="514"/>
        <v>1.30851108</v>
      </c>
    </row>
    <row r="513" ht="15.75" customHeight="1">
      <c r="A513" s="3">
        <v>44572.0</v>
      </c>
      <c r="B513" s="4">
        <v>0.013333</v>
      </c>
      <c r="C513" s="4">
        <v>-0.005198</v>
      </c>
      <c r="D513" s="4">
        <v>0.011487</v>
      </c>
      <c r="E513" s="4">
        <v>-4.59E-4</v>
      </c>
      <c r="F513" s="4">
        <v>3.31E-4</v>
      </c>
      <c r="G513" s="4">
        <v>-0.01063</v>
      </c>
      <c r="H513" s="4">
        <v>-0.011587</v>
      </c>
      <c r="I513" s="4">
        <v>0.014728</v>
      </c>
      <c r="J513" s="4">
        <v>0.001927</v>
      </c>
      <c r="K513" s="4">
        <v>0.018045</v>
      </c>
      <c r="L513" s="4">
        <v>0.017162</v>
      </c>
      <c r="M513" s="4">
        <v>0.017301</v>
      </c>
      <c r="N513" s="4">
        <v>0.014125</v>
      </c>
      <c r="O513" s="4">
        <v>0.004297</v>
      </c>
      <c r="P513" s="4">
        <v>0.007943</v>
      </c>
      <c r="Q513" s="4">
        <v>0.030126</v>
      </c>
      <c r="R513" s="4">
        <v>0.032917</v>
      </c>
      <c r="S513" s="4">
        <v>0.011182</v>
      </c>
      <c r="T513" s="4">
        <v>-0.009119</v>
      </c>
      <c r="U513" s="4">
        <v>0.007427</v>
      </c>
      <c r="V513" s="4">
        <v>-0.00586227458905641</v>
      </c>
      <c r="W513" s="4">
        <v>-0.0113829690647557</v>
      </c>
      <c r="X513" s="4">
        <v>-0.0014305513378062</v>
      </c>
      <c r="Y513" s="4">
        <v>-0.0586156304376059</v>
      </c>
      <c r="Z513" s="4">
        <v>-0.0143470196946541</v>
      </c>
      <c r="AA513" s="4">
        <v>0.001114424416112</v>
      </c>
      <c r="AB513" s="4">
        <v>-0.0096279219907525</v>
      </c>
      <c r="AC513" s="4">
        <v>0.0</v>
      </c>
      <c r="AD513" s="4">
        <v>0.016333937007595</v>
      </c>
      <c r="AE513" s="4">
        <v>-0.0106596322476639</v>
      </c>
      <c r="AF513" s="4">
        <v>-0.0158391411424285</v>
      </c>
      <c r="AG513" s="4">
        <v>-3.987748215101E-4</v>
      </c>
      <c r="AH513" s="4">
        <v>0.0121255918375815</v>
      </c>
      <c r="AI513" s="4">
        <v>-0.004584810862533</v>
      </c>
      <c r="AJ513" s="4">
        <v>0.00916</v>
      </c>
      <c r="AK513" s="4">
        <f>Weights!E569</f>
        <v>0.002035900121</v>
      </c>
      <c r="AL513" s="5">
        <v>-0.00412956404965025</v>
      </c>
      <c r="AM513" s="5">
        <v>-0.00173641822722081</v>
      </c>
      <c r="AN513" s="5">
        <v>3.08464718201006E-4</v>
      </c>
      <c r="AO513" s="5">
        <v>-9.37967829846231E-4</v>
      </c>
      <c r="AP513" s="6">
        <f t="shared" si="3"/>
        <v>1.492248859</v>
      </c>
      <c r="AQ513" s="4">
        <f t="shared" si="4"/>
        <v>1.458792667</v>
      </c>
      <c r="AR513" s="7">
        <f t="shared" si="5"/>
        <v>1.394045397</v>
      </c>
      <c r="AS513" s="7">
        <f t="shared" ref="AS513:AU513" si="515">AS512*(1+AM513)</f>
        <v>1.4894444</v>
      </c>
      <c r="AT513" s="5">
        <f t="shared" si="515"/>
        <v>1.338169439</v>
      </c>
      <c r="AU513" s="5">
        <f t="shared" si="515"/>
        <v>1.307283739</v>
      </c>
    </row>
    <row r="514" ht="15.75" customHeight="1">
      <c r="A514" s="3">
        <v>44573.0</v>
      </c>
      <c r="B514" s="4">
        <v>0.004669</v>
      </c>
      <c r="C514" s="4">
        <v>-0.002612</v>
      </c>
      <c r="D514" s="4">
        <v>-0.002434</v>
      </c>
      <c r="E514" s="4">
        <v>-0.001091</v>
      </c>
      <c r="F514" s="4">
        <v>0.001489</v>
      </c>
      <c r="G514" s="4">
        <v>-0.008526</v>
      </c>
      <c r="H514" s="4">
        <v>0.002206</v>
      </c>
      <c r="I514" s="4">
        <v>0.008466</v>
      </c>
      <c r="J514" s="4">
        <v>0.008549</v>
      </c>
      <c r="K514" s="4">
        <v>0.012857</v>
      </c>
      <c r="L514" s="4">
        <v>0.013812</v>
      </c>
      <c r="M514" s="4">
        <v>0.00243</v>
      </c>
      <c r="N514" s="4">
        <v>0.008815</v>
      </c>
      <c r="O514" s="4">
        <v>0.024332</v>
      </c>
      <c r="P514" s="4">
        <v>0.010015</v>
      </c>
      <c r="Q514" s="4">
        <v>0.030189</v>
      </c>
      <c r="R514" s="4">
        <v>0.050244</v>
      </c>
      <c r="S514" s="4">
        <v>0.012817</v>
      </c>
      <c r="T514" s="4">
        <v>0.035005</v>
      </c>
      <c r="U514" s="4">
        <v>0.001397</v>
      </c>
      <c r="V514" s="4">
        <v>-0.00294824153473882</v>
      </c>
      <c r="W514" s="4">
        <v>0.0197629488023591</v>
      </c>
      <c r="X514" s="4">
        <v>0.0157592584249937</v>
      </c>
      <c r="Y514" s="4">
        <v>0.0067960896747998</v>
      </c>
      <c r="Z514" s="4">
        <v>-0.0055397424351707</v>
      </c>
      <c r="AA514" s="4">
        <v>-0.0044530272378048</v>
      </c>
      <c r="AB514" s="4">
        <v>0.0091816302159499</v>
      </c>
      <c r="AC514" s="4">
        <v>0.0</v>
      </c>
      <c r="AD514" s="4">
        <v>0.0035715057861742</v>
      </c>
      <c r="AE514" s="4">
        <v>0.0184704969828466</v>
      </c>
      <c r="AF514" s="4">
        <v>0.0290931411758976</v>
      </c>
      <c r="AG514" s="4">
        <v>0.0046852288665186</v>
      </c>
      <c r="AH514" s="4">
        <v>0.047921041279261</v>
      </c>
      <c r="AI514" s="4">
        <v>-0.0046065264092823</v>
      </c>
      <c r="AJ514" s="4">
        <v>0.002818</v>
      </c>
      <c r="AK514" s="4">
        <f>Weights!E570</f>
        <v>0.01030762865</v>
      </c>
      <c r="AL514" s="5">
        <v>0.01040410219197</v>
      </c>
      <c r="AM514" s="5">
        <v>0.00997013046061545</v>
      </c>
      <c r="AN514" s="5">
        <v>0.00925355955169138</v>
      </c>
      <c r="AO514" s="5">
        <v>0.00915503245100612</v>
      </c>
      <c r="AP514" s="6">
        <f t="shared" si="3"/>
        <v>1.507630406</v>
      </c>
      <c r="AQ514" s="4">
        <f t="shared" si="4"/>
        <v>1.462903545</v>
      </c>
      <c r="AR514" s="7">
        <f t="shared" si="5"/>
        <v>1.408549187</v>
      </c>
      <c r="AS514" s="7">
        <f t="shared" ref="AS514:AU514" si="516">AS513*(1+AM514)</f>
        <v>1.504294355</v>
      </c>
      <c r="AT514" s="5">
        <f t="shared" si="516"/>
        <v>1.35055227</v>
      </c>
      <c r="AU514" s="5">
        <f t="shared" si="516"/>
        <v>1.319251964</v>
      </c>
    </row>
    <row r="515" ht="15.75" customHeight="1">
      <c r="A515" s="3">
        <v>44574.0</v>
      </c>
      <c r="B515" s="4">
        <v>0.005915</v>
      </c>
      <c r="C515" s="4">
        <v>0.00131</v>
      </c>
      <c r="D515" s="4">
        <v>0.00183</v>
      </c>
      <c r="E515" s="4">
        <v>0.00161</v>
      </c>
      <c r="F515" s="4">
        <v>0.005946</v>
      </c>
      <c r="G515" s="4">
        <v>-0.006066</v>
      </c>
      <c r="H515" s="4">
        <v>-0.004528</v>
      </c>
      <c r="I515" s="4">
        <v>0.001439</v>
      </c>
      <c r="J515" s="4">
        <v>-0.002119</v>
      </c>
      <c r="K515" s="4">
        <v>0.002835</v>
      </c>
      <c r="L515" s="4">
        <v>0.002501</v>
      </c>
      <c r="M515" s="4">
        <v>0.002424</v>
      </c>
      <c r="N515" s="4">
        <v>0.006466</v>
      </c>
      <c r="O515" s="4">
        <v>0.030839</v>
      </c>
      <c r="P515" s="4">
        <v>-0.003251</v>
      </c>
      <c r="Q515" s="4">
        <v>-0.021978</v>
      </c>
      <c r="R515" s="4">
        <v>-0.018162</v>
      </c>
      <c r="S515" s="4">
        <v>-0.009677</v>
      </c>
      <c r="T515" s="4">
        <v>-0.017434</v>
      </c>
      <c r="U515" s="4">
        <v>-0.010772</v>
      </c>
      <c r="V515" s="4">
        <v>-0.0263677172192965</v>
      </c>
      <c r="W515" s="4">
        <v>0.0069092495254505</v>
      </c>
      <c r="X515" s="4">
        <v>-0.0126939173207735</v>
      </c>
      <c r="Y515" s="4">
        <v>3.215236007123E-4</v>
      </c>
      <c r="Z515" s="4">
        <v>0.0058983298096277</v>
      </c>
      <c r="AA515" s="4">
        <v>-0.0025558955127578</v>
      </c>
      <c r="AB515" s="4">
        <v>0.0016057714879673</v>
      </c>
      <c r="AC515" s="4">
        <v>-0.0017856181137266</v>
      </c>
      <c r="AD515" s="4">
        <v>-0.010676088749989</v>
      </c>
      <c r="AE515" s="4">
        <v>0.0105790833605383</v>
      </c>
      <c r="AF515" s="4">
        <v>0.0174436121158603</v>
      </c>
      <c r="AG515" s="4">
        <v>0.0010914042180674</v>
      </c>
      <c r="AH515" s="4">
        <v>-0.0201748296036672</v>
      </c>
      <c r="AI515" s="4">
        <v>0.0046278446981022</v>
      </c>
      <c r="AJ515" s="4">
        <v>-0.014244</v>
      </c>
      <c r="AK515" s="4">
        <f>Weights!E571</f>
        <v>-0.002204400279</v>
      </c>
      <c r="AL515" s="5">
        <v>0.00440235739137739</v>
      </c>
      <c r="AM515" s="5">
        <v>0.00155441530401811</v>
      </c>
      <c r="AN515" s="5">
        <v>0.00519557152575722</v>
      </c>
      <c r="AO515" s="5">
        <v>0.00604788752423757</v>
      </c>
      <c r="AP515" s="6">
        <f t="shared" si="3"/>
        <v>1.504306985</v>
      </c>
      <c r="AQ515" s="4">
        <f t="shared" si="4"/>
        <v>1.442065947</v>
      </c>
      <c r="AR515" s="7">
        <f t="shared" si="5"/>
        <v>1.414750124</v>
      </c>
      <c r="AS515" s="7">
        <f t="shared" ref="AS515:AU515" si="517">AS514*(1+AM515)</f>
        <v>1.506632653</v>
      </c>
      <c r="AT515" s="5">
        <f t="shared" si="517"/>
        <v>1.357569161</v>
      </c>
      <c r="AU515" s="5">
        <f t="shared" si="517"/>
        <v>1.327230651</v>
      </c>
    </row>
    <row r="516" ht="15.75" customHeight="1">
      <c r="A516" s="3">
        <v>44575.0</v>
      </c>
      <c r="B516" s="4">
        <v>-0.0021</v>
      </c>
      <c r="C516" s="4">
        <v>-0.004484</v>
      </c>
      <c r="D516" s="4">
        <v>0.00142</v>
      </c>
      <c r="E516" s="4">
        <v>0.008382</v>
      </c>
      <c r="F516" s="4">
        <v>0.008046</v>
      </c>
      <c r="G516" s="4">
        <v>-0.005452</v>
      </c>
      <c r="H516" s="4">
        <v>0.009603</v>
      </c>
      <c r="I516" s="4">
        <v>-0.002156</v>
      </c>
      <c r="J516" s="4">
        <v>-0.004035</v>
      </c>
      <c r="K516" s="4">
        <v>0.003318</v>
      </c>
      <c r="L516" s="4">
        <v>0.009204</v>
      </c>
      <c r="M516" s="4">
        <v>9.67E-4</v>
      </c>
      <c r="N516" s="4">
        <v>-0.001563</v>
      </c>
      <c r="O516" s="4">
        <v>0.001828</v>
      </c>
      <c r="P516" s="4">
        <v>-0.001631</v>
      </c>
      <c r="Q516" s="4">
        <v>-0.015918</v>
      </c>
      <c r="R516" s="4">
        <v>-0.00564</v>
      </c>
      <c r="S516" s="4">
        <v>-0.006264</v>
      </c>
      <c r="T516" s="4">
        <v>-0.016856</v>
      </c>
      <c r="U516" s="4">
        <v>-0.015903</v>
      </c>
      <c r="V516" s="4">
        <v>-0.0245507715495311</v>
      </c>
      <c r="W516" s="4">
        <v>0.0076988665887109</v>
      </c>
      <c r="X516" s="4">
        <v>0.0085714163982637</v>
      </c>
      <c r="Y516" s="4">
        <v>0.0012211665659676</v>
      </c>
      <c r="Z516" s="4">
        <v>-0.0085784820225803</v>
      </c>
      <c r="AA516" s="4">
        <v>-0.0025624448540622</v>
      </c>
      <c r="AB516" s="4">
        <v>0.0064119518620164</v>
      </c>
      <c r="AC516" s="4">
        <v>-0.0017888927756273</v>
      </c>
      <c r="AD516" s="4">
        <v>0.0053954481030684</v>
      </c>
      <c r="AE516" s="4">
        <v>-7.8761542200878E-5</v>
      </c>
      <c r="AF516" s="4">
        <v>0.0198049227885861</v>
      </c>
      <c r="AG516" s="4">
        <v>0.0040634190472894</v>
      </c>
      <c r="AH516" s="4">
        <v>0.0247083136083006</v>
      </c>
      <c r="AI516" s="4">
        <v>-0.002303313057744</v>
      </c>
      <c r="AJ516" s="4">
        <v>8.2E-4</v>
      </c>
      <c r="AK516" s="4">
        <f>Weights!E572</f>
        <v>0.0004924147751</v>
      </c>
      <c r="AL516" s="5">
        <v>-0.0121092371106831</v>
      </c>
      <c r="AM516" s="5">
        <v>-0.0146381231463457</v>
      </c>
      <c r="AN516" s="5">
        <v>-0.00425650757112094</v>
      </c>
      <c r="AO516" s="5">
        <v>-0.00508679195174732</v>
      </c>
      <c r="AP516" s="6">
        <f t="shared" si="3"/>
        <v>1.505047728</v>
      </c>
      <c r="AQ516" s="4">
        <f t="shared" si="4"/>
        <v>1.443248441</v>
      </c>
      <c r="AR516" s="7">
        <f t="shared" si="5"/>
        <v>1.39761858</v>
      </c>
      <c r="AS516" s="7">
        <f t="shared" ref="AS516:AU516" si="518">AS515*(1+AM516)</f>
        <v>1.484578379</v>
      </c>
      <c r="AT516" s="5">
        <f t="shared" si="518"/>
        <v>1.351790657</v>
      </c>
      <c r="AU516" s="5">
        <f t="shared" si="518"/>
        <v>1.320479305</v>
      </c>
    </row>
    <row r="517" ht="15.75" customHeight="1">
      <c r="A517" s="3">
        <v>44579.0</v>
      </c>
      <c r="B517" s="4">
        <v>0.006313</v>
      </c>
      <c r="C517" s="4">
        <v>0.002815</v>
      </c>
      <c r="D517" s="4">
        <v>0.018035</v>
      </c>
      <c r="E517" s="4">
        <v>-0.009565</v>
      </c>
      <c r="F517" s="4">
        <v>-0.007982</v>
      </c>
      <c r="G517" s="4">
        <v>-0.004409</v>
      </c>
      <c r="H517" s="4">
        <v>-0.019273</v>
      </c>
      <c r="I517" s="4">
        <v>0.012242</v>
      </c>
      <c r="J517" s="4">
        <v>-0.009382</v>
      </c>
      <c r="K517" s="4">
        <v>0.010779</v>
      </c>
      <c r="L517" s="4">
        <v>0.012444</v>
      </c>
      <c r="M517" s="4">
        <v>0.005314</v>
      </c>
      <c r="N517" s="4">
        <v>0.008</v>
      </c>
      <c r="O517" s="4">
        <v>-0.045487</v>
      </c>
      <c r="P517" s="4">
        <v>4.9E-4</v>
      </c>
      <c r="Q517" s="4">
        <v>-0.063749</v>
      </c>
      <c r="R517" s="4">
        <v>0.004764</v>
      </c>
      <c r="S517" s="4">
        <v>-0.008069</v>
      </c>
      <c r="T517" s="4">
        <v>-0.037177</v>
      </c>
      <c r="U517" s="4">
        <v>-0.010428</v>
      </c>
      <c r="V517" s="4">
        <v>0.00441100287367657</v>
      </c>
      <c r="W517" s="4">
        <v>0.0099650702432008</v>
      </c>
      <c r="X517" s="4">
        <v>0.0</v>
      </c>
      <c r="Y517" s="4">
        <v>0.0055841547412542</v>
      </c>
      <c r="Z517" s="4">
        <v>0.010405147882992</v>
      </c>
      <c r="AA517" s="4">
        <v>3.21211343143E-4</v>
      </c>
      <c r="AB517" s="4">
        <v>-7.966102500035E-4</v>
      </c>
      <c r="AC517" s="4">
        <v>0.0</v>
      </c>
      <c r="AD517" s="4">
        <v>0.0</v>
      </c>
      <c r="AE517" s="4">
        <v>0.0043293176863157</v>
      </c>
      <c r="AF517" s="4">
        <v>-0.0089854720495289</v>
      </c>
      <c r="AG517" s="4">
        <v>0.0</v>
      </c>
      <c r="AH517" s="4">
        <v>0.0</v>
      </c>
      <c r="AI517" s="4">
        <v>-9.235121844946E-4</v>
      </c>
      <c r="AJ517" s="4">
        <v>-0.018388</v>
      </c>
      <c r="AK517" s="4">
        <f>Weights!E573</f>
        <v>-0.001159830709</v>
      </c>
      <c r="AL517" s="5">
        <v>1.50531286895017E-4</v>
      </c>
      <c r="AM517" s="5">
        <v>3.83194281341925E-4</v>
      </c>
      <c r="AN517" s="5">
        <v>0.00396944054254655</v>
      </c>
      <c r="AO517" s="5">
        <v>0.00395084424503267</v>
      </c>
      <c r="AP517" s="6">
        <f t="shared" si="3"/>
        <v>1.503302127</v>
      </c>
      <c r="AQ517" s="4">
        <f t="shared" si="4"/>
        <v>1.416709989</v>
      </c>
      <c r="AR517" s="7">
        <f t="shared" si="5"/>
        <v>1.397828965</v>
      </c>
      <c r="AS517" s="7">
        <f t="shared" ref="AS517:AU517" si="519">AS516*(1+AM517)</f>
        <v>1.485147261</v>
      </c>
      <c r="AT517" s="5">
        <f t="shared" si="519"/>
        <v>1.35715651</v>
      </c>
      <c r="AU517" s="5">
        <f t="shared" si="519"/>
        <v>1.325696313</v>
      </c>
    </row>
    <row r="518" ht="15.75" customHeight="1">
      <c r="A518" s="3">
        <v>44580.0</v>
      </c>
      <c r="B518" s="4">
        <v>-0.005019</v>
      </c>
      <c r="C518" s="4">
        <v>0.00131</v>
      </c>
      <c r="D518" s="4">
        <v>-0.010549</v>
      </c>
      <c r="E518" s="4">
        <v>0.007186</v>
      </c>
      <c r="F518" s="4">
        <v>0.001642</v>
      </c>
      <c r="G518" s="4">
        <v>-0.003112</v>
      </c>
      <c r="H518" s="4">
        <v>0.033625</v>
      </c>
      <c r="I518" s="4">
        <v>-9.48E-4</v>
      </c>
      <c r="J518" s="4">
        <v>4.3E-4</v>
      </c>
      <c r="K518" s="4">
        <v>-0.01539</v>
      </c>
      <c r="L518" s="4">
        <v>-0.011028</v>
      </c>
      <c r="M518" s="4">
        <v>-0.015858</v>
      </c>
      <c r="N518" s="4">
        <v>-0.01432</v>
      </c>
      <c r="O518" s="4">
        <v>0.002908</v>
      </c>
      <c r="P518" s="4">
        <v>0.060408</v>
      </c>
      <c r="Q518" s="4">
        <v>0.128049</v>
      </c>
      <c r="R518" s="4">
        <v>-0.004741</v>
      </c>
      <c r="S518" s="4">
        <v>0.074225</v>
      </c>
      <c r="T518" s="4">
        <v>-0.022962</v>
      </c>
      <c r="U518" s="4">
        <v>0.00177</v>
      </c>
      <c r="V518" s="4">
        <v>-0.0206665823259875</v>
      </c>
      <c r="W518" s="4">
        <v>0.0</v>
      </c>
      <c r="X518" s="4">
        <v>-0.0071429087464903</v>
      </c>
      <c r="Y518" s="4">
        <v>0.0</v>
      </c>
      <c r="Z518" s="4">
        <v>0.0</v>
      </c>
      <c r="AA518" s="4">
        <v>0.0</v>
      </c>
      <c r="AB518" s="4">
        <v>0.0</v>
      </c>
      <c r="AC518" s="4">
        <v>-0.0035970095976658</v>
      </c>
      <c r="AD518" s="4">
        <v>-0.0054346480239614</v>
      </c>
      <c r="AE518" s="4">
        <v>0.0</v>
      </c>
      <c r="AF518" s="4">
        <v>0.0</v>
      </c>
      <c r="AG518" s="4">
        <v>0.0107589704286201</v>
      </c>
      <c r="AH518" s="4">
        <v>-0.0080375644193251</v>
      </c>
      <c r="AI518" s="4">
        <v>0.0</v>
      </c>
      <c r="AJ518" s="4">
        <v>-0.00969</v>
      </c>
      <c r="AK518" s="4">
        <f>Weights!E574</f>
        <v>0.002471963995</v>
      </c>
      <c r="AL518" s="5">
        <v>-0.017969911403477</v>
      </c>
      <c r="AM518" s="5">
        <v>-0.01944523351275</v>
      </c>
      <c r="AN518" s="5">
        <v>0.00821186883251257</v>
      </c>
      <c r="AO518" s="5">
        <v>0.00833325373788351</v>
      </c>
      <c r="AP518" s="6">
        <f t="shared" si="3"/>
        <v>1.507018236</v>
      </c>
      <c r="AQ518" s="4">
        <f t="shared" si="4"/>
        <v>1.402982069</v>
      </c>
      <c r="AR518" s="7">
        <f t="shared" si="5"/>
        <v>1.372710102</v>
      </c>
      <c r="AS518" s="7">
        <f t="shared" ref="AS518:AU518" si="520">AS517*(1+AM518)</f>
        <v>1.456268226</v>
      </c>
      <c r="AT518" s="5">
        <f t="shared" si="520"/>
        <v>1.368301301</v>
      </c>
      <c r="AU518" s="5">
        <f t="shared" si="520"/>
        <v>1.336743677</v>
      </c>
    </row>
    <row r="519" ht="15.75" customHeight="1">
      <c r="A519" s="3">
        <v>44581.0</v>
      </c>
      <c r="B519" s="4">
        <v>-0.005465</v>
      </c>
      <c r="C519" s="4">
        <v>-0.001869</v>
      </c>
      <c r="D519" s="4">
        <v>-0.010461</v>
      </c>
      <c r="E519" s="4">
        <v>-0.007248</v>
      </c>
      <c r="F519" s="4">
        <v>-0.004098</v>
      </c>
      <c r="G519" s="4">
        <v>-0.007984</v>
      </c>
      <c r="H519" s="4">
        <v>0.005369</v>
      </c>
      <c r="I519" s="4">
        <v>-0.008545</v>
      </c>
      <c r="J519" s="4">
        <v>0.003012</v>
      </c>
      <c r="K519" s="4">
        <v>7.38E-4</v>
      </c>
      <c r="L519" s="4">
        <v>-0.011747</v>
      </c>
      <c r="M519" s="4">
        <v>-4.88E-4</v>
      </c>
      <c r="N519" s="4">
        <v>-0.004376</v>
      </c>
      <c r="O519" s="4">
        <v>-0.014209</v>
      </c>
      <c r="P519" s="4">
        <v>-0.01709</v>
      </c>
      <c r="Q519" s="4">
        <v>-0.016216</v>
      </c>
      <c r="R519" s="4">
        <v>-0.020191</v>
      </c>
      <c r="S519" s="4">
        <v>-0.013015</v>
      </c>
      <c r="T519" s="4">
        <v>-0.037506</v>
      </c>
      <c r="U519" s="4">
        <v>-0.011804</v>
      </c>
      <c r="V519" s="4">
        <v>0.0182010701170243</v>
      </c>
      <c r="W519" s="4">
        <v>0.0</v>
      </c>
      <c r="X519" s="4">
        <v>0.028777001235976</v>
      </c>
      <c r="Y519" s="4">
        <v>0.0</v>
      </c>
      <c r="Z519" s="4">
        <v>0.0</v>
      </c>
      <c r="AA519" s="4">
        <v>0.0</v>
      </c>
      <c r="AB519" s="4">
        <v>0.0</v>
      </c>
      <c r="AC519" s="4">
        <v>0.0018050380183338</v>
      </c>
      <c r="AD519" s="4">
        <v>0.0163933393287194</v>
      </c>
      <c r="AE519" s="4">
        <v>0.0</v>
      </c>
      <c r="AF519" s="4">
        <v>0.0</v>
      </c>
      <c r="AG519" s="4">
        <v>0.0036135640588621</v>
      </c>
      <c r="AH519" s="4">
        <v>0.0</v>
      </c>
      <c r="AI519" s="4">
        <v>0.0</v>
      </c>
      <c r="AJ519" s="4">
        <v>-0.011037</v>
      </c>
      <c r="AK519" s="4">
        <f>Weights!E575</f>
        <v>-0.001851596195</v>
      </c>
      <c r="AL519" s="5">
        <v>-0.00719703223460888</v>
      </c>
      <c r="AM519" s="5">
        <v>-0.0105011466597534</v>
      </c>
      <c r="AN519" s="5">
        <v>-0.0117650112142687</v>
      </c>
      <c r="AO519" s="5">
        <v>-0.0119376913291381</v>
      </c>
      <c r="AP519" s="6">
        <f t="shared" si="3"/>
        <v>1.504227847</v>
      </c>
      <c r="AQ519" s="4">
        <f t="shared" si="4"/>
        <v>1.387497356</v>
      </c>
      <c r="AR519" s="7">
        <f t="shared" si="5"/>
        <v>1.362830663</v>
      </c>
      <c r="AS519" s="7">
        <f t="shared" ref="AS519:AU519" si="521">AS518*(1+AM519)</f>
        <v>1.440975739</v>
      </c>
      <c r="AT519" s="5">
        <f t="shared" si="521"/>
        <v>1.352203221</v>
      </c>
      <c r="AU519" s="5">
        <f t="shared" si="521"/>
        <v>1.320786044</v>
      </c>
    </row>
    <row r="520" ht="15.75" customHeight="1">
      <c r="A520" s="3">
        <v>44582.0</v>
      </c>
      <c r="B520" s="4">
        <v>-0.013948</v>
      </c>
      <c r="C520" s="4">
        <v>-0.004494</v>
      </c>
      <c r="D520" s="4">
        <v>-0.012604</v>
      </c>
      <c r="E520" s="4">
        <v>0.00161</v>
      </c>
      <c r="F520" s="4">
        <v>-0.004938</v>
      </c>
      <c r="G520" s="4">
        <v>-0.0023</v>
      </c>
      <c r="H520" s="4">
        <v>0.003827</v>
      </c>
      <c r="I520" s="4">
        <v>-0.022983</v>
      </c>
      <c r="J520" s="4">
        <v>0.004719</v>
      </c>
      <c r="K520" s="4">
        <v>-0.019924</v>
      </c>
      <c r="L520" s="4">
        <v>-0.010594</v>
      </c>
      <c r="M520" s="4">
        <v>-0.020029</v>
      </c>
      <c r="N520" s="4">
        <v>-0.016878</v>
      </c>
      <c r="O520" s="4">
        <v>-0.011767</v>
      </c>
      <c r="P520" s="4">
        <v>-0.011748</v>
      </c>
      <c r="Q520" s="4">
        <v>9.16E-4</v>
      </c>
      <c r="R520" s="4">
        <v>-0.050938</v>
      </c>
      <c r="S520" s="4">
        <v>-0.021817</v>
      </c>
      <c r="T520" s="4">
        <v>-0.072653</v>
      </c>
      <c r="U520" s="4">
        <v>-0.002925</v>
      </c>
      <c r="V520" s="4">
        <v>0.0212435413009002</v>
      </c>
      <c r="W520" s="4">
        <v>-0.0041111380548652</v>
      </c>
      <c r="X520" s="4">
        <v>-0.0139860247660101</v>
      </c>
      <c r="Y520" s="4">
        <v>-0.0029998051655775</v>
      </c>
      <c r="Z520" s="4">
        <v>-3.251561668815E-4</v>
      </c>
      <c r="AA520" s="4">
        <v>0.0126802763724742</v>
      </c>
      <c r="AB520" s="4">
        <v>0.0037195274716863</v>
      </c>
      <c r="AC520" s="4">
        <v>-0.0180180194794002</v>
      </c>
      <c r="AD520" s="4">
        <v>-0.0107527215017234</v>
      </c>
      <c r="AE520" s="4">
        <v>-7.054516531539E-4</v>
      </c>
      <c r="AF520" s="4">
        <v>0.0055572230288887</v>
      </c>
      <c r="AG520" s="4">
        <v>0.009049006813502</v>
      </c>
      <c r="AH520" s="4">
        <v>0.04186363165117</v>
      </c>
      <c r="AI520" s="4">
        <v>0.0018486316664672</v>
      </c>
      <c r="AJ520" s="4">
        <v>-0.018915</v>
      </c>
      <c r="AK520" s="4">
        <f>Weights!E576</f>
        <v>-0.004586423724</v>
      </c>
      <c r="AL520" s="5">
        <v>-0.00933130516206404</v>
      </c>
      <c r="AM520" s="5">
        <v>-0.0116651519840819</v>
      </c>
      <c r="AN520" s="5">
        <v>-0.00488380140533606</v>
      </c>
      <c r="AO520" s="5">
        <v>-0.00371719827845529</v>
      </c>
      <c r="AP520" s="6">
        <f t="shared" si="3"/>
        <v>1.497328821</v>
      </c>
      <c r="AQ520" s="4">
        <f t="shared" si="4"/>
        <v>1.361252843</v>
      </c>
      <c r="AR520" s="7">
        <f t="shared" si="5"/>
        <v>1.350113675</v>
      </c>
      <c r="AS520" s="7">
        <f t="shared" ref="AS520:AU520" si="522">AS519*(1+AM520)</f>
        <v>1.424166538</v>
      </c>
      <c r="AT520" s="5">
        <f t="shared" si="522"/>
        <v>1.345599329</v>
      </c>
      <c r="AU520" s="5">
        <f t="shared" si="522"/>
        <v>1.31587642</v>
      </c>
    </row>
    <row r="521" ht="15.75" customHeight="1">
      <c r="A521" s="3">
        <v>44585.0</v>
      </c>
      <c r="B521" s="4">
        <v>-0.008144</v>
      </c>
      <c r="C521" s="4">
        <v>-0.003762</v>
      </c>
      <c r="D521" s="4">
        <v>-0.010706</v>
      </c>
      <c r="E521" s="4">
        <v>-0.005108</v>
      </c>
      <c r="F521" s="4">
        <v>-0.008106</v>
      </c>
      <c r="G521" s="4">
        <v>-0.011524</v>
      </c>
      <c r="H521" s="4">
        <v>-0.008117</v>
      </c>
      <c r="I521" s="4">
        <v>-0.014212</v>
      </c>
      <c r="J521" s="4">
        <v>-0.007899</v>
      </c>
      <c r="K521" s="4">
        <v>-0.015937</v>
      </c>
      <c r="L521" s="4">
        <v>-0.012797</v>
      </c>
      <c r="M521" s="4">
        <v>-0.012961</v>
      </c>
      <c r="N521" s="4">
        <v>-0.013233</v>
      </c>
      <c r="O521" s="4">
        <v>0.014288</v>
      </c>
      <c r="P521" s="4">
        <v>-1.58E-4</v>
      </c>
      <c r="Q521" s="4">
        <v>9.15E-4</v>
      </c>
      <c r="R521" s="4">
        <v>-0.025128</v>
      </c>
      <c r="S521" s="4">
        <v>-0.014461</v>
      </c>
      <c r="T521" s="4">
        <v>0.024288</v>
      </c>
      <c r="U521" s="4">
        <v>0.00489</v>
      </c>
      <c r="V521" s="4">
        <v>-0.0317097796955617</v>
      </c>
      <c r="W521" s="4">
        <v>-0.0028069722193068</v>
      </c>
      <c r="X521" s="4">
        <v>0.0056737816934437</v>
      </c>
      <c r="Y521" s="4">
        <v>-0.0064027649778239</v>
      </c>
      <c r="Z521" s="4">
        <v>-0.0083667232471005</v>
      </c>
      <c r="AA521" s="4">
        <v>0.0041211915333216</v>
      </c>
      <c r="AB521" s="4">
        <v>0.0039702706888637</v>
      </c>
      <c r="AC521" s="4">
        <v>0.0055044554587515</v>
      </c>
      <c r="AD521" s="4">
        <v>0.0181161335604578</v>
      </c>
      <c r="AE521" s="4">
        <v>0.0054901472126418</v>
      </c>
      <c r="AF521" s="4">
        <v>0.0058173238803862</v>
      </c>
      <c r="AG521" s="4">
        <v>-1.928016247449E-4</v>
      </c>
      <c r="AH521" s="4">
        <v>-0.0181464662673245</v>
      </c>
      <c r="AI521" s="4">
        <v>0.00208085282916</v>
      </c>
      <c r="AJ521" s="4">
        <v>0.002772</v>
      </c>
      <c r="AK521" s="4">
        <f>Weights!E577</f>
        <v>-0.005204295907</v>
      </c>
      <c r="AL521" s="5">
        <v>-0.0176709665137216</v>
      </c>
      <c r="AM521" s="5">
        <v>-0.019789752891829</v>
      </c>
      <c r="AN521" s="5">
        <v>-0.00644181598808935</v>
      </c>
      <c r="AO521" s="5">
        <v>-0.00699621777501402</v>
      </c>
      <c r="AP521" s="6">
        <f t="shared" si="3"/>
        <v>1.489536278</v>
      </c>
      <c r="AQ521" s="4">
        <f t="shared" si="4"/>
        <v>1.365026236</v>
      </c>
      <c r="AR521" s="7">
        <f t="shared" si="5"/>
        <v>1.326255861</v>
      </c>
      <c r="AS521" s="7">
        <f t="shared" ref="AS521:AU521" si="523">AS520*(1+AM521)</f>
        <v>1.395982634</v>
      </c>
      <c r="AT521" s="5">
        <f t="shared" si="523"/>
        <v>1.336931226</v>
      </c>
      <c r="AU521" s="5">
        <f t="shared" si="523"/>
        <v>1.306670262</v>
      </c>
    </row>
    <row r="522" ht="15.75" customHeight="1">
      <c r="A522" s="3">
        <v>44586.0</v>
      </c>
      <c r="B522" s="4">
        <v>0.011668</v>
      </c>
      <c r="C522" s="4">
        <v>-0.001133</v>
      </c>
      <c r="D522" s="4">
        <v>0.014568</v>
      </c>
      <c r="E522" s="4">
        <v>-0.011481</v>
      </c>
      <c r="F522" s="4">
        <v>-0.002335</v>
      </c>
      <c r="G522" s="4">
        <v>0.028594</v>
      </c>
      <c r="H522" s="4">
        <v>-0.010911</v>
      </c>
      <c r="I522" s="4">
        <v>0.019637</v>
      </c>
      <c r="J522" s="4">
        <v>-0.004089</v>
      </c>
      <c r="K522" s="4">
        <v>0.009054</v>
      </c>
      <c r="L522" s="4">
        <v>-0.004926</v>
      </c>
      <c r="M522" s="4">
        <v>0.011616</v>
      </c>
      <c r="N522" s="4">
        <v>0.003625</v>
      </c>
      <c r="O522" s="4">
        <v>-0.026623</v>
      </c>
      <c r="P522" s="4">
        <v>0.003329</v>
      </c>
      <c r="Q522" s="4">
        <v>0.035649</v>
      </c>
      <c r="R522" s="4">
        <v>-0.008258</v>
      </c>
      <c r="S522" s="4">
        <v>0.005223</v>
      </c>
      <c r="T522" s="4">
        <v>-0.011751</v>
      </c>
      <c r="U522" s="4">
        <v>-0.011517</v>
      </c>
      <c r="V522" s="4">
        <v>-0.0356301503675116</v>
      </c>
      <c r="W522" s="4">
        <v>-0.0011592893901744</v>
      </c>
      <c r="X522" s="4">
        <v>0.0</v>
      </c>
      <c r="Y522" s="4">
        <v>0.0012243930171376</v>
      </c>
      <c r="Z522" s="4">
        <v>-0.0030683712736933</v>
      </c>
      <c r="AA522" s="4">
        <v>-0.0020519936880448</v>
      </c>
      <c r="AB522" s="4">
        <v>7.910319363664E-4</v>
      </c>
      <c r="AC522" s="4">
        <v>0.0</v>
      </c>
      <c r="AD522" s="4">
        <v>0.0</v>
      </c>
      <c r="AE522" s="4">
        <v>3.901150779437E-4</v>
      </c>
      <c r="AF522" s="4">
        <v>-0.0101215607334614</v>
      </c>
      <c r="AG522" s="4">
        <v>-0.0050154480027332</v>
      </c>
      <c r="AH522" s="4">
        <v>-0.0019802118872357</v>
      </c>
      <c r="AI522" s="4">
        <v>9.230359033467E-4</v>
      </c>
      <c r="AJ522" s="4">
        <v>-0.012172</v>
      </c>
      <c r="AK522" s="4">
        <f>Weights!E578</f>
        <v>-0.0001464585163</v>
      </c>
      <c r="AL522" s="5">
        <v>-7.13173084473273E-4</v>
      </c>
      <c r="AM522" s="5">
        <v>0.00642803972238881</v>
      </c>
      <c r="AN522" s="5">
        <v>-0.0213028725831503</v>
      </c>
      <c r="AO522" s="5">
        <v>-0.0211367268514499</v>
      </c>
      <c r="AP522" s="6">
        <f t="shared" si="3"/>
        <v>1.489318123</v>
      </c>
      <c r="AQ522" s="4">
        <f t="shared" si="4"/>
        <v>1.348411137</v>
      </c>
      <c r="AR522" s="7">
        <f t="shared" si="5"/>
        <v>1.325310011</v>
      </c>
      <c r="AS522" s="7">
        <f t="shared" ref="AS522:AU522" si="524">AS521*(1+AM522)</f>
        <v>1.404956066</v>
      </c>
      <c r="AT522" s="5">
        <f t="shared" si="524"/>
        <v>1.30845075</v>
      </c>
      <c r="AU522" s="5">
        <f t="shared" si="524"/>
        <v>1.27905153</v>
      </c>
    </row>
    <row r="523" ht="15.75" customHeight="1">
      <c r="A523" s="3">
        <v>44587.0</v>
      </c>
      <c r="B523" s="4">
        <v>-0.004272</v>
      </c>
      <c r="C523" s="4">
        <v>-0.035539</v>
      </c>
      <c r="D523" s="4">
        <v>-2.05E-4</v>
      </c>
      <c r="E523" s="4">
        <v>-0.010564</v>
      </c>
      <c r="F523" s="4">
        <v>-0.003678</v>
      </c>
      <c r="G523" s="4">
        <v>0.004474</v>
      </c>
      <c r="H523" s="4">
        <v>-0.008713</v>
      </c>
      <c r="I523" s="4">
        <v>0.005851</v>
      </c>
      <c r="J523" s="4">
        <v>-0.004105</v>
      </c>
      <c r="K523" s="4">
        <v>-0.001011</v>
      </c>
      <c r="L523" s="4">
        <v>-0.002502</v>
      </c>
      <c r="M523" s="4">
        <v>0.014977</v>
      </c>
      <c r="N523" s="4">
        <v>7.22E-4</v>
      </c>
      <c r="O523" s="4">
        <v>-0.004867</v>
      </c>
      <c r="P523" s="4">
        <v>-0.02528</v>
      </c>
      <c r="Q523" s="4">
        <v>-0.051192</v>
      </c>
      <c r="R523" s="4">
        <v>-0.03028</v>
      </c>
      <c r="S523" s="4">
        <v>-0.017813</v>
      </c>
      <c r="T523" s="4">
        <v>-0.012209</v>
      </c>
      <c r="U523" s="4">
        <v>0.005825</v>
      </c>
      <c r="V523" s="4">
        <v>0.0249931901967261</v>
      </c>
      <c r="W523" s="4">
        <v>0.0</v>
      </c>
      <c r="X523" s="4">
        <v>-0.0027932619426277</v>
      </c>
      <c r="Y523" s="4">
        <v>0.0</v>
      </c>
      <c r="Z523" s="4">
        <v>0.0</v>
      </c>
      <c r="AA523" s="4">
        <v>0.0</v>
      </c>
      <c r="AB523" s="4">
        <v>0.0</v>
      </c>
      <c r="AC523" s="4">
        <v>0.0018215593387551</v>
      </c>
      <c r="AD523" s="4">
        <v>0.0089768052702283</v>
      </c>
      <c r="AE523" s="4">
        <v>0.0</v>
      </c>
      <c r="AF523" s="4">
        <v>0.0</v>
      </c>
      <c r="AG523" s="4">
        <v>0.0096936725986953</v>
      </c>
      <c r="AH523" s="4">
        <v>0.0767196157234848</v>
      </c>
      <c r="AI523" s="4">
        <v>0.0</v>
      </c>
      <c r="AJ523" s="4">
        <v>-0.001497</v>
      </c>
      <c r="AK523" s="4">
        <f>Weights!E579</f>
        <v>0.001958232261</v>
      </c>
      <c r="AL523" s="5">
        <v>-0.00991271671541849</v>
      </c>
      <c r="AM523" s="5">
        <v>-0.013988195973389</v>
      </c>
      <c r="AN523" s="5">
        <v>-0.00220808056108157</v>
      </c>
      <c r="AO523" s="5">
        <v>-9.5997549703708E-4</v>
      </c>
      <c r="AP523" s="6">
        <f t="shared" si="3"/>
        <v>1.492234554</v>
      </c>
      <c r="AQ523" s="4">
        <f t="shared" si="4"/>
        <v>1.346392565</v>
      </c>
      <c r="AR523" s="7">
        <f t="shared" si="5"/>
        <v>1.312172588</v>
      </c>
      <c r="AS523" s="7">
        <f t="shared" ref="AS523:AU523" si="525">AS522*(1+AM523)</f>
        <v>1.385303266</v>
      </c>
      <c r="AT523" s="5">
        <f t="shared" si="525"/>
        <v>1.305561585</v>
      </c>
      <c r="AU523" s="5">
        <f t="shared" si="525"/>
        <v>1.277823672</v>
      </c>
    </row>
    <row r="524" ht="15.75" customHeight="1">
      <c r="A524" s="3">
        <v>44588.0</v>
      </c>
      <c r="B524" s="4">
        <v>-0.006006</v>
      </c>
      <c r="C524" s="4">
        <v>0.003332</v>
      </c>
      <c r="D524" s="4">
        <v>0.028108</v>
      </c>
      <c r="E524" s="4">
        <v>-9.44E-4</v>
      </c>
      <c r="F524" s="4">
        <v>8.39E-4</v>
      </c>
      <c r="G524" s="4">
        <v>0.013125</v>
      </c>
      <c r="H524" s="4">
        <v>0.006197</v>
      </c>
      <c r="I524" s="4">
        <v>-0.001697</v>
      </c>
      <c r="J524" s="4">
        <v>0.006075</v>
      </c>
      <c r="K524" s="4">
        <v>-0.001265</v>
      </c>
      <c r="L524" s="4">
        <v>-0.001075</v>
      </c>
      <c r="M524" s="4">
        <v>0.004919</v>
      </c>
      <c r="N524" s="4">
        <v>-0.00397</v>
      </c>
      <c r="O524" s="4">
        <v>-0.026619</v>
      </c>
      <c r="P524" s="4">
        <v>-0.016696</v>
      </c>
      <c r="Q524" s="4">
        <v>-0.063256</v>
      </c>
      <c r="R524" s="4">
        <v>-0.034608</v>
      </c>
      <c r="S524" s="4">
        <v>-0.01738</v>
      </c>
      <c r="T524" s="4">
        <v>0.039768</v>
      </c>
      <c r="U524" s="4">
        <v>-0.008973</v>
      </c>
      <c r="V524" s="4">
        <v>0.010336587093678</v>
      </c>
      <c r="W524" s="4">
        <v>0.0266910362980683</v>
      </c>
      <c r="X524" s="4">
        <v>0.0</v>
      </c>
      <c r="Y524" s="4">
        <v>-0.0031535187198484</v>
      </c>
      <c r="Z524" s="4">
        <v>0.0311057957274751</v>
      </c>
      <c r="AA524" s="4">
        <v>-0.0099652102513734</v>
      </c>
      <c r="AB524" s="4">
        <v>-0.0031612732536248</v>
      </c>
      <c r="AC524" s="4">
        <v>0.0018180017612836</v>
      </c>
      <c r="AD524" s="4">
        <v>-0.0035587955273566</v>
      </c>
      <c r="AE524" s="4">
        <v>-0.0013256179408241</v>
      </c>
      <c r="AF524" s="4">
        <v>0.0546304617313162</v>
      </c>
      <c r="AG524" s="4">
        <v>0.001248124651922</v>
      </c>
      <c r="AH524" s="4">
        <v>0.0245700008215774</v>
      </c>
      <c r="AI524" s="4">
        <v>-0.0096821429246912</v>
      </c>
      <c r="AJ524" s="4">
        <v>-0.005384</v>
      </c>
      <c r="AK524" s="4">
        <f>Weights!E580</f>
        <v>0.001773701635</v>
      </c>
      <c r="AL524" s="5">
        <v>-0.00344418848530325</v>
      </c>
      <c r="AM524" s="5">
        <v>-0.00387750855750845</v>
      </c>
      <c r="AN524" s="5">
        <v>0.00189689549947824</v>
      </c>
      <c r="AO524" s="5">
        <v>7.20648172827687E-4</v>
      </c>
      <c r="AP524" s="6">
        <f t="shared" si="3"/>
        <v>1.494881333</v>
      </c>
      <c r="AQ524" s="4">
        <f t="shared" si="4"/>
        <v>1.339143588</v>
      </c>
      <c r="AR524" s="7">
        <f t="shared" si="5"/>
        <v>1.307653219</v>
      </c>
      <c r="AS524" s="7">
        <f t="shared" ref="AS524:AU524" si="526">AS523*(1+AM524)</f>
        <v>1.37993174</v>
      </c>
      <c r="AT524" s="5">
        <f t="shared" si="526"/>
        <v>1.308038099</v>
      </c>
      <c r="AU524" s="5">
        <f t="shared" si="526"/>
        <v>1.278744533</v>
      </c>
    </row>
    <row r="525" ht="15.75" customHeight="1">
      <c r="A525" s="3">
        <v>44589.0</v>
      </c>
      <c r="B525" s="4">
        <v>0.010358</v>
      </c>
      <c r="C525" s="4">
        <v>0.033405</v>
      </c>
      <c r="D525" s="4">
        <v>0.019158</v>
      </c>
      <c r="E525" s="4">
        <v>0.019484</v>
      </c>
      <c r="F525" s="4">
        <v>0.01995</v>
      </c>
      <c r="G525" s="4">
        <v>0.007034</v>
      </c>
      <c r="H525" s="4">
        <v>0.008609</v>
      </c>
      <c r="I525" s="4">
        <v>0.007283</v>
      </c>
      <c r="J525" s="4">
        <v>0.00992</v>
      </c>
      <c r="K525" s="4">
        <v>-0.006333</v>
      </c>
      <c r="L525" s="4">
        <v>0.00574</v>
      </c>
      <c r="M525" s="4">
        <v>0.001958</v>
      </c>
      <c r="N525" s="4">
        <v>0.012862</v>
      </c>
      <c r="O525" s="4">
        <v>-0.038997</v>
      </c>
      <c r="P525" s="4">
        <v>-0.013188</v>
      </c>
      <c r="Q525" s="4">
        <v>-0.006951</v>
      </c>
      <c r="R525" s="4">
        <v>-0.028571</v>
      </c>
      <c r="S525" s="4">
        <v>0.0</v>
      </c>
      <c r="T525" s="4">
        <v>0.031528</v>
      </c>
      <c r="U525" s="4">
        <v>0.016874</v>
      </c>
      <c r="V525" s="4">
        <v>-0.0175760222144429</v>
      </c>
      <c r="W525" s="4">
        <v>0.0276118765506445</v>
      </c>
      <c r="X525" s="4">
        <v>-0.0014005884578217</v>
      </c>
      <c r="Y525" s="4">
        <v>-0.0100716720755821</v>
      </c>
      <c r="Z525" s="4">
        <v>-0.0066091090373293</v>
      </c>
      <c r="AA525" s="4">
        <v>-0.0119827981028574</v>
      </c>
      <c r="AB525" s="4">
        <v>-0.0095137184525244</v>
      </c>
      <c r="AC525" s="4">
        <v>-0.0018147026287085</v>
      </c>
      <c r="AD525" s="4">
        <v>0.007142712676559</v>
      </c>
      <c r="AE525" s="4">
        <v>-0.0253746666331186</v>
      </c>
      <c r="AF525" s="4">
        <v>0.0132965085821492</v>
      </c>
      <c r="AG525" s="4">
        <v>0.0145747518004157</v>
      </c>
      <c r="AH525" s="4">
        <v>0.0221822904450037</v>
      </c>
      <c r="AI525" s="4">
        <v>-0.0023275997075323</v>
      </c>
      <c r="AJ525" s="4">
        <v>0.024348</v>
      </c>
      <c r="AK525" s="4">
        <f>Weights!E581</f>
        <v>0.002923319779</v>
      </c>
      <c r="AL525" s="5">
        <v>-0.00530459441587682</v>
      </c>
      <c r="AM525" s="5">
        <v>-0.00741836529638351</v>
      </c>
      <c r="AN525" s="5">
        <v>6.31079185998251E-4</v>
      </c>
      <c r="AO525" s="5">
        <v>0.0011999795894344</v>
      </c>
      <c r="AP525" s="6">
        <f t="shared" si="3"/>
        <v>1.499251349</v>
      </c>
      <c r="AQ525" s="4">
        <f t="shared" si="4"/>
        <v>1.371749056</v>
      </c>
      <c r="AR525" s="7">
        <f t="shared" si="5"/>
        <v>1.300716649</v>
      </c>
      <c r="AS525" s="7">
        <f t="shared" ref="AS525:AU525" si="527">AS524*(1+AM525)</f>
        <v>1.369694903</v>
      </c>
      <c r="AT525" s="5">
        <f t="shared" si="527"/>
        <v>1.308863575</v>
      </c>
      <c r="AU525" s="5">
        <f t="shared" si="527"/>
        <v>1.280279</v>
      </c>
    </row>
    <row r="526" ht="15.75" customHeight="1">
      <c r="A526" s="3">
        <v>44592.0</v>
      </c>
      <c r="B526" s="4">
        <v>0.005126</v>
      </c>
      <c r="C526" s="4">
        <v>0.006238</v>
      </c>
      <c r="D526" s="4">
        <v>-0.006853</v>
      </c>
      <c r="E526" s="4">
        <v>0.004923</v>
      </c>
      <c r="F526" s="4">
        <v>0.002794</v>
      </c>
      <c r="G526" s="4">
        <v>0.002911</v>
      </c>
      <c r="H526" s="4">
        <v>-3.12E-4</v>
      </c>
      <c r="I526" s="4">
        <v>0.0188</v>
      </c>
      <c r="J526" s="4">
        <v>0.014948</v>
      </c>
      <c r="K526" s="4">
        <v>0.02014</v>
      </c>
      <c r="L526" s="4">
        <v>0.017034</v>
      </c>
      <c r="M526" s="4">
        <v>0.017098</v>
      </c>
      <c r="N526" s="4">
        <v>0.012341</v>
      </c>
      <c r="O526" s="4">
        <v>0.057746</v>
      </c>
      <c r="P526" s="4">
        <v>0.021884</v>
      </c>
      <c r="Q526" s="4">
        <v>0.06</v>
      </c>
      <c r="R526" s="4">
        <v>0.032741</v>
      </c>
      <c r="S526" s="4">
        <v>0.033581</v>
      </c>
      <c r="T526" s="4">
        <v>0.016134</v>
      </c>
      <c r="U526" s="4">
        <v>0.00939</v>
      </c>
      <c r="V526" s="4">
        <v>-0.00267018948878927</v>
      </c>
      <c r="W526" s="4">
        <v>-0.0056568511427098</v>
      </c>
      <c r="X526" s="4">
        <v>-0.0014025528571649</v>
      </c>
      <c r="Y526" s="4">
        <v>0.0163047949027255</v>
      </c>
      <c r="Z526" s="4">
        <v>0.0057946423348098</v>
      </c>
      <c r="AA526" s="4">
        <v>-0.0053362512584553</v>
      </c>
      <c r="AB526" s="4">
        <v>0.0178763199498606</v>
      </c>
      <c r="AC526" s="4">
        <v>-0.0072727436415362</v>
      </c>
      <c r="AD526" s="4">
        <v>-0.0035458796905695</v>
      </c>
      <c r="AE526" s="4">
        <v>6.408869777112E-4</v>
      </c>
      <c r="AF526" s="4">
        <v>-0.0431930138348208</v>
      </c>
      <c r="AG526" s="4">
        <v>-0.0304318535833988</v>
      </c>
      <c r="AH526" s="4">
        <v>0.0164222852986564</v>
      </c>
      <c r="AI526" s="4">
        <v>-0.0051329482564235</v>
      </c>
      <c r="AJ526" s="4">
        <v>0.018886</v>
      </c>
      <c r="AK526" s="4">
        <f>Weights!E582</f>
        <v>0.00705784751</v>
      </c>
      <c r="AL526" s="5">
        <v>0.0176148121002353</v>
      </c>
      <c r="AM526" s="5">
        <v>0.024636545100487</v>
      </c>
      <c r="AN526" s="5">
        <v>-0.00157683593957036</v>
      </c>
      <c r="AO526" s="5">
        <v>-0.00239698180721992</v>
      </c>
      <c r="AP526" s="6">
        <f t="shared" si="3"/>
        <v>1.509832836</v>
      </c>
      <c r="AQ526" s="4">
        <f t="shared" si="4"/>
        <v>1.397655908</v>
      </c>
      <c r="AR526" s="7">
        <f t="shared" si="5"/>
        <v>1.323628528</v>
      </c>
      <c r="AS526" s="7">
        <f t="shared" ref="AS526:AU526" si="528">AS525*(1+AM526)</f>
        <v>1.403439453</v>
      </c>
      <c r="AT526" s="5">
        <f t="shared" si="528"/>
        <v>1.306799712</v>
      </c>
      <c r="AU526" s="5">
        <f t="shared" si="528"/>
        <v>1.277210195</v>
      </c>
    </row>
    <row r="527" ht="15.75" customHeight="1">
      <c r="A527" s="3">
        <v>44593.0</v>
      </c>
      <c r="B527" s="4">
        <v>0.00255</v>
      </c>
      <c r="C527" s="4">
        <v>-5.64E-4</v>
      </c>
      <c r="D527" s="4">
        <v>0.002563</v>
      </c>
      <c r="E527" s="4">
        <v>-0.0068</v>
      </c>
      <c r="F527" s="4">
        <v>-0.007376</v>
      </c>
      <c r="G527" s="4">
        <v>-0.008184</v>
      </c>
      <c r="H527" s="4">
        <v>-0.004425</v>
      </c>
      <c r="I527" s="4">
        <v>0.006388</v>
      </c>
      <c r="J527" s="4">
        <v>-0.011992</v>
      </c>
      <c r="K527" s="4">
        <v>0.018868</v>
      </c>
      <c r="L527" s="4">
        <v>0.009733</v>
      </c>
      <c r="M527" s="4">
        <v>0.009126</v>
      </c>
      <c r="N527" s="4">
        <v>0.012544</v>
      </c>
      <c r="O527" s="4">
        <v>0.015573</v>
      </c>
      <c r="P527" s="4">
        <v>0.002616</v>
      </c>
      <c r="Q527" s="4">
        <v>0.001887</v>
      </c>
      <c r="R527" s="4">
        <v>0.048361</v>
      </c>
      <c r="S527" s="4">
        <v>0.007192</v>
      </c>
      <c r="T527" s="4">
        <v>0.059763</v>
      </c>
      <c r="U527" s="4">
        <v>9.62E-4</v>
      </c>
      <c r="V527" s="4">
        <v>0.0155286941625183</v>
      </c>
      <c r="W527" s="4">
        <v>0.0293931963239904</v>
      </c>
      <c r="X527" s="4">
        <v>0.0</v>
      </c>
      <c r="Y527" s="4">
        <v>0.0017328356459247</v>
      </c>
      <c r="Z527" s="4">
        <v>0.0217645024567119</v>
      </c>
      <c r="AA527" s="4">
        <v>-0.0089416897390719</v>
      </c>
      <c r="AB527" s="4">
        <v>0.0062908229828921</v>
      </c>
      <c r="AC527" s="4">
        <v>0.0</v>
      </c>
      <c r="AD527" s="4">
        <v>0.0</v>
      </c>
      <c r="AE527" s="4">
        <v>0.0015211214279364</v>
      </c>
      <c r="AF527" s="4">
        <v>0.0085713065339749</v>
      </c>
      <c r="AG527" s="4">
        <v>0.0155959827133898</v>
      </c>
      <c r="AH527" s="4">
        <v>0.0219272860495969</v>
      </c>
      <c r="AI527" s="4">
        <v>-9.383914516245E-4</v>
      </c>
      <c r="AJ527" s="4">
        <v>0.006863</v>
      </c>
      <c r="AK527" s="4">
        <f>Weights!E583</f>
        <v>0.007741116848</v>
      </c>
      <c r="AL527" s="5">
        <v>0.01889789751914</v>
      </c>
      <c r="AM527" s="5">
        <v>0.0212526932151717</v>
      </c>
      <c r="AN527" s="5">
        <v>0.00821233679479216</v>
      </c>
      <c r="AO527" s="5">
        <v>0.00888986905359257</v>
      </c>
      <c r="AP527" s="6">
        <f t="shared" si="3"/>
        <v>1.521520629</v>
      </c>
      <c r="AQ527" s="4">
        <f t="shared" si="4"/>
        <v>1.407248021</v>
      </c>
      <c r="AR527" s="7">
        <f t="shared" si="5"/>
        <v>1.348642324</v>
      </c>
      <c r="AS527" s="7">
        <f t="shared" ref="AS527:AU527" si="529">AS526*(1+AM527)</f>
        <v>1.433266321</v>
      </c>
      <c r="AT527" s="5">
        <f t="shared" si="529"/>
        <v>1.317531591</v>
      </c>
      <c r="AU527" s="5">
        <f t="shared" si="529"/>
        <v>1.288564426</v>
      </c>
    </row>
    <row r="528" ht="15.75" customHeight="1">
      <c r="A528" s="3">
        <v>44594.0</v>
      </c>
      <c r="B528" s="4">
        <v>0.012717</v>
      </c>
      <c r="C528" s="4">
        <v>0.011278</v>
      </c>
      <c r="D528" s="4">
        <v>0.011996</v>
      </c>
      <c r="E528" s="4">
        <v>0.018162</v>
      </c>
      <c r="F528" s="4">
        <v>0.010238</v>
      </c>
      <c r="G528" s="4">
        <v>0.01106</v>
      </c>
      <c r="H528" s="4">
        <v>0.017904</v>
      </c>
      <c r="I528" s="4">
        <v>0.012929</v>
      </c>
      <c r="J528" s="4">
        <v>0.007666</v>
      </c>
      <c r="K528" s="4">
        <v>0.018519</v>
      </c>
      <c r="L528" s="4">
        <v>0.006166</v>
      </c>
      <c r="M528" s="4">
        <v>0.0</v>
      </c>
      <c r="N528" s="4">
        <v>0.009597</v>
      </c>
      <c r="O528" s="4">
        <v>0.021709</v>
      </c>
      <c r="P528" s="4">
        <v>0.012718</v>
      </c>
      <c r="Q528" s="4">
        <v>-0.006591</v>
      </c>
      <c r="R528" s="4">
        <v>0.009482</v>
      </c>
      <c r="S528" s="4">
        <v>0.001231</v>
      </c>
      <c r="T528" s="4">
        <v>0.042062</v>
      </c>
      <c r="U528" s="4">
        <v>0.009534</v>
      </c>
      <c r="V528" s="4">
        <v>0.0110730677566703</v>
      </c>
      <c r="W528" s="4">
        <v>-0.0046055534147371</v>
      </c>
      <c r="X528" s="4">
        <v>0.0153418314346314</v>
      </c>
      <c r="Y528" s="4">
        <v>-0.004740716892104</v>
      </c>
      <c r="Z528" s="4">
        <v>0.003341410104382</v>
      </c>
      <c r="AA528" s="4">
        <v>-0.0047572510660528</v>
      </c>
      <c r="AB528" s="4">
        <v>-0.006772492765357</v>
      </c>
      <c r="AC528" s="4">
        <v>0.003649849387137</v>
      </c>
      <c r="AD528" s="4">
        <v>-0.0035715057861741</v>
      </c>
      <c r="AE528" s="4">
        <v>-0.0094324956012069</v>
      </c>
      <c r="AF528" s="4">
        <v>0.0025495183193648</v>
      </c>
      <c r="AG528" s="4">
        <v>0.0083501591349219</v>
      </c>
      <c r="AH528" s="4">
        <v>0.0050818427965382</v>
      </c>
      <c r="AI528" s="4">
        <v>-9.384619158612E-4</v>
      </c>
      <c r="AJ528" s="4">
        <v>0.009423</v>
      </c>
      <c r="AK528" s="4">
        <f>Weights!E584</f>
        <v>0.006461951964</v>
      </c>
      <c r="AL528" s="5">
        <v>0.00818261550802312</v>
      </c>
      <c r="AM528" s="5">
        <v>0.00762752373301323</v>
      </c>
      <c r="AN528" s="5">
        <v>0.0162906230881245</v>
      </c>
      <c r="AO528" s="5">
        <v>0.0180996659325392</v>
      </c>
      <c r="AP528" s="6">
        <f t="shared" si="3"/>
        <v>1.531352622</v>
      </c>
      <c r="AQ528" s="4">
        <f t="shared" si="4"/>
        <v>1.420508519</v>
      </c>
      <c r="AR528" s="7">
        <f t="shared" si="5"/>
        <v>1.359677746</v>
      </c>
      <c r="AS528" s="7">
        <f t="shared" ref="AS528:AU528" si="530">AS527*(1+AM528)</f>
        <v>1.444198594</v>
      </c>
      <c r="AT528" s="5">
        <f t="shared" si="530"/>
        <v>1.338995002</v>
      </c>
      <c r="AU528" s="5">
        <f t="shared" si="530"/>
        <v>1.311887012</v>
      </c>
    </row>
    <row r="529" ht="15.75" customHeight="1">
      <c r="A529" s="3">
        <v>44595.0</v>
      </c>
      <c r="B529" s="4">
        <v>0.009628</v>
      </c>
      <c r="C529" s="4">
        <v>-1.86E-4</v>
      </c>
      <c r="D529" s="4">
        <v>-3.89E-4</v>
      </c>
      <c r="E529" s="4">
        <v>-5.7E-4</v>
      </c>
      <c r="F529" s="4">
        <v>0.007028</v>
      </c>
      <c r="G529" s="4">
        <v>-5.8E-5</v>
      </c>
      <c r="H529" s="4">
        <v>0.009471</v>
      </c>
      <c r="I529" s="4">
        <v>-0.003713</v>
      </c>
      <c r="J529" s="4">
        <v>-8.45E-4</v>
      </c>
      <c r="K529" s="4">
        <v>-0.001927</v>
      </c>
      <c r="L529" s="4">
        <v>-0.006301</v>
      </c>
      <c r="M529" s="4">
        <v>-0.011423</v>
      </c>
      <c r="N529" s="4">
        <v>-0.01037</v>
      </c>
      <c r="O529" s="4">
        <v>-8.01E-4</v>
      </c>
      <c r="P529" s="4">
        <v>-0.004991</v>
      </c>
      <c r="Q529" s="4">
        <v>-0.021801</v>
      </c>
      <c r="R529" s="4">
        <v>-0.030211</v>
      </c>
      <c r="S529" s="4">
        <v>-0.016478</v>
      </c>
      <c r="T529" s="4">
        <v>0.002411</v>
      </c>
      <c r="U529" s="4">
        <v>-0.018094</v>
      </c>
      <c r="V529" s="4">
        <v>0.0198175114772556</v>
      </c>
      <c r="W529" s="4">
        <v>-9.253725355886E-4</v>
      </c>
      <c r="X529" s="4">
        <v>0.0288461110290774</v>
      </c>
      <c r="Y529" s="4">
        <v>-0.0099767976571087</v>
      </c>
      <c r="Z529" s="4">
        <v>-0.0209177926762523</v>
      </c>
      <c r="AA529" s="4">
        <v>-0.0042854254553877</v>
      </c>
      <c r="AB529" s="4">
        <v>0.0047207094450676</v>
      </c>
      <c r="AC529" s="4">
        <v>-0.0036365764308795</v>
      </c>
      <c r="AD529" s="4">
        <v>-0.001792103585447</v>
      </c>
      <c r="AE529" s="4">
        <v>0.0149288998452481</v>
      </c>
      <c r="AF529" s="4">
        <v>0.0200622482020744</v>
      </c>
      <c r="AG529" s="4">
        <v>0.0093278954241768</v>
      </c>
      <c r="AH529" s="4">
        <v>-0.0191010788976649</v>
      </c>
      <c r="AI529" s="4">
        <v>0.0018794986109729</v>
      </c>
      <c r="AJ529" s="4">
        <v>-0.024391</v>
      </c>
      <c r="AK529" s="4">
        <f>Weights!E585</f>
        <v>-0.001308987015</v>
      </c>
      <c r="AL529" s="5">
        <v>0.00834808465430647</v>
      </c>
      <c r="AM529" s="5">
        <v>0.00660720161842443</v>
      </c>
      <c r="AN529" s="5">
        <v>0.01017278266301</v>
      </c>
      <c r="AO529" s="5">
        <v>0.00982445088764372</v>
      </c>
      <c r="AP529" s="6">
        <f t="shared" si="3"/>
        <v>1.529348101</v>
      </c>
      <c r="AQ529" s="4">
        <f t="shared" si="4"/>
        <v>1.385860896</v>
      </c>
      <c r="AR529" s="7">
        <f t="shared" si="5"/>
        <v>1.371028451</v>
      </c>
      <c r="AS529" s="7">
        <f t="shared" ref="AS529:AU529" si="531">AS528*(1+AM529)</f>
        <v>1.453740705</v>
      </c>
      <c r="AT529" s="5">
        <f t="shared" si="531"/>
        <v>1.352616307</v>
      </c>
      <c r="AU529" s="5">
        <f t="shared" si="531"/>
        <v>1.324775581</v>
      </c>
    </row>
    <row r="530" ht="15.75" customHeight="1">
      <c r="A530" s="3">
        <v>44596.0</v>
      </c>
      <c r="B530" s="4">
        <v>0.001658</v>
      </c>
      <c r="C530" s="4">
        <v>-0.008924</v>
      </c>
      <c r="D530" s="4">
        <v>-0.005054</v>
      </c>
      <c r="E530" s="4">
        <v>-0.016422</v>
      </c>
      <c r="F530" s="4">
        <v>-0.01055</v>
      </c>
      <c r="G530" s="4">
        <v>-0.006541</v>
      </c>
      <c r="H530" s="4">
        <v>-0.015901</v>
      </c>
      <c r="I530" s="4">
        <v>-0.001398</v>
      </c>
      <c r="J530" s="4">
        <v>-0.010575</v>
      </c>
      <c r="K530" s="4">
        <v>-0.001206</v>
      </c>
      <c r="L530" s="4">
        <v>-1.74E-4</v>
      </c>
      <c r="M530" s="4">
        <v>-0.002407</v>
      </c>
      <c r="N530" s="4">
        <v>-0.002445</v>
      </c>
      <c r="O530" s="4">
        <v>0.008438</v>
      </c>
      <c r="P530" s="4">
        <v>-0.014078</v>
      </c>
      <c r="Q530" s="4">
        <v>0.011628</v>
      </c>
      <c r="R530" s="4">
        <v>0.005759</v>
      </c>
      <c r="S530" s="4">
        <v>0.002</v>
      </c>
      <c r="T530" s="4">
        <v>-0.00882</v>
      </c>
      <c r="U530" s="4">
        <v>-0.005738</v>
      </c>
      <c r="V530" s="4">
        <v>-0.0150856311946294</v>
      </c>
      <c r="W530" s="4">
        <v>0.0387465438094092</v>
      </c>
      <c r="X530" s="4">
        <v>0.0053403885255138</v>
      </c>
      <c r="Y530" s="4">
        <v>0.0014302203147438</v>
      </c>
      <c r="Z530" s="4">
        <v>0.0070154239181652</v>
      </c>
      <c r="AA530" s="4">
        <v>0.0019864713404427</v>
      </c>
      <c r="AB530" s="4">
        <v>5.220847330327E-4</v>
      </c>
      <c r="AC530" s="4">
        <v>0.003649849387137</v>
      </c>
      <c r="AD530" s="4">
        <v>0.0035906419732483</v>
      </c>
      <c r="AE530" s="4">
        <v>0.001908209601777</v>
      </c>
      <c r="AF530" s="4">
        <v>0.0116343604268533</v>
      </c>
      <c r="AG530" s="4">
        <v>-0.002451752630123</v>
      </c>
      <c r="AH530" s="4">
        <v>-0.0120275068941337</v>
      </c>
      <c r="AI530" s="4">
        <v>-0.0023452697212088</v>
      </c>
      <c r="AJ530" s="4">
        <v>0.005157</v>
      </c>
      <c r="AK530" s="4">
        <f>Weights!E586</f>
        <v>-0.00161613023</v>
      </c>
      <c r="AL530" s="5">
        <v>-0.0215407620477708</v>
      </c>
      <c r="AM530" s="5">
        <v>-0.0237774416971446</v>
      </c>
      <c r="AN530" s="5">
        <v>0.00396695321031193</v>
      </c>
      <c r="AO530" s="5">
        <v>0.00254801185827657</v>
      </c>
      <c r="AP530" s="6">
        <f t="shared" si="3"/>
        <v>1.526876476</v>
      </c>
      <c r="AQ530" s="4">
        <f t="shared" si="4"/>
        <v>1.39300778</v>
      </c>
      <c r="AR530" s="7">
        <f t="shared" si="5"/>
        <v>1.341495453</v>
      </c>
      <c r="AS530" s="7">
        <f t="shared" ref="AS530:AU530" si="532">AS529*(1+AM530)</f>
        <v>1.41917447</v>
      </c>
      <c r="AT530" s="5">
        <f t="shared" si="532"/>
        <v>1.357982072</v>
      </c>
      <c r="AU530" s="5">
        <f t="shared" si="532"/>
        <v>1.328151125</v>
      </c>
    </row>
    <row r="531" ht="15.75" customHeight="1">
      <c r="A531" s="3">
        <v>44599.0</v>
      </c>
      <c r="B531" s="4">
        <v>8.28E-4</v>
      </c>
      <c r="C531" s="4">
        <v>-0.005815</v>
      </c>
      <c r="D531" s="4">
        <v>0.00254</v>
      </c>
      <c r="E531" s="4">
        <v>-0.003942</v>
      </c>
      <c r="F531" s="4">
        <v>0.010499</v>
      </c>
      <c r="G531" s="4">
        <v>-0.003321</v>
      </c>
      <c r="H531" s="4">
        <v>-0.007491</v>
      </c>
      <c r="I531" s="4">
        <v>0.011896</v>
      </c>
      <c r="J531" s="4">
        <v>0.006841</v>
      </c>
      <c r="K531" s="4">
        <v>0.011837</v>
      </c>
      <c r="L531" s="4">
        <v>-5.21E-4</v>
      </c>
      <c r="M531" s="4">
        <v>0.011583</v>
      </c>
      <c r="N531" s="4">
        <v>0.006127</v>
      </c>
      <c r="O531" s="4">
        <v>-0.006108</v>
      </c>
      <c r="P531" s="4">
        <v>0.040046</v>
      </c>
      <c r="Q531" s="4">
        <v>0.030651</v>
      </c>
      <c r="R531" s="4">
        <v>0.012494</v>
      </c>
      <c r="S531" s="4">
        <v>0.021462</v>
      </c>
      <c r="T531" s="4">
        <v>-0.001258</v>
      </c>
      <c r="U531" s="4">
        <v>-0.006909</v>
      </c>
      <c r="V531" s="4">
        <v>-0.0415369768723411</v>
      </c>
      <c r="W531" s="4">
        <v>-0.0028235568343989</v>
      </c>
      <c r="X531" s="4">
        <v>0.0026560101366992</v>
      </c>
      <c r="Y531" s="4">
        <v>-0.0049339260180883</v>
      </c>
      <c r="Z531" s="4">
        <v>0.0181548190412466</v>
      </c>
      <c r="AA531" s="4">
        <v>-3.304221825446E-4</v>
      </c>
      <c r="AB531" s="4">
        <v>0.0073049053974485</v>
      </c>
      <c r="AC531" s="4">
        <v>0.0127272399896549</v>
      </c>
      <c r="AD531" s="4">
        <v>0.0071556905920628</v>
      </c>
      <c r="AE531" s="4">
        <v>0.0115072704782768</v>
      </c>
      <c r="AF531" s="4">
        <v>0.0186199650524494</v>
      </c>
      <c r="AG531" s="4">
        <v>-0.0041595955096001</v>
      </c>
      <c r="AH531" s="4">
        <v>-0.0081159756409469</v>
      </c>
      <c r="AI531" s="4">
        <v>9.40394385001E-4</v>
      </c>
      <c r="AJ531" s="4">
        <v>-0.003702</v>
      </c>
      <c r="AK531" s="4">
        <f>Weights!E587</f>
        <v>0.003670545631</v>
      </c>
      <c r="AL531" s="5">
        <v>0.00454396036589144</v>
      </c>
      <c r="AM531" s="5">
        <v>0.00663453175329697</v>
      </c>
      <c r="AN531" s="5">
        <v>-0.013373893846432</v>
      </c>
      <c r="AO531" s="5">
        <v>-0.0129390205499115</v>
      </c>
      <c r="AP531" s="6">
        <f t="shared" si="3"/>
        <v>1.532480945</v>
      </c>
      <c r="AQ531" s="4">
        <f t="shared" si="4"/>
        <v>1.387850866</v>
      </c>
      <c r="AR531" s="7">
        <f t="shared" si="5"/>
        <v>1.347591155</v>
      </c>
      <c r="AS531" s="7">
        <f t="shared" ref="AS531:AU531" si="533">AS530*(1+AM531)</f>
        <v>1.428590028</v>
      </c>
      <c r="AT531" s="5">
        <f t="shared" si="533"/>
        <v>1.339820564</v>
      </c>
      <c r="AU531" s="5">
        <f t="shared" si="533"/>
        <v>1.31096615</v>
      </c>
    </row>
    <row r="532" ht="15.75" customHeight="1">
      <c r="A532" s="3">
        <v>44600.0</v>
      </c>
      <c r="B532" s="4">
        <v>-0.001654</v>
      </c>
      <c r="C532" s="4">
        <v>-0.003396</v>
      </c>
      <c r="D532" s="4">
        <v>0.008965</v>
      </c>
      <c r="E532" s="4">
        <v>0.001222</v>
      </c>
      <c r="F532" s="4">
        <v>0.006494</v>
      </c>
      <c r="G532" s="4">
        <v>0.002631</v>
      </c>
      <c r="H532" s="4">
        <v>-0.002246</v>
      </c>
      <c r="I532" s="4">
        <v>-0.014753</v>
      </c>
      <c r="J532" s="4">
        <v>-0.001274</v>
      </c>
      <c r="K532" s="4">
        <v>0.010266</v>
      </c>
      <c r="L532" s="4">
        <v>0.008518</v>
      </c>
      <c r="M532" s="4">
        <v>0.008111</v>
      </c>
      <c r="N532" s="4">
        <v>0.009744</v>
      </c>
      <c r="O532" s="4">
        <v>0.014734</v>
      </c>
      <c r="P532" s="4">
        <v>0.002998</v>
      </c>
      <c r="Q532" s="4">
        <v>0.038104</v>
      </c>
      <c r="R532" s="4">
        <v>0.044473</v>
      </c>
      <c r="S532" s="4">
        <v>0.016125</v>
      </c>
      <c r="T532" s="4">
        <v>0.040047</v>
      </c>
      <c r="U532" s="4">
        <v>-0.00221</v>
      </c>
      <c r="V532" s="4">
        <v>2.70918342986536E-4</v>
      </c>
      <c r="W532" s="4">
        <v>-0.0146051533515598</v>
      </c>
      <c r="X532" s="4">
        <v>0.0</v>
      </c>
      <c r="Y532" s="4">
        <v>0.0110914412877036</v>
      </c>
      <c r="Z532" s="4">
        <v>0.0090192062917342</v>
      </c>
      <c r="AA532" s="4">
        <v>-0.0038011110706791</v>
      </c>
      <c r="AB532" s="4">
        <v>0.0108777802302335</v>
      </c>
      <c r="AC532" s="4">
        <v>0.0</v>
      </c>
      <c r="AD532" s="4">
        <v>0.0</v>
      </c>
      <c r="AE532" s="4">
        <v>-0.0028246037732079</v>
      </c>
      <c r="AF532" s="4">
        <v>-0.0158601673935797</v>
      </c>
      <c r="AG532" s="4">
        <v>0.0083541013565573</v>
      </c>
      <c r="AH532" s="4">
        <v>0.0356516602767884</v>
      </c>
      <c r="AI532" s="4">
        <v>-0.0028183297922507</v>
      </c>
      <c r="AJ532" s="4">
        <v>0.008401</v>
      </c>
      <c r="AK532" s="4">
        <f>Weights!E588</f>
        <v>0.00606519111</v>
      </c>
      <c r="AL532" s="5">
        <v>-0.00124783188117372</v>
      </c>
      <c r="AM532" s="5">
        <v>-0.00252137263361762</v>
      </c>
      <c r="AN532" s="5">
        <v>0.00924202601924029</v>
      </c>
      <c r="AO532" s="5">
        <v>0.00842708423063021</v>
      </c>
      <c r="AP532" s="6">
        <f t="shared" si="3"/>
        <v>1.541775735</v>
      </c>
      <c r="AQ532" s="4">
        <f t="shared" si="4"/>
        <v>1.399510201</v>
      </c>
      <c r="AR532" s="7">
        <f t="shared" si="5"/>
        <v>1.345909588</v>
      </c>
      <c r="AS532" s="7">
        <f t="shared" ref="AS532:AU532" si="534">AS531*(1+AM532)</f>
        <v>1.42498802</v>
      </c>
      <c r="AT532" s="5">
        <f t="shared" si="534"/>
        <v>1.352203221</v>
      </c>
      <c r="AU532" s="5">
        <f t="shared" si="534"/>
        <v>1.322013773</v>
      </c>
    </row>
    <row r="533" ht="15.75" customHeight="1">
      <c r="A533" s="3">
        <v>44601.0</v>
      </c>
      <c r="B533" s="4">
        <v>0.015327</v>
      </c>
      <c r="C533" s="4">
        <v>0.012874</v>
      </c>
      <c r="D533" s="4">
        <v>0.005988</v>
      </c>
      <c r="E533" s="4">
        <v>-4.65E-4</v>
      </c>
      <c r="F533" s="4">
        <v>-0.015484</v>
      </c>
      <c r="G533" s="4">
        <v>-1.17E-4</v>
      </c>
      <c r="H533" s="4">
        <v>-0.002251</v>
      </c>
      <c r="I533" s="4">
        <v>0.004679</v>
      </c>
      <c r="J533" s="4">
        <v>0.005315</v>
      </c>
      <c r="K533" s="4">
        <v>2.36E-4</v>
      </c>
      <c r="L533" s="4">
        <v>-0.003878</v>
      </c>
      <c r="M533" s="4">
        <v>0.005679</v>
      </c>
      <c r="N533" s="4">
        <v>0.003791</v>
      </c>
      <c r="O533" s="4">
        <v>0.024269</v>
      </c>
      <c r="P533" s="4">
        <v>-0.006451</v>
      </c>
      <c r="Q533" s="4">
        <v>0.003581</v>
      </c>
      <c r="R533" s="4">
        <v>0.072114</v>
      </c>
      <c r="S533" s="4">
        <v>-0.001924</v>
      </c>
      <c r="T533" s="4">
        <v>0.039024</v>
      </c>
      <c r="U533" s="4">
        <v>0.017227</v>
      </c>
      <c r="V533" s="4">
        <v>-0.00352012389353106</v>
      </c>
      <c r="W533" s="4">
        <v>0.0198124255415561</v>
      </c>
      <c r="X533" s="4">
        <v>-0.0013314986054359</v>
      </c>
      <c r="Y533" s="4">
        <v>0.0019359408630532</v>
      </c>
      <c r="Z533" s="4">
        <v>0.0105827546734524</v>
      </c>
      <c r="AA533" s="4">
        <v>-0.0024882160365398</v>
      </c>
      <c r="AB533" s="4">
        <v>0.0010249075926944</v>
      </c>
      <c r="AC533" s="4">
        <v>0.0</v>
      </c>
      <c r="AD533" s="4">
        <v>0.0175439472295546</v>
      </c>
      <c r="AE533" s="4">
        <v>0.0047994962535553</v>
      </c>
      <c r="AF533" s="4">
        <v>0.0144767728887402</v>
      </c>
      <c r="AG533" s="4">
        <v>0.0</v>
      </c>
      <c r="AH533" s="4">
        <v>0.0</v>
      </c>
      <c r="AI533" s="4">
        <v>-0.003768258029872</v>
      </c>
      <c r="AJ533" s="4">
        <v>0.014517</v>
      </c>
      <c r="AK533" s="4">
        <f>Weights!E589</f>
        <v>0.005046007492</v>
      </c>
      <c r="AL533" s="5">
        <v>0.00718409156445343</v>
      </c>
      <c r="AM533" s="5">
        <v>0.00917968680617176</v>
      </c>
      <c r="AN533" s="5">
        <v>-0.00244186851861438</v>
      </c>
      <c r="AO533" s="5">
        <v>-0.00208909218267083</v>
      </c>
      <c r="AP533" s="6">
        <f t="shared" si="3"/>
        <v>1.549555547</v>
      </c>
      <c r="AQ533" s="4">
        <f t="shared" si="4"/>
        <v>1.41982689</v>
      </c>
      <c r="AR533" s="7">
        <f t="shared" si="5"/>
        <v>1.355578726</v>
      </c>
      <c r="AS533" s="7">
        <f t="shared" ref="AS533:AU533" si="535">AS532*(1+AM533)</f>
        <v>1.438068964</v>
      </c>
      <c r="AT533" s="5">
        <f t="shared" si="535"/>
        <v>1.348901318</v>
      </c>
      <c r="AU533" s="5">
        <f t="shared" si="535"/>
        <v>1.319251964</v>
      </c>
    </row>
    <row r="534" ht="15.75" customHeight="1">
      <c r="A534" s="3">
        <v>44602.0</v>
      </c>
      <c r="B534" s="4">
        <v>0.007344</v>
      </c>
      <c r="C534" s="4">
        <v>-0.008598</v>
      </c>
      <c r="D534" s="4">
        <v>-0.013441</v>
      </c>
      <c r="E534" s="4">
        <v>-0.020763</v>
      </c>
      <c r="F534" s="4">
        <v>0.00557</v>
      </c>
      <c r="G534" s="4">
        <v>-0.012071</v>
      </c>
      <c r="H534" s="4">
        <v>-0.015226</v>
      </c>
      <c r="I534" s="4">
        <v>-0.002096</v>
      </c>
      <c r="J534" s="4">
        <v>-0.015225</v>
      </c>
      <c r="K534" s="4">
        <v>0.001536</v>
      </c>
      <c r="L534" s="4">
        <v>-0.00969</v>
      </c>
      <c r="M534" s="4">
        <v>0.031059</v>
      </c>
      <c r="N534" s="4">
        <v>-0.059571</v>
      </c>
      <c r="O534" s="4">
        <v>-0.008642</v>
      </c>
      <c r="P534" s="4">
        <v>-0.041489</v>
      </c>
      <c r="Q534" s="4">
        <v>-0.033006</v>
      </c>
      <c r="R534" s="4">
        <v>0.008035</v>
      </c>
      <c r="S534" s="4">
        <v>-0.036618</v>
      </c>
      <c r="T534" s="4">
        <v>0.012575</v>
      </c>
      <c r="U534" s="4">
        <v>-0.013871</v>
      </c>
      <c r="V534" s="4">
        <v>0.0277173330980509</v>
      </c>
      <c r="W534" s="4">
        <v>0.0013347432924943</v>
      </c>
      <c r="X534" s="4">
        <v>-0.0119999834021539</v>
      </c>
      <c r="Y534" s="4">
        <v>-0.0201583795462593</v>
      </c>
      <c r="Z534" s="4">
        <v>-0.0378203567744243</v>
      </c>
      <c r="AA534" s="4">
        <v>-0.00515561323685</v>
      </c>
      <c r="AB534" s="4">
        <v>0.0028154383898288</v>
      </c>
      <c r="AC534" s="4">
        <v>-0.0017888927756273</v>
      </c>
      <c r="AD534" s="4">
        <v>0.0344828315972296</v>
      </c>
      <c r="AE534" s="4">
        <v>-0.0093181590789367</v>
      </c>
      <c r="AF534" s="4">
        <v>-0.0245018223892635</v>
      </c>
      <c r="AG534" s="4">
        <v>-0.016098928455322</v>
      </c>
      <c r="AH534" s="4">
        <v>0.0524831019818679</v>
      </c>
      <c r="AI534" s="4">
        <v>-0.0033091360944619</v>
      </c>
      <c r="AJ534" s="4">
        <v>-0.018116</v>
      </c>
      <c r="AK534" s="4">
        <f>Weights!E590</f>
        <v>-0.005434649024</v>
      </c>
      <c r="AL534" s="5">
        <v>0.015273656268643</v>
      </c>
      <c r="AM534" s="5">
        <v>0.0162587894814729</v>
      </c>
      <c r="AN534" s="5">
        <v>0.00642585342297064</v>
      </c>
      <c r="AO534" s="5">
        <v>0.00697831669105686</v>
      </c>
      <c r="AP534" s="6">
        <f t="shared" si="3"/>
        <v>1.541134257</v>
      </c>
      <c r="AQ534" s="4">
        <f t="shared" si="4"/>
        <v>1.394105306</v>
      </c>
      <c r="AR534" s="7">
        <f t="shared" si="5"/>
        <v>1.376283369</v>
      </c>
      <c r="AS534" s="7">
        <f t="shared" ref="AS534:AU534" si="536">AS533*(1+AM534)</f>
        <v>1.461450225</v>
      </c>
      <c r="AT534" s="5">
        <f t="shared" si="536"/>
        <v>1.357569161</v>
      </c>
      <c r="AU534" s="5">
        <f t="shared" si="536"/>
        <v>1.328458122</v>
      </c>
    </row>
    <row r="535" ht="15.75" customHeight="1">
      <c r="A535" s="3">
        <v>44603.0</v>
      </c>
      <c r="B535" s="4">
        <v>0.00324</v>
      </c>
      <c r="C535" s="4">
        <v>0.005279</v>
      </c>
      <c r="D535" s="4">
        <v>5.84E-4</v>
      </c>
      <c r="E535" s="4">
        <v>0.001247</v>
      </c>
      <c r="F535" s="4">
        <v>-0.017758</v>
      </c>
      <c r="G535" s="4">
        <v>-0.010093</v>
      </c>
      <c r="H535" s="4">
        <v>-0.005599</v>
      </c>
      <c r="I535" s="4">
        <v>0.017503</v>
      </c>
      <c r="J535" s="4">
        <v>-0.005368</v>
      </c>
      <c r="K535" s="4">
        <v>-0.002359</v>
      </c>
      <c r="L535" s="4">
        <v>0.002009</v>
      </c>
      <c r="M535" s="4">
        <v>-0.018256</v>
      </c>
      <c r="N535" s="4">
        <v>-0.00146</v>
      </c>
      <c r="O535" s="4">
        <v>-0.00176</v>
      </c>
      <c r="P535" s="4">
        <v>0.055014</v>
      </c>
      <c r="Q535" s="4">
        <v>0.05166</v>
      </c>
      <c r="R535" s="4">
        <v>-0.025279</v>
      </c>
      <c r="S535" s="4">
        <v>0.049762</v>
      </c>
      <c r="T535" s="4">
        <v>-0.026153</v>
      </c>
      <c r="U535" s="4">
        <v>-0.013412</v>
      </c>
      <c r="V535" s="4">
        <v>-0.0179799111710001</v>
      </c>
      <c r="W535" s="4">
        <v>0.04191356819609</v>
      </c>
      <c r="X535" s="4">
        <v>0.0148448418678421</v>
      </c>
      <c r="Y535" s="4">
        <v>0.0125540800492376</v>
      </c>
      <c r="Z535" s="4">
        <v>0.0028529717047411</v>
      </c>
      <c r="AA535" s="4">
        <v>-0.0015045478063163</v>
      </c>
      <c r="AB535" s="4">
        <v>-0.0132721032355889</v>
      </c>
      <c r="AC535" s="4">
        <v>0.0017920986479518</v>
      </c>
      <c r="AD535" s="4">
        <v>0.0083332806391152</v>
      </c>
      <c r="AE535" s="4">
        <v>-0.0036355317929556</v>
      </c>
      <c r="AF535" s="4">
        <v>0.0060723377013467</v>
      </c>
      <c r="AG535" s="4">
        <v>-0.0101426211069611</v>
      </c>
      <c r="AH535" s="4">
        <v>-0.0203753283688576</v>
      </c>
      <c r="AI535" s="4">
        <v>0.0</v>
      </c>
      <c r="AJ535" s="4">
        <v>-0.018969</v>
      </c>
      <c r="AK535" s="4">
        <f>Weights!E591</f>
        <v>0.0005250345687</v>
      </c>
      <c r="AL535" s="5">
        <v>-0.0155783269846614</v>
      </c>
      <c r="AM535" s="5">
        <v>-0.0169498910886678</v>
      </c>
      <c r="AN535" s="5">
        <v>0.00972957232196813</v>
      </c>
      <c r="AO535" s="5">
        <v>0.010394887251421</v>
      </c>
      <c r="AP535" s="6">
        <f t="shared" si="3"/>
        <v>1.541943405</v>
      </c>
      <c r="AQ535" s="4">
        <f t="shared" si="4"/>
        <v>1.367660523</v>
      </c>
      <c r="AR535" s="7">
        <f t="shared" si="5"/>
        <v>1.354843177</v>
      </c>
      <c r="AS535" s="7">
        <f t="shared" ref="AS535:AU535" si="537">AS534*(1+AM535)</f>
        <v>1.436678803</v>
      </c>
      <c r="AT535" s="5">
        <f t="shared" si="537"/>
        <v>1.370777728</v>
      </c>
      <c r="AU535" s="5">
        <f t="shared" si="537"/>
        <v>1.342267294</v>
      </c>
    </row>
    <row r="536" ht="15.75" customHeight="1">
      <c r="A536" s="3">
        <v>44606.0</v>
      </c>
      <c r="B536" s="4">
        <v>0.004845</v>
      </c>
      <c r="C536" s="4">
        <v>-9.38E-4</v>
      </c>
      <c r="D536" s="4">
        <v>0.007392</v>
      </c>
      <c r="E536" s="4">
        <v>-0.011152</v>
      </c>
      <c r="F536" s="4">
        <v>0.006469</v>
      </c>
      <c r="G536" s="4">
        <v>-0.012581</v>
      </c>
      <c r="H536" s="4">
        <v>0.002879</v>
      </c>
      <c r="I536" s="4">
        <v>-0.033829</v>
      </c>
      <c r="J536" s="4">
        <v>-0.020726</v>
      </c>
      <c r="K536" s="4">
        <v>-0.013597</v>
      </c>
      <c r="L536" s="4">
        <v>-0.006888</v>
      </c>
      <c r="M536" s="4">
        <v>-0.012552</v>
      </c>
      <c r="N536" s="4">
        <v>-0.01883</v>
      </c>
      <c r="O536" s="4">
        <v>-0.042227</v>
      </c>
      <c r="P536" s="4">
        <v>0.007673</v>
      </c>
      <c r="Q536" s="4">
        <v>0.077193</v>
      </c>
      <c r="R536" s="4">
        <v>-0.008178</v>
      </c>
      <c r="S536" s="4">
        <v>0.010481</v>
      </c>
      <c r="T536" s="4">
        <v>-0.008952</v>
      </c>
      <c r="U536" s="4">
        <v>-0.010196</v>
      </c>
      <c r="V536" s="4">
        <v>-0.00807749699433324</v>
      </c>
      <c r="W536" s="4">
        <v>0.0019900417294389</v>
      </c>
      <c r="X536" s="4">
        <v>0.0</v>
      </c>
      <c r="Y536" s="4">
        <v>0.0019475024840971</v>
      </c>
      <c r="Z536" s="4">
        <v>0.0080076528985491</v>
      </c>
      <c r="AA536" s="4">
        <v>-0.006194529801181</v>
      </c>
      <c r="AB536" s="4">
        <v>-0.0051731200488777</v>
      </c>
      <c r="AC536" s="4">
        <v>0.001788812249281</v>
      </c>
      <c r="AD536" s="4">
        <v>0.0082645032043671</v>
      </c>
      <c r="AE536" s="4">
        <v>0.0038868559446079</v>
      </c>
      <c r="AF536" s="4">
        <v>0.0016460538001312</v>
      </c>
      <c r="AG536" s="4">
        <v>-0.0049562901566118</v>
      </c>
      <c r="AH536" s="4">
        <v>0.0032840299290348</v>
      </c>
      <c r="AI536" s="4">
        <v>4.740252497312E-4</v>
      </c>
      <c r="AJ536" s="4">
        <v>-0.003841</v>
      </c>
      <c r="AK536" s="4">
        <f>Weights!E592</f>
        <v>-0.003537615366</v>
      </c>
      <c r="AL536" s="5">
        <v>-0.0176092804962124</v>
      </c>
      <c r="AM536" s="5">
        <v>-0.0193974643392537</v>
      </c>
      <c r="AN536" s="5">
        <v>-0.00331232698558492</v>
      </c>
      <c r="AO536" s="5">
        <v>-0.00297194899460162</v>
      </c>
      <c r="AP536" s="6">
        <f t="shared" si="3"/>
        <v>1.536488603</v>
      </c>
      <c r="AQ536" s="4">
        <f t="shared" si="4"/>
        <v>1.362407339</v>
      </c>
      <c r="AR536" s="7">
        <f t="shared" si="5"/>
        <v>1.330985364</v>
      </c>
      <c r="AS536" s="7">
        <f t="shared" ref="AS536:AU536" si="538">AS535*(1+AM536)</f>
        <v>1.408810877</v>
      </c>
      <c r="AT536" s="5">
        <f t="shared" si="538"/>
        <v>1.366237264</v>
      </c>
      <c r="AU536" s="5">
        <f t="shared" si="538"/>
        <v>1.338278144</v>
      </c>
    </row>
    <row r="537" ht="15.75" customHeight="1">
      <c r="A537" s="3">
        <v>44607.0</v>
      </c>
      <c r="B537" s="4">
        <v>0.00683</v>
      </c>
      <c r="C537" s="4">
        <v>0.00169</v>
      </c>
      <c r="D537" s="4">
        <v>0.009075</v>
      </c>
      <c r="E537" s="4">
        <v>-0.004439</v>
      </c>
      <c r="F537" s="4">
        <v>0.00379</v>
      </c>
      <c r="G537" s="4">
        <v>0.010326</v>
      </c>
      <c r="H537" s="4">
        <v>5.1E-4</v>
      </c>
      <c r="I537" s="4">
        <v>-0.003619</v>
      </c>
      <c r="J537" s="4">
        <v>-0.004895</v>
      </c>
      <c r="K537" s="4">
        <v>0.006233</v>
      </c>
      <c r="L537" s="4">
        <v>8.8E-5</v>
      </c>
      <c r="M537" s="4">
        <v>0.02354</v>
      </c>
      <c r="N537" s="4">
        <v>0.001491</v>
      </c>
      <c r="O537" s="4">
        <v>0.006977</v>
      </c>
      <c r="P537" s="4">
        <v>-0.016628</v>
      </c>
      <c r="Q537" s="4">
        <v>-0.039902</v>
      </c>
      <c r="R537" s="4">
        <v>0.02874</v>
      </c>
      <c r="S537" s="4">
        <v>-0.013201</v>
      </c>
      <c r="T537" s="4">
        <v>0.036046</v>
      </c>
      <c r="U537" s="4">
        <v>0.001591</v>
      </c>
      <c r="V537" s="4">
        <v>-0.0287730661175388</v>
      </c>
      <c r="W537" s="4">
        <v>-0.0269541883671931</v>
      </c>
      <c r="X537" s="4">
        <v>0.0</v>
      </c>
      <c r="Y537" s="4">
        <v>0.0012308448581186</v>
      </c>
      <c r="Z537" s="4">
        <v>-0.0176650433471713</v>
      </c>
      <c r="AA537" s="4">
        <v>0.0069071655467058</v>
      </c>
      <c r="AB537" s="4">
        <v>-0.004160155881969</v>
      </c>
      <c r="AC537" s="4">
        <v>0.0</v>
      </c>
      <c r="AD537" s="4">
        <v>0.0</v>
      </c>
      <c r="AE537" s="4">
        <v>-0.0012642717169628</v>
      </c>
      <c r="AF537" s="4">
        <v>-0.0361543417739896</v>
      </c>
      <c r="AG537" s="4">
        <v>-0.0081060779281669</v>
      </c>
      <c r="AH537" s="4">
        <v>-0.0469176040714038</v>
      </c>
      <c r="AI537" s="4">
        <v>0.003319061641281</v>
      </c>
      <c r="AJ537" s="4">
        <v>0.015767</v>
      </c>
      <c r="AK537" s="4">
        <f>Weights!E593</f>
        <v>-0.00420218968</v>
      </c>
      <c r="AL537" s="5">
        <v>-0.00418495789646333</v>
      </c>
      <c r="AM537" s="5">
        <v>-0.00367820694543896</v>
      </c>
      <c r="AN537" s="5">
        <v>3.02034486719504E-4</v>
      </c>
      <c r="AO537" s="5">
        <v>-4.58600669363873E-4</v>
      </c>
      <c r="AP537" s="6">
        <f t="shared" si="3"/>
        <v>1.530031986</v>
      </c>
      <c r="AQ537" s="4">
        <f t="shared" si="4"/>
        <v>1.383888415</v>
      </c>
      <c r="AR537" s="7">
        <f t="shared" si="5"/>
        <v>1.325415246</v>
      </c>
      <c r="AS537" s="7">
        <f t="shared" ref="AS537:AU537" si="539">AS536*(1+AM537)</f>
        <v>1.403628979</v>
      </c>
      <c r="AT537" s="5">
        <f t="shared" si="539"/>
        <v>1.366649915</v>
      </c>
      <c r="AU537" s="5">
        <f t="shared" si="539"/>
        <v>1.337664409</v>
      </c>
    </row>
    <row r="538" ht="15.75" customHeight="1">
      <c r="A538" s="3">
        <v>44608.0</v>
      </c>
      <c r="B538" s="4">
        <v>7.98E-4</v>
      </c>
      <c r="C538" s="4">
        <v>7.5E-4</v>
      </c>
      <c r="D538" s="4">
        <v>0.012821</v>
      </c>
      <c r="E538" s="4">
        <v>0.002049</v>
      </c>
      <c r="F538" s="4">
        <v>-1.64E-4</v>
      </c>
      <c r="G538" s="4">
        <v>-5.98E-4</v>
      </c>
      <c r="H538" s="4">
        <v>0.007588</v>
      </c>
      <c r="I538" s="4">
        <v>0.008232</v>
      </c>
      <c r="J538" s="4">
        <v>0.007826</v>
      </c>
      <c r="K538" s="4">
        <v>0.012507</v>
      </c>
      <c r="L538" s="4">
        <v>0.003599</v>
      </c>
      <c r="M538" s="4">
        <v>-0.00276</v>
      </c>
      <c r="N538" s="4">
        <v>0.008744</v>
      </c>
      <c r="O538" s="4">
        <v>0.009862</v>
      </c>
      <c r="P538" s="4">
        <v>0.015803</v>
      </c>
      <c r="Q538" s="4">
        <v>0.024597</v>
      </c>
      <c r="R538" s="4">
        <v>0.013281</v>
      </c>
      <c r="S538" s="4">
        <v>0.022934</v>
      </c>
      <c r="T538" s="4">
        <v>0.008883</v>
      </c>
      <c r="U538" s="4">
        <v>-6.69E-4</v>
      </c>
      <c r="V538" s="4">
        <v>0.017328145677127</v>
      </c>
      <c r="W538" s="4">
        <v>-0.0607959941465588</v>
      </c>
      <c r="X538" s="4">
        <v>-0.0133868044034216</v>
      </c>
      <c r="Y538" s="4">
        <v>-0.0061473968547117</v>
      </c>
      <c r="Z538" s="4">
        <v>-0.0082996797773761</v>
      </c>
      <c r="AA538" s="4">
        <v>-0.0031789242388368</v>
      </c>
      <c r="AB538" s="4">
        <v>-0.0028721575685031</v>
      </c>
      <c r="AC538" s="4">
        <v>0.0017987072009577</v>
      </c>
      <c r="AD538" s="4">
        <v>-0.0066890153218598</v>
      </c>
      <c r="AE538" s="4">
        <v>-0.0091778774047226</v>
      </c>
      <c r="AF538" s="4">
        <v>-0.0483093219350689</v>
      </c>
      <c r="AG538" s="4">
        <v>0.0192003537864311</v>
      </c>
      <c r="AH538" s="4">
        <v>-0.00686889802986</v>
      </c>
      <c r="AI538" s="4">
        <v>-9.451808378998E-4</v>
      </c>
      <c r="AJ538" s="4">
        <v>8.81E-4</v>
      </c>
      <c r="AK538" s="4">
        <f>Weights!E594</f>
        <v>0.001000169595</v>
      </c>
      <c r="AL538" s="5">
        <v>0.0173657104361568</v>
      </c>
      <c r="AM538" s="5">
        <v>0.0177832246503377</v>
      </c>
      <c r="AN538" s="5">
        <v>-0.0087586481500258</v>
      </c>
      <c r="AO538" s="5">
        <v>-0.00757067260255517</v>
      </c>
      <c r="AP538" s="6">
        <f t="shared" si="3"/>
        <v>1.531562278</v>
      </c>
      <c r="AQ538" s="4">
        <f t="shared" si="4"/>
        <v>1.385107621</v>
      </c>
      <c r="AR538" s="7">
        <f t="shared" si="5"/>
        <v>1.348432023</v>
      </c>
      <c r="AS538" s="7">
        <f t="shared" ref="AS538:AU538" si="540">AS537*(1+AM538)</f>
        <v>1.428590028</v>
      </c>
      <c r="AT538" s="5">
        <f t="shared" si="540"/>
        <v>1.354679909</v>
      </c>
      <c r="AU538" s="5">
        <f t="shared" si="540"/>
        <v>1.32753739</v>
      </c>
    </row>
    <row r="539" ht="15.75" customHeight="1">
      <c r="A539" s="3">
        <v>44609.0</v>
      </c>
      <c r="B539" s="4">
        <v>0.001994</v>
      </c>
      <c r="C539" s="4">
        <v>0.003371</v>
      </c>
      <c r="D539" s="4">
        <v>0.001134</v>
      </c>
      <c r="E539" s="4">
        <v>0.002706</v>
      </c>
      <c r="F539" s="4">
        <v>0.020033</v>
      </c>
      <c r="G539" s="4">
        <v>-0.0061</v>
      </c>
      <c r="H539" s="4">
        <v>0.011455</v>
      </c>
      <c r="I539" s="4">
        <v>-0.003122</v>
      </c>
      <c r="J539" s="4">
        <v>0.010428</v>
      </c>
      <c r="K539" s="4">
        <v>-0.012941</v>
      </c>
      <c r="L539" s="4">
        <v>-0.026067</v>
      </c>
      <c r="M539" s="4">
        <v>-0.020756</v>
      </c>
      <c r="N539" s="4">
        <v>-0.008668</v>
      </c>
      <c r="O539" s="4">
        <v>-0.014017</v>
      </c>
      <c r="P539" s="4">
        <v>0.053983</v>
      </c>
      <c r="Q539" s="4">
        <v>0.058775</v>
      </c>
      <c r="R539" s="4">
        <v>-0.023503</v>
      </c>
      <c r="S539" s="4">
        <v>0.029659</v>
      </c>
      <c r="T539" s="4">
        <v>-0.014023</v>
      </c>
      <c r="U539" s="4">
        <v>0.007865</v>
      </c>
      <c r="V539" s="4">
        <v>-0.0140110600551726</v>
      </c>
      <c r="W539" s="4">
        <v>0.0271654422992968</v>
      </c>
      <c r="X539" s="4">
        <v>0.0027136709034254</v>
      </c>
      <c r="Y539" s="4">
        <v>0.0087899038547236</v>
      </c>
      <c r="Z539" s="4">
        <v>-0.0030043349085708</v>
      </c>
      <c r="AA539" s="4">
        <v>0.0035247527649251</v>
      </c>
      <c r="AB539" s="4">
        <v>0.0112596841155088</v>
      </c>
      <c r="AC539" s="4">
        <v>0.0017953160313841</v>
      </c>
      <c r="AD539" s="4">
        <v>0.0101012302177079</v>
      </c>
      <c r="AE539" s="4">
        <v>0.0049508244927021</v>
      </c>
      <c r="AF539" s="4">
        <v>0.026575210275423</v>
      </c>
      <c r="AG539" s="4">
        <v>-0.0039610497455457</v>
      </c>
      <c r="AH539" s="4">
        <v>0.0276656931814005</v>
      </c>
      <c r="AI539" s="4">
        <v>-0.0016600997367167</v>
      </c>
      <c r="AJ539" s="4">
        <v>-0.021173</v>
      </c>
      <c r="AK539" s="4">
        <f>Weights!E595</f>
        <v>0.003869058418</v>
      </c>
      <c r="AL539" s="5">
        <v>0.00179260073951659</v>
      </c>
      <c r="AM539" s="5">
        <v>9.28878270527455E-4</v>
      </c>
      <c r="AN539" s="5">
        <v>0.00639857148171563</v>
      </c>
      <c r="AO539" s="5">
        <v>0.00647245253695394</v>
      </c>
      <c r="AP539" s="6">
        <f t="shared" si="3"/>
        <v>1.537487981</v>
      </c>
      <c r="AQ539" s="4">
        <f t="shared" si="4"/>
        <v>1.355780737</v>
      </c>
      <c r="AR539" s="7">
        <f t="shared" si="5"/>
        <v>1.350849223</v>
      </c>
      <c r="AS539" s="7">
        <f t="shared" ref="AS539:AU539" si="541">AS538*(1+AM539)</f>
        <v>1.429917015</v>
      </c>
      <c r="AT539" s="5">
        <f t="shared" si="541"/>
        <v>1.363347925</v>
      </c>
      <c r="AU539" s="5">
        <f t="shared" si="541"/>
        <v>1.336129813</v>
      </c>
    </row>
    <row r="540" ht="15.75" customHeight="1">
      <c r="A540" s="3">
        <v>44610.0</v>
      </c>
      <c r="B540" s="4">
        <v>0.001592</v>
      </c>
      <c r="C540" s="4">
        <v>0.004666</v>
      </c>
      <c r="D540" s="4">
        <v>-0.018494</v>
      </c>
      <c r="E540" s="4">
        <v>0.005757</v>
      </c>
      <c r="F540" s="4">
        <v>0.006761</v>
      </c>
      <c r="G540" s="4">
        <v>-0.01065</v>
      </c>
      <c r="H540" s="4">
        <v>5.0E-4</v>
      </c>
      <c r="I540" s="4">
        <v>-0.00795</v>
      </c>
      <c r="J540" s="4">
        <v>-0.006148</v>
      </c>
      <c r="K540" s="4">
        <v>-0.008105</v>
      </c>
      <c r="L540" s="4">
        <v>-0.007365</v>
      </c>
      <c r="M540" s="4">
        <v>-0.006594</v>
      </c>
      <c r="N540" s="4">
        <v>-0.013395</v>
      </c>
      <c r="O540" s="4">
        <v>-0.010716</v>
      </c>
      <c r="P540" s="4">
        <v>-0.001181</v>
      </c>
      <c r="Q540" s="4">
        <v>0.022674</v>
      </c>
      <c r="R540" s="4">
        <v>-0.004397</v>
      </c>
      <c r="S540" s="4">
        <v>-0.013382</v>
      </c>
      <c r="T540" s="4">
        <v>0.016454</v>
      </c>
      <c r="U540" s="4">
        <v>0.004483</v>
      </c>
      <c r="V540" s="4">
        <v>-0.0117023960952683</v>
      </c>
      <c r="W540" s="4">
        <v>0.0314341743690385</v>
      </c>
      <c r="X540" s="4">
        <v>0.0</v>
      </c>
      <c r="Y540" s="4">
        <v>-0.0282692599761794</v>
      </c>
      <c r="Z540" s="4">
        <v>0.006672496305135</v>
      </c>
      <c r="AA540" s="4">
        <v>-0.0080281266003908</v>
      </c>
      <c r="AB540" s="4">
        <v>0.0082856087443576</v>
      </c>
      <c r="AC540" s="4">
        <v>0.0017920986479518</v>
      </c>
      <c r="AD540" s="4">
        <v>0.0</v>
      </c>
      <c r="AE540" s="4">
        <v>-0.0019865089626955</v>
      </c>
      <c r="AF540" s="4">
        <v>0.0247235732031787</v>
      </c>
      <c r="AG540" s="4">
        <v>0.0170710403209575</v>
      </c>
      <c r="AH540" s="4">
        <v>0.036455444474813</v>
      </c>
      <c r="AI540" s="4">
        <v>-0.0014250018721754</v>
      </c>
      <c r="AJ540" s="4">
        <v>-0.007166</v>
      </c>
      <c r="AK540" s="4">
        <f>Weights!E596</f>
        <v>0.001198716132</v>
      </c>
      <c r="AL540" s="5">
        <v>-0.0193727726069796</v>
      </c>
      <c r="AM540" s="5">
        <v>-0.0227151927525944</v>
      </c>
      <c r="AN540" s="5">
        <v>-0.00635789006764497</v>
      </c>
      <c r="AO540" s="5">
        <v>-0.00482295274484945</v>
      </c>
      <c r="AP540" s="6">
        <f t="shared" si="3"/>
        <v>1.539330993</v>
      </c>
      <c r="AQ540" s="4">
        <f t="shared" si="4"/>
        <v>1.346065212</v>
      </c>
      <c r="AR540" s="7">
        <f t="shared" si="5"/>
        <v>1.324679529</v>
      </c>
      <c r="AS540" s="7">
        <f t="shared" ref="AS540:AU540" si="542">AS539*(1+AM540)</f>
        <v>1.397436174</v>
      </c>
      <c r="AT540" s="5">
        <f t="shared" si="542"/>
        <v>1.354679909</v>
      </c>
      <c r="AU540" s="5">
        <f t="shared" si="542"/>
        <v>1.329685722</v>
      </c>
    </row>
    <row r="541" ht="15.75" customHeight="1">
      <c r="A541" s="3">
        <v>44614.0</v>
      </c>
      <c r="B541" s="4">
        <v>-0.003973</v>
      </c>
      <c r="C541" s="4">
        <v>0.0013</v>
      </c>
      <c r="D541" s="4">
        <v>0.003076</v>
      </c>
      <c r="E541" s="4">
        <v>0.003816</v>
      </c>
      <c r="F541" s="4">
        <v>-0.004157</v>
      </c>
      <c r="G541" s="4">
        <v>-0.01359</v>
      </c>
      <c r="H541" s="4">
        <v>-0.01232</v>
      </c>
      <c r="I541" s="4">
        <v>0.002186</v>
      </c>
      <c r="J541" s="4">
        <v>-0.002209</v>
      </c>
      <c r="K541" s="4">
        <v>-0.001562</v>
      </c>
      <c r="L541" s="4">
        <v>0.009139</v>
      </c>
      <c r="M541" s="4">
        <v>-0.012378</v>
      </c>
      <c r="N541" s="4">
        <v>0.006411</v>
      </c>
      <c r="O541" s="4">
        <v>0.006646</v>
      </c>
      <c r="P541" s="4">
        <v>-0.007389</v>
      </c>
      <c r="Q541" s="4">
        <v>-0.029052</v>
      </c>
      <c r="R541" s="4">
        <v>-0.015342</v>
      </c>
      <c r="S541" s="4">
        <v>-0.013333</v>
      </c>
      <c r="T541" s="4">
        <v>-0.034328</v>
      </c>
      <c r="U541" s="4">
        <v>-0.003223</v>
      </c>
      <c r="V541" s="4">
        <v>-0.0217085943661711</v>
      </c>
      <c r="W541" s="4">
        <v>0.0112820776594186</v>
      </c>
      <c r="X541" s="4">
        <v>0.0</v>
      </c>
      <c r="Y541" s="4">
        <v>0.0068413462927852</v>
      </c>
      <c r="Z541" s="4">
        <v>0.0029931644488641</v>
      </c>
      <c r="AA541" s="4">
        <v>0.0200640607637527</v>
      </c>
      <c r="AB541" s="4">
        <v>-0.0046223989671633</v>
      </c>
      <c r="AC541" s="4">
        <v>0.0</v>
      </c>
      <c r="AD541" s="4">
        <v>0.0</v>
      </c>
      <c r="AE541" s="4">
        <v>-0.0090763447453541</v>
      </c>
      <c r="AF541" s="4">
        <v>-0.0161793787666039</v>
      </c>
      <c r="AG541" s="4">
        <v>0.0184054855362441</v>
      </c>
      <c r="AH541" s="4">
        <v>-0.0221861512352995</v>
      </c>
      <c r="AI541" s="4">
        <v>0.0019027138670566</v>
      </c>
      <c r="AJ541" s="4">
        <v>-0.010143</v>
      </c>
      <c r="AK541" s="4">
        <f>Weights!E597</f>
        <v>-0.00310126593</v>
      </c>
      <c r="AL541" s="5">
        <v>-0.0074580476478433</v>
      </c>
      <c r="AM541" s="5">
        <v>-0.00800399743444346</v>
      </c>
      <c r="AN541" s="5">
        <v>-0.0103594817791894</v>
      </c>
      <c r="AO541" s="5">
        <v>-0.010154799868702</v>
      </c>
      <c r="AP541" s="6">
        <f t="shared" si="3"/>
        <v>1.534557118</v>
      </c>
      <c r="AQ541" s="4">
        <f t="shared" si="4"/>
        <v>1.332412073</v>
      </c>
      <c r="AR541" s="7">
        <f t="shared" si="5"/>
        <v>1.314800006</v>
      </c>
      <c r="AS541" s="7">
        <f t="shared" ref="AS541:AU541" si="543">AS540*(1+AM541)</f>
        <v>1.386251098</v>
      </c>
      <c r="AT541" s="5">
        <f t="shared" si="543"/>
        <v>1.340646127</v>
      </c>
      <c r="AU541" s="5">
        <f t="shared" si="543"/>
        <v>1.316183029</v>
      </c>
    </row>
    <row r="542" ht="15.75" customHeight="1">
      <c r="A542" s="3">
        <v>44615.0</v>
      </c>
      <c r="B542" s="4">
        <v>-0.011568</v>
      </c>
      <c r="C542" s="4">
        <v>-0.009091</v>
      </c>
      <c r="D542" s="4">
        <v>-0.009967</v>
      </c>
      <c r="E542" s="4">
        <v>-0.00986</v>
      </c>
      <c r="F542" s="4">
        <v>-0.011079</v>
      </c>
      <c r="G542" s="4">
        <v>4.96E-4</v>
      </c>
      <c r="H542" s="4">
        <v>-0.012474</v>
      </c>
      <c r="I542" s="4">
        <v>0.006542</v>
      </c>
      <c r="J542" s="4">
        <v>0.003986</v>
      </c>
      <c r="K542" s="4">
        <v>-0.012155</v>
      </c>
      <c r="L542" s="4">
        <v>-0.014525</v>
      </c>
      <c r="M542" s="4">
        <v>-0.008751</v>
      </c>
      <c r="N542" s="4">
        <v>-0.006371</v>
      </c>
      <c r="O542" s="4">
        <v>-1.72E-4</v>
      </c>
      <c r="P542" s="4">
        <v>0.016079</v>
      </c>
      <c r="Q542" s="4">
        <v>0.044882</v>
      </c>
      <c r="R542" s="4">
        <v>0.002361</v>
      </c>
      <c r="S542" s="4">
        <v>0.019571</v>
      </c>
      <c r="T542" s="4">
        <v>-0.006149</v>
      </c>
      <c r="U542" s="4">
        <v>-0.016085</v>
      </c>
      <c r="V542" s="4">
        <v>-0.0149855226331544</v>
      </c>
      <c r="W542" s="4">
        <v>-0.0375253451269033</v>
      </c>
      <c r="X542" s="4">
        <v>0.0</v>
      </c>
      <c r="Y542" s="4">
        <v>0.0096311852987547</v>
      </c>
      <c r="Z542" s="4">
        <v>-0.0165207650534428</v>
      </c>
      <c r="AA542" s="4">
        <v>3.302827170015E-4</v>
      </c>
      <c r="AB542" s="4">
        <v>0.0162538729169636</v>
      </c>
      <c r="AC542" s="4">
        <v>0.0</v>
      </c>
      <c r="AD542" s="4">
        <v>0.0</v>
      </c>
      <c r="AE542" s="4">
        <v>0.0091594793375093</v>
      </c>
      <c r="AF542" s="4">
        <v>-0.0184650536526096</v>
      </c>
      <c r="AG542" s="4">
        <v>0.0232231069542214</v>
      </c>
      <c r="AH542" s="4">
        <v>-0.0138351382402217</v>
      </c>
      <c r="AI542" s="4">
        <v>-0.0023737732718283</v>
      </c>
      <c r="AJ542" s="4">
        <v>-0.018412</v>
      </c>
      <c r="AK542" s="4">
        <f>Weights!E598</f>
        <v>-0.001775150299</v>
      </c>
      <c r="AL542" s="5">
        <v>-0.0119103844260501</v>
      </c>
      <c r="AM542" s="5">
        <v>-0.0114874154410757</v>
      </c>
      <c r="AN542" s="5">
        <v>-0.00615768639895064</v>
      </c>
      <c r="AO542" s="5">
        <v>-0.00769413513256156</v>
      </c>
      <c r="AP542" s="6">
        <f t="shared" si="3"/>
        <v>1.531833049</v>
      </c>
      <c r="AQ542" s="4">
        <f t="shared" si="4"/>
        <v>1.307879702</v>
      </c>
      <c r="AR542" s="7">
        <f t="shared" si="5"/>
        <v>1.299140232</v>
      </c>
      <c r="AS542" s="7">
        <f t="shared" ref="AS542:AU542" si="544">AS541*(1+AM542)</f>
        <v>1.370326656</v>
      </c>
      <c r="AT542" s="5">
        <f t="shared" si="544"/>
        <v>1.332390849</v>
      </c>
      <c r="AU542" s="5">
        <f t="shared" si="544"/>
        <v>1.306056139</v>
      </c>
    </row>
    <row r="543" ht="15.75" customHeight="1">
      <c r="A543" s="3">
        <v>44616.0</v>
      </c>
      <c r="B543" s="4">
        <v>0.007667</v>
      </c>
      <c r="C543" s="4">
        <v>-0.015353</v>
      </c>
      <c r="D543" s="4">
        <v>-0.007744</v>
      </c>
      <c r="E543" s="4">
        <v>-0.017398</v>
      </c>
      <c r="F543" s="4">
        <v>-0.017535</v>
      </c>
      <c r="G543" s="4">
        <v>-0.019104</v>
      </c>
      <c r="H543" s="4">
        <v>-0.02693</v>
      </c>
      <c r="I543" s="4">
        <v>-0.001204</v>
      </c>
      <c r="J543" s="4">
        <v>-0.001764</v>
      </c>
      <c r="K543" s="4">
        <v>-0.026316</v>
      </c>
      <c r="L543" s="4">
        <v>-0.022109</v>
      </c>
      <c r="M543" s="4">
        <v>-0.026484</v>
      </c>
      <c r="N543" s="4">
        <v>-0.021874</v>
      </c>
      <c r="O543" s="4">
        <v>0.019509</v>
      </c>
      <c r="P543" s="4">
        <v>-0.022418</v>
      </c>
      <c r="Q543" s="4">
        <v>0.0</v>
      </c>
      <c r="R543" s="4">
        <v>0.029675</v>
      </c>
      <c r="S543" s="4">
        <v>-0.023309</v>
      </c>
      <c r="T543" s="4">
        <v>0.02475</v>
      </c>
      <c r="U543" s="4">
        <v>0.024185</v>
      </c>
      <c r="V543" s="4">
        <v>0.00789938866148176</v>
      </c>
      <c r="W543" s="4">
        <v>-0.0281500075661181</v>
      </c>
      <c r="X543" s="4">
        <v>0.001351290967825</v>
      </c>
      <c r="Y543" s="4">
        <v>0.0122834154034239</v>
      </c>
      <c r="Z543" s="4">
        <v>-0.0144141076791981</v>
      </c>
      <c r="AA543" s="4">
        <v>0.0062316110663358</v>
      </c>
      <c r="AB543" s="4">
        <v>0.0081238691295244</v>
      </c>
      <c r="AC543" s="4">
        <v>-0.0017825955573445</v>
      </c>
      <c r="AD543" s="4">
        <v>-0.0101179819660599</v>
      </c>
      <c r="AE543" s="4">
        <v>0.0295380988303832</v>
      </c>
      <c r="AF543" s="4">
        <v>0.0164609446494623</v>
      </c>
      <c r="AG543" s="4">
        <v>-0.0252586646848972</v>
      </c>
      <c r="AH543" s="4">
        <v>0.0</v>
      </c>
      <c r="AI543" s="4">
        <v>-0.0019039266809364</v>
      </c>
      <c r="AJ543" s="4">
        <v>0.014957</v>
      </c>
      <c r="AK543" s="4">
        <f>Weights!E599</f>
        <v>-0.004432550995</v>
      </c>
      <c r="AL543" s="5">
        <v>-0.0144811370334901</v>
      </c>
      <c r="AM543" s="5">
        <v>-0.0183998844484537</v>
      </c>
      <c r="AN543" s="5">
        <v>-0.00442754930308741</v>
      </c>
      <c r="AO543" s="5">
        <v>-0.00540392253309263</v>
      </c>
      <c r="AP543" s="6">
        <f t="shared" si="3"/>
        <v>1.525043121</v>
      </c>
      <c r="AQ543" s="4">
        <f t="shared" si="4"/>
        <v>1.327441659</v>
      </c>
      <c r="AR543" s="7">
        <f t="shared" si="5"/>
        <v>1.280327204</v>
      </c>
      <c r="AS543" s="7">
        <f t="shared" ref="AS543:AU543" si="545">AS542*(1+AM543)</f>
        <v>1.345112804</v>
      </c>
      <c r="AT543" s="5">
        <f t="shared" si="545"/>
        <v>1.326491622</v>
      </c>
      <c r="AU543" s="5">
        <f t="shared" si="545"/>
        <v>1.298998313</v>
      </c>
    </row>
    <row r="544" ht="15.75" customHeight="1">
      <c r="A544" s="3">
        <v>44617.0</v>
      </c>
      <c r="B544" s="4">
        <v>0.020024</v>
      </c>
      <c r="C544" s="4">
        <v>0.029093</v>
      </c>
      <c r="D544" s="4">
        <v>0.010927</v>
      </c>
      <c r="E544" s="4">
        <v>0.028024</v>
      </c>
      <c r="F544" s="4">
        <v>0.038671</v>
      </c>
      <c r="G544" s="4">
        <v>0.049703</v>
      </c>
      <c r="H544" s="4">
        <v>0.042699</v>
      </c>
      <c r="I544" s="4">
        <v>0.026753</v>
      </c>
      <c r="J544" s="4">
        <v>0.012373</v>
      </c>
      <c r="K544" s="4">
        <v>0.031406</v>
      </c>
      <c r="L544" s="4">
        <v>0.028005</v>
      </c>
      <c r="M544" s="4">
        <v>0.027204</v>
      </c>
      <c r="N544" s="4">
        <v>0.022171</v>
      </c>
      <c r="O544" s="4">
        <v>0.032004</v>
      </c>
      <c r="P544" s="4">
        <v>0.017686</v>
      </c>
      <c r="Q544" s="4">
        <v>-0.004522</v>
      </c>
      <c r="R544" s="4">
        <v>0.059927</v>
      </c>
      <c r="S544" s="4">
        <v>0.028545</v>
      </c>
      <c r="T544" s="4">
        <v>0.075682</v>
      </c>
      <c r="U544" s="4">
        <v>0.020323</v>
      </c>
      <c r="V544" s="4">
        <v>-0.00174163009763916</v>
      </c>
      <c r="W544" s="4">
        <v>0.0317533897937334</v>
      </c>
      <c r="X544" s="4">
        <v>-0.00269902238639</v>
      </c>
      <c r="Y544" s="4">
        <v>0.0049698478994506</v>
      </c>
      <c r="Z544" s="4">
        <v>-0.0028591847644166</v>
      </c>
      <c r="AA544" s="4">
        <v>-0.0132822147284225</v>
      </c>
      <c r="AB544" s="4">
        <v>0.0025181666692202</v>
      </c>
      <c r="AC544" s="4">
        <v>0.0035715577576802</v>
      </c>
      <c r="AD544" s="4">
        <v>-0.0017033768893168</v>
      </c>
      <c r="AE544" s="4">
        <v>-0.0333307961631955</v>
      </c>
      <c r="AF544" s="4">
        <v>0.0083862806275349</v>
      </c>
      <c r="AG544" s="4">
        <v>-0.0022532214639362</v>
      </c>
      <c r="AH544" s="4">
        <v>0.0101010141553341</v>
      </c>
      <c r="AI544" s="4">
        <v>-0.0023844738393882</v>
      </c>
      <c r="AJ544" s="4">
        <v>0.022373</v>
      </c>
      <c r="AK544" s="4">
        <f>Weights!E600</f>
        <v>0.01409105243</v>
      </c>
      <c r="AL544" s="5">
        <v>0.00492537178978769</v>
      </c>
      <c r="AM544" s="5">
        <v>0.0175233540224661</v>
      </c>
      <c r="AN544" s="5">
        <v>-0.00876908762591666</v>
      </c>
      <c r="AO544" s="5">
        <v>-0.00779592243128302</v>
      </c>
      <c r="AP544" s="6">
        <f t="shared" si="3"/>
        <v>1.546532583</v>
      </c>
      <c r="AQ544" s="4">
        <f t="shared" si="4"/>
        <v>1.357140511</v>
      </c>
      <c r="AR544" s="7">
        <f t="shared" si="5"/>
        <v>1.286633292</v>
      </c>
      <c r="AS544" s="7">
        <f t="shared" ref="AS544:AU544" si="546">AS543*(1+AM544)</f>
        <v>1.368683692</v>
      </c>
      <c r="AT544" s="5">
        <f t="shared" si="546"/>
        <v>1.314859501</v>
      </c>
      <c r="AU544" s="5">
        <f t="shared" si="546"/>
        <v>1.288871423</v>
      </c>
    </row>
    <row r="545" ht="15.75" customHeight="1">
      <c r="A545" s="3">
        <v>44620.0</v>
      </c>
      <c r="B545" s="4">
        <v>-0.00903</v>
      </c>
      <c r="C545" s="4">
        <v>-0.008315</v>
      </c>
      <c r="D545" s="4">
        <v>-0.003667</v>
      </c>
      <c r="E545" s="4">
        <v>-0.027557</v>
      </c>
      <c r="F545" s="4">
        <v>-0.009706</v>
      </c>
      <c r="G545" s="4">
        <v>-0.008614</v>
      </c>
      <c r="H545" s="4">
        <v>-0.014851</v>
      </c>
      <c r="I545" s="4">
        <v>0.013615</v>
      </c>
      <c r="J545" s="4">
        <v>0.0</v>
      </c>
      <c r="K545" s="4">
        <v>-0.021109</v>
      </c>
      <c r="L545" s="4">
        <v>-6.34E-4</v>
      </c>
      <c r="M545" s="4">
        <v>-0.006376</v>
      </c>
      <c r="N545" s="4">
        <v>-0.008676</v>
      </c>
      <c r="O545" s="4">
        <v>0.005542</v>
      </c>
      <c r="P545" s="4">
        <v>-0.025037</v>
      </c>
      <c r="Q545" s="4">
        <v>0.061317</v>
      </c>
      <c r="R545" s="4">
        <v>0.013164</v>
      </c>
      <c r="S545" s="4">
        <v>-0.003867</v>
      </c>
      <c r="T545" s="4">
        <v>0.012072</v>
      </c>
      <c r="U545" s="4">
        <v>-0.004193</v>
      </c>
      <c r="V545" s="4">
        <v>-0.0494329897933328</v>
      </c>
      <c r="W545" s="4">
        <v>-0.0027022023822893</v>
      </c>
      <c r="X545" s="4">
        <v>0.0</v>
      </c>
      <c r="Y545" s="4">
        <v>0.0168276730852579</v>
      </c>
      <c r="Z545" s="4">
        <v>0.020291006103317</v>
      </c>
      <c r="AA545" s="4">
        <v>0.0104322134009866</v>
      </c>
      <c r="AB545" s="4">
        <v>0.0040194182546922</v>
      </c>
      <c r="AC545" s="4">
        <v>0.0160141713113284</v>
      </c>
      <c r="AD545" s="4">
        <v>-0.011945506712641</v>
      </c>
      <c r="AE545" s="4">
        <v>0.0052000949472605</v>
      </c>
      <c r="AF545" s="4">
        <v>0.0106109072027933</v>
      </c>
      <c r="AG545" s="4">
        <v>0.0247484364414793</v>
      </c>
      <c r="AH545" s="4">
        <v>-0.0188888448844709</v>
      </c>
      <c r="AI545" s="4">
        <v>0.0038240299745972</v>
      </c>
      <c r="AJ545" s="4">
        <v>-0.002443</v>
      </c>
      <c r="AK545" s="4">
        <f>Weights!E601</f>
        <v>-0.000373133094</v>
      </c>
      <c r="AL545" s="5">
        <v>0.0233621982852201</v>
      </c>
      <c r="AM545" s="5">
        <v>0.0222540263574058</v>
      </c>
      <c r="AN545" s="5">
        <v>9.47930232070071E-4</v>
      </c>
      <c r="AO545" s="5">
        <v>9.52260463236376E-4</v>
      </c>
      <c r="AP545" s="6">
        <f t="shared" si="3"/>
        <v>1.545955521</v>
      </c>
      <c r="AQ545" s="4">
        <f t="shared" si="4"/>
        <v>1.353825017</v>
      </c>
      <c r="AR545" s="7">
        <f t="shared" si="5"/>
        <v>1.316691874</v>
      </c>
      <c r="AS545" s="7">
        <f t="shared" ref="AS545:AU545" si="547">AS544*(1+AM545)</f>
        <v>1.399142415</v>
      </c>
      <c r="AT545" s="5">
        <f t="shared" si="547"/>
        <v>1.316105896</v>
      </c>
      <c r="AU545" s="5">
        <f t="shared" si="547"/>
        <v>1.290098764</v>
      </c>
    </row>
    <row r="546" ht="15.75" customHeight="1">
      <c r="A546" s="3">
        <v>44621.0</v>
      </c>
      <c r="B546" s="4">
        <v>-0.003962</v>
      </c>
      <c r="C546" s="4">
        <v>-0.001118</v>
      </c>
      <c r="D546" s="4">
        <v>-0.003293</v>
      </c>
      <c r="E546" s="4">
        <v>-0.008978</v>
      </c>
      <c r="F546" s="4">
        <v>-0.004338</v>
      </c>
      <c r="G546" s="4">
        <v>-0.003464</v>
      </c>
      <c r="H546" s="4">
        <v>-0.01655</v>
      </c>
      <c r="I546" s="4">
        <v>0.004632</v>
      </c>
      <c r="J546" s="4">
        <v>4.37E-4</v>
      </c>
      <c r="K546" s="4">
        <v>-0.038295</v>
      </c>
      <c r="L546" s="4">
        <v>-0.023728</v>
      </c>
      <c r="M546" s="4">
        <v>-0.038006</v>
      </c>
      <c r="N546" s="4">
        <v>-0.019441</v>
      </c>
      <c r="O546" s="4">
        <v>0.017832</v>
      </c>
      <c r="P546" s="4">
        <v>0.042447</v>
      </c>
      <c r="Q546" s="4">
        <v>0.033523</v>
      </c>
      <c r="R546" s="4">
        <v>0.020447</v>
      </c>
      <c r="S546" s="4">
        <v>0.046814</v>
      </c>
      <c r="T546" s="4">
        <v>-0.00471</v>
      </c>
      <c r="U546" s="4">
        <v>0.020649</v>
      </c>
      <c r="V546" s="4">
        <v>0.0617926257692553</v>
      </c>
      <c r="W546" s="4">
        <v>-0.0016559347512101</v>
      </c>
      <c r="X546" s="4">
        <v>0.0013532072784723</v>
      </c>
      <c r="Y546" s="4">
        <v>-0.0200229352911259</v>
      </c>
      <c r="Z546" s="4">
        <v>-0.0257239909311198</v>
      </c>
      <c r="AA546" s="4">
        <v>0.0014988368110633</v>
      </c>
      <c r="AB546" s="4">
        <v>0.0105074328318719</v>
      </c>
      <c r="AC546" s="4">
        <v>0.0070052703699634</v>
      </c>
      <c r="AD546" s="4">
        <v>0.0069083232329383</v>
      </c>
      <c r="AE546" s="4">
        <v>-0.010027831217669</v>
      </c>
      <c r="AF546" s="4">
        <v>-0.0209989266902549</v>
      </c>
      <c r="AG546" s="4">
        <v>-0.0016530409853892</v>
      </c>
      <c r="AH546" s="4">
        <v>0.0345413297789254</v>
      </c>
      <c r="AI546" s="4">
        <v>-0.002857096856927</v>
      </c>
      <c r="AJ546" s="4">
        <v>-0.015473</v>
      </c>
      <c r="AK546" s="4">
        <f>Weights!E602</f>
        <v>0.00113479065</v>
      </c>
      <c r="AL546" s="5">
        <v>-0.00558755483398398</v>
      </c>
      <c r="AM546" s="5">
        <v>-0.0010839593837959</v>
      </c>
      <c r="AN546" s="5">
        <v>0.0176767718518657</v>
      </c>
      <c r="AO546" s="5">
        <v>0.0173644485053197</v>
      </c>
      <c r="AP546" s="6">
        <f t="shared" si="3"/>
        <v>1.547709857</v>
      </c>
      <c r="AQ546" s="4">
        <f t="shared" si="4"/>
        <v>1.332877282</v>
      </c>
      <c r="AR546" s="7">
        <f t="shared" si="5"/>
        <v>1.309334786</v>
      </c>
      <c r="AS546" s="7">
        <f t="shared" ref="AS546:AU546" si="548">AS545*(1+AM546)</f>
        <v>1.397625801</v>
      </c>
      <c r="AT546" s="5">
        <f t="shared" si="548"/>
        <v>1.3393704</v>
      </c>
      <c r="AU546" s="5">
        <f t="shared" si="548"/>
        <v>1.312500618</v>
      </c>
    </row>
    <row r="547" ht="15.75" customHeight="1">
      <c r="A547" s="3">
        <v>44622.0</v>
      </c>
      <c r="B547" s="4">
        <v>0.021082</v>
      </c>
      <c r="C547" s="4">
        <v>0.009886</v>
      </c>
      <c r="D547" s="4">
        <v>0.035374</v>
      </c>
      <c r="E547" s="4">
        <v>0.013866</v>
      </c>
      <c r="F547" s="4">
        <v>0.007423</v>
      </c>
      <c r="G547" s="4">
        <v>0.012439</v>
      </c>
      <c r="H547" s="4">
        <v>0.003131</v>
      </c>
      <c r="I547" s="4">
        <v>0.023513</v>
      </c>
      <c r="J547" s="4">
        <v>0.011126</v>
      </c>
      <c r="K547" s="4">
        <v>0.035052</v>
      </c>
      <c r="L547" s="4">
        <v>0.011039</v>
      </c>
      <c r="M547" s="4">
        <v>0.02668</v>
      </c>
      <c r="N547" s="4">
        <v>0.022148</v>
      </c>
      <c r="O547" s="4">
        <v>-0.006092</v>
      </c>
      <c r="P547" s="4">
        <v>0.011303</v>
      </c>
      <c r="Q547" s="4">
        <v>-0.024155</v>
      </c>
      <c r="R547" s="4">
        <v>0.005218</v>
      </c>
      <c r="S547" s="4">
        <v>-0.011562</v>
      </c>
      <c r="T547" s="4">
        <v>0.053511</v>
      </c>
      <c r="U547" s="4">
        <v>0.022494</v>
      </c>
      <c r="V547" s="4">
        <v>-0.0123883974954548</v>
      </c>
      <c r="W547" s="4">
        <v>0.0019602799654301</v>
      </c>
      <c r="X547" s="4">
        <v>0.0</v>
      </c>
      <c r="Y547" s="4">
        <v>0.0057363832845989</v>
      </c>
      <c r="Z547" s="4">
        <v>-4.437852031162E-4</v>
      </c>
      <c r="AA547" s="4">
        <v>-0.0059859220010508</v>
      </c>
      <c r="AB547" s="4">
        <v>0.0081705007365402</v>
      </c>
      <c r="AC547" s="4">
        <v>0.0</v>
      </c>
      <c r="AD547" s="4">
        <v>0.0</v>
      </c>
      <c r="AE547" s="4">
        <v>-0.0102901338197596</v>
      </c>
      <c r="AF547" s="4">
        <v>-0.0284057063900395</v>
      </c>
      <c r="AG547" s="4">
        <v>-0.0021154529515783</v>
      </c>
      <c r="AH547" s="4">
        <v>0.0563765322259506</v>
      </c>
      <c r="AI547" s="4">
        <v>-0.0028654889328548</v>
      </c>
      <c r="AJ547" s="4">
        <v>0.018643</v>
      </c>
      <c r="AK547" s="4">
        <f>Weights!E603</f>
        <v>0.009436197179</v>
      </c>
      <c r="AL547" s="5">
        <v>-0.0162143859780652</v>
      </c>
      <c r="AM547" s="5">
        <v>-0.0155988608538844</v>
      </c>
      <c r="AN547" s="5">
        <v>-9.30712780944031E-4</v>
      </c>
      <c r="AO547" s="5">
        <v>2.33803795792297E-4</v>
      </c>
      <c r="AP547" s="6">
        <f t="shared" si="3"/>
        <v>1.562314352</v>
      </c>
      <c r="AQ547" s="4">
        <f t="shared" si="4"/>
        <v>1.357726113</v>
      </c>
      <c r="AR547" s="7">
        <f t="shared" si="5"/>
        <v>1.288104726</v>
      </c>
      <c r="AS547" s="7">
        <f t="shared" ref="AS547:AU547" si="549">AS546*(1+AM547)</f>
        <v>1.375824431</v>
      </c>
      <c r="AT547" s="5">
        <f t="shared" si="549"/>
        <v>1.338123831</v>
      </c>
      <c r="AU547" s="5">
        <f t="shared" si="549"/>
        <v>1.312807485</v>
      </c>
    </row>
    <row r="548" ht="15.75" customHeight="1">
      <c r="A548" s="3">
        <v>44623.0</v>
      </c>
      <c r="B548" s="4">
        <v>0.008181</v>
      </c>
      <c r="C548" s="4">
        <v>0.009605</v>
      </c>
      <c r="D548" s="4">
        <v>0.001877</v>
      </c>
      <c r="E548" s="4">
        <v>-0.001064</v>
      </c>
      <c r="F548" s="4">
        <v>6.41E-4</v>
      </c>
      <c r="G548" s="4">
        <v>0.014695</v>
      </c>
      <c r="H548" s="4">
        <v>0.003706</v>
      </c>
      <c r="I548" s="4">
        <v>4.5E-4</v>
      </c>
      <c r="J548" s="4">
        <v>0.00863</v>
      </c>
      <c r="K548" s="4">
        <v>-0.035234</v>
      </c>
      <c r="L548" s="4">
        <v>0.005964</v>
      </c>
      <c r="M548" s="4">
        <v>0.003998</v>
      </c>
      <c r="N548" s="4">
        <v>0.003068</v>
      </c>
      <c r="O548" s="4">
        <v>0.001162</v>
      </c>
      <c r="P548" s="4">
        <v>0.012753</v>
      </c>
      <c r="Q548" s="4">
        <v>0.019802</v>
      </c>
      <c r="R548" s="4">
        <v>0.019311</v>
      </c>
      <c r="S548" s="4">
        <v>0.005738</v>
      </c>
      <c r="T548" s="4">
        <v>-0.003478</v>
      </c>
      <c r="U548" s="4">
        <v>0.016713</v>
      </c>
      <c r="V548" s="4">
        <v>-0.0603850716051111</v>
      </c>
      <c r="W548" s="4">
        <v>0.0182089899484061</v>
      </c>
      <c r="X548" s="4">
        <v>0.0040322524423053</v>
      </c>
      <c r="Y548" s="4">
        <v>-0.0162778046352224</v>
      </c>
      <c r="Z548" s="4">
        <v>-0.0109877163472026</v>
      </c>
      <c r="AA548" s="4">
        <v>-0.0020074242060751</v>
      </c>
      <c r="AB548" s="4">
        <v>0.0031927601181613</v>
      </c>
      <c r="AC548" s="4">
        <v>0.0139372349581716</v>
      </c>
      <c r="AD548" s="4">
        <v>0.0</v>
      </c>
      <c r="AE548" s="4">
        <v>-0.0025180815428249</v>
      </c>
      <c r="AF548" s="4">
        <v>5.965481824519E-4</v>
      </c>
      <c r="AG548" s="4">
        <v>0.008479984032691</v>
      </c>
      <c r="AH548" s="4">
        <v>-0.0072538545830692</v>
      </c>
      <c r="AI548" s="4">
        <v>0.0019158844623481</v>
      </c>
      <c r="AJ548" s="4">
        <v>-0.005255</v>
      </c>
      <c r="AK548" s="6">
        <f>Weights!E604</f>
        <v>-0.00007004174556</v>
      </c>
      <c r="AL548" s="5">
        <v>0.0164816254140749</v>
      </c>
      <c r="AM548" s="5">
        <v>0.0189693605039462</v>
      </c>
      <c r="AN548" s="5">
        <v>-0.00745107742454675</v>
      </c>
      <c r="AO548" s="5">
        <v>-0.0058437286088776</v>
      </c>
      <c r="AP548" s="6">
        <f t="shared" si="3"/>
        <v>1.562204925</v>
      </c>
      <c r="AQ548" s="4">
        <f t="shared" si="4"/>
        <v>1.350591263</v>
      </c>
      <c r="AR548" s="7">
        <f t="shared" si="5"/>
        <v>1.309334786</v>
      </c>
      <c r="AS548" s="7">
        <f t="shared" ref="AS548:AU548" si="550">AS547*(1+AM548)</f>
        <v>1.40192294</v>
      </c>
      <c r="AT548" s="5">
        <f t="shared" si="550"/>
        <v>1.328153366</v>
      </c>
      <c r="AU548" s="5">
        <f t="shared" si="550"/>
        <v>1.305135795</v>
      </c>
    </row>
    <row r="549" ht="15.75" customHeight="1">
      <c r="A549" s="3">
        <v>44624.0</v>
      </c>
      <c r="B549" s="4">
        <v>0.018161</v>
      </c>
      <c r="C549" s="4">
        <v>0.008233</v>
      </c>
      <c r="D549" s="4">
        <v>0.004684</v>
      </c>
      <c r="E549" s="4">
        <v>0.01519</v>
      </c>
      <c r="F549" s="4">
        <v>0.001601</v>
      </c>
      <c r="G549" s="4">
        <v>0.005935</v>
      </c>
      <c r="H549" s="4">
        <v>0.005053</v>
      </c>
      <c r="I549" s="4">
        <v>0.007429</v>
      </c>
      <c r="J549" s="4">
        <v>0.013904</v>
      </c>
      <c r="K549" s="4">
        <v>-5.16E-4</v>
      </c>
      <c r="L549" s="4">
        <v>-0.008574</v>
      </c>
      <c r="M549" s="4">
        <v>-0.016924</v>
      </c>
      <c r="N549" s="4">
        <v>-0.004588</v>
      </c>
      <c r="O549" s="4">
        <v>0.018767</v>
      </c>
      <c r="P549" s="4">
        <v>0.050934</v>
      </c>
      <c r="Q549" s="4">
        <v>0.076283</v>
      </c>
      <c r="R549" s="4">
        <v>0.020778</v>
      </c>
      <c r="S549" s="4">
        <v>0.025455</v>
      </c>
      <c r="T549" s="4">
        <v>0.008653</v>
      </c>
      <c r="U549" s="4">
        <v>0.030889</v>
      </c>
      <c r="V549" s="4">
        <v>0.0208010050041465</v>
      </c>
      <c r="W549" s="4">
        <v>0.0314810386736035</v>
      </c>
      <c r="X549" s="4">
        <v>-0.0066934889960026</v>
      </c>
      <c r="Y549" s="4">
        <v>0.0157003914162954</v>
      </c>
      <c r="Z549" s="4">
        <v>0.0163841205125698</v>
      </c>
      <c r="AA549" s="4">
        <v>-0.0025142135080666</v>
      </c>
      <c r="AB549" s="4">
        <v>0.0070990286294816</v>
      </c>
      <c r="AC549" s="4">
        <v>0.0051545929283114</v>
      </c>
      <c r="AD549" s="4">
        <v>0.0034481581044703</v>
      </c>
      <c r="AE549" s="4">
        <v>0.036644931675102</v>
      </c>
      <c r="AF549" s="4">
        <v>-0.0149075078598945</v>
      </c>
      <c r="AG549" s="4">
        <v>0.0129786008241898</v>
      </c>
      <c r="AH549" s="4">
        <v>0.0198329788267255</v>
      </c>
      <c r="AI549" s="4">
        <v>-0.0033461806383725</v>
      </c>
      <c r="AJ549" s="4">
        <v>-0.007934</v>
      </c>
      <c r="AK549" s="4">
        <f>Weights!E605</f>
        <v>0.01067635129</v>
      </c>
      <c r="AL549" s="5">
        <v>-0.010756116023954</v>
      </c>
      <c r="AM549" s="5">
        <v>-0.00761772983216069</v>
      </c>
      <c r="AN549" s="5">
        <v>0.0137629222563608</v>
      </c>
      <c r="AO549" s="5">
        <v>0.0119912801489741</v>
      </c>
      <c r="AP549" s="6">
        <f t="shared" si="3"/>
        <v>1.578883573</v>
      </c>
      <c r="AQ549" s="4">
        <f t="shared" si="4"/>
        <v>1.339875671</v>
      </c>
      <c r="AR549" s="7">
        <f t="shared" si="5"/>
        <v>1.295251429</v>
      </c>
      <c r="AS549" s="7">
        <f t="shared" ref="AS549:AU549" si="551">AS548*(1+AM549)</f>
        <v>1.39124347</v>
      </c>
      <c r="AT549" s="5">
        <f t="shared" si="551"/>
        <v>1.346432638</v>
      </c>
      <c r="AU549" s="5">
        <f t="shared" si="551"/>
        <v>1.320786044</v>
      </c>
    </row>
    <row r="550" ht="15.75" customHeight="1">
      <c r="A550" s="3">
        <v>44627.0</v>
      </c>
      <c r="B550" s="4">
        <v>-0.003795</v>
      </c>
      <c r="C550" s="4">
        <v>-0.007803</v>
      </c>
      <c r="D550" s="4">
        <v>0.013055</v>
      </c>
      <c r="E550" s="4">
        <v>-0.01991</v>
      </c>
      <c r="F550" s="4">
        <v>-0.023813</v>
      </c>
      <c r="G550" s="4">
        <v>0.016108</v>
      </c>
      <c r="H550" s="4">
        <v>-0.014825</v>
      </c>
      <c r="I550" s="4">
        <v>-0.011397</v>
      </c>
      <c r="J550" s="4">
        <v>0.007595</v>
      </c>
      <c r="K550" s="4">
        <v>-0.020917</v>
      </c>
      <c r="L550" s="4">
        <v>-0.021159</v>
      </c>
      <c r="M550" s="4">
        <v>-0.020759</v>
      </c>
      <c r="N550" s="4">
        <v>-0.016708</v>
      </c>
      <c r="O550" s="4">
        <v>-0.028751</v>
      </c>
      <c r="P550" s="4">
        <v>0.048061</v>
      </c>
      <c r="Q550" s="4">
        <v>0.033505</v>
      </c>
      <c r="R550" s="4">
        <v>-0.05907</v>
      </c>
      <c r="S550" s="4">
        <v>0.025037</v>
      </c>
      <c r="T550" s="4">
        <v>-0.049164</v>
      </c>
      <c r="U550" s="4">
        <v>-0.00801</v>
      </c>
      <c r="V550" s="4">
        <v>-0.0614355520170158</v>
      </c>
      <c r="W550" s="4">
        <v>0.0081673766469156</v>
      </c>
      <c r="X550" s="4">
        <v>-0.0026952976728482</v>
      </c>
      <c r="Y550" s="4">
        <v>0.0134050765364543</v>
      </c>
      <c r="Z550" s="4">
        <v>0.0257261017737315</v>
      </c>
      <c r="AA550" s="4">
        <v>0.0057132279471063</v>
      </c>
      <c r="AB550" s="4">
        <v>0.0051044130957957</v>
      </c>
      <c r="AC550" s="4">
        <v>0.0017093864514561</v>
      </c>
      <c r="AD550" s="4">
        <v>-0.001718106650689</v>
      </c>
      <c r="AE550" s="4">
        <v>0.0200314491978712</v>
      </c>
      <c r="AF550" s="4">
        <v>0.0226996940730281</v>
      </c>
      <c r="AG550" s="4">
        <v>-0.0544977700521625</v>
      </c>
      <c r="AH550" s="4">
        <v>-0.0127942559912733</v>
      </c>
      <c r="AI550" s="4">
        <v>0.0</v>
      </c>
      <c r="AJ550" s="4">
        <v>-0.029518</v>
      </c>
      <c r="AK550" s="4">
        <f>Weights!E606</f>
        <v>-0.007262942661</v>
      </c>
      <c r="AL550" s="5">
        <v>-0.0133885272801984</v>
      </c>
      <c r="AM550" s="5">
        <v>-0.00999273306055748</v>
      </c>
      <c r="AN550" s="5">
        <v>0.00185140353389234</v>
      </c>
      <c r="AO550" s="5">
        <v>0.00116188125567706</v>
      </c>
      <c r="AP550" s="6">
        <f t="shared" si="3"/>
        <v>1.567416233</v>
      </c>
      <c r="AQ550" s="4">
        <f t="shared" si="4"/>
        <v>1.300325221</v>
      </c>
      <c r="AR550" s="7">
        <f t="shared" si="5"/>
        <v>1.27790992</v>
      </c>
      <c r="AS550" s="7">
        <f t="shared" ref="AS550:AU550" si="552">AS549*(1+AM550)</f>
        <v>1.377341146</v>
      </c>
      <c r="AT550" s="5">
        <f t="shared" si="552"/>
        <v>1.348925428</v>
      </c>
      <c r="AU550" s="5">
        <f t="shared" si="552"/>
        <v>1.32232064</v>
      </c>
    </row>
    <row r="551" ht="15.75" customHeight="1">
      <c r="A551" s="3">
        <v>44628.0</v>
      </c>
      <c r="B551" s="4">
        <v>-0.022095</v>
      </c>
      <c r="C551" s="4">
        <v>-0.026152</v>
      </c>
      <c r="D551" s="4">
        <v>-0.013991</v>
      </c>
      <c r="E551" s="4">
        <v>-0.028193</v>
      </c>
      <c r="F551" s="4">
        <v>-0.03962</v>
      </c>
      <c r="G551" s="4">
        <v>-0.020266</v>
      </c>
      <c r="H551" s="4">
        <v>-0.039584</v>
      </c>
      <c r="I551" s="4">
        <v>-0.00859</v>
      </c>
      <c r="J551" s="4">
        <v>-0.011097</v>
      </c>
      <c r="K551" s="4">
        <v>-0.015034</v>
      </c>
      <c r="L551" s="4">
        <v>-0.01297</v>
      </c>
      <c r="M551" s="4">
        <v>-0.002585</v>
      </c>
      <c r="N551" s="4">
        <v>0.002344</v>
      </c>
      <c r="O551" s="4">
        <v>-0.034091</v>
      </c>
      <c r="P551" s="4">
        <v>-0.003083</v>
      </c>
      <c r="Q551" s="4">
        <v>0.003741</v>
      </c>
      <c r="R551" s="4">
        <v>-0.01018</v>
      </c>
      <c r="S551" s="4">
        <v>0.008768</v>
      </c>
      <c r="T551" s="4">
        <v>-0.045034</v>
      </c>
      <c r="U551" s="4">
        <v>-0.034318</v>
      </c>
      <c r="V551" s="4">
        <v>-0.0693454092591482</v>
      </c>
      <c r="W551" s="4">
        <v>0.023166578276174</v>
      </c>
      <c r="X551" s="4">
        <v>0.0121621444023014</v>
      </c>
      <c r="Y551" s="4">
        <v>-0.0093037805807444</v>
      </c>
      <c r="Z551" s="4">
        <v>-0.003229546471535</v>
      </c>
      <c r="AA551" s="4">
        <v>-0.0115286976872104</v>
      </c>
      <c r="AB551" s="4">
        <v>-0.0234582937821543</v>
      </c>
      <c r="AC551" s="4">
        <v>0.0051194851232583</v>
      </c>
      <c r="AD551" s="4">
        <v>0.003442223273866</v>
      </c>
      <c r="AE551" s="4">
        <v>0.0087792749200203</v>
      </c>
      <c r="AF551" s="4">
        <v>-0.00562300871956</v>
      </c>
      <c r="AG551" s="4">
        <v>0.0050576471112966</v>
      </c>
      <c r="AH551" s="4">
        <v>0.0528770750774412</v>
      </c>
      <c r="AI551" s="4">
        <v>-0.0062350667790556</v>
      </c>
      <c r="AJ551" s="4">
        <v>-0.007234</v>
      </c>
      <c r="AK551" s="4">
        <f>Weights!E607</f>
        <v>-0.008165967898</v>
      </c>
      <c r="AL551" s="5">
        <v>-0.0299367374306916</v>
      </c>
      <c r="AM551" s="5">
        <v>-0.0308314189360785</v>
      </c>
      <c r="AN551" s="5">
        <v>0.00831533905859371</v>
      </c>
      <c r="AO551" s="5">
        <v>0.00719418977277119</v>
      </c>
      <c r="AP551" s="6">
        <f t="shared" si="3"/>
        <v>1.554616762</v>
      </c>
      <c r="AQ551" s="4">
        <f t="shared" si="4"/>
        <v>1.290918669</v>
      </c>
      <c r="AR551" s="7">
        <f t="shared" si="5"/>
        <v>1.239653466</v>
      </c>
      <c r="AS551" s="7">
        <f t="shared" ref="AS551:AU551" si="553">AS550*(1+AM551)</f>
        <v>1.334875764</v>
      </c>
      <c r="AT551" s="5">
        <f t="shared" si="553"/>
        <v>1.3601422</v>
      </c>
      <c r="AU551" s="5">
        <f t="shared" si="553"/>
        <v>1.331833666</v>
      </c>
    </row>
    <row r="552" ht="15.75" customHeight="1">
      <c r="A552" s="3">
        <v>44629.0</v>
      </c>
      <c r="B552" s="4">
        <v>0.01753</v>
      </c>
      <c r="C552" s="4">
        <v>-0.003192</v>
      </c>
      <c r="D552" s="4">
        <v>-0.003174</v>
      </c>
      <c r="E552" s="4">
        <v>-0.002977</v>
      </c>
      <c r="F552" s="4">
        <v>0.005114</v>
      </c>
      <c r="G552" s="4">
        <v>0.003793</v>
      </c>
      <c r="H552" s="4">
        <v>0.013489</v>
      </c>
      <c r="I552" s="4">
        <v>0.005472</v>
      </c>
      <c r="J552" s="4">
        <v>-0.008893</v>
      </c>
      <c r="K552" s="4">
        <v>0.028919</v>
      </c>
      <c r="L552" s="4">
        <v>0.024852</v>
      </c>
      <c r="M552" s="4">
        <v>0.017626</v>
      </c>
      <c r="N552" s="4">
        <v>0.01968</v>
      </c>
      <c r="O552" s="4">
        <v>0.026711</v>
      </c>
      <c r="P552" s="4">
        <v>-0.014045</v>
      </c>
      <c r="Q552" s="4">
        <v>0.015528</v>
      </c>
      <c r="R552" s="4">
        <v>0.006857</v>
      </c>
      <c r="S552" s="4">
        <v>-0.001863</v>
      </c>
      <c r="T552" s="4">
        <v>0.032153</v>
      </c>
      <c r="U552" s="4">
        <v>0.022995</v>
      </c>
      <c r="V552" s="4">
        <v>-0.0355154173808777</v>
      </c>
      <c r="W552" s="4">
        <v>-0.0055562758424623</v>
      </c>
      <c r="X552" s="4">
        <v>0.0</v>
      </c>
      <c r="Y552" s="4">
        <v>-0.0084327262111938</v>
      </c>
      <c r="Z552" s="4">
        <v>-0.0102589936225669</v>
      </c>
      <c r="AA552" s="4">
        <v>-0.0059162072589801</v>
      </c>
      <c r="AB552" s="4">
        <v>-0.0094104381493266</v>
      </c>
      <c r="AC552" s="4">
        <v>0.0</v>
      </c>
      <c r="AD552" s="4">
        <v>0.0</v>
      </c>
      <c r="AE552" s="4">
        <v>0.0159554576025082</v>
      </c>
      <c r="AF552" s="4">
        <v>0.0113095387824058</v>
      </c>
      <c r="AG552" s="4">
        <v>-0.0102544225417214</v>
      </c>
      <c r="AH552" s="4">
        <v>-0.0374199211117374</v>
      </c>
      <c r="AI552" s="4">
        <v>0.003378376271607</v>
      </c>
      <c r="AJ552" s="4">
        <v>0.025698</v>
      </c>
      <c r="AK552" s="4">
        <f>Weights!E608</f>
        <v>0.001674576569</v>
      </c>
      <c r="AL552" s="5">
        <v>-0.00339113626766385</v>
      </c>
      <c r="AM552" s="5">
        <v>-0.00563325075671639</v>
      </c>
      <c r="AN552" s="5">
        <v>-0.00427603607533078</v>
      </c>
      <c r="AO552" s="5">
        <v>-0.00414718369284061</v>
      </c>
      <c r="AP552" s="6">
        <f t="shared" si="3"/>
        <v>1.557220087</v>
      </c>
      <c r="AQ552" s="4">
        <f t="shared" si="4"/>
        <v>1.324092697</v>
      </c>
      <c r="AR552" s="7">
        <f t="shared" si="5"/>
        <v>1.235449632</v>
      </c>
      <c r="AS552" s="7">
        <f t="shared" ref="AS552:AU552" si="554">AS551*(1+AM552)</f>
        <v>1.327356074</v>
      </c>
      <c r="AT552" s="5">
        <f t="shared" si="554"/>
        <v>1.354326183</v>
      </c>
      <c r="AU552" s="5">
        <f t="shared" si="554"/>
        <v>1.326310307</v>
      </c>
    </row>
    <row r="553" ht="15.75" customHeight="1">
      <c r="A553" s="3">
        <v>44630.0</v>
      </c>
      <c r="B553" s="4">
        <v>0.006439</v>
      </c>
      <c r="C553" s="4">
        <v>0.002826</v>
      </c>
      <c r="D553" s="4">
        <v>0.006556</v>
      </c>
      <c r="E553" s="4">
        <v>-0.018361</v>
      </c>
      <c r="F553" s="4">
        <v>-0.018317</v>
      </c>
      <c r="G553" s="4">
        <v>0.001771</v>
      </c>
      <c r="H553" s="4">
        <v>-0.025744</v>
      </c>
      <c r="I553" s="4">
        <v>0.00771</v>
      </c>
      <c r="J553" s="4">
        <v>0.009186</v>
      </c>
      <c r="K553" s="4">
        <v>0.001431</v>
      </c>
      <c r="L553" s="4">
        <v>0.006039</v>
      </c>
      <c r="M553" s="4">
        <v>-0.002038</v>
      </c>
      <c r="N553" s="4">
        <v>0.004777</v>
      </c>
      <c r="O553" s="4">
        <v>-0.010643</v>
      </c>
      <c r="P553" s="4">
        <v>0.017244</v>
      </c>
      <c r="Q553" s="4">
        <v>0.03254</v>
      </c>
      <c r="R553" s="4">
        <v>0.015322</v>
      </c>
      <c r="S553" s="4">
        <v>0.018661</v>
      </c>
      <c r="T553" s="4">
        <v>0.027306</v>
      </c>
      <c r="U553" s="4">
        <v>0.011731</v>
      </c>
      <c r="V553" s="4">
        <v>0.0292419990435552</v>
      </c>
      <c r="W553" s="4">
        <v>0.0106159158490561</v>
      </c>
      <c r="X553" s="4">
        <v>0.0135134353701265</v>
      </c>
      <c r="Y553" s="4">
        <v>0.0078600911750417</v>
      </c>
      <c r="Z553" s="4">
        <v>-4.363033304657E-4</v>
      </c>
      <c r="AA553" s="4">
        <v>-5.101721601528E-4</v>
      </c>
      <c r="AB553" s="4">
        <v>-0.0060003200797</v>
      </c>
      <c r="AC553" s="4">
        <v>-0.0034422329104552</v>
      </c>
      <c r="AD553" s="4">
        <v>0.0086805009011774</v>
      </c>
      <c r="AE553" s="4">
        <v>-2.254240891897E-4</v>
      </c>
      <c r="AF553" s="4">
        <v>-0.0144202377052474</v>
      </c>
      <c r="AG553" s="4">
        <v>-0.0118956055672663</v>
      </c>
      <c r="AH553" s="4">
        <v>0.0209718709376234</v>
      </c>
      <c r="AI553" s="4">
        <v>-0.0038478386814323</v>
      </c>
      <c r="AJ553" s="4">
        <v>-0.004292</v>
      </c>
      <c r="AK553" s="4">
        <f>Weights!E609</f>
        <v>0.00450285186</v>
      </c>
      <c r="AL553" s="5">
        <v>0.0307953894684565</v>
      </c>
      <c r="AM553" s="5">
        <v>0.0277552155487601</v>
      </c>
      <c r="AN553" s="5">
        <v>-0.0058283930595272</v>
      </c>
      <c r="AO553" s="5">
        <v>-0.00509051658212345</v>
      </c>
      <c r="AP553" s="6">
        <f t="shared" si="3"/>
        <v>1.564232018</v>
      </c>
      <c r="AQ553" s="4">
        <f t="shared" si="4"/>
        <v>1.318409691</v>
      </c>
      <c r="AR553" s="7">
        <f t="shared" si="5"/>
        <v>1.273495785</v>
      </c>
      <c r="AS553" s="7">
        <f t="shared" ref="AS553:AU553" si="555">AS552*(1+AM553)</f>
        <v>1.364197128</v>
      </c>
      <c r="AT553" s="5">
        <f t="shared" si="555"/>
        <v>1.346432638</v>
      </c>
      <c r="AU553" s="5">
        <f t="shared" si="555"/>
        <v>1.319558702</v>
      </c>
    </row>
    <row r="554" ht="15.75" customHeight="1">
      <c r="A554" s="3">
        <v>44631.0</v>
      </c>
      <c r="B554" s="4">
        <v>0.004994</v>
      </c>
      <c r="C554" s="4">
        <v>-0.003569</v>
      </c>
      <c r="D554" s="4">
        <v>0.002605</v>
      </c>
      <c r="E554" s="4">
        <v>-0.005048</v>
      </c>
      <c r="F554" s="4">
        <v>6.91E-4</v>
      </c>
      <c r="G554" s="4">
        <v>-0.001827</v>
      </c>
      <c r="H554" s="4">
        <v>-0.011867</v>
      </c>
      <c r="I554" s="4">
        <v>4.5E-4</v>
      </c>
      <c r="J554" s="4">
        <v>0.001693</v>
      </c>
      <c r="K554" s="4">
        <v>0.0</v>
      </c>
      <c r="L554" s="4">
        <v>9.24E-4</v>
      </c>
      <c r="M554" s="4">
        <v>0.012251</v>
      </c>
      <c r="N554" s="4">
        <v>0.006847</v>
      </c>
      <c r="O554" s="4">
        <v>-0.018754</v>
      </c>
      <c r="P554" s="4">
        <v>-0.005047</v>
      </c>
      <c r="Q554" s="4">
        <v>-0.002394</v>
      </c>
      <c r="R554" s="4">
        <v>-0.016349</v>
      </c>
      <c r="S554" s="4">
        <v>-0.020965</v>
      </c>
      <c r="T554" s="4">
        <v>0.012654</v>
      </c>
      <c r="U554" s="4">
        <v>0.00404</v>
      </c>
      <c r="V554" s="4">
        <v>0.0859347517321778</v>
      </c>
      <c r="W554" s="4">
        <v>-0.0280580746968734</v>
      </c>
      <c r="X554" s="4">
        <v>0.0400000311209614</v>
      </c>
      <c r="Y554" s="4">
        <v>0.0208400114218101</v>
      </c>
      <c r="Z554" s="4">
        <v>0.0233596960702449</v>
      </c>
      <c r="AA554" s="4">
        <v>-0.0088466230790854</v>
      </c>
      <c r="AB554" s="4">
        <v>-0.0025150004989946</v>
      </c>
      <c r="AC554" s="4">
        <v>0.0</v>
      </c>
      <c r="AD554" s="4">
        <v>-0.003442319304645</v>
      </c>
      <c r="AE554" s="4">
        <v>0.0096205202384371</v>
      </c>
      <c r="AF554" s="4">
        <v>0.0212004453685066</v>
      </c>
      <c r="AG554" s="4">
        <v>-2.913020092043E-4</v>
      </c>
      <c r="AH554" s="4">
        <v>0.0245491099856172</v>
      </c>
      <c r="AI554" s="4">
        <v>-0.0028971042890993</v>
      </c>
      <c r="AJ554" s="4">
        <v>-0.012962</v>
      </c>
      <c r="AK554" s="4">
        <f>Weights!E610</f>
        <v>0.006483487525</v>
      </c>
      <c r="AL554" s="5">
        <v>-0.00610715625810642</v>
      </c>
      <c r="AM554" s="5">
        <v>-0.00449336237179709</v>
      </c>
      <c r="AN554" s="5">
        <v>0.0129589843655306</v>
      </c>
      <c r="AO554" s="5">
        <v>0.0130232741221825</v>
      </c>
      <c r="AP554" s="6">
        <f t="shared" si="3"/>
        <v>1.574373697</v>
      </c>
      <c r="AQ554" s="4">
        <f t="shared" si="4"/>
        <v>1.301320464</v>
      </c>
      <c r="AR554" s="7">
        <f t="shared" si="5"/>
        <v>1.265718347</v>
      </c>
      <c r="AS554" s="7">
        <f t="shared" ref="AS554:AU554" si="556">AS553*(1+AM554)</f>
        <v>1.358067296</v>
      </c>
      <c r="AT554" s="5">
        <f t="shared" si="556"/>
        <v>1.363881038</v>
      </c>
      <c r="AU554" s="5">
        <f t="shared" si="556"/>
        <v>1.336743677</v>
      </c>
    </row>
    <row r="555" ht="15.75" customHeight="1">
      <c r="A555" s="3">
        <v>44634.0</v>
      </c>
      <c r="B555" s="4">
        <v>-0.024465</v>
      </c>
      <c r="C555" s="4">
        <v>-0.010181</v>
      </c>
      <c r="D555" s="4">
        <v>-0.006867</v>
      </c>
      <c r="E555" s="4">
        <v>0.014051</v>
      </c>
      <c r="F555" s="4">
        <v>0.018301</v>
      </c>
      <c r="G555" s="4">
        <v>0.013818</v>
      </c>
      <c r="H555" s="4">
        <v>0.012778</v>
      </c>
      <c r="I555" s="4">
        <v>-0.012146</v>
      </c>
      <c r="J555" s="4">
        <v>-0.007608</v>
      </c>
      <c r="K555" s="4">
        <v>0.002989</v>
      </c>
      <c r="L555" s="4">
        <v>8.3E-4</v>
      </c>
      <c r="M555" s="4">
        <v>-5.04E-4</v>
      </c>
      <c r="N555" s="4">
        <v>1.89E-4</v>
      </c>
      <c r="O555" s="4">
        <v>-0.006259</v>
      </c>
      <c r="P555" s="4">
        <v>-0.040968</v>
      </c>
      <c r="Q555" s="4">
        <v>-0.061788</v>
      </c>
      <c r="R555" s="4">
        <v>-0.051353</v>
      </c>
      <c r="S555" s="4">
        <v>-0.027443</v>
      </c>
      <c r="T555" s="4">
        <v>-0.02366</v>
      </c>
      <c r="U555" s="4">
        <v>0.003129</v>
      </c>
      <c r="V555" s="4">
        <v>-0.00936695133737208</v>
      </c>
      <c r="W555" s="4">
        <v>0.0187714157741356</v>
      </c>
      <c r="X555" s="4">
        <v>0.0217948964118379</v>
      </c>
      <c r="Y555" s="4">
        <v>0.0084536268476713</v>
      </c>
      <c r="Z555" s="4">
        <v>0.0072534253025644</v>
      </c>
      <c r="AA555" s="4">
        <v>0.0</v>
      </c>
      <c r="AB555" s="4">
        <v>-0.0068077240382343</v>
      </c>
      <c r="AC555" s="4">
        <v>0.0034541228056534</v>
      </c>
      <c r="AD555" s="4">
        <v>0.0241794685839975</v>
      </c>
      <c r="AE555" s="4">
        <v>-0.0308943003710289</v>
      </c>
      <c r="AF555" s="4">
        <v>-0.0114036109601459</v>
      </c>
      <c r="AG555" s="4">
        <v>0.0094202508964251</v>
      </c>
      <c r="AH555" s="4">
        <v>9.779241891902E-4</v>
      </c>
      <c r="AI555" s="4">
        <v>0.0019368060199917</v>
      </c>
      <c r="AJ555" s="4">
        <v>-0.007421</v>
      </c>
      <c r="AK555" s="4">
        <f>Weights!E611</f>
        <v>-0.004003157875</v>
      </c>
      <c r="AL555" s="5">
        <v>-0.0127044785506791</v>
      </c>
      <c r="AM555" s="5">
        <v>-0.013587002709707</v>
      </c>
      <c r="AN555" s="5">
        <v>0.00335064645319294</v>
      </c>
      <c r="AO555" s="5">
        <v>0.00390277369799041</v>
      </c>
      <c r="AP555" s="6">
        <f t="shared" si="3"/>
        <v>1.56807123</v>
      </c>
      <c r="AQ555" s="4">
        <f t="shared" si="4"/>
        <v>1.291663365</v>
      </c>
      <c r="AR555" s="7">
        <f t="shared" si="5"/>
        <v>1.249638056</v>
      </c>
      <c r="AS555" s="7">
        <f t="shared" ref="AS555:AU555" si="557">AS554*(1+AM555)</f>
        <v>1.339615232</v>
      </c>
      <c r="AT555" s="5">
        <f t="shared" si="557"/>
        <v>1.368450921</v>
      </c>
      <c r="AU555" s="5">
        <f t="shared" si="557"/>
        <v>1.341960685</v>
      </c>
    </row>
    <row r="556" ht="15.75" customHeight="1">
      <c r="A556" s="3">
        <v>44635.0</v>
      </c>
      <c r="B556" s="4">
        <v>-0.001567</v>
      </c>
      <c r="C556" s="4">
        <v>0.004952</v>
      </c>
      <c r="D556" s="4">
        <v>-3.74E-4</v>
      </c>
      <c r="E556" s="4">
        <v>0.01995</v>
      </c>
      <c r="F556" s="4">
        <v>0.018449</v>
      </c>
      <c r="G556" s="4">
        <v>0.025919</v>
      </c>
      <c r="H556" s="4">
        <v>0.035988</v>
      </c>
      <c r="I556" s="4">
        <v>0.003188</v>
      </c>
      <c r="J556" s="4">
        <v>0.004259</v>
      </c>
      <c r="K556" s="4">
        <v>0.013862</v>
      </c>
      <c r="L556" s="4">
        <v>0.011524</v>
      </c>
      <c r="M556" s="4">
        <v>-0.031281</v>
      </c>
      <c r="N556" s="4">
        <v>0.009632</v>
      </c>
      <c r="O556" s="4">
        <v>0.032674</v>
      </c>
      <c r="P556" s="4">
        <v>-0.005018</v>
      </c>
      <c r="Q556" s="4">
        <v>0.019821</v>
      </c>
      <c r="R556" s="4">
        <v>-0.005391</v>
      </c>
      <c r="S556" s="4">
        <v>0.002993</v>
      </c>
      <c r="T556" s="4">
        <v>0.026278</v>
      </c>
      <c r="U556" s="4">
        <v>0.009581</v>
      </c>
      <c r="V556" s="4">
        <v>0.0140202576392638</v>
      </c>
      <c r="W556" s="4">
        <v>-0.0164711981297918</v>
      </c>
      <c r="X556" s="4">
        <v>-0.0050187591314503</v>
      </c>
      <c r="Y556" s="4">
        <v>-0.004408289158187</v>
      </c>
      <c r="Z556" s="4">
        <v>-0.0126019208024158</v>
      </c>
      <c r="AA556" s="4">
        <v>0.0075525672950464</v>
      </c>
      <c r="AB556" s="4">
        <v>-0.0027924522473402</v>
      </c>
      <c r="AC556" s="4">
        <v>0.0086059309233752</v>
      </c>
      <c r="AD556" s="4">
        <v>-0.0168633973642703</v>
      </c>
      <c r="AE556" s="4">
        <v>-0.0221230394855546</v>
      </c>
      <c r="AF556" s="4">
        <v>-0.0304642838177457</v>
      </c>
      <c r="AG556" s="4">
        <v>-0.0157784067387858</v>
      </c>
      <c r="AH556" s="4">
        <v>-0.0366389501662057</v>
      </c>
      <c r="AI556" s="4">
        <v>-4.833695981961E-4</v>
      </c>
      <c r="AJ556" s="4">
        <v>0.021408</v>
      </c>
      <c r="AK556" s="4">
        <f>Weights!E612</f>
        <v>-0.0006450322749</v>
      </c>
      <c r="AL556" s="5">
        <v>-0.00395285276199475</v>
      </c>
      <c r="AM556" s="5">
        <v>-0.00985886965735416</v>
      </c>
      <c r="AN556" s="5">
        <v>-0.00485723604588539</v>
      </c>
      <c r="AO556" s="5">
        <v>-0.00525962787172384</v>
      </c>
      <c r="AP556" s="6">
        <f t="shared" si="3"/>
        <v>1.567059774</v>
      </c>
      <c r="AQ556" s="4">
        <f t="shared" si="4"/>
        <v>1.319315295</v>
      </c>
      <c r="AR556" s="7">
        <f t="shared" si="5"/>
        <v>1.24469842</v>
      </c>
      <c r="AS556" s="7">
        <f t="shared" ref="AS556:AU556" si="558">AS555*(1+AM556)</f>
        <v>1.32640814</v>
      </c>
      <c r="AT556" s="5">
        <f t="shared" si="558"/>
        <v>1.361804032</v>
      </c>
      <c r="AU556" s="5">
        <f t="shared" si="558"/>
        <v>1.334902471</v>
      </c>
    </row>
    <row r="557" ht="15.75" customHeight="1">
      <c r="A557" s="3">
        <v>44636.0</v>
      </c>
      <c r="B557" s="4">
        <v>0.009812</v>
      </c>
      <c r="C557" s="4">
        <v>-0.005117</v>
      </c>
      <c r="D557" s="4">
        <v>-0.001122</v>
      </c>
      <c r="E557" s="4">
        <v>0.004402</v>
      </c>
      <c r="F557" s="4">
        <v>-0.002684</v>
      </c>
      <c r="G557" s="4">
        <v>-0.009197</v>
      </c>
      <c r="H557" s="4">
        <v>-0.003394</v>
      </c>
      <c r="I557" s="4">
        <v>-9.08E-4</v>
      </c>
      <c r="J557" s="4">
        <v>0.01039</v>
      </c>
      <c r="K557" s="4">
        <v>0.0184</v>
      </c>
      <c r="L557" s="4">
        <v>0.012395</v>
      </c>
      <c r="M557" s="4">
        <v>0.046875</v>
      </c>
      <c r="N557" s="4">
        <v>0.026001</v>
      </c>
      <c r="O557" s="4">
        <v>0.045229</v>
      </c>
      <c r="P557" s="4">
        <v>-0.010358</v>
      </c>
      <c r="Q557" s="4">
        <v>-0.013793</v>
      </c>
      <c r="R557" s="4">
        <v>0.048329</v>
      </c>
      <c r="S557" s="4">
        <v>0.005541</v>
      </c>
      <c r="T557" s="4">
        <v>-0.003025</v>
      </c>
      <c r="U557" s="4">
        <v>-0.002207</v>
      </c>
      <c r="V557" s="4">
        <v>0.0318327425482185</v>
      </c>
      <c r="W557" s="4">
        <v>8.514245435926E-4</v>
      </c>
      <c r="X557" s="4">
        <v>0.0</v>
      </c>
      <c r="Y557" s="4">
        <v>-0.0074847776622904</v>
      </c>
      <c r="Z557" s="4">
        <v>-0.0097598776330601</v>
      </c>
      <c r="AA557" s="4">
        <v>0.001703348271961</v>
      </c>
      <c r="AB557" s="4">
        <v>-0.0063648444020071</v>
      </c>
      <c r="AC557" s="4">
        <v>0.0</v>
      </c>
      <c r="AD557" s="4">
        <v>0.0</v>
      </c>
      <c r="AE557" s="4">
        <v>-0.0194029973484896</v>
      </c>
      <c r="AF557" s="4">
        <v>-0.0097621052721001</v>
      </c>
      <c r="AG557" s="4">
        <v>-0.0016616211612808</v>
      </c>
      <c r="AH557" s="4">
        <v>-0.0202839562854939</v>
      </c>
      <c r="AI557" s="4">
        <v>9.673108498036E-4</v>
      </c>
      <c r="AJ557" s="4">
        <v>0.022384</v>
      </c>
      <c r="AK557" s="4">
        <f>Weights!E613</f>
        <v>0.003680185226</v>
      </c>
      <c r="AL557" s="5">
        <v>0.0189141091891575</v>
      </c>
      <c r="AM557" s="5">
        <v>0.0208669527962512</v>
      </c>
      <c r="AN557" s="5">
        <v>-0.00945701663734166</v>
      </c>
      <c r="AO557" s="5">
        <v>-0.0114942996005699</v>
      </c>
      <c r="AP557" s="6">
        <f t="shared" si="3"/>
        <v>1.572826844</v>
      </c>
      <c r="AQ557" s="4">
        <f t="shared" si="4"/>
        <v>1.348846848</v>
      </c>
      <c r="AR557" s="7">
        <f t="shared" si="5"/>
        <v>1.268240782</v>
      </c>
      <c r="AS557" s="7">
        <f t="shared" ref="AS557:AU557" si="559">AS556*(1+AM557)</f>
        <v>1.354086236</v>
      </c>
      <c r="AT557" s="5">
        <f t="shared" si="559"/>
        <v>1.348925428</v>
      </c>
      <c r="AU557" s="5">
        <f t="shared" si="559"/>
        <v>1.319558702</v>
      </c>
    </row>
    <row r="558" ht="15.75" customHeight="1">
      <c r="A558" s="3">
        <v>44637.0</v>
      </c>
      <c r="B558" s="4">
        <v>0.003498</v>
      </c>
      <c r="C558" s="4">
        <v>-0.002477</v>
      </c>
      <c r="D558" s="4">
        <v>0.008235</v>
      </c>
      <c r="E558" s="4">
        <v>0.007765</v>
      </c>
      <c r="F558" s="4">
        <v>0.010595</v>
      </c>
      <c r="G558" s="4">
        <v>0.013064</v>
      </c>
      <c r="H558" s="4">
        <v>0.003138</v>
      </c>
      <c r="I558" s="4">
        <v>0.016583</v>
      </c>
      <c r="J558" s="4">
        <v>0.008394</v>
      </c>
      <c r="K558" s="4">
        <v>0.015935</v>
      </c>
      <c r="L558" s="4">
        <v>0.011523</v>
      </c>
      <c r="M558" s="4">
        <v>0.015423</v>
      </c>
      <c r="N558" s="4">
        <v>0.007657</v>
      </c>
      <c r="O558" s="4">
        <v>0.015116</v>
      </c>
      <c r="P558" s="4">
        <v>0.009641</v>
      </c>
      <c r="Q558" s="4">
        <v>6.36E-4</v>
      </c>
      <c r="R558" s="4">
        <v>0.046747</v>
      </c>
      <c r="S558" s="4">
        <v>0.012081</v>
      </c>
      <c r="T558" s="4">
        <v>-0.001332</v>
      </c>
      <c r="U558" s="4">
        <v>0.015631</v>
      </c>
      <c r="V558" s="4">
        <v>-0.00654407918205524</v>
      </c>
      <c r="W558" s="4">
        <v>0.0136132144044696</v>
      </c>
      <c r="X558" s="4">
        <v>-0.0214285400032835</v>
      </c>
      <c r="Y558" s="4">
        <v>0.0</v>
      </c>
      <c r="Z558" s="4">
        <v>0.0</v>
      </c>
      <c r="AA558" s="4">
        <v>0.0</v>
      </c>
      <c r="AB558" s="4">
        <v>0.0</v>
      </c>
      <c r="AC558" s="4">
        <v>0.0034541228056534</v>
      </c>
      <c r="AD558" s="4">
        <v>0.0051992740800392</v>
      </c>
      <c r="AE558" s="4">
        <v>0.0</v>
      </c>
      <c r="AF558" s="4">
        <v>-0.0237215519352382</v>
      </c>
      <c r="AG558" s="4">
        <v>0.0</v>
      </c>
      <c r="AH558" s="4">
        <v>0.0</v>
      </c>
      <c r="AI558" s="4">
        <v>0.0</v>
      </c>
      <c r="AJ558" s="4">
        <v>0.012348</v>
      </c>
      <c r="AK558" s="4">
        <f>Weights!E614</f>
        <v>0.004665164051</v>
      </c>
      <c r="AL558" s="5">
        <v>0.0261870616493533</v>
      </c>
      <c r="AM558" s="5">
        <v>0.0250140676326018</v>
      </c>
      <c r="AN558" s="5">
        <v>-6.16015565894523E-4</v>
      </c>
      <c r="AO558" s="5">
        <v>6.97659662718619E-4</v>
      </c>
      <c r="AP558" s="6">
        <f t="shared" si="3"/>
        <v>1.580164339</v>
      </c>
      <c r="AQ558" s="4">
        <f t="shared" si="4"/>
        <v>1.365502409</v>
      </c>
      <c r="AR558" s="7">
        <f t="shared" si="5"/>
        <v>1.301452282</v>
      </c>
      <c r="AS558" s="7">
        <f t="shared" ref="AS558:AU558" si="560">AS557*(1+AM558)</f>
        <v>1.38795744</v>
      </c>
      <c r="AT558" s="5">
        <f t="shared" si="560"/>
        <v>1.348094469</v>
      </c>
      <c r="AU558" s="5">
        <f t="shared" si="560"/>
        <v>1.320479305</v>
      </c>
    </row>
    <row r="559" ht="15.75" customHeight="1">
      <c r="A559" s="3">
        <v>44638.0</v>
      </c>
      <c r="B559" s="4">
        <v>-0.006971</v>
      </c>
      <c r="C559" s="4">
        <v>-0.029794</v>
      </c>
      <c r="D559" s="4">
        <v>-0.004455</v>
      </c>
      <c r="E559" s="4">
        <v>0.011495</v>
      </c>
      <c r="F559" s="4">
        <v>1.66E-4</v>
      </c>
      <c r="G559" s="4">
        <v>-0.011086</v>
      </c>
      <c r="H559" s="4">
        <v>-5.33E-4</v>
      </c>
      <c r="I559" s="4">
        <v>0.002011</v>
      </c>
      <c r="J559" s="4">
        <v>-0.004579</v>
      </c>
      <c r="K559" s="4">
        <v>-6.18E-4</v>
      </c>
      <c r="L559" s="4">
        <v>0.004628</v>
      </c>
      <c r="M559" s="4">
        <v>-0.006369</v>
      </c>
      <c r="N559" s="4">
        <v>0.008685</v>
      </c>
      <c r="O559" s="4">
        <v>0.00868</v>
      </c>
      <c r="P559" s="4">
        <v>0.008866</v>
      </c>
      <c r="Q559" s="4">
        <v>-0.00953</v>
      </c>
      <c r="R559" s="4">
        <v>-0.010496</v>
      </c>
      <c r="S559" s="4">
        <v>4.19E-4</v>
      </c>
      <c r="T559" s="4">
        <v>0.009116</v>
      </c>
      <c r="U559" s="4">
        <v>0.002541</v>
      </c>
      <c r="V559" s="4">
        <v>0.0712045146050306</v>
      </c>
      <c r="W559" s="4">
        <v>6.995326394185E-4</v>
      </c>
      <c r="X559" s="4">
        <v>0.0</v>
      </c>
      <c r="Y559" s="4">
        <v>-0.0120656070648405</v>
      </c>
      <c r="Z559" s="4">
        <v>-0.0227443649512151</v>
      </c>
      <c r="AA559" s="4">
        <v>-0.0018706667433122</v>
      </c>
      <c r="AB559" s="4">
        <v>0.0023059847749298</v>
      </c>
      <c r="AC559" s="4">
        <v>0.0</v>
      </c>
      <c r="AD559" s="4">
        <v>0.0</v>
      </c>
      <c r="AE559" s="4">
        <v>-0.0088921732119765</v>
      </c>
      <c r="AF559" s="4">
        <v>0.0104134565029008</v>
      </c>
      <c r="AG559" s="4">
        <v>-0.002056235947013</v>
      </c>
      <c r="AH559" s="4">
        <v>0.0082815284037411</v>
      </c>
      <c r="AI559" s="4">
        <v>-0.0016955535673417</v>
      </c>
      <c r="AJ559" s="4">
        <v>0.011662</v>
      </c>
      <c r="AK559" s="4">
        <f>Weights!E615</f>
        <v>0.001475849907</v>
      </c>
      <c r="AL559" s="5">
        <v>0.0104983421542401</v>
      </c>
      <c r="AM559" s="5">
        <v>0.0133855084045937</v>
      </c>
      <c r="AN559" s="5">
        <v>0.0123265496494868</v>
      </c>
      <c r="AO559" s="5">
        <v>0.0130142924924174</v>
      </c>
      <c r="AP559" s="6">
        <f t="shared" si="3"/>
        <v>1.582496425</v>
      </c>
      <c r="AQ559" s="4">
        <f t="shared" si="4"/>
        <v>1.381426898</v>
      </c>
      <c r="AR559" s="7">
        <f t="shared" si="5"/>
        <v>1.315115373</v>
      </c>
      <c r="AS559" s="7">
        <f t="shared" ref="AS559:AU559" si="561">AS558*(1+AM559)</f>
        <v>1.406535956</v>
      </c>
      <c r="AT559" s="5">
        <f t="shared" si="561"/>
        <v>1.364711822</v>
      </c>
      <c r="AU559" s="5">
        <f t="shared" si="561"/>
        <v>1.337664409</v>
      </c>
    </row>
    <row r="560" ht="15.75" customHeight="1">
      <c r="A560" s="3">
        <v>44641.0</v>
      </c>
      <c r="B560" s="4">
        <v>7.8E-4</v>
      </c>
      <c r="C560" s="4">
        <v>0.005905</v>
      </c>
      <c r="D560" s="4">
        <v>-0.002238</v>
      </c>
      <c r="E560" s="4">
        <v>-0.001413</v>
      </c>
      <c r="F560" s="4">
        <v>0.007987</v>
      </c>
      <c r="G560" s="4">
        <v>0.005662</v>
      </c>
      <c r="H560" s="4">
        <v>0.003796</v>
      </c>
      <c r="I560" s="4">
        <v>0.009144</v>
      </c>
      <c r="J560" s="4">
        <v>-0.001464</v>
      </c>
      <c r="K560" s="4">
        <v>0.009145</v>
      </c>
      <c r="L560" s="4">
        <v>0.004607</v>
      </c>
      <c r="M560" s="4">
        <v>0.013807</v>
      </c>
      <c r="N560" s="4">
        <v>0.002152</v>
      </c>
      <c r="O560" s="4">
        <v>-0.017287</v>
      </c>
      <c r="P560" s="4">
        <v>0.031639</v>
      </c>
      <c r="Q560" s="4">
        <v>0.023733</v>
      </c>
      <c r="R560" s="4">
        <v>0.029742</v>
      </c>
      <c r="S560" s="4">
        <v>0.01591</v>
      </c>
      <c r="T560" s="4">
        <v>0.048399</v>
      </c>
      <c r="U560" s="4">
        <v>-0.006734</v>
      </c>
      <c r="V560" s="4">
        <v>0.0163982993147113</v>
      </c>
      <c r="W560" s="4">
        <v>-0.0123025391408386</v>
      </c>
      <c r="X560" s="4">
        <v>-0.0328468238536905</v>
      </c>
      <c r="Y560" s="4">
        <v>-0.0243623849958598</v>
      </c>
      <c r="Z560" s="4">
        <v>-0.0262662943937872</v>
      </c>
      <c r="AA560" s="4">
        <v>0.0</v>
      </c>
      <c r="AB560" s="4">
        <v>-0.0125256037639706</v>
      </c>
      <c r="AC560" s="4">
        <v>0.001721310148137</v>
      </c>
      <c r="AD560" s="4">
        <v>-0.020689814393956</v>
      </c>
      <c r="AE560" s="4">
        <v>0.0062239743130405</v>
      </c>
      <c r="AF560" s="4">
        <v>-0.014365955145831</v>
      </c>
      <c r="AG560" s="4">
        <v>0.0031396771989575</v>
      </c>
      <c r="AH560" s="4">
        <v>0.0148870865248951</v>
      </c>
      <c r="AI560" s="4">
        <v>-0.0033960330149264</v>
      </c>
      <c r="AJ560" s="4">
        <v>-4.35E-4</v>
      </c>
      <c r="AK560" s="4">
        <f>Weights!E616</f>
        <v>0.002342753729</v>
      </c>
      <c r="AL560" s="5">
        <v>0.0128666089246607</v>
      </c>
      <c r="AM560" s="5">
        <v>0.011681142099172</v>
      </c>
      <c r="AN560" s="5">
        <v>0.0133942992687774</v>
      </c>
      <c r="AO560" s="5">
        <v>0.013993834544997</v>
      </c>
      <c r="AP560" s="6">
        <f t="shared" si="3"/>
        <v>1.586203824</v>
      </c>
      <c r="AQ560" s="4">
        <f t="shared" si="4"/>
        <v>1.380825977</v>
      </c>
      <c r="AR560" s="7">
        <f t="shared" si="5"/>
        <v>1.332036448</v>
      </c>
      <c r="AS560" s="7">
        <f t="shared" ref="AS560:AU560" si="562">AS559*(1+AM560)</f>
        <v>1.422965903</v>
      </c>
      <c r="AT560" s="5">
        <f t="shared" si="562"/>
        <v>1.382991181</v>
      </c>
      <c r="AU560" s="5">
        <f t="shared" si="562"/>
        <v>1.356383464</v>
      </c>
    </row>
    <row r="561" ht="15.75" customHeight="1">
      <c r="A561" s="3">
        <v>44642.0</v>
      </c>
      <c r="B561" s="4">
        <v>-0.001169</v>
      </c>
      <c r="C561" s="4">
        <v>-0.001957</v>
      </c>
      <c r="D561" s="4">
        <v>0.001869</v>
      </c>
      <c r="E561" s="4">
        <v>0.01095</v>
      </c>
      <c r="F561" s="4">
        <v>0.003632</v>
      </c>
      <c r="G561" s="4">
        <v>-0.00472</v>
      </c>
      <c r="H561" s="4">
        <v>0.007696</v>
      </c>
      <c r="I561" s="4">
        <v>-8.84E-4</v>
      </c>
      <c r="J561" s="4">
        <v>4.19E-4</v>
      </c>
      <c r="K561" s="4">
        <v>0.002817</v>
      </c>
      <c r="L561" s="4">
        <v>0.003704</v>
      </c>
      <c r="M561" s="4">
        <v>0.018969</v>
      </c>
      <c r="N561" s="4">
        <v>0.006086</v>
      </c>
      <c r="O561" s="4">
        <v>-0.007394</v>
      </c>
      <c r="P561" s="4">
        <v>-0.003539</v>
      </c>
      <c r="Q561" s="4">
        <v>-0.02005</v>
      </c>
      <c r="R561" s="4">
        <v>0.007069</v>
      </c>
      <c r="S561" s="4">
        <v>-0.008861</v>
      </c>
      <c r="T561" s="4">
        <v>0.008757</v>
      </c>
      <c r="U561" s="4">
        <v>-0.013924</v>
      </c>
      <c r="V561" s="4">
        <v>0.0164217604368372</v>
      </c>
      <c r="W561" s="4">
        <v>0.0176928695234783</v>
      </c>
      <c r="X561" s="4">
        <v>-0.0251571706413854</v>
      </c>
      <c r="Y561" s="4">
        <v>0.0167558097789646</v>
      </c>
      <c r="Z561" s="4">
        <v>0.0028454353549824</v>
      </c>
      <c r="AA561" s="4">
        <v>0.0076673793377641</v>
      </c>
      <c r="AB561" s="4">
        <v>-0.0165672797412103</v>
      </c>
      <c r="AC561" s="4">
        <v>-0.0103094178887152</v>
      </c>
      <c r="AD561" s="4">
        <v>-0.0193660792395055</v>
      </c>
      <c r="AE561" s="4">
        <v>0.0369559688384837</v>
      </c>
      <c r="AF561" s="4">
        <v>-0.0351710899332742</v>
      </c>
      <c r="AG561" s="4">
        <v>-0.0143779185539512</v>
      </c>
      <c r="AH561" s="4">
        <v>-0.0040465433587161</v>
      </c>
      <c r="AI561" s="4">
        <v>9.735119018365E-4</v>
      </c>
      <c r="AJ561" s="4">
        <v>0.011304</v>
      </c>
      <c r="AK561" s="6">
        <f>Weights!E617</f>
        <v>-0.00003644135161</v>
      </c>
      <c r="AL561" s="5">
        <v>-0.00102564737828525</v>
      </c>
      <c r="AM561" s="5">
        <v>-9.32478416781679E-4</v>
      </c>
      <c r="AN561" s="5">
        <v>0.00240299002395993</v>
      </c>
      <c r="AO561" s="5">
        <v>0.00248873064925225</v>
      </c>
      <c r="AP561" s="6">
        <f t="shared" si="3"/>
        <v>1.586146021</v>
      </c>
      <c r="AQ561" s="4">
        <f t="shared" si="4"/>
        <v>1.396434834</v>
      </c>
      <c r="AR561" s="7">
        <f t="shared" si="5"/>
        <v>1.330670249</v>
      </c>
      <c r="AS561" s="7">
        <f t="shared" ref="AS561:AU561" si="563">AS560*(1+AM561)</f>
        <v>1.421639018</v>
      </c>
      <c r="AT561" s="5">
        <f t="shared" si="563"/>
        <v>1.386314495</v>
      </c>
      <c r="AU561" s="5">
        <f t="shared" si="563"/>
        <v>1.359759137</v>
      </c>
    </row>
    <row r="562" ht="15.75" customHeight="1">
      <c r="A562" s="3">
        <v>44643.0</v>
      </c>
      <c r="B562" s="4">
        <v>-0.005072</v>
      </c>
      <c r="C562" s="4">
        <v>-5.88E-4</v>
      </c>
      <c r="D562" s="4">
        <v>-0.0097</v>
      </c>
      <c r="E562" s="4">
        <v>-0.005233</v>
      </c>
      <c r="F562" s="4">
        <v>-0.006579</v>
      </c>
      <c r="G562" s="4">
        <v>-0.003771</v>
      </c>
      <c r="H562" s="4">
        <v>-0.006979</v>
      </c>
      <c r="I562" s="4">
        <v>-0.003318</v>
      </c>
      <c r="J562" s="4">
        <v>4.19E-4</v>
      </c>
      <c r="K562" s="4">
        <v>-0.017951</v>
      </c>
      <c r="L562" s="4">
        <v>-0.018538</v>
      </c>
      <c r="M562" s="4">
        <v>-0.00716</v>
      </c>
      <c r="N562" s="4">
        <v>-0.008361</v>
      </c>
      <c r="O562" s="4">
        <v>-0.086454</v>
      </c>
      <c r="P562" s="4">
        <v>0.03788</v>
      </c>
      <c r="Q562" s="4">
        <v>0.048593</v>
      </c>
      <c r="R562" s="4">
        <v>-0.001003</v>
      </c>
      <c r="S562" s="4">
        <v>0.006237</v>
      </c>
      <c r="T562" s="4">
        <v>0.021806</v>
      </c>
      <c r="U562" s="4">
        <v>-0.006284</v>
      </c>
      <c r="V562" s="4">
        <v>-0.0351473829400605</v>
      </c>
      <c r="W562" s="4">
        <v>0.0389429542249843</v>
      </c>
      <c r="X562" s="4">
        <v>0.0</v>
      </c>
      <c r="Y562" s="4">
        <v>0.0146841210170616</v>
      </c>
      <c r="Z562" s="4">
        <v>0.0215640029834167</v>
      </c>
      <c r="AA562" s="4">
        <v>0.0020290716742006</v>
      </c>
      <c r="AB562" s="4">
        <v>0.0068440362586374</v>
      </c>
      <c r="AC562" s="4">
        <v>0.0</v>
      </c>
      <c r="AD562" s="4">
        <v>0.0</v>
      </c>
      <c r="AE562" s="4">
        <v>-0.0124775301578872</v>
      </c>
      <c r="AF562" s="4">
        <v>0.0361247616821283</v>
      </c>
      <c r="AG562" s="4">
        <v>0.0350303929825988</v>
      </c>
      <c r="AH562" s="4">
        <v>0.0086338040132665</v>
      </c>
      <c r="AI562" s="4">
        <v>0.0014592655054663</v>
      </c>
      <c r="AJ562" s="4">
        <v>-0.012273</v>
      </c>
      <c r="AK562" s="4">
        <f>Weights!E618</f>
        <v>0.002180820886</v>
      </c>
      <c r="AL562" s="5">
        <v>0.0116103569447856</v>
      </c>
      <c r="AM562" s="5">
        <v>0.0122682731716501</v>
      </c>
      <c r="AN562" s="5">
        <v>0.00869060049588288</v>
      </c>
      <c r="AO562" s="5">
        <v>0.00812450047971991</v>
      </c>
      <c r="AP562" s="6">
        <f t="shared" si="3"/>
        <v>1.589605121</v>
      </c>
      <c r="AQ562" s="4">
        <f t="shared" si="4"/>
        <v>1.37929639</v>
      </c>
      <c r="AR562" s="7">
        <f t="shared" si="5"/>
        <v>1.346119805</v>
      </c>
      <c r="AS562" s="7">
        <f t="shared" ref="AS562:AU562" si="564">AS561*(1+AM562)</f>
        <v>1.439080074</v>
      </c>
      <c r="AT562" s="5">
        <f t="shared" si="564"/>
        <v>1.398362401</v>
      </c>
      <c r="AU562" s="5">
        <f t="shared" si="564"/>
        <v>1.3708065</v>
      </c>
    </row>
    <row r="563" ht="15.75" customHeight="1">
      <c r="A563" s="3">
        <v>44644.0</v>
      </c>
      <c r="B563" s="4">
        <v>0.005098</v>
      </c>
      <c r="C563" s="4">
        <v>5.89E-4</v>
      </c>
      <c r="D563" s="4">
        <v>0.004897</v>
      </c>
      <c r="E563" s="4">
        <v>0.006056</v>
      </c>
      <c r="F563" s="4">
        <v>0.009603</v>
      </c>
      <c r="G563" s="4">
        <v>0.005162</v>
      </c>
      <c r="H563" s="4">
        <v>0.001724</v>
      </c>
      <c r="I563" s="4">
        <v>0.007767</v>
      </c>
      <c r="J563" s="4">
        <v>0.007322</v>
      </c>
      <c r="K563" s="4">
        <v>0.002114</v>
      </c>
      <c r="L563" s="4">
        <v>0.004476</v>
      </c>
      <c r="M563" s="4">
        <v>0.002404</v>
      </c>
      <c r="N563" s="4">
        <v>-0.001794</v>
      </c>
      <c r="O563" s="4">
        <v>0.035923</v>
      </c>
      <c r="P563" s="4">
        <v>-0.008617</v>
      </c>
      <c r="Q563" s="4">
        <v>-0.029268</v>
      </c>
      <c r="R563" s="4">
        <v>0.032925</v>
      </c>
      <c r="S563" s="4">
        <v>-0.00124</v>
      </c>
      <c r="T563" s="4">
        <v>0.04336</v>
      </c>
      <c r="U563" s="4">
        <v>-0.00491</v>
      </c>
      <c r="V563" s="4">
        <v>0.00940071636271389</v>
      </c>
      <c r="W563" s="4">
        <v>0.0235609273412187</v>
      </c>
      <c r="X563" s="4">
        <v>0.0335052472340127</v>
      </c>
      <c r="Y563" s="4">
        <v>-0.0063193030703232</v>
      </c>
      <c r="Z563" s="4">
        <v>-0.0084435769849814</v>
      </c>
      <c r="AA563" s="4">
        <v>6.750386671519E-4</v>
      </c>
      <c r="AB563" s="4">
        <v>-0.0031373050777443</v>
      </c>
      <c r="AC563" s="4">
        <v>-0.0380624101224379</v>
      </c>
      <c r="AD563" s="4">
        <v>0.0142347210133824</v>
      </c>
      <c r="AE563" s="4">
        <v>0.0111347466570401</v>
      </c>
      <c r="AF563" s="4">
        <v>0.0031696819254112</v>
      </c>
      <c r="AG563" s="4">
        <v>-0.0062321729974988</v>
      </c>
      <c r="AH563" s="4">
        <v>-0.0740181064870321</v>
      </c>
      <c r="AI563" s="4">
        <v>0.0048562612390032</v>
      </c>
      <c r="AJ563" s="4">
        <v>0.014344</v>
      </c>
      <c r="AK563" s="4">
        <f>Weights!E619</f>
        <v>0.0002263688899</v>
      </c>
      <c r="AL563" s="5">
        <v>-0.0124140317947661</v>
      </c>
      <c r="AM563" s="5">
        <v>-0.0136199194311652</v>
      </c>
      <c r="AN563" s="5">
        <v>0.00297093739669551</v>
      </c>
      <c r="AO563" s="5">
        <v>0.00335807629271855</v>
      </c>
      <c r="AP563" s="6">
        <f t="shared" si="3"/>
        <v>1.589964958</v>
      </c>
      <c r="AQ563" s="4">
        <f t="shared" si="4"/>
        <v>1.399081017</v>
      </c>
      <c r="AR563" s="7">
        <f t="shared" si="5"/>
        <v>1.329409031</v>
      </c>
      <c r="AS563" s="7">
        <f t="shared" ref="AS563:AU563" si="565">AS562*(1+AM563)</f>
        <v>1.419479919</v>
      </c>
      <c r="AT563" s="5">
        <f t="shared" si="565"/>
        <v>1.402516848</v>
      </c>
      <c r="AU563" s="5">
        <f t="shared" si="565"/>
        <v>1.375409773</v>
      </c>
    </row>
    <row r="564" ht="15.75" customHeight="1">
      <c r="A564" s="3">
        <v>44645.0</v>
      </c>
      <c r="B564" s="4">
        <v>0.005462</v>
      </c>
      <c r="C564" s="4">
        <v>0.00549</v>
      </c>
      <c r="D564" s="4">
        <v>0.02418</v>
      </c>
      <c r="E564" s="4">
        <v>0.004682</v>
      </c>
      <c r="F564" s="4">
        <v>0.009019</v>
      </c>
      <c r="G564" s="4">
        <v>0.009587</v>
      </c>
      <c r="H564" s="4">
        <v>0.011583</v>
      </c>
      <c r="I564" s="4">
        <v>0.020921</v>
      </c>
      <c r="J564" s="4">
        <v>0.005815</v>
      </c>
      <c r="K564" s="4">
        <v>0.013898</v>
      </c>
      <c r="L564" s="4">
        <v>0.010249</v>
      </c>
      <c r="M564" s="4">
        <v>0.013429</v>
      </c>
      <c r="N564" s="4">
        <v>0.010784</v>
      </c>
      <c r="O564" s="4">
        <v>-0.004309</v>
      </c>
      <c r="P564" s="4">
        <v>0.009204</v>
      </c>
      <c r="Q564" s="4">
        <v>-0.01696</v>
      </c>
      <c r="R564" s="4">
        <v>0.009329</v>
      </c>
      <c r="S564" s="4">
        <v>-0.001241</v>
      </c>
      <c r="T564" s="4">
        <v>0.026707</v>
      </c>
      <c r="U564" s="4">
        <v>0.008449</v>
      </c>
      <c r="V564" s="4">
        <v>-0.022118858033173</v>
      </c>
      <c r="W564" s="4">
        <v>0.0346585866843225</v>
      </c>
      <c r="X564" s="4">
        <v>-0.0024938966267761</v>
      </c>
      <c r="Y564" s="4">
        <v>-0.034660477903874</v>
      </c>
      <c r="Z564" s="4">
        <v>-0.0150139645276529</v>
      </c>
      <c r="AA564" s="4">
        <v>-3.372533939757E-4</v>
      </c>
      <c r="AB564" s="4">
        <v>-0.0209809178311228</v>
      </c>
      <c r="AC564" s="4">
        <v>-0.001798464318408</v>
      </c>
      <c r="AD564" s="4">
        <v>0.0087720421644803</v>
      </c>
      <c r="AE564" s="4">
        <v>0.0067168375900215</v>
      </c>
      <c r="AF564" s="4">
        <v>-0.0391786641491621</v>
      </c>
      <c r="AG564" s="4">
        <v>-0.0154364499540957</v>
      </c>
      <c r="AH564" s="4">
        <v>-0.0717781242200998</v>
      </c>
      <c r="AI564" s="4">
        <v>0.0087002711886086</v>
      </c>
      <c r="AJ564" s="4">
        <v>0.005066</v>
      </c>
      <c r="AK564" s="4">
        <f>Weights!E620</f>
        <v>-0.001804715863</v>
      </c>
      <c r="AL564" s="5">
        <v>0.0123329799462263</v>
      </c>
      <c r="AM564" s="5">
        <v>0.0142456252716987</v>
      </c>
      <c r="AN564" s="5">
        <v>-0.00888634915969666</v>
      </c>
      <c r="AO564" s="5">
        <v>-0.00713961282201225</v>
      </c>
      <c r="AP564" s="6">
        <f t="shared" si="3"/>
        <v>1.587095523</v>
      </c>
      <c r="AQ564" s="4">
        <f t="shared" si="4"/>
        <v>1.406168761</v>
      </c>
      <c r="AR564" s="7">
        <f t="shared" si="5"/>
        <v>1.345804606</v>
      </c>
      <c r="AS564" s="7">
        <f t="shared" ref="AS564:AU564" si="566">AS563*(1+AM564)</f>
        <v>1.439701298</v>
      </c>
      <c r="AT564" s="5">
        <f t="shared" si="566"/>
        <v>1.390053593</v>
      </c>
      <c r="AU564" s="5">
        <f t="shared" si="566"/>
        <v>1.36558988</v>
      </c>
    </row>
    <row r="565" ht="15.75" customHeight="1">
      <c r="A565" s="3">
        <v>44648.0</v>
      </c>
      <c r="B565" s="4">
        <v>-0.006209</v>
      </c>
      <c r="C565" s="4">
        <v>-0.002145</v>
      </c>
      <c r="D565" s="4">
        <v>0.00183</v>
      </c>
      <c r="E565" s="4">
        <v>0.002965</v>
      </c>
      <c r="F565" s="4">
        <v>0.006338</v>
      </c>
      <c r="G565" s="4">
        <v>0.005144</v>
      </c>
      <c r="H565" s="4">
        <v>0.00687</v>
      </c>
      <c r="I565" s="4">
        <v>-0.00906</v>
      </c>
      <c r="J565" s="4">
        <v>-0.001858</v>
      </c>
      <c r="K565" s="4">
        <v>-0.002937</v>
      </c>
      <c r="L565" s="4">
        <v>-0.008028</v>
      </c>
      <c r="M565" s="4">
        <v>0.005206</v>
      </c>
      <c r="N565" s="4">
        <v>-0.004801</v>
      </c>
      <c r="O565" s="4">
        <v>0.008946</v>
      </c>
      <c r="P565" s="4">
        <v>-0.01026</v>
      </c>
      <c r="Q565" s="4">
        <v>-0.011502</v>
      </c>
      <c r="R565" s="4">
        <v>-0.031966</v>
      </c>
      <c r="S565" s="4">
        <v>-0.027962</v>
      </c>
      <c r="T565" s="4">
        <v>-0.023918</v>
      </c>
      <c r="U565" s="4">
        <v>0.018387</v>
      </c>
      <c r="V565" s="4">
        <v>0.00357145144089265</v>
      </c>
      <c r="W565" s="4">
        <v>-0.0066995584759758</v>
      </c>
      <c r="X565" s="4">
        <v>-0.0199999189558269</v>
      </c>
      <c r="Y565" s="4">
        <v>0.0402528286422891</v>
      </c>
      <c r="Z565" s="4">
        <v>0.0440221156581959</v>
      </c>
      <c r="AA565" s="4">
        <v>0.0025304833971038</v>
      </c>
      <c r="AB565" s="4">
        <v>0.0046144991129675</v>
      </c>
      <c r="AC565" s="4">
        <v>-0.0090089286329826</v>
      </c>
      <c r="AD565" s="4">
        <v>-0.0069564946422584</v>
      </c>
      <c r="AE565" s="4">
        <v>0.0102403633369112</v>
      </c>
      <c r="AF565" s="4">
        <v>0.10391314469025</v>
      </c>
      <c r="AG565" s="4">
        <v>0.0233217508477741</v>
      </c>
      <c r="AH565" s="4">
        <v>0.0925600414655576</v>
      </c>
      <c r="AI565" s="4">
        <v>-0.0057498441642083</v>
      </c>
      <c r="AJ565" s="4">
        <v>0.007145</v>
      </c>
      <c r="AK565" s="4">
        <f>Weights!E621</f>
        <v>0.007674886199</v>
      </c>
      <c r="AL565" s="5">
        <v>0.00304565136571999</v>
      </c>
      <c r="AM565" s="5">
        <v>0.00427086119106912</v>
      </c>
      <c r="AN565" s="5">
        <v>0.00119545322028491</v>
      </c>
      <c r="AO565" s="5">
        <v>6.73953782079461E-4</v>
      </c>
      <c r="AP565" s="6">
        <f t="shared" si="3"/>
        <v>1.599276301</v>
      </c>
      <c r="AQ565" s="4">
        <f t="shared" si="4"/>
        <v>1.416215837</v>
      </c>
      <c r="AR565" s="7">
        <f t="shared" si="5"/>
        <v>1.349903458</v>
      </c>
      <c r="AS565" s="7">
        <f t="shared" ref="AS565:AU565" si="567">AS564*(1+AM565)</f>
        <v>1.445850062</v>
      </c>
      <c r="AT565" s="5">
        <f t="shared" si="567"/>
        <v>1.391715337</v>
      </c>
      <c r="AU565" s="5">
        <f t="shared" si="567"/>
        <v>1.366510224</v>
      </c>
    </row>
    <row r="566" ht="15.75" customHeight="1">
      <c r="A566" s="3">
        <v>44649.0</v>
      </c>
      <c r="B566" s="4">
        <v>0.007419</v>
      </c>
      <c r="C566" s="4">
        <v>0.001563</v>
      </c>
      <c r="D566" s="4">
        <v>0.010596</v>
      </c>
      <c r="E566" s="4">
        <v>0.014843</v>
      </c>
      <c r="F566" s="4">
        <v>0.003876</v>
      </c>
      <c r="G566" s="4">
        <v>-5.06E-4</v>
      </c>
      <c r="H566" s="4">
        <v>0.010268</v>
      </c>
      <c r="I566" s="4">
        <v>0.004136</v>
      </c>
      <c r="J566" s="4">
        <v>0.014274</v>
      </c>
      <c r="K566" s="4">
        <v>-0.002455</v>
      </c>
      <c r="L566" s="4">
        <v>-7.11E-4</v>
      </c>
      <c r="M566" s="4">
        <v>0.008004</v>
      </c>
      <c r="N566" s="4">
        <v>0.005539</v>
      </c>
      <c r="O566" s="4">
        <v>0.019548</v>
      </c>
      <c r="P566" s="4">
        <v>0.005247</v>
      </c>
      <c r="Q566" s="4">
        <v>-0.010343</v>
      </c>
      <c r="R566" s="4">
        <v>-0.003581</v>
      </c>
      <c r="S566" s="4">
        <v>0.013211</v>
      </c>
      <c r="T566" s="4">
        <v>-0.021774</v>
      </c>
      <c r="U566" s="4">
        <v>0.007062</v>
      </c>
      <c r="V566" s="4">
        <v>-0.00177940703785539</v>
      </c>
      <c r="W566" s="4">
        <v>0.0099262570947502</v>
      </c>
      <c r="X566" s="4">
        <v>-0.0012756186398936</v>
      </c>
      <c r="Y566" s="4">
        <v>0.0017098094161609</v>
      </c>
      <c r="Z566" s="4">
        <v>0.0246243413625388</v>
      </c>
      <c r="AA566" s="4">
        <v>0.0158168451110494</v>
      </c>
      <c r="AB566" s="4">
        <v>0.0064848284049645</v>
      </c>
      <c r="AC566" s="4">
        <v>0.0127272399896549</v>
      </c>
      <c r="AD566" s="4">
        <v>-0.0140105497761388</v>
      </c>
      <c r="AE566" s="4">
        <v>0.0129779863538945</v>
      </c>
      <c r="AF566" s="4">
        <v>-0.0568960567921473</v>
      </c>
      <c r="AG566" s="4">
        <v>0.0010533465179027</v>
      </c>
      <c r="AH566" s="4">
        <v>-0.0112600683909762</v>
      </c>
      <c r="AI566" s="4">
        <v>-0.0014459034013561</v>
      </c>
      <c r="AJ566" s="4">
        <v>0.012257</v>
      </c>
      <c r="AK566" s="4">
        <f>Weights!E622</f>
        <v>0.002331811136</v>
      </c>
      <c r="AL566" s="5">
        <v>0.00443776298876863</v>
      </c>
      <c r="AM566" s="5">
        <v>0.00648859852741923</v>
      </c>
      <c r="AN566" s="5">
        <v>0.00388070899066672</v>
      </c>
      <c r="AO566" s="5">
        <v>0.00269485047272155</v>
      </c>
      <c r="AP566" s="6">
        <f t="shared" si="3"/>
        <v>1.603005511</v>
      </c>
      <c r="AQ566" s="4">
        <f t="shared" si="4"/>
        <v>1.433574395</v>
      </c>
      <c r="AR566" s="7">
        <f t="shared" si="5"/>
        <v>1.355894009</v>
      </c>
      <c r="AS566" s="7">
        <f t="shared" ref="AS566:AU566" si="568">AS565*(1+AM566)</f>
        <v>1.455231603</v>
      </c>
      <c r="AT566" s="5">
        <f t="shared" si="568"/>
        <v>1.39711618</v>
      </c>
      <c r="AU566" s="5">
        <f t="shared" si="568"/>
        <v>1.370192765</v>
      </c>
    </row>
    <row r="567" ht="15.75" customHeight="1">
      <c r="A567" s="3">
        <v>44650.0</v>
      </c>
      <c r="B567" s="4">
        <v>0.00155</v>
      </c>
      <c r="C567" s="4">
        <v>0.007024</v>
      </c>
      <c r="D567" s="4">
        <v>0.015727</v>
      </c>
      <c r="E567" s="4">
        <v>-0.001367</v>
      </c>
      <c r="F567" s="4">
        <v>8.04E-4</v>
      </c>
      <c r="G567" s="4">
        <v>0.010408</v>
      </c>
      <c r="H567" s="4">
        <v>-0.006883</v>
      </c>
      <c r="I567" s="4">
        <v>0.004769</v>
      </c>
      <c r="J567" s="4">
        <v>0.006527</v>
      </c>
      <c r="K567" s="4">
        <v>0.0</v>
      </c>
      <c r="L567" s="4">
        <v>-0.002225</v>
      </c>
      <c r="M567" s="4">
        <v>0.007006</v>
      </c>
      <c r="N567" s="4">
        <v>0.002132</v>
      </c>
      <c r="O567" s="4">
        <v>0.00724</v>
      </c>
      <c r="P567" s="4">
        <v>0.01795</v>
      </c>
      <c r="Q567" s="4">
        <v>0.015023</v>
      </c>
      <c r="R567" s="4">
        <v>0.013775</v>
      </c>
      <c r="S567" s="4">
        <v>0.016824</v>
      </c>
      <c r="T567" s="4">
        <v>-0.003522</v>
      </c>
      <c r="U567" s="4">
        <v>0.009832</v>
      </c>
      <c r="V567" s="4">
        <v>0.01218067786377</v>
      </c>
      <c r="W567" s="4">
        <v>-0.035282238749667</v>
      </c>
      <c r="X567" s="4">
        <v>0.0</v>
      </c>
      <c r="Y567" s="4">
        <v>0.0209270580492317</v>
      </c>
      <c r="Z567" s="4">
        <v>0.0524245784924757</v>
      </c>
      <c r="AA567" s="4">
        <v>0.019711817034705</v>
      </c>
      <c r="AB567" s="4">
        <v>-0.0161074084810917</v>
      </c>
      <c r="AC567" s="4">
        <v>0.0</v>
      </c>
      <c r="AD567" s="4">
        <v>0.0</v>
      </c>
      <c r="AE567" s="4">
        <v>0.0234251064500039</v>
      </c>
      <c r="AF567" s="4">
        <v>-0.0972836090755558</v>
      </c>
      <c r="AG567" s="4">
        <v>0.006217785565427</v>
      </c>
      <c r="AH567" s="4">
        <v>-0.0650759251342381</v>
      </c>
      <c r="AI567" s="4">
        <v>0.0048263113578261</v>
      </c>
      <c r="AJ567" s="4">
        <v>-0.006294</v>
      </c>
      <c r="AK567" s="4">
        <f>Weights!E623</f>
        <v>0.0003645982179</v>
      </c>
      <c r="AL567" s="5">
        <v>0.0155027569004471</v>
      </c>
      <c r="AM567" s="5">
        <v>0.015158782204794</v>
      </c>
      <c r="AN567" s="5">
        <v>0.0</v>
      </c>
      <c r="AO567" s="5">
        <v>-2.23770858640781E-4</v>
      </c>
      <c r="AP567" s="6">
        <f t="shared" si="3"/>
        <v>1.603589964</v>
      </c>
      <c r="AQ567" s="4">
        <f t="shared" si="4"/>
        <v>1.424551477</v>
      </c>
      <c r="AR567" s="7">
        <f t="shared" si="5"/>
        <v>1.376914104</v>
      </c>
      <c r="AS567" s="7">
        <f t="shared" ref="AS567:AU567" si="569">AS566*(1+AM567)</f>
        <v>1.477291142</v>
      </c>
      <c r="AT567" s="5">
        <f t="shared" si="569"/>
        <v>1.39711618</v>
      </c>
      <c r="AU567" s="5">
        <f t="shared" si="569"/>
        <v>1.369886156</v>
      </c>
    </row>
    <row r="568" ht="15.75" customHeight="1">
      <c r="A568" s="3">
        <v>44651.0</v>
      </c>
      <c r="B568" s="4">
        <v>0.01161</v>
      </c>
      <c r="C568" s="4">
        <v>-0.012982</v>
      </c>
      <c r="D568" s="4">
        <v>0.009966</v>
      </c>
      <c r="E568" s="4">
        <v>-0.003453</v>
      </c>
      <c r="F568" s="4">
        <v>-0.003376</v>
      </c>
      <c r="G568" s="4">
        <v>-0.013141</v>
      </c>
      <c r="H568" s="4">
        <v>-0.010299</v>
      </c>
      <c r="I568" s="4">
        <v>-0.005609</v>
      </c>
      <c r="J568" s="4">
        <v>0.00304</v>
      </c>
      <c r="K568" s="4">
        <v>-0.022764</v>
      </c>
      <c r="L568" s="4">
        <v>-0.0165</v>
      </c>
      <c r="M568" s="4">
        <v>-0.00974</v>
      </c>
      <c r="N568" s="4">
        <v>-0.010106</v>
      </c>
      <c r="O568" s="4">
        <v>-0.026103</v>
      </c>
      <c r="P568" s="4">
        <v>-0.006378</v>
      </c>
      <c r="Q568" s="4">
        <v>-0.005148</v>
      </c>
      <c r="R568" s="4">
        <v>-0.02048</v>
      </c>
      <c r="S568" s="4">
        <v>-0.015925</v>
      </c>
      <c r="T568" s="4">
        <v>-0.005486</v>
      </c>
      <c r="U568" s="4">
        <v>7.2E-5</v>
      </c>
      <c r="V568" s="4">
        <v>0.0519519261992884</v>
      </c>
      <c r="W568" s="4">
        <v>0.00718396098902</v>
      </c>
      <c r="X568" s="4">
        <v>-0.0141025164671357</v>
      </c>
      <c r="Y568" s="4">
        <v>0.0021056470699363</v>
      </c>
      <c r="Z568" s="4">
        <v>0.0086894389096154</v>
      </c>
      <c r="AA568" s="4">
        <v>0.0076347146734423</v>
      </c>
      <c r="AB568" s="4">
        <v>-0.0226466725426147</v>
      </c>
      <c r="AC568" s="4">
        <v>-0.008772009489631</v>
      </c>
      <c r="AD568" s="4">
        <v>-0.0035840176775729</v>
      </c>
      <c r="AE568" s="4">
        <v>0.0082963085580358</v>
      </c>
      <c r="AF568" s="4">
        <v>0.0671799732648659</v>
      </c>
      <c r="AG568" s="4">
        <v>-0.0059892590098812</v>
      </c>
      <c r="AH568" s="4">
        <v>0.0156612934899558</v>
      </c>
      <c r="AI568" s="4">
        <v>-0.0072044886157255</v>
      </c>
      <c r="AJ568" s="4">
        <v>-0.015653</v>
      </c>
      <c r="AK568" s="4">
        <f>Weights!E624</f>
        <v>-0.0009711529043</v>
      </c>
      <c r="AL568" s="5">
        <v>-0.00633551220316297</v>
      </c>
      <c r="AM568" s="5">
        <v>-0.00810993885386945</v>
      </c>
      <c r="AN568" s="5">
        <v>0.00327106457246939</v>
      </c>
      <c r="AO568" s="5">
        <v>0.00403217249209486</v>
      </c>
      <c r="AP568" s="6">
        <f t="shared" si="3"/>
        <v>1.602032633</v>
      </c>
      <c r="AQ568" s="4">
        <f t="shared" si="4"/>
        <v>1.402252973</v>
      </c>
      <c r="AR568" s="7">
        <f t="shared" si="5"/>
        <v>1.368190648</v>
      </c>
      <c r="AS568" s="7">
        <f t="shared" ref="AS568:AU568" si="570">AS567*(1+AM568)</f>
        <v>1.465310401</v>
      </c>
      <c r="AT568" s="5">
        <f t="shared" si="570"/>
        <v>1.401686237</v>
      </c>
      <c r="AU568" s="5">
        <f t="shared" si="570"/>
        <v>1.375409773</v>
      </c>
    </row>
    <row r="569" ht="15.75" customHeight="1">
      <c r="A569" s="3">
        <v>44652.0</v>
      </c>
      <c r="B569" s="4">
        <v>0.018363</v>
      </c>
      <c r="C569" s="4">
        <v>0.023165</v>
      </c>
      <c r="D569" s="4">
        <v>0.006696</v>
      </c>
      <c r="E569" s="4">
        <v>0.014219</v>
      </c>
      <c r="F569" s="4">
        <v>0.014032</v>
      </c>
      <c r="G569" s="4">
        <v>0.005417</v>
      </c>
      <c r="H569" s="4">
        <v>0.014987</v>
      </c>
      <c r="I569" s="4">
        <v>0.006726</v>
      </c>
      <c r="J569" s="4">
        <v>0.012727</v>
      </c>
      <c r="K569" s="4">
        <v>0.001007</v>
      </c>
      <c r="L569" s="4">
        <v>-0.004806</v>
      </c>
      <c r="M569" s="4">
        <v>9.37E-4</v>
      </c>
      <c r="N569" s="4">
        <v>-1.79E-4</v>
      </c>
      <c r="O569" s="4">
        <v>0.016206</v>
      </c>
      <c r="P569" s="4">
        <v>0.041913</v>
      </c>
      <c r="Q569" s="4">
        <v>0.042691</v>
      </c>
      <c r="R569" s="4">
        <v>0.024527</v>
      </c>
      <c r="S569" s="4">
        <v>0.027112</v>
      </c>
      <c r="T569" s="4">
        <v>0.004104</v>
      </c>
      <c r="U569" s="4">
        <v>2.15E-4</v>
      </c>
      <c r="V569" s="4">
        <v>-0.0117187899718161</v>
      </c>
      <c r="W569" s="4">
        <v>-0.0059655336417888</v>
      </c>
      <c r="X569" s="4">
        <v>0.0091026613090816</v>
      </c>
      <c r="Y569" s="4">
        <v>-0.022000047734461</v>
      </c>
      <c r="Z569" s="4">
        <v>-0.0184313716605257</v>
      </c>
      <c r="AA569" s="4">
        <v>-0.0053199935722685</v>
      </c>
      <c r="AB569" s="4">
        <v>0.0058626624110316</v>
      </c>
      <c r="AC569" s="4">
        <v>0.005309767227823</v>
      </c>
      <c r="AD569" s="4">
        <v>0.0035969090632401</v>
      </c>
      <c r="AE569" s="4">
        <v>-0.0012488864875649</v>
      </c>
      <c r="AF569" s="4">
        <v>0.0485245711524213</v>
      </c>
      <c r="AG569" s="4">
        <v>-0.0210404147878799</v>
      </c>
      <c r="AH569" s="4">
        <v>0.0691033289891045</v>
      </c>
      <c r="AI569" s="4">
        <v>-0.0072571855665528</v>
      </c>
      <c r="AJ569" s="4">
        <v>0.00341</v>
      </c>
      <c r="AK569" s="4">
        <f>Weights!E625</f>
        <v>0.007929889258</v>
      </c>
      <c r="AL569" s="5">
        <v>-0.0155167638680849</v>
      </c>
      <c r="AM569" s="5">
        <v>-0.0150975609166279</v>
      </c>
      <c r="AN569" s="5">
        <v>-2.96693506727896E-4</v>
      </c>
      <c r="AO569" s="5">
        <v>8.92533801159611E-4</v>
      </c>
      <c r="AP569" s="6">
        <f t="shared" si="3"/>
        <v>1.614736574</v>
      </c>
      <c r="AQ569" s="4">
        <f t="shared" si="4"/>
        <v>1.407034656</v>
      </c>
      <c r="AR569" s="7">
        <f t="shared" si="5"/>
        <v>1.346960757</v>
      </c>
      <c r="AS569" s="7">
        <f t="shared" ref="AS569:AU569" si="571">AS568*(1+AM569)</f>
        <v>1.443187788</v>
      </c>
      <c r="AT569" s="5">
        <f t="shared" si="571"/>
        <v>1.401270366</v>
      </c>
      <c r="AU569" s="5">
        <f t="shared" si="571"/>
        <v>1.376637373</v>
      </c>
    </row>
    <row r="570" ht="15.75" customHeight="1">
      <c r="A570" s="3">
        <v>44655.0</v>
      </c>
      <c r="B570" s="4">
        <v>0.001127</v>
      </c>
      <c r="C570" s="4">
        <v>0.006523</v>
      </c>
      <c r="D570" s="4">
        <v>-0.004551</v>
      </c>
      <c r="E570" s="4">
        <v>-0.002592</v>
      </c>
      <c r="F570" s="4">
        <v>-0.005249</v>
      </c>
      <c r="G570" s="4">
        <v>-0.009653</v>
      </c>
      <c r="H570" s="4">
        <v>-0.006512</v>
      </c>
      <c r="I570" s="4">
        <v>0.004957</v>
      </c>
      <c r="J570" s="4">
        <v>0.004189</v>
      </c>
      <c r="K570" s="4">
        <v>0.012327</v>
      </c>
      <c r="L570" s="4">
        <v>0.008748</v>
      </c>
      <c r="M570" s="4">
        <v>0.00234</v>
      </c>
      <c r="N570" s="4">
        <v>-0.003225</v>
      </c>
      <c r="O570" s="4">
        <v>-0.002962</v>
      </c>
      <c r="P570" s="4">
        <v>-0.018483</v>
      </c>
      <c r="Q570" s="4">
        <v>-0.07196</v>
      </c>
      <c r="R570" s="4">
        <v>-0.001177</v>
      </c>
      <c r="S570" s="4">
        <v>-0.001637</v>
      </c>
      <c r="T570" s="4">
        <v>0.001742</v>
      </c>
      <c r="U570" s="4">
        <v>0.005224</v>
      </c>
      <c r="V570" s="4">
        <v>0.00818755706415896</v>
      </c>
      <c r="W570" s="4">
        <v>-0.020613211088551</v>
      </c>
      <c r="X570" s="4">
        <v>-0.0103092361444964</v>
      </c>
      <c r="Y570" s="4">
        <v>0.0094777579592963</v>
      </c>
      <c r="Z570" s="4">
        <v>0.0085724253055718</v>
      </c>
      <c r="AA570" s="4">
        <v>-0.0197731878922361</v>
      </c>
      <c r="AB570" s="4">
        <v>0.0069386225215353</v>
      </c>
      <c r="AC570" s="4">
        <v>-0.001760468503036</v>
      </c>
      <c r="AD570" s="4">
        <v>-0.0017919592851308</v>
      </c>
      <c r="AE570" s="4">
        <v>-0.0020596587127666</v>
      </c>
      <c r="AF570" s="4">
        <v>0.0437773486215344</v>
      </c>
      <c r="AG570" s="4">
        <v>0.0121140855835917</v>
      </c>
      <c r="AH570" s="4">
        <v>0.0405982778078277</v>
      </c>
      <c r="AI570" s="4">
        <v>-0.0019491314579369</v>
      </c>
      <c r="AJ570" s="4">
        <v>0.008091</v>
      </c>
      <c r="AK570" s="4">
        <f>Weights!E626</f>
        <v>0.001720284739</v>
      </c>
      <c r="AL570" s="5">
        <v>0.00507166609706466</v>
      </c>
      <c r="AM570" s="5">
        <v>0.00399698234006695</v>
      </c>
      <c r="AN570" s="5">
        <v>-0.00741171261035278</v>
      </c>
      <c r="AO570" s="5">
        <v>-0.00785801197543645</v>
      </c>
      <c r="AP570" s="6">
        <f t="shared" si="3"/>
        <v>1.617514381</v>
      </c>
      <c r="AQ570" s="4">
        <f t="shared" si="4"/>
        <v>1.418418973</v>
      </c>
      <c r="AR570" s="7">
        <f t="shared" si="5"/>
        <v>1.353792092</v>
      </c>
      <c r="AS570" s="7">
        <f t="shared" ref="AS570:AU570" si="572">AS569*(1+AM570)</f>
        <v>1.448956184</v>
      </c>
      <c r="AT570" s="5">
        <f t="shared" si="572"/>
        <v>1.390884552</v>
      </c>
      <c r="AU570" s="5">
        <f t="shared" si="572"/>
        <v>1.36581974</v>
      </c>
    </row>
    <row r="571" ht="15.75" customHeight="1">
      <c r="A571" s="3">
        <v>44656.0</v>
      </c>
      <c r="B571" s="4">
        <v>0.00788</v>
      </c>
      <c r="C571" s="4">
        <v>0.0061</v>
      </c>
      <c r="D571" s="4">
        <v>0.005627</v>
      </c>
      <c r="E571" s="4">
        <v>0.001063</v>
      </c>
      <c r="F571" s="4">
        <v>-0.001119</v>
      </c>
      <c r="G571" s="4">
        <v>0.00646</v>
      </c>
      <c r="H571" s="4">
        <v>0.003505</v>
      </c>
      <c r="I571" s="4">
        <v>-0.002574</v>
      </c>
      <c r="J571" s="4">
        <v>0.008145</v>
      </c>
      <c r="K571" s="4">
        <v>-0.003231</v>
      </c>
      <c r="L571" s="4">
        <v>-0.002078</v>
      </c>
      <c r="M571" s="4">
        <v>0.002334</v>
      </c>
      <c r="N571" s="4">
        <v>-0.002336</v>
      </c>
      <c r="O571" s="4">
        <v>-9.36E-4</v>
      </c>
      <c r="P571" s="4">
        <v>-0.017108</v>
      </c>
      <c r="Q571" s="4">
        <v>-0.018048</v>
      </c>
      <c r="R571" s="4">
        <v>-0.03556</v>
      </c>
      <c r="S571" s="4">
        <v>-0.021931</v>
      </c>
      <c r="T571" s="4">
        <v>-0.004815</v>
      </c>
      <c r="U571" s="4">
        <v>8.54E-4</v>
      </c>
      <c r="V571" s="4">
        <v>0.00924104706168793</v>
      </c>
      <c r="W571" s="4">
        <v>0.0173172215071724</v>
      </c>
      <c r="X571" s="4">
        <v>0.0039062443939172</v>
      </c>
      <c r="Y571" s="4">
        <v>0.0260346363453034</v>
      </c>
      <c r="Z571" s="4">
        <v>0.0063744160954679</v>
      </c>
      <c r="AA571" s="4">
        <v>-0.0011571319122127</v>
      </c>
      <c r="AB571" s="4">
        <v>0.0027563847607205</v>
      </c>
      <c r="AC571" s="4">
        <v>0.0105819156498505</v>
      </c>
      <c r="AD571" s="4">
        <v>-0.0017952754529594</v>
      </c>
      <c r="AE571" s="4">
        <v>-0.0049383994427909</v>
      </c>
      <c r="AF571" s="4">
        <v>0.026962161996024</v>
      </c>
      <c r="AG571" s="4">
        <v>0.0046331044043002</v>
      </c>
      <c r="AH571" s="4">
        <v>0.0323408445794775</v>
      </c>
      <c r="AI571" s="4">
        <v>-0.0043948970239983</v>
      </c>
      <c r="AJ571" s="4">
        <v>-0.012552</v>
      </c>
      <c r="AK571" s="4">
        <f>Weights!E627</f>
        <v>0.002636463112</v>
      </c>
      <c r="AL571" s="5">
        <v>0.00714226192771172</v>
      </c>
      <c r="AM571" s="5">
        <v>0.00848709415283832</v>
      </c>
      <c r="AN571" s="5">
        <v>0.00179198337127539</v>
      </c>
      <c r="AO571" s="5">
        <v>0.00135761378588639</v>
      </c>
      <c r="AP571" s="6">
        <f t="shared" si="3"/>
        <v>1.621778898</v>
      </c>
      <c r="AQ571" s="4">
        <f t="shared" si="4"/>
        <v>1.400614978</v>
      </c>
      <c r="AR571" s="7">
        <f t="shared" si="5"/>
        <v>1.36346123</v>
      </c>
      <c r="AS571" s="7">
        <f t="shared" ref="AS571:AU571" si="573">AS570*(1+AM571)</f>
        <v>1.461253612</v>
      </c>
      <c r="AT571" s="5">
        <f t="shared" si="573"/>
        <v>1.393376994</v>
      </c>
      <c r="AU571" s="5">
        <f t="shared" si="573"/>
        <v>1.367673996</v>
      </c>
    </row>
    <row r="572" ht="15.75" customHeight="1">
      <c r="A572" s="3">
        <v>44657.0</v>
      </c>
      <c r="B572" s="4">
        <v>0.007074</v>
      </c>
      <c r="C572" s="4">
        <v>0.007958</v>
      </c>
      <c r="D572" s="4">
        <v>0.007169</v>
      </c>
      <c r="E572" s="4">
        <v>0.01705</v>
      </c>
      <c r="F572" s="4">
        <v>0.010085</v>
      </c>
      <c r="G572" s="4">
        <v>0.026012</v>
      </c>
      <c r="H572" s="4">
        <v>0.014293</v>
      </c>
      <c r="I572" s="4">
        <v>6.45E-4</v>
      </c>
      <c r="J572" s="4">
        <v>0.016946</v>
      </c>
      <c r="K572" s="4">
        <v>-0.013712</v>
      </c>
      <c r="L572" s="4">
        <v>-0.009233</v>
      </c>
      <c r="M572" s="4">
        <v>-0.008849</v>
      </c>
      <c r="N572" s="4">
        <v>-0.001982</v>
      </c>
      <c r="O572" s="4">
        <v>0.007373</v>
      </c>
      <c r="P572" s="4">
        <v>-0.004007</v>
      </c>
      <c r="Q572" s="4">
        <v>-0.006807</v>
      </c>
      <c r="R572" s="4">
        <v>-0.020982</v>
      </c>
      <c r="S572" s="4">
        <v>0.012573</v>
      </c>
      <c r="T572" s="4">
        <v>-0.015524</v>
      </c>
      <c r="U572" s="4">
        <v>0.008323</v>
      </c>
      <c r="V572" s="4">
        <v>0.0152608105237743</v>
      </c>
      <c r="W572" s="4">
        <v>0.0213433354389791</v>
      </c>
      <c r="X572" s="4">
        <v>0.0</v>
      </c>
      <c r="Y572" s="4">
        <v>-0.013361006757501</v>
      </c>
      <c r="Z572" s="4">
        <v>-0.0055299542061451</v>
      </c>
      <c r="AA572" s="4">
        <v>0.0109252398131785</v>
      </c>
      <c r="AB572" s="4">
        <v>0.0041228782640236</v>
      </c>
      <c r="AC572" s="4">
        <v>0.0</v>
      </c>
      <c r="AD572" s="4">
        <v>0.0</v>
      </c>
      <c r="AE572" s="4">
        <v>0.004740736959292</v>
      </c>
      <c r="AF572" s="4">
        <v>0.0452159070195523</v>
      </c>
      <c r="AG572" s="4">
        <v>-0.0058608397112756</v>
      </c>
      <c r="AH572" s="4">
        <v>-0.0034808402625093</v>
      </c>
      <c r="AI572" s="4">
        <v>-0.0019617695110428</v>
      </c>
      <c r="AJ572" s="4">
        <v>-0.009717</v>
      </c>
      <c r="AK572" s="4">
        <f>Weights!E628</f>
        <v>0.002730113418</v>
      </c>
      <c r="AL572" s="5">
        <v>-0.0132582736705666</v>
      </c>
      <c r="AM572" s="5">
        <v>-0.0146192856120906</v>
      </c>
      <c r="AN572" s="5">
        <v>0.00745376184629664</v>
      </c>
      <c r="AO572" s="5">
        <v>0.00610168780580711</v>
      </c>
      <c r="AP572" s="6">
        <f t="shared" si="3"/>
        <v>1.626206538</v>
      </c>
      <c r="AQ572" s="4">
        <f t="shared" si="4"/>
        <v>1.387005203</v>
      </c>
      <c r="AR572" s="7">
        <f t="shared" si="5"/>
        <v>1.345384088</v>
      </c>
      <c r="AS572" s="7">
        <f t="shared" ref="AS572:AU572" si="574">AS571*(1+AM572)</f>
        <v>1.439891128</v>
      </c>
      <c r="AT572" s="5">
        <f t="shared" si="574"/>
        <v>1.403762895</v>
      </c>
      <c r="AU572" s="5">
        <f t="shared" si="574"/>
        <v>1.376019115</v>
      </c>
    </row>
    <row r="573" ht="15.75" customHeight="1">
      <c r="A573" s="3">
        <v>44658.0</v>
      </c>
      <c r="B573" s="4">
        <v>0.007394</v>
      </c>
      <c r="C573" s="4">
        <v>-0.009962</v>
      </c>
      <c r="D573" s="4">
        <v>0.009201</v>
      </c>
      <c r="E573" s="4">
        <v>9.28E-4</v>
      </c>
      <c r="F573" s="4">
        <v>0.005388</v>
      </c>
      <c r="G573" s="4">
        <v>-0.002579</v>
      </c>
      <c r="H573" s="4">
        <v>0.012944</v>
      </c>
      <c r="I573" s="4">
        <v>-0.008595</v>
      </c>
      <c r="J573" s="4">
        <v>-5.81E-4</v>
      </c>
      <c r="K573" s="4">
        <v>-0.022606</v>
      </c>
      <c r="L573" s="4">
        <v>-0.016263</v>
      </c>
      <c r="M573" s="4">
        <v>-0.009868</v>
      </c>
      <c r="N573" s="4">
        <v>-0.017148</v>
      </c>
      <c r="O573" s="4">
        <v>0.01937</v>
      </c>
      <c r="P573" s="4">
        <v>0.018733</v>
      </c>
      <c r="Q573" s="4">
        <v>0.014393</v>
      </c>
      <c r="R573" s="4">
        <v>0.008739</v>
      </c>
      <c r="S573" s="4">
        <v>0.012831</v>
      </c>
      <c r="T573" s="4">
        <v>0.030173</v>
      </c>
      <c r="U573" s="4">
        <v>0.017989</v>
      </c>
      <c r="V573" s="4">
        <v>-0.0131182210841989</v>
      </c>
      <c r="W573" s="4">
        <v>-0.0516667030227993</v>
      </c>
      <c r="X573" s="4">
        <v>-0.0194805763440281</v>
      </c>
      <c r="Y573" s="4">
        <v>-0.0168968193694842</v>
      </c>
      <c r="Z573" s="4">
        <v>-0.0070769665551845</v>
      </c>
      <c r="AA573" s="4">
        <v>-0.0075323075057778</v>
      </c>
      <c r="AB573" s="4">
        <v>-0.0030108325556891</v>
      </c>
      <c r="AC573" s="4">
        <v>-0.0087260045872091</v>
      </c>
      <c r="AD573" s="4">
        <v>-0.0107915229000457</v>
      </c>
      <c r="AE573" s="4">
        <v>-0.0116484931653668</v>
      </c>
      <c r="AF573" s="4">
        <v>0.0399107304470602</v>
      </c>
      <c r="AG573" s="4">
        <v>0.0098579724649194</v>
      </c>
      <c r="AH573" s="4">
        <v>0.0678643512462546</v>
      </c>
      <c r="AI573" s="4">
        <v>-0.0093364050455279</v>
      </c>
      <c r="AJ573" s="4">
        <v>0.004253</v>
      </c>
      <c r="AK573" s="4">
        <f>Weights!E629</f>
        <v>0.0002873081025</v>
      </c>
      <c r="AL573" s="5">
        <v>-0.0109365343849987</v>
      </c>
      <c r="AM573" s="5">
        <v>-0.0114902119167003</v>
      </c>
      <c r="AN573" s="5">
        <v>-0.00473492716402879</v>
      </c>
      <c r="AO573" s="5">
        <v>-0.00628919655978754</v>
      </c>
      <c r="AP573" s="6">
        <f t="shared" si="3"/>
        <v>1.626673761</v>
      </c>
      <c r="AQ573" s="4">
        <f t="shared" si="4"/>
        <v>1.392904136</v>
      </c>
      <c r="AR573" s="7">
        <f t="shared" si="5"/>
        <v>1.330670249</v>
      </c>
      <c r="AS573" s="7">
        <f t="shared" ref="AS573:AU573" si="575">AS572*(1+AM573)</f>
        <v>1.423346474</v>
      </c>
      <c r="AT573" s="5">
        <f t="shared" si="575"/>
        <v>1.39711618</v>
      </c>
      <c r="AU573" s="5">
        <f t="shared" si="575"/>
        <v>1.367365061</v>
      </c>
    </row>
    <row r="574" ht="15.75" customHeight="1">
      <c r="A574" s="3">
        <v>44659.0</v>
      </c>
      <c r="B574" s="4">
        <v>0.005505</v>
      </c>
      <c r="C574" s="4">
        <v>0.016328</v>
      </c>
      <c r="D574" s="4">
        <v>0.006193</v>
      </c>
      <c r="E574" s="4">
        <v>0.003361</v>
      </c>
      <c r="F574" s="4">
        <v>0.006148</v>
      </c>
      <c r="G574" s="4">
        <v>0.001981</v>
      </c>
      <c r="H574" s="4">
        <v>0.007806</v>
      </c>
      <c r="I574" s="4">
        <v>0.012354</v>
      </c>
      <c r="J574" s="4">
        <v>-0.003684</v>
      </c>
      <c r="K574" s="4">
        <v>0.004437</v>
      </c>
      <c r="L574" s="4">
        <v>0.009566</v>
      </c>
      <c r="M574" s="4">
        <v>0.016137</v>
      </c>
      <c r="N574" s="4">
        <v>0.008999</v>
      </c>
      <c r="O574" s="4">
        <v>-0.010909</v>
      </c>
      <c r="P574" s="4">
        <v>0.013452</v>
      </c>
      <c r="Q574" s="4">
        <v>0.039189</v>
      </c>
      <c r="R574" s="4">
        <v>0.010107</v>
      </c>
      <c r="S574" s="4">
        <v>0.015529</v>
      </c>
      <c r="T574" s="4">
        <v>-9.94E-4</v>
      </c>
      <c r="U574" s="4">
        <v>0.004089</v>
      </c>
      <c r="V574" s="4">
        <v>-0.0631404587344243</v>
      </c>
      <c r="W574" s="4">
        <v>-0.0064890444455225</v>
      </c>
      <c r="X574" s="4">
        <v>0.0</v>
      </c>
      <c r="Y574" s="4">
        <v>-0.0025274010181555</v>
      </c>
      <c r="Z574" s="4">
        <v>7.126692241967E-4</v>
      </c>
      <c r="AA574" s="4">
        <v>-0.0024748804722261</v>
      </c>
      <c r="AB574" s="4">
        <v>-0.0115323970995967</v>
      </c>
      <c r="AC574" s="4">
        <v>0.0</v>
      </c>
      <c r="AD574" s="4">
        <v>-0.0036363497423385</v>
      </c>
      <c r="AE574" s="4">
        <v>-0.0015664080828422</v>
      </c>
      <c r="AF574" s="4">
        <v>-0.0040258060151141</v>
      </c>
      <c r="AG574" s="4">
        <v>0.0238300574991843</v>
      </c>
      <c r="AH574" s="4">
        <v>0.0093457850215428</v>
      </c>
      <c r="AI574" s="4">
        <v>-0.0019840439104085</v>
      </c>
      <c r="AJ574" s="4">
        <v>-0.002651</v>
      </c>
      <c r="AK574" s="4">
        <f>Weights!E630</f>
        <v>0.002628849446</v>
      </c>
      <c r="AL574" s="5">
        <v>0.00434399044310707</v>
      </c>
      <c r="AM574" s="5">
        <v>0.00378574920035723</v>
      </c>
      <c r="AN574" s="5">
        <v>-0.00624458973233599</v>
      </c>
      <c r="AO574" s="5">
        <v>-0.00655521887440391</v>
      </c>
      <c r="AP574" s="6">
        <f t="shared" si="3"/>
        <v>1.630950041</v>
      </c>
      <c r="AQ574" s="4">
        <f t="shared" si="4"/>
        <v>1.389211547</v>
      </c>
      <c r="AR574" s="7">
        <f t="shared" si="5"/>
        <v>1.336450667</v>
      </c>
      <c r="AS574" s="7">
        <f t="shared" ref="AS574:AU574" si="576">AS573*(1+AM574)</f>
        <v>1.428734906</v>
      </c>
      <c r="AT574" s="5">
        <f t="shared" si="576"/>
        <v>1.388391762</v>
      </c>
      <c r="AU574" s="5">
        <f t="shared" si="576"/>
        <v>1.358401684</v>
      </c>
    </row>
    <row r="575" ht="15.75" customHeight="1">
      <c r="A575" s="3">
        <v>44662.0</v>
      </c>
      <c r="B575" s="4">
        <v>-0.019343</v>
      </c>
      <c r="C575" s="4">
        <v>0.006912</v>
      </c>
      <c r="D575" s="4">
        <v>0.001197</v>
      </c>
      <c r="E575" s="4">
        <v>-0.003061</v>
      </c>
      <c r="F575" s="4">
        <v>-3.13E-4</v>
      </c>
      <c r="G575" s="4">
        <v>-0.012519</v>
      </c>
      <c r="H575" s="4">
        <v>-0.00381</v>
      </c>
      <c r="I575" s="4">
        <v>-0.013059</v>
      </c>
      <c r="J575" s="4">
        <v>-0.003697</v>
      </c>
      <c r="K575" s="4">
        <v>-0.005847</v>
      </c>
      <c r="L575" s="4">
        <v>0.001472</v>
      </c>
      <c r="M575" s="4">
        <v>-0.003737</v>
      </c>
      <c r="N575" s="4">
        <v>0.008373</v>
      </c>
      <c r="O575" s="4">
        <v>-0.028797</v>
      </c>
      <c r="P575" s="4">
        <v>-0.009498</v>
      </c>
      <c r="Q575" s="4">
        <v>-0.011704</v>
      </c>
      <c r="R575" s="4">
        <v>-0.025526</v>
      </c>
      <c r="S575" s="4">
        <v>0.00161</v>
      </c>
      <c r="T575" s="4">
        <v>0.013531</v>
      </c>
      <c r="U575" s="4">
        <v>-0.008282</v>
      </c>
      <c r="V575" s="4">
        <v>-0.0245344524854796</v>
      </c>
      <c r="W575" s="4">
        <v>0.0084365736768974</v>
      </c>
      <c r="X575" s="4">
        <v>0.0185431645347435</v>
      </c>
      <c r="Y575" s="4">
        <v>0.0233118482072141</v>
      </c>
      <c r="Z575" s="4">
        <v>0.0254375997087867</v>
      </c>
      <c r="AA575" s="4">
        <v>-0.0072775206482199</v>
      </c>
      <c r="AB575" s="4">
        <v>0.0016668290533259</v>
      </c>
      <c r="AC575" s="4">
        <v>0.0193662630390689</v>
      </c>
      <c r="AD575" s="4">
        <v>0.0182481052043506</v>
      </c>
      <c r="AE575" s="4">
        <v>-4.485410875519E-4</v>
      </c>
      <c r="AF575" s="4">
        <v>0.0172459915576264</v>
      </c>
      <c r="AG575" s="4">
        <v>0.0012151623439826</v>
      </c>
      <c r="AH575" s="4">
        <v>0.0129629059338298</v>
      </c>
      <c r="AI575" s="4">
        <v>0.0039761898306127</v>
      </c>
      <c r="AJ575" s="4">
        <v>-0.016877</v>
      </c>
      <c r="AK575" s="4">
        <f>Weights!E631</f>
        <v>0.0006384324597</v>
      </c>
      <c r="AL575" s="5">
        <v>-0.00290967319878532</v>
      </c>
      <c r="AM575" s="5">
        <v>-0.00310565498197668</v>
      </c>
      <c r="AN575" s="5">
        <v>0.00149629321378874</v>
      </c>
      <c r="AO575" s="5">
        <v>0.00204768398551902</v>
      </c>
      <c r="AP575" s="6">
        <f t="shared" si="3"/>
        <v>1.631991292</v>
      </c>
      <c r="AQ575" s="4">
        <f t="shared" si="4"/>
        <v>1.365765824</v>
      </c>
      <c r="AR575" s="7">
        <f t="shared" si="5"/>
        <v>1.332562033</v>
      </c>
      <c r="AS575" s="7">
        <f t="shared" ref="AS575:AU575" si="577">AS574*(1+AM575)</f>
        <v>1.424297749</v>
      </c>
      <c r="AT575" s="5">
        <f t="shared" si="577"/>
        <v>1.390469203</v>
      </c>
      <c r="AU575" s="5">
        <f t="shared" si="577"/>
        <v>1.361183261</v>
      </c>
    </row>
    <row r="576" ht="15.75" customHeight="1">
      <c r="A576" s="3">
        <v>44663.0</v>
      </c>
      <c r="B576" s="4">
        <v>-0.015631</v>
      </c>
      <c r="C576" s="4">
        <v>-0.004267</v>
      </c>
      <c r="D576" s="4">
        <v>-0.002732</v>
      </c>
      <c r="E576" s="4">
        <v>0.004056</v>
      </c>
      <c r="F576" s="4">
        <v>0.011754</v>
      </c>
      <c r="G576" s="4">
        <v>3.34E-4</v>
      </c>
      <c r="H576" s="4">
        <v>-0.00301</v>
      </c>
      <c r="I576" s="4">
        <v>6.51E-4</v>
      </c>
      <c r="J576" s="4">
        <v>-0.003125</v>
      </c>
      <c r="K576" s="4">
        <v>-0.021697</v>
      </c>
      <c r="L576" s="4">
        <v>-0.008451</v>
      </c>
      <c r="M576" s="4">
        <v>-0.007501</v>
      </c>
      <c r="N576" s="4">
        <v>-7.22E-4</v>
      </c>
      <c r="O576" s="4">
        <v>-0.01974</v>
      </c>
      <c r="P576" s="4">
        <v>0.014261</v>
      </c>
      <c r="Q576" s="4">
        <v>-0.005921</v>
      </c>
      <c r="R576" s="4">
        <v>0.005868</v>
      </c>
      <c r="S576" s="4">
        <v>0.00683</v>
      </c>
      <c r="T576" s="4">
        <v>0.029058</v>
      </c>
      <c r="U576" s="4">
        <v>-0.014615</v>
      </c>
      <c r="V576" s="4">
        <v>0.010303033446221</v>
      </c>
      <c r="W576" s="4">
        <v>-0.0136584280675253</v>
      </c>
      <c r="X576" s="4">
        <v>0.0338100655292123</v>
      </c>
      <c r="Y576" s="4">
        <v>-0.0019811474689661</v>
      </c>
      <c r="Z576" s="4">
        <v>0.0010913499027829</v>
      </c>
      <c r="AA576" s="4">
        <v>0.0013328306997353</v>
      </c>
      <c r="AB576" s="4">
        <v>-0.0016640553575096</v>
      </c>
      <c r="AC576" s="4">
        <v>0.0103626793960784</v>
      </c>
      <c r="AD576" s="4">
        <v>-0.0197132369607236</v>
      </c>
      <c r="AE576" s="4">
        <v>0.003587957733026</v>
      </c>
      <c r="AF576" s="4">
        <v>-0.0113906256632614</v>
      </c>
      <c r="AG576" s="4">
        <v>0.0135374962844085</v>
      </c>
      <c r="AH576" s="4">
        <v>0.0018281300584266</v>
      </c>
      <c r="AI576" s="4">
        <v>-4.951616213061E-4</v>
      </c>
      <c r="AJ576" s="4">
        <v>-0.003418</v>
      </c>
      <c r="AK576" s="4">
        <f>Weights!E632</f>
        <v>0.0006684511233</v>
      </c>
      <c r="AL576" s="5">
        <v>-0.0149854897306715</v>
      </c>
      <c r="AM576" s="5">
        <v>-0.0156217168797765</v>
      </c>
      <c r="AN576" s="5">
        <v>0.00119484551357351</v>
      </c>
      <c r="AO576" s="5">
        <v>0.00227083981775177</v>
      </c>
      <c r="AP576" s="6">
        <f t="shared" si="3"/>
        <v>1.633082199</v>
      </c>
      <c r="AQ576" s="4">
        <f t="shared" si="4"/>
        <v>1.361097636</v>
      </c>
      <c r="AR576" s="7">
        <f t="shared" si="5"/>
        <v>1.312592938</v>
      </c>
      <c r="AS576" s="7">
        <f t="shared" ref="AS576:AU576" si="578">AS575*(1+AM576)</f>
        <v>1.402047773</v>
      </c>
      <c r="AT576" s="5">
        <f t="shared" si="578"/>
        <v>1.392130599</v>
      </c>
      <c r="AU576" s="5">
        <f t="shared" si="578"/>
        <v>1.36427429</v>
      </c>
    </row>
    <row r="577" ht="15.75" customHeight="1">
      <c r="A577" s="3">
        <v>44664.0</v>
      </c>
      <c r="B577" s="4">
        <v>0.007183</v>
      </c>
      <c r="C577" s="4">
        <v>0.008757</v>
      </c>
      <c r="D577" s="4">
        <v>0.006849</v>
      </c>
      <c r="E577" s="4">
        <v>-0.001731</v>
      </c>
      <c r="F577" s="4">
        <v>0.002633</v>
      </c>
      <c r="G577" s="4">
        <v>0.004225</v>
      </c>
      <c r="H577" s="4">
        <v>0.00283</v>
      </c>
      <c r="I577" s="4">
        <v>0.005419</v>
      </c>
      <c r="J577" s="4">
        <v>0.001567</v>
      </c>
      <c r="K577" s="4">
        <v>-0.002138</v>
      </c>
      <c r="L577" s="4">
        <v>0.005929</v>
      </c>
      <c r="M577" s="4">
        <v>0.008975</v>
      </c>
      <c r="N577" s="4">
        <v>0.0</v>
      </c>
      <c r="O577" s="4">
        <v>-0.003244</v>
      </c>
      <c r="P577" s="4">
        <v>0.021818</v>
      </c>
      <c r="Q577" s="4">
        <v>0.015222</v>
      </c>
      <c r="R577" s="4">
        <v>0.029792</v>
      </c>
      <c r="S577" s="4">
        <v>0.022745</v>
      </c>
      <c r="T577" s="4">
        <v>0.038095</v>
      </c>
      <c r="U577" s="4">
        <v>-0.012642</v>
      </c>
      <c r="V577" s="4">
        <v>0.00569870665341176</v>
      </c>
      <c r="W577" s="4">
        <v>0.0083470651832791</v>
      </c>
      <c r="X577" s="4">
        <v>0.0</v>
      </c>
      <c r="Y577" s="4">
        <v>0.0204690644919658</v>
      </c>
      <c r="Z577" s="4">
        <v>-0.0043610271531977</v>
      </c>
      <c r="AA577" s="4">
        <v>-0.0036604057231509</v>
      </c>
      <c r="AB577" s="4">
        <v>-0.003888695503308</v>
      </c>
      <c r="AC577" s="4">
        <v>0.0</v>
      </c>
      <c r="AD577" s="4">
        <v>0.0</v>
      </c>
      <c r="AE577" s="4">
        <v>-0.0102779491844948</v>
      </c>
      <c r="AF577" s="4">
        <v>0.0155412004760338</v>
      </c>
      <c r="AG577" s="4">
        <v>-0.0116065160606761</v>
      </c>
      <c r="AH577" s="4">
        <v>-0.0200729526075619</v>
      </c>
      <c r="AI577" s="4">
        <v>0.0039622980115747</v>
      </c>
      <c r="AJ577" s="4">
        <v>0.011175</v>
      </c>
      <c r="AK577" s="4">
        <f>Weights!E633</f>
        <v>0.002885908414</v>
      </c>
      <c r="AL577" s="5">
        <v>-0.00456403489957957</v>
      </c>
      <c r="AM577" s="5">
        <v>-0.00307436171521002</v>
      </c>
      <c r="AN577" s="5">
        <v>-0.00268569418936348</v>
      </c>
      <c r="AO577" s="5">
        <v>-0.00385148225289411</v>
      </c>
      <c r="AP577" s="6">
        <f t="shared" si="3"/>
        <v>1.637795125</v>
      </c>
      <c r="AQ577" s="4">
        <f t="shared" si="4"/>
        <v>1.376307902</v>
      </c>
      <c r="AR577" s="7">
        <f t="shared" si="5"/>
        <v>1.306602218</v>
      </c>
      <c r="AS577" s="7">
        <f t="shared" ref="AS577:AU577" si="579">AS576*(1+AM577)</f>
        <v>1.397737371</v>
      </c>
      <c r="AT577" s="5">
        <f t="shared" si="579"/>
        <v>1.388391762</v>
      </c>
      <c r="AU577" s="5">
        <f t="shared" si="579"/>
        <v>1.359019812</v>
      </c>
    </row>
    <row r="578" ht="15.75" customHeight="1">
      <c r="A578" s="3">
        <v>44665.0</v>
      </c>
      <c r="B578" s="4">
        <v>0.003378</v>
      </c>
      <c r="C578" s="4">
        <v>-0.005726</v>
      </c>
      <c r="D578" s="4">
        <v>0.007313</v>
      </c>
      <c r="E578" s="4">
        <v>-0.006358</v>
      </c>
      <c r="F578" s="4">
        <v>0.00448</v>
      </c>
      <c r="G578" s="4">
        <v>-0.004207</v>
      </c>
      <c r="H578" s="4">
        <v>-0.005581</v>
      </c>
      <c r="I578" s="4">
        <v>-0.00345</v>
      </c>
      <c r="J578" s="4">
        <v>-0.015454</v>
      </c>
      <c r="K578" s="4">
        <v>-0.002544</v>
      </c>
      <c r="L578" s="4">
        <v>-6.45E-4</v>
      </c>
      <c r="M578" s="4">
        <v>0.0</v>
      </c>
      <c r="N578" s="4">
        <v>-0.013548</v>
      </c>
      <c r="O578" s="4">
        <v>-0.010101</v>
      </c>
      <c r="P578" s="4">
        <v>0.005575</v>
      </c>
      <c r="Q578" s="4">
        <v>0.001304</v>
      </c>
      <c r="R578" s="4">
        <v>-0.004855</v>
      </c>
      <c r="S578" s="4">
        <v>5.85E-4</v>
      </c>
      <c r="T578" s="4">
        <v>0.012804</v>
      </c>
      <c r="U578" s="4">
        <v>-0.00515</v>
      </c>
      <c r="V578" s="4">
        <v>-0.00745583278237416</v>
      </c>
      <c r="W578" s="4">
        <v>0.0612023345524024</v>
      </c>
      <c r="X578" s="4">
        <v>-0.0037783323893829</v>
      </c>
      <c r="Y578" s="4">
        <v>0.0102725240791552</v>
      </c>
      <c r="Z578" s="4">
        <v>0.0071677803011203</v>
      </c>
      <c r="AA578" s="4">
        <v>0.005510856044693</v>
      </c>
      <c r="AB578" s="4">
        <v>-0.0072505487864218</v>
      </c>
      <c r="AC578" s="4">
        <v>-0.0068258777428913</v>
      </c>
      <c r="AD578" s="4">
        <v>0.0055147359685967</v>
      </c>
      <c r="AE578" s="4">
        <v>-0.0178342047265743</v>
      </c>
      <c r="AF578" s="4">
        <v>0.0010554068962573</v>
      </c>
      <c r="AG578" s="4">
        <v>8.38569535539E-4</v>
      </c>
      <c r="AH578" s="4">
        <v>0.0777467668365083</v>
      </c>
      <c r="AI578" s="4">
        <v>-0.0069066288039332</v>
      </c>
      <c r="AJ578" s="4">
        <v>-0.012144</v>
      </c>
      <c r="AK578" s="4">
        <f>Weights!E634</f>
        <v>0.002688572172</v>
      </c>
      <c r="AL578" s="5">
        <v>0.0126287291264888</v>
      </c>
      <c r="AM578" s="5">
        <v>0.0131067111657483</v>
      </c>
      <c r="AN578" s="5">
        <v>-0.00418903170934192</v>
      </c>
      <c r="AO578" s="5">
        <v>-0.00318402757145408</v>
      </c>
      <c r="AP578" s="6">
        <f t="shared" si="3"/>
        <v>1.642198455</v>
      </c>
      <c r="AQ578" s="4">
        <f t="shared" si="4"/>
        <v>1.359594019</v>
      </c>
      <c r="AR578" s="7">
        <f t="shared" si="5"/>
        <v>1.323102944</v>
      </c>
      <c r="AS578" s="7">
        <f t="shared" ref="AS578:AU578" si="580">AS577*(1+AM578)</f>
        <v>1.416057111</v>
      </c>
      <c r="AT578" s="5">
        <f t="shared" si="580"/>
        <v>1.382575745</v>
      </c>
      <c r="AU578" s="5">
        <f t="shared" si="580"/>
        <v>1.354692655</v>
      </c>
    </row>
    <row r="579" ht="15.75" customHeight="1">
      <c r="A579" s="3">
        <v>44669.0</v>
      </c>
      <c r="B579" s="4">
        <v>-0.004863</v>
      </c>
      <c r="C579" s="4">
        <v>-0.008174</v>
      </c>
      <c r="D579" s="4">
        <v>-0.009623</v>
      </c>
      <c r="E579" s="4">
        <v>-0.00861</v>
      </c>
      <c r="F579" s="4">
        <v>-0.00892</v>
      </c>
      <c r="G579" s="4">
        <v>-0.012451</v>
      </c>
      <c r="H579" s="4">
        <v>-0.009523</v>
      </c>
      <c r="I579" s="4">
        <v>-6.49E-4</v>
      </c>
      <c r="J579" s="4">
        <v>9.93E-4</v>
      </c>
      <c r="K579" s="4">
        <v>-0.00349</v>
      </c>
      <c r="L579" s="4">
        <v>0.001659</v>
      </c>
      <c r="M579" s="4">
        <v>-0.002341</v>
      </c>
      <c r="N579" s="4">
        <v>-0.005493</v>
      </c>
      <c r="O579" s="4">
        <v>-0.009479</v>
      </c>
      <c r="P579" s="4">
        <v>0.007668</v>
      </c>
      <c r="Q579" s="4">
        <v>0.056641</v>
      </c>
      <c r="R579" s="4">
        <v>0.03212</v>
      </c>
      <c r="S579" s="4">
        <v>-0.004094</v>
      </c>
      <c r="T579" s="4">
        <v>0.030305</v>
      </c>
      <c r="U579" s="4">
        <v>-0.005177</v>
      </c>
      <c r="V579" s="4">
        <v>0.00360579183573683</v>
      </c>
      <c r="W579" s="4">
        <v>-3.836708007017E-4</v>
      </c>
      <c r="X579" s="4">
        <v>-0.0189633116415004</v>
      </c>
      <c r="Y579" s="4">
        <v>0.0083627246803386</v>
      </c>
      <c r="Z579" s="4">
        <v>0.0161114840193015</v>
      </c>
      <c r="AA579" s="4">
        <v>6.644631427161E-4</v>
      </c>
      <c r="AB579" s="4">
        <v>0.0064608485216308</v>
      </c>
      <c r="AC579" s="4">
        <v>0.0068727905710819</v>
      </c>
      <c r="AD579" s="4">
        <v>-0.018281365238574</v>
      </c>
      <c r="AE579" s="4">
        <v>0.0041372865530218</v>
      </c>
      <c r="AF579" s="4">
        <v>-0.0189773597486124</v>
      </c>
      <c r="AG579" s="4">
        <v>-0.0014897598196137</v>
      </c>
      <c r="AH579" s="4">
        <v>0.025053929972294</v>
      </c>
      <c r="AI579" s="4">
        <v>-0.0039741078556249</v>
      </c>
      <c r="AJ579" s="4">
        <v>-2.05E-4</v>
      </c>
      <c r="AK579" s="4">
        <f>Weights!E635</f>
        <v>0.001711823088</v>
      </c>
      <c r="AL579" s="5">
        <v>-0.010167542966163</v>
      </c>
      <c r="AM579" s="5">
        <v>-0.0121760717283188</v>
      </c>
      <c r="AN579" s="5">
        <v>0.00300486043146963</v>
      </c>
      <c r="AO579" s="5">
        <v>0.00547563172203902</v>
      </c>
      <c r="AP579" s="6">
        <f t="shared" si="3"/>
        <v>1.645009608</v>
      </c>
      <c r="AQ579" s="4">
        <f t="shared" si="4"/>
        <v>1.359315302</v>
      </c>
      <c r="AR579" s="7">
        <f t="shared" si="5"/>
        <v>1.309650238</v>
      </c>
      <c r="AS579" s="7">
        <f t="shared" ref="AS579:AU579" si="581">AS578*(1+AM579)</f>
        <v>1.398815098</v>
      </c>
      <c r="AT579" s="5">
        <f t="shared" si="581"/>
        <v>1.386730192</v>
      </c>
      <c r="AU579" s="5">
        <f t="shared" si="581"/>
        <v>1.362110453</v>
      </c>
    </row>
    <row r="580" ht="15.75" customHeight="1">
      <c r="A580" s="3">
        <v>44670.0</v>
      </c>
      <c r="B580" s="4">
        <v>3.76E-4</v>
      </c>
      <c r="C580" s="4">
        <v>0.006743</v>
      </c>
      <c r="D580" s="4">
        <v>-0.003069</v>
      </c>
      <c r="E580" s="4">
        <v>0.014552</v>
      </c>
      <c r="F580" s="4">
        <v>0.009776</v>
      </c>
      <c r="G580" s="4">
        <v>0.030508</v>
      </c>
      <c r="H580" s="4">
        <v>0.014962</v>
      </c>
      <c r="I580" s="4">
        <v>0.004979</v>
      </c>
      <c r="J580" s="4">
        <v>7.94E-4</v>
      </c>
      <c r="K580" s="4">
        <v>0.008621</v>
      </c>
      <c r="L580" s="4">
        <v>0.011593</v>
      </c>
      <c r="M580" s="4">
        <v>0.0</v>
      </c>
      <c r="N580" s="4">
        <v>-9.21E-4</v>
      </c>
      <c r="O580" s="4">
        <v>0.032027</v>
      </c>
      <c r="P580" s="4">
        <v>-0.02997</v>
      </c>
      <c r="Q580" s="4">
        <v>-0.115835</v>
      </c>
      <c r="R580" s="4">
        <v>-0.002561</v>
      </c>
      <c r="S580" s="4">
        <v>-0.00646</v>
      </c>
      <c r="T580" s="4">
        <v>0.008806</v>
      </c>
      <c r="U580" s="4">
        <v>7.2E-5</v>
      </c>
      <c r="V580" s="4">
        <v>0.0128742160136676</v>
      </c>
      <c r="W580" s="4">
        <v>0.0044774396521449</v>
      </c>
      <c r="X580" s="4">
        <v>0.0141752936932095</v>
      </c>
      <c r="Y580" s="4">
        <v>2.387618605461E-4</v>
      </c>
      <c r="Z580" s="4">
        <v>-0.0024319058398589</v>
      </c>
      <c r="AA580" s="4">
        <v>4.977528829379E-4</v>
      </c>
      <c r="AB580" s="4">
        <v>-5.582251778468E-4</v>
      </c>
      <c r="AC580" s="4">
        <v>0.001706392619633</v>
      </c>
      <c r="AD580" s="4">
        <v>0.007448657055401</v>
      </c>
      <c r="AE580" s="4">
        <v>-0.0067145255882241</v>
      </c>
      <c r="AF580" s="4">
        <v>0.0147770222249612</v>
      </c>
      <c r="AG580" s="4">
        <v>-0.0096056276171174</v>
      </c>
      <c r="AH580" s="4">
        <v>-0.0219131097369528</v>
      </c>
      <c r="AI580" s="4">
        <v>0.0059850001676455</v>
      </c>
      <c r="AJ580" s="4">
        <v>0.016058</v>
      </c>
      <c r="AK580" s="4">
        <f>Weights!E636</f>
        <v>-0.0003183996618</v>
      </c>
      <c r="AL580" s="5">
        <v>-0.00337053285313326</v>
      </c>
      <c r="AM580" s="5">
        <v>-0.00172207480157926</v>
      </c>
      <c r="AN580" s="5">
        <v>0.00149777223405322</v>
      </c>
      <c r="AO580" s="5">
        <v>2.27185522353678E-4</v>
      </c>
      <c r="AP580" s="6">
        <f t="shared" si="3"/>
        <v>1.644485838</v>
      </c>
      <c r="AQ580" s="4">
        <f t="shared" si="4"/>
        <v>1.381143187</v>
      </c>
      <c r="AR580" s="7">
        <f t="shared" si="5"/>
        <v>1.305236018</v>
      </c>
      <c r="AS580" s="7">
        <f t="shared" ref="AS580:AU580" si="582">AS579*(1+AM580)</f>
        <v>1.396406233</v>
      </c>
      <c r="AT580" s="5">
        <f t="shared" si="582"/>
        <v>1.388807198</v>
      </c>
      <c r="AU580" s="5">
        <f t="shared" si="582"/>
        <v>1.362419905</v>
      </c>
    </row>
    <row r="581" ht="15.75" customHeight="1">
      <c r="A581" s="3">
        <v>44671.0</v>
      </c>
      <c r="B581" s="4">
        <v>0.020293</v>
      </c>
      <c r="C581" s="4">
        <v>0.012279</v>
      </c>
      <c r="D581" s="4">
        <v>0.041211</v>
      </c>
      <c r="E581" s="4">
        <v>0.014864</v>
      </c>
      <c r="F581" s="4">
        <v>0.013678</v>
      </c>
      <c r="G581" s="4">
        <v>0.004424</v>
      </c>
      <c r="H581" s="4">
        <v>0.026598</v>
      </c>
      <c r="I581" s="4">
        <v>0.008832</v>
      </c>
      <c r="J581" s="4">
        <v>0.015272</v>
      </c>
      <c r="K581" s="4">
        <v>0.016961</v>
      </c>
      <c r="L581" s="4">
        <v>0.011551</v>
      </c>
      <c r="M581" s="4">
        <v>0.0061</v>
      </c>
      <c r="N581" s="4">
        <v>0.006635</v>
      </c>
      <c r="O581" s="4">
        <v>0.023473</v>
      </c>
      <c r="P581" s="4">
        <v>-0.003259</v>
      </c>
      <c r="Q581" s="4">
        <v>0.042509</v>
      </c>
      <c r="R581" s="4">
        <v>-0.014613</v>
      </c>
      <c r="S581" s="4">
        <v>0.018916</v>
      </c>
      <c r="T581" s="4">
        <v>-0.015015</v>
      </c>
      <c r="U581" s="4">
        <v>0.011563</v>
      </c>
      <c r="V581" s="4">
        <v>-0.0455218797304118</v>
      </c>
      <c r="W581" s="4">
        <v>0.003820698469299</v>
      </c>
      <c r="X581" s="4">
        <v>-0.0076238772962891</v>
      </c>
      <c r="Y581" s="4">
        <v>0.0029824078286682</v>
      </c>
      <c r="Z581" s="4">
        <v>0.0047868377932023</v>
      </c>
      <c r="AA581" s="4">
        <v>0.0031519704670048</v>
      </c>
      <c r="AB581" s="4">
        <v>0.0041885649403246</v>
      </c>
      <c r="AC581" s="4">
        <v>0.0034072783489975</v>
      </c>
      <c r="AD581" s="4">
        <v>0.0</v>
      </c>
      <c r="AE581" s="4">
        <v>-0.0085266605075959</v>
      </c>
      <c r="AF581" s="4">
        <v>-0.0653958666998143</v>
      </c>
      <c r="AG581" s="4">
        <v>0.0174202273917059</v>
      </c>
      <c r="AH581" s="4">
        <v>0.0086169668556073</v>
      </c>
      <c r="AI581" s="4">
        <v>-0.0024789581390435</v>
      </c>
      <c r="AJ581" s="4">
        <v>-6.19E-4</v>
      </c>
      <c r="AK581" s="4">
        <f>Weights!E637</f>
        <v>0.00405653243</v>
      </c>
      <c r="AL581" s="5">
        <v>0.0124808910503002</v>
      </c>
      <c r="AM581" s="5">
        <v>0.0176130382202732</v>
      </c>
      <c r="AN581" s="5">
        <v>0.0</v>
      </c>
      <c r="AO581" s="5">
        <v>4.53509147949171E-4</v>
      </c>
      <c r="AP581" s="6">
        <f t="shared" si="3"/>
        <v>1.651156748</v>
      </c>
      <c r="AQ581" s="4">
        <f t="shared" si="4"/>
        <v>1.38028826</v>
      </c>
      <c r="AR581" s="7">
        <f t="shared" si="5"/>
        <v>1.321526527</v>
      </c>
      <c r="AS581" s="7">
        <f t="shared" ref="AS581:AU581" si="583">AS580*(1+AM581)</f>
        <v>1.42100119</v>
      </c>
      <c r="AT581" s="5">
        <f t="shared" si="583"/>
        <v>1.388807198</v>
      </c>
      <c r="AU581" s="5">
        <f t="shared" si="583"/>
        <v>1.363037775</v>
      </c>
    </row>
    <row r="582" ht="15.75" customHeight="1">
      <c r="A582" s="3">
        <v>44672.0</v>
      </c>
      <c r="B582" s="4">
        <v>-0.012891</v>
      </c>
      <c r="C582" s="4">
        <v>0.011027</v>
      </c>
      <c r="D582" s="4">
        <v>-0.024142</v>
      </c>
      <c r="E582" s="4">
        <v>-0.00359</v>
      </c>
      <c r="F582" s="4">
        <v>0.00379</v>
      </c>
      <c r="G582" s="4">
        <v>-0.002882</v>
      </c>
      <c r="H582" s="4">
        <v>-7.74E-4</v>
      </c>
      <c r="I582" s="4">
        <v>-0.011104</v>
      </c>
      <c r="J582" s="4">
        <v>-0.006642</v>
      </c>
      <c r="K582" s="4">
        <v>-0.011819</v>
      </c>
      <c r="L582" s="4">
        <v>-0.009351</v>
      </c>
      <c r="M582" s="4">
        <v>-0.009328</v>
      </c>
      <c r="N582" s="4">
        <v>-0.011168</v>
      </c>
      <c r="O582" s="4">
        <v>-0.024649</v>
      </c>
      <c r="P582" s="4">
        <v>-0.066957</v>
      </c>
      <c r="Q582" s="4">
        <v>-0.064171</v>
      </c>
      <c r="R582" s="4">
        <v>-0.099198</v>
      </c>
      <c r="S582" s="4">
        <v>-0.050087</v>
      </c>
      <c r="T582" s="4">
        <v>0.037459</v>
      </c>
      <c r="U582" s="4">
        <v>-0.004287</v>
      </c>
      <c r="V582" s="4">
        <v>0.0331372625332082</v>
      </c>
      <c r="W582" s="4">
        <v>0.0096422129982711</v>
      </c>
      <c r="X582" s="4">
        <v>0.0</v>
      </c>
      <c r="Y582" s="4">
        <v>0.0094564209998668</v>
      </c>
      <c r="Z582" s="4">
        <v>0.0045697326456999</v>
      </c>
      <c r="AA582" s="4">
        <v>6.614561488935E-4</v>
      </c>
      <c r="AB582" s="4">
        <v>0.0097332893818493</v>
      </c>
      <c r="AC582" s="4">
        <v>0.0</v>
      </c>
      <c r="AD582" s="4">
        <v>0.0</v>
      </c>
      <c r="AE582" s="4">
        <v>-0.0050358741660193</v>
      </c>
      <c r="AF582" s="4">
        <v>-0.0164305290338742</v>
      </c>
      <c r="AG582" s="4">
        <v>0.0047199786485911</v>
      </c>
      <c r="AH582" s="4">
        <v>0.0645023569931599</v>
      </c>
      <c r="AI582" s="4">
        <v>-0.0082230953348302</v>
      </c>
      <c r="AJ582" s="4">
        <v>-0.014753</v>
      </c>
      <c r="AK582" s="4">
        <f>Weights!E638</f>
        <v>-0.003845145677</v>
      </c>
      <c r="AL582" s="5">
        <v>0.00143151432504939</v>
      </c>
      <c r="AM582" s="5">
        <v>-0.00129363801832349</v>
      </c>
      <c r="AN582" s="5">
        <v>0.00777754491798554</v>
      </c>
      <c r="AO582" s="5">
        <v>0.00793650944117008</v>
      </c>
      <c r="AP582" s="6">
        <f t="shared" si="3"/>
        <v>1.64480781</v>
      </c>
      <c r="AQ582" s="4">
        <f t="shared" si="4"/>
        <v>1.359924867</v>
      </c>
      <c r="AR582" s="7">
        <f t="shared" si="5"/>
        <v>1.323418311</v>
      </c>
      <c r="AS582" s="7">
        <f t="shared" ref="AS582:AU582" si="584">AS581*(1+AM582)</f>
        <v>1.419162929</v>
      </c>
      <c r="AT582" s="5">
        <f t="shared" si="584"/>
        <v>1.399608709</v>
      </c>
      <c r="AU582" s="5">
        <f t="shared" si="584"/>
        <v>1.373855537</v>
      </c>
    </row>
    <row r="583" ht="15.75" customHeight="1">
      <c r="A583" s="3">
        <v>44673.0</v>
      </c>
      <c r="B583" s="4">
        <v>-0.022761</v>
      </c>
      <c r="C583" s="4">
        <v>-0.056353</v>
      </c>
      <c r="D583" s="4">
        <v>-0.026254</v>
      </c>
      <c r="E583" s="4">
        <v>-0.015386</v>
      </c>
      <c r="F583" s="4">
        <v>-0.014499</v>
      </c>
      <c r="G583" s="4">
        <v>-0.009926</v>
      </c>
      <c r="H583" s="4">
        <v>-0.008364</v>
      </c>
      <c r="I583" s="4">
        <v>-0.031311</v>
      </c>
      <c r="J583" s="4">
        <v>-0.009636</v>
      </c>
      <c r="K583" s="4">
        <v>-0.025648</v>
      </c>
      <c r="L583" s="4">
        <v>-0.043667</v>
      </c>
      <c r="M583" s="4">
        <v>-0.036723</v>
      </c>
      <c r="N583" s="4">
        <v>-0.03055</v>
      </c>
      <c r="O583" s="4">
        <v>-0.048494</v>
      </c>
      <c r="P583" s="4">
        <v>-0.032961</v>
      </c>
      <c r="Q583" s="4">
        <v>-0.017857</v>
      </c>
      <c r="R583" s="4">
        <v>-0.067631</v>
      </c>
      <c r="S583" s="4">
        <v>-0.020765</v>
      </c>
      <c r="T583" s="4">
        <v>-0.082806</v>
      </c>
      <c r="U583" s="4">
        <v>-0.016862</v>
      </c>
      <c r="V583" s="4">
        <v>0.00509585192669459</v>
      </c>
      <c r="W583" s="4">
        <v>-0.0208594882352156</v>
      </c>
      <c r="X583" s="4">
        <v>0.0062892722718761</v>
      </c>
      <c r="Y583" s="4">
        <v>0.0014730808663481</v>
      </c>
      <c r="Z583" s="4">
        <v>0.0032909459316503</v>
      </c>
      <c r="AA583" s="4">
        <v>0.002644225614393</v>
      </c>
      <c r="AB583" s="4">
        <v>-0.0038559808069084</v>
      </c>
      <c r="AC583" s="4">
        <v>0.0218855551834684</v>
      </c>
      <c r="AD583" s="4">
        <v>0.0018351090816843</v>
      </c>
      <c r="AE583" s="4">
        <v>-0.0031150449390819</v>
      </c>
      <c r="AF583" s="4">
        <v>-0.0120967855412111</v>
      </c>
      <c r="AG583" s="4">
        <v>-0.0047900624305685</v>
      </c>
      <c r="AH583" s="4">
        <v>-0.0060193034848335</v>
      </c>
      <c r="AI583" s="4">
        <v>-0.0015077394348991</v>
      </c>
      <c r="AJ583" s="4">
        <v>-0.02774</v>
      </c>
      <c r="AK583" s="4">
        <f>Weights!E639</f>
        <v>-0.01581153654</v>
      </c>
      <c r="AL583" s="5">
        <v>-0.0149301194910836</v>
      </c>
      <c r="AM583" s="5">
        <v>-0.016347904548144</v>
      </c>
      <c r="AN583" s="5">
        <v>-0.00207776077698096</v>
      </c>
      <c r="AO583" s="5">
        <v>-0.00134976703540112</v>
      </c>
      <c r="AP583" s="6">
        <f t="shared" si="3"/>
        <v>1.618800871</v>
      </c>
      <c r="AQ583" s="4">
        <f t="shared" si="4"/>
        <v>1.322200551</v>
      </c>
      <c r="AR583" s="7">
        <f t="shared" si="5"/>
        <v>1.303659518</v>
      </c>
      <c r="AS583" s="7">
        <f t="shared" ref="AS583:AU583" si="585">AS582*(1+AM583)</f>
        <v>1.395962588</v>
      </c>
      <c r="AT583" s="5">
        <f t="shared" si="585"/>
        <v>1.396700656</v>
      </c>
      <c r="AU583" s="5">
        <f t="shared" si="585"/>
        <v>1.372001152</v>
      </c>
    </row>
    <row r="584" ht="15.75" customHeight="1">
      <c r="A584" s="3">
        <v>44676.0</v>
      </c>
      <c r="B584" s="4">
        <v>-3.82E-4</v>
      </c>
      <c r="C584" s="4">
        <v>-0.031401</v>
      </c>
      <c r="D584" s="4">
        <v>-0.004148</v>
      </c>
      <c r="E584" s="4">
        <v>0.009236</v>
      </c>
      <c r="F584" s="4">
        <v>0.010575</v>
      </c>
      <c r="G584" s="4">
        <v>0.024623</v>
      </c>
      <c r="H584" s="4">
        <v>0.008062</v>
      </c>
      <c r="I584" s="4">
        <v>-0.015827</v>
      </c>
      <c r="J584" s="4">
        <v>-0.011319</v>
      </c>
      <c r="K584" s="4">
        <v>-0.002591</v>
      </c>
      <c r="L584" s="4">
        <v>-0.009482</v>
      </c>
      <c r="M584" s="4">
        <v>-0.010264</v>
      </c>
      <c r="N584" s="4">
        <v>-0.008021</v>
      </c>
      <c r="O584" s="4">
        <v>-0.00642</v>
      </c>
      <c r="P584" s="4">
        <v>-0.025631</v>
      </c>
      <c r="Q584" s="4">
        <v>-0.037818</v>
      </c>
      <c r="R584" s="4">
        <v>-0.006204</v>
      </c>
      <c r="S584" s="4">
        <v>-0.031393</v>
      </c>
      <c r="T584" s="4">
        <v>-0.015461</v>
      </c>
      <c r="U584" s="4">
        <v>-0.00562</v>
      </c>
      <c r="V584" s="4">
        <v>-0.0265432430499109</v>
      </c>
      <c r="W584" s="4">
        <v>-0.024384021186379</v>
      </c>
      <c r="X584" s="4">
        <v>0.0062501266315204</v>
      </c>
      <c r="Y584" s="4">
        <v>-2.941064764688E-4</v>
      </c>
      <c r="Z584" s="4">
        <v>-0.0054022572865023</v>
      </c>
      <c r="AA584" s="4">
        <v>0.0060986735816823</v>
      </c>
      <c r="AB584" s="4">
        <v>0.0132708614470655</v>
      </c>
      <c r="AC584" s="4">
        <v>0.0082372331451558</v>
      </c>
      <c r="AD584" s="4">
        <v>-0.0054946351621605</v>
      </c>
      <c r="AE584" s="4">
        <v>-0.0019524790583123</v>
      </c>
      <c r="AF584" s="4">
        <v>0.0230322207100477</v>
      </c>
      <c r="AG584" s="4">
        <v>-0.03109947028796</v>
      </c>
      <c r="AH584" s="4">
        <v>-0.0310859518710179</v>
      </c>
      <c r="AI584" s="4">
        <v>0.0060393100062716</v>
      </c>
      <c r="AJ584" s="4">
        <v>0.005698</v>
      </c>
      <c r="AK584" s="4">
        <f>Weights!E640</f>
        <v>-0.007468710998</v>
      </c>
      <c r="AL584" s="5">
        <v>-0.0246694652645907</v>
      </c>
      <c r="AM584" s="5">
        <v>-0.0272454946941239</v>
      </c>
      <c r="AN584" s="5">
        <v>-0.0142773539605609</v>
      </c>
      <c r="AO584" s="5">
        <v>-0.0155441483119139</v>
      </c>
      <c r="AP584" s="6">
        <f t="shared" si="3"/>
        <v>1.606710515</v>
      </c>
      <c r="AQ584" s="4">
        <f t="shared" si="4"/>
        <v>1.32973445</v>
      </c>
      <c r="AR584" s="7">
        <f t="shared" si="5"/>
        <v>1.271498934</v>
      </c>
      <c r="AS584" s="7">
        <f t="shared" ref="AS584:AU584" si="586">AS583*(1+AM584)</f>
        <v>1.357928897</v>
      </c>
      <c r="AT584" s="5">
        <f t="shared" si="586"/>
        <v>1.376759467</v>
      </c>
      <c r="AU584" s="5">
        <f t="shared" si="586"/>
        <v>1.350674563</v>
      </c>
    </row>
    <row r="585" ht="15.75" customHeight="1">
      <c r="A585" s="3">
        <v>44677.0</v>
      </c>
      <c r="B585" s="4">
        <v>-0.022918</v>
      </c>
      <c r="C585" s="4">
        <v>-0.017303</v>
      </c>
      <c r="D585" s="4">
        <v>-0.020479</v>
      </c>
      <c r="E585" s="4">
        <v>-0.002533</v>
      </c>
      <c r="F585" s="4">
        <v>-0.013497</v>
      </c>
      <c r="G585" s="4">
        <v>-0.00715</v>
      </c>
      <c r="H585" s="4">
        <v>-0.016979</v>
      </c>
      <c r="I585" s="4">
        <v>-0.008834</v>
      </c>
      <c r="J585" s="4">
        <v>-0.00703</v>
      </c>
      <c r="K585" s="4">
        <v>-0.024614</v>
      </c>
      <c r="L585" s="4">
        <v>-0.017888</v>
      </c>
      <c r="M585" s="4">
        <v>-0.031605</v>
      </c>
      <c r="N585" s="4">
        <v>-0.030227</v>
      </c>
      <c r="O585" s="4">
        <v>-0.041115</v>
      </c>
      <c r="P585" s="4">
        <v>-0.006611</v>
      </c>
      <c r="Q585" s="4">
        <v>0.0</v>
      </c>
      <c r="R585" s="4">
        <v>-0.035294</v>
      </c>
      <c r="S585" s="4">
        <v>-0.025971</v>
      </c>
      <c r="T585" s="4">
        <v>-0.009649</v>
      </c>
      <c r="U585" s="4">
        <v>0.009174</v>
      </c>
      <c r="V585" s="4">
        <v>-0.0333945870051328</v>
      </c>
      <c r="W585" s="4">
        <v>0.0460405139959492</v>
      </c>
      <c r="X585" s="4">
        <v>-0.0074534051434957</v>
      </c>
      <c r="Y585" s="4">
        <v>0.0033542011180478</v>
      </c>
      <c r="Z585" s="4">
        <v>0.0107661724585537</v>
      </c>
      <c r="AA585" s="4">
        <v>0.0057339169104948</v>
      </c>
      <c r="AB585" s="4">
        <v>0.004911138631781</v>
      </c>
      <c r="AC585" s="4">
        <v>-0.0065359630959815</v>
      </c>
      <c r="AD585" s="4">
        <v>-0.0055248911378089</v>
      </c>
      <c r="AE585" s="4">
        <v>0.0108003358533506</v>
      </c>
      <c r="AF585" s="4">
        <v>-0.0356228357551573</v>
      </c>
      <c r="AG585" s="4">
        <v>-0.0107950150172314</v>
      </c>
      <c r="AH585" s="4">
        <v>-0.017500022351741</v>
      </c>
      <c r="AI585" s="4">
        <v>0.0035015414004044</v>
      </c>
      <c r="AJ585" s="4">
        <v>-0.028146</v>
      </c>
      <c r="AK585" s="4">
        <f>Weights!E641</f>
        <v>-0.01008060476</v>
      </c>
      <c r="AL585" s="5">
        <v>0.00239705358990272</v>
      </c>
      <c r="AM585" s="5">
        <v>0.00546156909283035</v>
      </c>
      <c r="AN585" s="5">
        <v>-0.0199154444866894</v>
      </c>
      <c r="AO585" s="5">
        <v>-0.0205949431278619</v>
      </c>
      <c r="AP585" s="6">
        <f t="shared" si="3"/>
        <v>1.590513901</v>
      </c>
      <c r="AQ585" s="4">
        <f t="shared" si="4"/>
        <v>1.292307744</v>
      </c>
      <c r="AR585" s="7">
        <f t="shared" si="5"/>
        <v>1.274546785</v>
      </c>
      <c r="AS585" s="7">
        <f t="shared" ref="AS585:AU585" si="587">AS584*(1+AM585)</f>
        <v>1.36534532</v>
      </c>
      <c r="AT585" s="5">
        <f t="shared" si="587"/>
        <v>1.34934069</v>
      </c>
      <c r="AU585" s="5">
        <f t="shared" si="587"/>
        <v>1.322857497</v>
      </c>
    </row>
    <row r="586" ht="15.75" customHeight="1">
      <c r="A586" s="3">
        <v>44678.0</v>
      </c>
      <c r="B586" s="4">
        <v>-0.003909</v>
      </c>
      <c r="C586" s="4">
        <v>-0.019227</v>
      </c>
      <c r="D586" s="4">
        <v>-0.004429</v>
      </c>
      <c r="E586" s="4">
        <v>0.008944</v>
      </c>
      <c r="F586" s="4">
        <v>0.00784</v>
      </c>
      <c r="G586" s="4">
        <v>-0.01397</v>
      </c>
      <c r="H586" s="4">
        <v>-0.002691</v>
      </c>
      <c r="I586" s="4">
        <v>0.001371</v>
      </c>
      <c r="J586" s="4">
        <v>-0.002629</v>
      </c>
      <c r="K586" s="4">
        <v>-0.008552</v>
      </c>
      <c r="L586" s="4">
        <v>-0.004234</v>
      </c>
      <c r="M586" s="4">
        <v>-0.009179</v>
      </c>
      <c r="N586" s="4">
        <v>-0.011316</v>
      </c>
      <c r="O586" s="4">
        <v>-0.008954</v>
      </c>
      <c r="P586" s="4">
        <v>0.0</v>
      </c>
      <c r="Q586" s="4">
        <v>0.006047</v>
      </c>
      <c r="R586" s="4">
        <v>0.037581</v>
      </c>
      <c r="S586" s="4">
        <v>-0.007492</v>
      </c>
      <c r="T586" s="4">
        <v>0.012482</v>
      </c>
      <c r="U586" s="4">
        <v>0.017818</v>
      </c>
      <c r="V586" s="4">
        <v>-0.0307448807870223</v>
      </c>
      <c r="W586" s="4">
        <v>-8.802484661116E-4</v>
      </c>
      <c r="X586" s="4">
        <v>0.0050061962775598</v>
      </c>
      <c r="Y586" s="4">
        <v>-0.0164221113463616</v>
      </c>
      <c r="Z586" s="4">
        <v>-0.0098838400220404</v>
      </c>
      <c r="AA586" s="4">
        <v>0.0094477489677737</v>
      </c>
      <c r="AB586" s="4">
        <v>2.716840979815E-4</v>
      </c>
      <c r="AC586" s="4">
        <v>0.001644796266188</v>
      </c>
      <c r="AD586" s="4">
        <v>-0.0018519982614729</v>
      </c>
      <c r="AE586" s="4">
        <v>-0.0044134096293004</v>
      </c>
      <c r="AF586" s="4">
        <v>-0.0301418213178008</v>
      </c>
      <c r="AG586" s="4">
        <v>-0.0225978550961503</v>
      </c>
      <c r="AH586" s="4">
        <v>-0.0131467925371141</v>
      </c>
      <c r="AI586" s="4">
        <v>4.988561118308E-4</v>
      </c>
      <c r="AJ586" s="4">
        <v>0.002098</v>
      </c>
      <c r="AK586" s="4">
        <f>Weights!E642</f>
        <v>-0.004308840646</v>
      </c>
      <c r="AL586" s="5">
        <v>-0.0268821707277892</v>
      </c>
      <c r="AM586" s="5">
        <v>-0.0285064018425786</v>
      </c>
      <c r="AN586" s="5">
        <v>-0.00892847697531973</v>
      </c>
      <c r="AO586" s="5">
        <v>-0.00794374271298592</v>
      </c>
      <c r="AP586" s="6">
        <f t="shared" si="3"/>
        <v>1.58366063</v>
      </c>
      <c r="AQ586" s="4">
        <f t="shared" si="4"/>
        <v>1.295019006</v>
      </c>
      <c r="AR586" s="7">
        <f t="shared" si="5"/>
        <v>1.240284201</v>
      </c>
      <c r="AS586" s="7">
        <f t="shared" ref="AS586:AU586" si="588">AS585*(1+AM586)</f>
        <v>1.326424237</v>
      </c>
      <c r="AT586" s="5">
        <f t="shared" si="588"/>
        <v>1.337293133</v>
      </c>
      <c r="AU586" s="5">
        <f t="shared" si="588"/>
        <v>1.312349057</v>
      </c>
    </row>
    <row r="587" ht="15.75" customHeight="1">
      <c r="A587" s="3">
        <v>44679.0</v>
      </c>
      <c r="B587" s="4">
        <v>0.004317</v>
      </c>
      <c r="C587" s="4">
        <v>-0.001238</v>
      </c>
      <c r="D587" s="4">
        <v>8.9E-4</v>
      </c>
      <c r="E587" s="4">
        <v>0.015156</v>
      </c>
      <c r="F587" s="4">
        <v>0.00961</v>
      </c>
      <c r="G587" s="4">
        <v>0.007468</v>
      </c>
      <c r="H587" s="4">
        <v>0.025414</v>
      </c>
      <c r="I587" s="4">
        <v>0.018028</v>
      </c>
      <c r="J587" s="4">
        <v>0.009126</v>
      </c>
      <c r="K587" s="4">
        <v>0.034502</v>
      </c>
      <c r="L587" s="4">
        <v>0.015721</v>
      </c>
      <c r="M587" s="4">
        <v>0.016984</v>
      </c>
      <c r="N587" s="4">
        <v>0.015663</v>
      </c>
      <c r="O587" s="4">
        <v>-0.005635</v>
      </c>
      <c r="P587" s="4">
        <v>0.015943</v>
      </c>
      <c r="Q587" s="4">
        <v>0.026296</v>
      </c>
      <c r="R587" s="4">
        <v>0.003598</v>
      </c>
      <c r="S587" s="4">
        <v>0.011767</v>
      </c>
      <c r="T587" s="4">
        <v>0.010441</v>
      </c>
      <c r="U587" s="4">
        <v>0.010432</v>
      </c>
      <c r="V587" s="4">
        <v>-0.0130804205767531</v>
      </c>
      <c r="W587" s="4">
        <v>0.024417899700341</v>
      </c>
      <c r="X587" s="4">
        <v>0.0</v>
      </c>
      <c r="Y587" s="4">
        <v>-0.046273213164055</v>
      </c>
      <c r="Z587" s="4">
        <v>-0.0517544023123179</v>
      </c>
      <c r="AA587" s="4">
        <v>0.0153299872572854</v>
      </c>
      <c r="AB587" s="4">
        <v>-0.0081434557794692</v>
      </c>
      <c r="AC587" s="4">
        <v>0.0</v>
      </c>
      <c r="AD587" s="4">
        <v>0.0</v>
      </c>
      <c r="AE587" s="4">
        <v>0.0023332778319578</v>
      </c>
      <c r="AF587" s="4">
        <v>0.0265081558002797</v>
      </c>
      <c r="AG587" s="4">
        <v>-0.0011854821031535</v>
      </c>
      <c r="AH587" s="4">
        <v>0.0214869758594773</v>
      </c>
      <c r="AI587" s="4">
        <v>4.979670436744E-4</v>
      </c>
      <c r="AJ587" s="4">
        <v>0.024747</v>
      </c>
      <c r="AK587" s="4">
        <f>Weights!E643</f>
        <v>0.006861039226</v>
      </c>
      <c r="AL587" s="5">
        <v>0.0037284615149653</v>
      </c>
      <c r="AM587" s="5">
        <v>0.00195932526241948</v>
      </c>
      <c r="AN587" s="5">
        <v>-0.0146008875096489</v>
      </c>
      <c r="AO587" s="5">
        <v>-0.0155441853074116</v>
      </c>
      <c r="AP587" s="6">
        <f t="shared" si="3"/>
        <v>1.594526188</v>
      </c>
      <c r="AQ587" s="4">
        <f t="shared" si="4"/>
        <v>1.327066841</v>
      </c>
      <c r="AR587" s="7">
        <f t="shared" si="5"/>
        <v>1.244908553</v>
      </c>
      <c r="AS587" s="7">
        <f t="shared" ref="AS587:AU587" si="589">AS586*(1+AM587)</f>
        <v>1.329023134</v>
      </c>
      <c r="AT587" s="5">
        <f t="shared" si="589"/>
        <v>1.317767466</v>
      </c>
      <c r="AU587" s="5">
        <f t="shared" si="589"/>
        <v>1.291949661</v>
      </c>
    </row>
    <row r="588" ht="15.75" customHeight="1">
      <c r="A588" s="3">
        <v>44680.0</v>
      </c>
      <c r="B588" s="4">
        <v>-0.022665</v>
      </c>
      <c r="C588" s="4">
        <v>-0.043388</v>
      </c>
      <c r="D588" s="4">
        <v>-0.03165</v>
      </c>
      <c r="E588" s="4">
        <v>-0.03262</v>
      </c>
      <c r="F588" s="4">
        <v>-0.023871</v>
      </c>
      <c r="G588" s="4">
        <v>-0.016352</v>
      </c>
      <c r="H588" s="4">
        <v>-0.017502</v>
      </c>
      <c r="I588" s="4">
        <v>-0.021744</v>
      </c>
      <c r="J588" s="4">
        <v>-0.022307</v>
      </c>
      <c r="K588" s="4">
        <v>-0.012575</v>
      </c>
      <c r="L588" s="4">
        <v>-0.016548</v>
      </c>
      <c r="M588" s="4">
        <v>-0.010121</v>
      </c>
      <c r="N588" s="4">
        <v>-0.01641</v>
      </c>
      <c r="O588" s="4">
        <v>-0.063416</v>
      </c>
      <c r="P588" s="4">
        <v>-0.005868</v>
      </c>
      <c r="Q588" s="4">
        <v>-0.016837</v>
      </c>
      <c r="R588" s="4">
        <v>-0.030832</v>
      </c>
      <c r="S588" s="4">
        <v>-0.01558</v>
      </c>
      <c r="T588" s="4">
        <v>-0.036539</v>
      </c>
      <c r="U588" s="4">
        <v>-0.024326</v>
      </c>
      <c r="V588" s="4">
        <v>0.0102716393355235</v>
      </c>
      <c r="W588" s="4">
        <v>-0.0023344366704627</v>
      </c>
      <c r="X588" s="4">
        <v>0.0</v>
      </c>
      <c r="Y588" s="4">
        <v>0.0157560123307394</v>
      </c>
      <c r="Z588" s="4">
        <v>0.0054171168862995</v>
      </c>
      <c r="AA588" s="4">
        <v>-3.17777956925E-4</v>
      </c>
      <c r="AB588" s="4">
        <v>0.0019157343883082</v>
      </c>
      <c r="AC588" s="4">
        <v>0.0</v>
      </c>
      <c r="AD588" s="4">
        <v>0.0</v>
      </c>
      <c r="AE588" s="4">
        <v>0.015983969912974</v>
      </c>
      <c r="AF588" s="4">
        <v>-0.0023744423345057</v>
      </c>
      <c r="AG588" s="4">
        <v>-0.0107824982177017</v>
      </c>
      <c r="AH588" s="4">
        <v>0.0147243778022583</v>
      </c>
      <c r="AI588" s="4">
        <v>-4.977191959179E-4</v>
      </c>
      <c r="AJ588" s="4">
        <v>-0.036285</v>
      </c>
      <c r="AK588" s="4">
        <f>Weights!E644</f>
        <v>-0.009411303653</v>
      </c>
      <c r="AL588" s="5">
        <v>0.0215280985771622</v>
      </c>
      <c r="AM588" s="5">
        <v>0.0243728269698781</v>
      </c>
      <c r="AN588" s="5">
        <v>0.00252205960010454</v>
      </c>
      <c r="AO588" s="5">
        <v>0.0023925306399537</v>
      </c>
      <c r="AP588" s="6">
        <f t="shared" si="3"/>
        <v>1.579519618</v>
      </c>
      <c r="AQ588" s="4">
        <f t="shared" si="4"/>
        <v>1.278914221</v>
      </c>
      <c r="AR588" s="7">
        <f t="shared" si="5"/>
        <v>1.271709067</v>
      </c>
      <c r="AS588" s="7">
        <f t="shared" ref="AS588:AU588" si="590">AS587*(1+AM588)</f>
        <v>1.361415185</v>
      </c>
      <c r="AT588" s="5">
        <f t="shared" si="590"/>
        <v>1.321090954</v>
      </c>
      <c r="AU588" s="5">
        <f t="shared" si="590"/>
        <v>1.29504069</v>
      </c>
    </row>
    <row r="589" ht="15.75" customHeight="1">
      <c r="A589" s="3">
        <v>44683.0</v>
      </c>
      <c r="B589" s="4">
        <v>-0.009996</v>
      </c>
      <c r="C589" s="4">
        <v>-0.001512</v>
      </c>
      <c r="D589" s="4">
        <v>-0.021484</v>
      </c>
      <c r="E589" s="4">
        <v>-0.023004</v>
      </c>
      <c r="F589" s="4">
        <v>-0.018109</v>
      </c>
      <c r="G589" s="4">
        <v>-0.010085</v>
      </c>
      <c r="H589" s="4">
        <v>-0.013516</v>
      </c>
      <c r="I589" s="4">
        <v>-0.004812</v>
      </c>
      <c r="J589" s="4">
        <v>-0.012127</v>
      </c>
      <c r="K589" s="4">
        <v>-0.003184</v>
      </c>
      <c r="L589" s="4">
        <v>-0.00287</v>
      </c>
      <c r="M589" s="4">
        <v>-0.006135</v>
      </c>
      <c r="N589" s="4">
        <v>-0.007035</v>
      </c>
      <c r="O589" s="4">
        <v>-0.001</v>
      </c>
      <c r="P589" s="4">
        <v>-0.007413</v>
      </c>
      <c r="Q589" s="4">
        <v>-0.008191</v>
      </c>
      <c r="R589" s="4">
        <v>-0.009125</v>
      </c>
      <c r="S589" s="4">
        <v>-0.014267</v>
      </c>
      <c r="T589" s="4">
        <v>-0.030947</v>
      </c>
      <c r="U589" s="4">
        <v>-0.024861</v>
      </c>
      <c r="V589" s="4">
        <v>0.0150869425933106</v>
      </c>
      <c r="W589" s="4">
        <v>0.0178570353605875</v>
      </c>
      <c r="X589" s="4">
        <v>0.0124379014156117</v>
      </c>
      <c r="Y589" s="4">
        <v>-0.0088638776691627</v>
      </c>
      <c r="Z589" s="4">
        <v>-0.0102673926968469</v>
      </c>
      <c r="AA589" s="4">
        <v>0.0066771895401878</v>
      </c>
      <c r="AB589" s="4">
        <v>-0.0027314788435802</v>
      </c>
      <c r="AC589" s="4">
        <v>-0.011308534589</v>
      </c>
      <c r="AD589" s="4">
        <v>0.0018517934397233</v>
      </c>
      <c r="AE589" s="4">
        <v>0.0</v>
      </c>
      <c r="AF589" s="4">
        <v>-0.0157692474854136</v>
      </c>
      <c r="AG589" s="4">
        <v>-0.0053998943348269</v>
      </c>
      <c r="AH589" s="4">
        <v>0.0597015161425296</v>
      </c>
      <c r="AI589" s="4">
        <v>-0.0034885440899337</v>
      </c>
      <c r="AJ589" s="4">
        <v>0.005675</v>
      </c>
      <c r="AK589" s="4">
        <f>Weights!E645</f>
        <v>-0.002521121028</v>
      </c>
      <c r="AL589" s="5">
        <v>-0.0295867346334188</v>
      </c>
      <c r="AM589" s="5">
        <v>-0.0367369412386228</v>
      </c>
      <c r="AN589" s="5">
        <v>0.0176102013737999</v>
      </c>
      <c r="AO589" s="5">
        <v>0.017899704069427</v>
      </c>
      <c r="AP589" s="6">
        <f t="shared" si="3"/>
        <v>1.575537458</v>
      </c>
      <c r="AQ589" s="4">
        <f t="shared" si="4"/>
        <v>1.286172059</v>
      </c>
      <c r="AR589" s="7">
        <f t="shared" si="5"/>
        <v>1.234083348</v>
      </c>
      <c r="AS589" s="7">
        <f t="shared" ref="AS589:AU589" si="591">AS588*(1+AM589)</f>
        <v>1.311400955</v>
      </c>
      <c r="AT589" s="5">
        <f t="shared" si="591"/>
        <v>1.344355632</v>
      </c>
      <c r="AU589" s="5">
        <f t="shared" si="591"/>
        <v>1.318221535</v>
      </c>
    </row>
    <row r="590" ht="15.75" customHeight="1">
      <c r="A590" s="3">
        <v>44684.0</v>
      </c>
      <c r="B590" s="4">
        <v>0.00727</v>
      </c>
      <c r="C590" s="4">
        <v>0.020333</v>
      </c>
      <c r="D590" s="4">
        <v>0.005254</v>
      </c>
      <c r="E590" s="4">
        <v>0.001371</v>
      </c>
      <c r="F590" s="4">
        <v>-0.005675</v>
      </c>
      <c r="G590" s="4">
        <v>-0.001959</v>
      </c>
      <c r="H590" s="4">
        <v>-0.013701</v>
      </c>
      <c r="I590" s="4">
        <v>0.009901</v>
      </c>
      <c r="J590" s="4">
        <v>-0.003745</v>
      </c>
      <c r="K590" s="4">
        <v>0.014304</v>
      </c>
      <c r="L590" s="4">
        <v>0.013004</v>
      </c>
      <c r="M590" s="4">
        <v>0.006687</v>
      </c>
      <c r="N590" s="4">
        <v>0.015789</v>
      </c>
      <c r="O590" s="4">
        <v>-0.016769</v>
      </c>
      <c r="P590" s="4">
        <v>-9.68E-4</v>
      </c>
      <c r="Q590" s="4">
        <v>0.016517</v>
      </c>
      <c r="R590" s="4">
        <v>-7.47E-4</v>
      </c>
      <c r="S590" s="4">
        <v>0.018544</v>
      </c>
      <c r="T590" s="4">
        <v>0.014468</v>
      </c>
      <c r="U590" s="4">
        <v>-0.004385</v>
      </c>
      <c r="V590" s="4">
        <v>-0.0155089042121767</v>
      </c>
      <c r="W590" s="4">
        <v>-0.0199635496206456</v>
      </c>
      <c r="X590" s="4">
        <v>-0.0024570519693413</v>
      </c>
      <c r="Y590" s="4">
        <v>-0.0081355383100141</v>
      </c>
      <c r="Z590" s="4">
        <v>-0.0044165000903945</v>
      </c>
      <c r="AA590" s="4">
        <v>0.0238472298392316</v>
      </c>
      <c r="AB590" s="4">
        <v>-0.003560551596196</v>
      </c>
      <c r="AC590" s="4">
        <v>-0.0049019171574896</v>
      </c>
      <c r="AD590" s="4">
        <v>0.0462109015227949</v>
      </c>
      <c r="AE590" s="4">
        <v>-0.0139760116034259</v>
      </c>
      <c r="AF590" s="4">
        <v>-0.0405078188834255</v>
      </c>
      <c r="AG590" s="4">
        <v>0.0261410288037131</v>
      </c>
      <c r="AH590" s="4">
        <v>0.0207355138559344</v>
      </c>
      <c r="AI590" s="4">
        <v>-0.003498936000454</v>
      </c>
      <c r="AJ590" s="4">
        <v>0.004837</v>
      </c>
      <c r="AK590" s="4">
        <f>Weights!E646</f>
        <v>0.003800085878</v>
      </c>
      <c r="AL590" s="5">
        <v>0.00357685319191092</v>
      </c>
      <c r="AM590" s="5">
        <v>0.00754061202526656</v>
      </c>
      <c r="AN590" s="5">
        <v>-0.017305448933222</v>
      </c>
      <c r="AO590" s="5">
        <v>-0.0166474113311155</v>
      </c>
      <c r="AP590" s="6">
        <f t="shared" si="3"/>
        <v>1.581524635</v>
      </c>
      <c r="AQ590" s="4">
        <f t="shared" si="4"/>
        <v>1.292393273</v>
      </c>
      <c r="AR590" s="7">
        <f t="shared" si="5"/>
        <v>1.238497483</v>
      </c>
      <c r="AS590" s="7">
        <f t="shared" ref="AS590:AU590" si="592">AS589*(1+AM590)</f>
        <v>1.321289721</v>
      </c>
      <c r="AT590" s="5">
        <f t="shared" si="592"/>
        <v>1.321090954</v>
      </c>
      <c r="AU590" s="5">
        <f t="shared" si="592"/>
        <v>1.296276559</v>
      </c>
    </row>
    <row r="591" ht="15.75" customHeight="1">
      <c r="A591" s="3">
        <v>44685.0</v>
      </c>
      <c r="B591" s="4">
        <v>0.009222</v>
      </c>
      <c r="C591" s="4">
        <v>0.02544</v>
      </c>
      <c r="D591" s="4">
        <v>0.008027</v>
      </c>
      <c r="E591" s="4">
        <v>0.034943</v>
      </c>
      <c r="F591" s="4">
        <v>0.030913</v>
      </c>
      <c r="G591" s="4">
        <v>0.010713</v>
      </c>
      <c r="H591" s="4">
        <v>0.007362</v>
      </c>
      <c r="I591" s="4">
        <v>0.030324</v>
      </c>
      <c r="J591" s="4">
        <v>0.001462</v>
      </c>
      <c r="K591" s="4">
        <v>0.013554</v>
      </c>
      <c r="L591" s="4">
        <v>0.020382</v>
      </c>
      <c r="M591" s="4">
        <v>0.021972</v>
      </c>
      <c r="N591" s="4">
        <v>0.01953</v>
      </c>
      <c r="O591" s="4">
        <v>0.044904</v>
      </c>
      <c r="P591" s="4">
        <v>0.015919</v>
      </c>
      <c r="Q591" s="4">
        <v>0.009601</v>
      </c>
      <c r="R591" s="4">
        <v>0.028643</v>
      </c>
      <c r="S591" s="4">
        <v>0.017984</v>
      </c>
      <c r="T591" s="4">
        <v>0.015576</v>
      </c>
      <c r="U591" s="4">
        <v>-0.021202</v>
      </c>
      <c r="V591" s="4">
        <v>-0.0390548212804832</v>
      </c>
      <c r="W591" s="4">
        <v>-0.0177778375880677</v>
      </c>
      <c r="X591" s="4">
        <v>0.0123153600257424</v>
      </c>
      <c r="Y591" s="4">
        <v>8.764929961302E-4</v>
      </c>
      <c r="Z591" s="4">
        <v>-0.0090788334380499</v>
      </c>
      <c r="AA591" s="4">
        <v>-0.0015424981653924</v>
      </c>
      <c r="AB591" s="4">
        <v>0.0054973125961941</v>
      </c>
      <c r="AC591" s="4">
        <v>0.0016420214388941</v>
      </c>
      <c r="AD591" s="4">
        <v>0.0247348832446678</v>
      </c>
      <c r="AE591" s="4">
        <v>0.0189761951086393</v>
      </c>
      <c r="AF591" s="4">
        <v>0.0044107909224149</v>
      </c>
      <c r="AG591" s="4">
        <v>0.015187347945575</v>
      </c>
      <c r="AH591" s="4">
        <v>0.0164814041273557</v>
      </c>
      <c r="AI591" s="4">
        <v>-0.0010040045185576</v>
      </c>
      <c r="AJ591" s="4">
        <v>0.029862</v>
      </c>
      <c r="AK591" s="4">
        <f>Weights!E647</f>
        <v>0.009804500284</v>
      </c>
      <c r="AL591" s="5">
        <v>0.00534629331933578</v>
      </c>
      <c r="AM591" s="5">
        <v>0.00474931141803969</v>
      </c>
      <c r="AN591" s="5">
        <v>-6.28796936341102E-4</v>
      </c>
      <c r="AO591" s="5">
        <v>-0.00238414580418644</v>
      </c>
      <c r="AP591" s="6">
        <f t="shared" si="3"/>
        <v>1.597030694</v>
      </c>
      <c r="AQ591" s="4">
        <f t="shared" si="4"/>
        <v>1.330986721</v>
      </c>
      <c r="AR591" s="7">
        <f t="shared" si="5"/>
        <v>1.245118854</v>
      </c>
      <c r="AS591" s="7">
        <f t="shared" ref="AS591:AU591" si="593">AS590*(1+AM591)</f>
        <v>1.327564937</v>
      </c>
      <c r="AT591" s="5">
        <f t="shared" si="593"/>
        <v>1.320260256</v>
      </c>
      <c r="AU591" s="5">
        <f t="shared" si="593"/>
        <v>1.293186046</v>
      </c>
    </row>
    <row r="592" ht="15.75" customHeight="1">
      <c r="A592" s="3">
        <v>44686.0</v>
      </c>
      <c r="B592" s="4">
        <v>-0.021057</v>
      </c>
      <c r="C592" s="4">
        <v>-0.010957</v>
      </c>
      <c r="D592" s="4">
        <v>-0.018333</v>
      </c>
      <c r="E592" s="4">
        <v>-0.019959</v>
      </c>
      <c r="F592" s="4">
        <v>-0.007996</v>
      </c>
      <c r="G592" s="4">
        <v>-0.01909</v>
      </c>
      <c r="H592" s="4">
        <v>-0.018429</v>
      </c>
      <c r="I592" s="4">
        <v>-0.013498</v>
      </c>
      <c r="J592" s="4">
        <v>0.002085</v>
      </c>
      <c r="K592" s="4">
        <v>-0.016885</v>
      </c>
      <c r="L592" s="4">
        <v>-0.022952</v>
      </c>
      <c r="M592" s="4">
        <v>-0.0305</v>
      </c>
      <c r="N592" s="4">
        <v>-0.026192</v>
      </c>
      <c r="O592" s="4">
        <v>-0.007357</v>
      </c>
      <c r="P592" s="4">
        <v>-0.014307</v>
      </c>
      <c r="Q592" s="4">
        <v>-0.066569</v>
      </c>
      <c r="R592" s="4">
        <v>-0.040194</v>
      </c>
      <c r="S592" s="4">
        <v>-0.034024</v>
      </c>
      <c r="T592" s="4">
        <v>-0.088721</v>
      </c>
      <c r="U592" s="4">
        <v>-0.028297</v>
      </c>
      <c r="V592" s="4">
        <v>-0.0163933796538453</v>
      </c>
      <c r="W592" s="4">
        <v>0.0483910427407476</v>
      </c>
      <c r="X592" s="4">
        <v>0.0</v>
      </c>
      <c r="Y592" s="4">
        <v>-0.0217078431816251</v>
      </c>
      <c r="Z592" s="4">
        <v>-0.0176990483390837</v>
      </c>
      <c r="AA592" s="4">
        <v>-0.0030899024659292</v>
      </c>
      <c r="AB592" s="4">
        <v>0.0142156174405516</v>
      </c>
      <c r="AC592" s="4">
        <v>0.0</v>
      </c>
      <c r="AD592" s="4">
        <v>0.0</v>
      </c>
      <c r="AE592" s="4">
        <v>6.841742112584E-4</v>
      </c>
      <c r="AF592" s="4">
        <v>-0.0018820157996766</v>
      </c>
      <c r="AG592" s="4">
        <v>0.0289546156080018</v>
      </c>
      <c r="AH592" s="4">
        <v>0.0230015497207933</v>
      </c>
      <c r="AI592" s="4">
        <v>-0.003013426968208</v>
      </c>
      <c r="AJ592" s="4">
        <v>-0.03565</v>
      </c>
      <c r="AK592" s="4">
        <f>Weights!E648</f>
        <v>-0.01015671368</v>
      </c>
      <c r="AL592" s="5">
        <v>0.0258293955344965</v>
      </c>
      <c r="AM592" s="5">
        <v>0.0293179536565879</v>
      </c>
      <c r="AN592" s="5">
        <v>0.0100691907458851</v>
      </c>
      <c r="AO592" s="5">
        <v>0.01003816216146</v>
      </c>
      <c r="AP592" s="6">
        <f t="shared" si="3"/>
        <v>1.580810111</v>
      </c>
      <c r="AQ592" s="4">
        <f t="shared" si="4"/>
        <v>1.283537044</v>
      </c>
      <c r="AR592" s="7">
        <f t="shared" si="5"/>
        <v>1.277279522</v>
      </c>
      <c r="AS592" s="7">
        <f t="shared" ref="AS592:AU592" si="594">AS591*(1+AM592)</f>
        <v>1.366486425</v>
      </c>
      <c r="AT592" s="5">
        <f t="shared" si="594"/>
        <v>1.333554209</v>
      </c>
      <c r="AU592" s="5">
        <f t="shared" si="594"/>
        <v>1.306167258</v>
      </c>
    </row>
    <row r="593" ht="15.75" customHeight="1">
      <c r="A593" s="3">
        <v>44687.0</v>
      </c>
      <c r="B593" s="4">
        <v>0.017451</v>
      </c>
      <c r="C593" s="4">
        <v>0.008988</v>
      </c>
      <c r="D593" s="4">
        <v>-0.01943</v>
      </c>
      <c r="E593" s="4">
        <v>1.17E-4</v>
      </c>
      <c r="F593" s="4">
        <v>0.003565</v>
      </c>
      <c r="G593" s="4">
        <v>-0.002206</v>
      </c>
      <c r="H593" s="4">
        <v>0.00997</v>
      </c>
      <c r="I593" s="4">
        <v>0.019067</v>
      </c>
      <c r="J593" s="4">
        <v>0.016441</v>
      </c>
      <c r="K593" s="4">
        <v>-0.007832</v>
      </c>
      <c r="L593" s="4">
        <v>-0.01091</v>
      </c>
      <c r="M593" s="4">
        <v>-0.001031</v>
      </c>
      <c r="N593" s="4">
        <v>-0.007627</v>
      </c>
      <c r="O593" s="4">
        <v>-0.008246</v>
      </c>
      <c r="P593" s="4">
        <v>0.007327</v>
      </c>
      <c r="Q593" s="4">
        <v>-0.025862</v>
      </c>
      <c r="R593" s="4">
        <v>-0.0444</v>
      </c>
      <c r="S593" s="4">
        <v>-0.003161</v>
      </c>
      <c r="T593" s="4">
        <v>-0.030322</v>
      </c>
      <c r="U593" s="4">
        <v>-0.005102</v>
      </c>
      <c r="V593" s="4">
        <v>-0.0270833761341654</v>
      </c>
      <c r="W593" s="4">
        <v>-0.0239778067745878</v>
      </c>
      <c r="X593" s="4">
        <v>0.0133173039865255</v>
      </c>
      <c r="Y593" s="4">
        <v>0.0029415721556478</v>
      </c>
      <c r="Z593" s="4">
        <v>0.0021197829604961</v>
      </c>
      <c r="AA593" s="4">
        <v>1.551005330577E-4</v>
      </c>
      <c r="AB593" s="4">
        <v>0.0040431630893971</v>
      </c>
      <c r="AC593" s="4">
        <v>-0.0050848366917022</v>
      </c>
      <c r="AD593" s="4">
        <v>0.0052358239222813</v>
      </c>
      <c r="AE593" s="4">
        <v>-0.0102545124121486</v>
      </c>
      <c r="AF593" s="4">
        <v>-0.0323695730910713</v>
      </c>
      <c r="AG593" s="4">
        <v>-0.0202608415075881</v>
      </c>
      <c r="AH593" s="4">
        <v>0.0246958757101913</v>
      </c>
      <c r="AI593" s="4">
        <v>-0.0045339645936837</v>
      </c>
      <c r="AJ593" s="4">
        <v>-0.005674</v>
      </c>
      <c r="AK593" s="4">
        <f>Weights!E649</f>
        <v>-0.003447489101</v>
      </c>
      <c r="AL593" s="5">
        <v>-0.0364519989338105</v>
      </c>
      <c r="AM593" s="5">
        <v>-0.0368788857265761</v>
      </c>
      <c r="AN593" s="5">
        <v>0.011837900012029</v>
      </c>
      <c r="AO593" s="5">
        <v>0.0132513634039441</v>
      </c>
      <c r="AP593" s="6">
        <f t="shared" si="3"/>
        <v>1.575360285</v>
      </c>
      <c r="AQ593" s="4">
        <f t="shared" si="4"/>
        <v>1.276254255</v>
      </c>
      <c r="AR593" s="7">
        <f t="shared" si="5"/>
        <v>1.23072013</v>
      </c>
      <c r="AS593" s="7">
        <f t="shared" ref="AS593:AU593" si="595">AS592*(1+AM593)</f>
        <v>1.316091928</v>
      </c>
      <c r="AT593" s="5">
        <f t="shared" si="595"/>
        <v>1.34934069</v>
      </c>
      <c r="AU593" s="5">
        <f t="shared" si="595"/>
        <v>1.323475755</v>
      </c>
    </row>
    <row r="594" ht="15.75" customHeight="1">
      <c r="A594" s="3">
        <v>44690.0</v>
      </c>
      <c r="B594" s="4">
        <v>-0.024731</v>
      </c>
      <c r="C594" s="4">
        <v>0.007251</v>
      </c>
      <c r="D594" s="4">
        <v>-0.050404</v>
      </c>
      <c r="E594" s="4">
        <v>0.00757</v>
      </c>
      <c r="F594" s="4">
        <v>-0.002008</v>
      </c>
      <c r="G594" s="4">
        <v>0.005443</v>
      </c>
      <c r="H594" s="4">
        <v>-0.0025</v>
      </c>
      <c r="I594" s="4">
        <v>-0.045124</v>
      </c>
      <c r="J594" s="4">
        <v>0.006552</v>
      </c>
      <c r="K594" s="4">
        <v>-0.015372</v>
      </c>
      <c r="L594" s="4">
        <v>-0.025241</v>
      </c>
      <c r="M594" s="4">
        <v>-0.026846</v>
      </c>
      <c r="N594" s="4">
        <v>-0.003438</v>
      </c>
      <c r="O594" s="4">
        <v>-0.046078</v>
      </c>
      <c r="P594" s="4">
        <v>-0.054206</v>
      </c>
      <c r="Q594" s="4">
        <v>-0.057924</v>
      </c>
      <c r="R594" s="4">
        <v>-0.062302</v>
      </c>
      <c r="S594" s="4">
        <v>-0.03692</v>
      </c>
      <c r="T594" s="4">
        <v>-0.047748</v>
      </c>
      <c r="U594" s="4">
        <v>-0.030217</v>
      </c>
      <c r="V594" s="4">
        <v>-0.0446109762353493</v>
      </c>
      <c r="W594" s="4">
        <v>0.0073698917848858</v>
      </c>
      <c r="X594" s="4">
        <v>0.0298684826549611</v>
      </c>
      <c r="Y594" s="4">
        <v>-0.0103927740285002</v>
      </c>
      <c r="Z594" s="4">
        <v>-2.115216649563E-4</v>
      </c>
      <c r="AA594" s="4">
        <v>0.0018593009228176</v>
      </c>
      <c r="AB594" s="4">
        <v>-0.0091275946821507</v>
      </c>
      <c r="AC594" s="4">
        <v>-0.0153321023425786</v>
      </c>
      <c r="AD594" s="4">
        <v>0.0017360562719568</v>
      </c>
      <c r="AE594" s="4">
        <v>-0.0069072756031289</v>
      </c>
      <c r="AF594" s="4">
        <v>-0.0029229617155721</v>
      </c>
      <c r="AG594" s="4">
        <v>0.0018191125197275</v>
      </c>
      <c r="AH594" s="4">
        <v>-0.0197841968788606</v>
      </c>
      <c r="AI594" s="4">
        <v>0.0025299803758505</v>
      </c>
      <c r="AJ594" s="4">
        <v>-0.032037</v>
      </c>
      <c r="AK594" s="4">
        <f>Weights!E650</f>
        <v>-0.01461685562</v>
      </c>
      <c r="AL594" s="5">
        <v>-0.00649029677374513</v>
      </c>
      <c r="AM594" s="5">
        <v>-0.00804375957833114</v>
      </c>
      <c r="AN594" s="5">
        <v>-0.0218595970935748</v>
      </c>
      <c r="AO594" s="5">
        <v>-0.0228864851735306</v>
      </c>
      <c r="AP594" s="6">
        <f t="shared" si="3"/>
        <v>1.552333471</v>
      </c>
      <c r="AQ594" s="4">
        <f t="shared" si="4"/>
        <v>1.235366898</v>
      </c>
      <c r="AR594" s="7">
        <f t="shared" si="5"/>
        <v>1.222732391</v>
      </c>
      <c r="AS594" s="7">
        <f t="shared" ref="AS594:AU594" si="596">AS593*(1+AM594)</f>
        <v>1.305505601</v>
      </c>
      <c r="AT594" s="5">
        <f t="shared" si="596"/>
        <v>1.319844646</v>
      </c>
      <c r="AU594" s="5">
        <f t="shared" si="596"/>
        <v>1.293186046</v>
      </c>
    </row>
    <row r="595" ht="15.75" customHeight="1">
      <c r="A595" s="3">
        <v>44691.0</v>
      </c>
      <c r="B595" s="4">
        <v>-0.015133</v>
      </c>
      <c r="C595" s="4">
        <v>-0.010078</v>
      </c>
      <c r="D595" s="4">
        <v>0.011143</v>
      </c>
      <c r="E595" s="4">
        <v>-0.001223</v>
      </c>
      <c r="F595" s="4">
        <v>-0.009286</v>
      </c>
      <c r="G595" s="4">
        <v>-0.001353</v>
      </c>
      <c r="H595" s="4">
        <v>-0.00527</v>
      </c>
      <c r="I595" s="4">
        <v>-0.010143</v>
      </c>
      <c r="J595" s="4">
        <v>-8.14E-4</v>
      </c>
      <c r="K595" s="4">
        <v>-0.006329</v>
      </c>
      <c r="L595" s="4">
        <v>-0.010704</v>
      </c>
      <c r="M595" s="4">
        <v>0.005835</v>
      </c>
      <c r="N595" s="4">
        <v>-0.008727</v>
      </c>
      <c r="O595" s="4">
        <v>0.012867</v>
      </c>
      <c r="P595" s="4">
        <v>-0.009431</v>
      </c>
      <c r="Q595" s="4">
        <v>-0.027327</v>
      </c>
      <c r="R595" s="4">
        <v>0.015484</v>
      </c>
      <c r="S595" s="4">
        <v>-0.020696</v>
      </c>
      <c r="T595" s="4">
        <v>-0.003845</v>
      </c>
      <c r="U595" s="4">
        <v>0.00358</v>
      </c>
      <c r="V595" s="4">
        <v>0.0108329610038611</v>
      </c>
      <c r="W595" s="4">
        <v>0.0115841815608896</v>
      </c>
      <c r="X595" s="4">
        <v>-0.0197216006746483</v>
      </c>
      <c r="Y595" s="4">
        <v>0.0179756084280795</v>
      </c>
      <c r="Z595" s="4">
        <v>0.0042314930239495</v>
      </c>
      <c r="AA595" s="4">
        <v>0.0017010616566961</v>
      </c>
      <c r="AB595" s="4">
        <v>-0.0040638564665416</v>
      </c>
      <c r="AC595" s="4">
        <v>0.0173009958380949</v>
      </c>
      <c r="AD595" s="4">
        <v>-0.0121318124455664</v>
      </c>
      <c r="AE595" s="4">
        <v>-0.0031684269125941</v>
      </c>
      <c r="AF595" s="4">
        <v>-0.0029316100350752</v>
      </c>
      <c r="AG595" s="4">
        <v>0.0032493303087346</v>
      </c>
      <c r="AH595" s="4">
        <v>-0.013944906320306</v>
      </c>
      <c r="AI595" s="4">
        <v>0.0</v>
      </c>
      <c r="AJ595" s="4">
        <v>0.002458</v>
      </c>
      <c r="AK595" s="4">
        <f>Weights!E651</f>
        <v>-0.002658920573</v>
      </c>
      <c r="AL595" s="5">
        <v>-0.0324048707141748</v>
      </c>
      <c r="AM595" s="5">
        <v>-0.0354453684150934</v>
      </c>
      <c r="AN595" s="5">
        <v>-0.00283271976972632</v>
      </c>
      <c r="AO595" s="5">
        <v>-0.00310722623182746</v>
      </c>
      <c r="AP595" s="6">
        <f t="shared" si="3"/>
        <v>1.54820594</v>
      </c>
      <c r="AQ595" s="4">
        <f t="shared" si="4"/>
        <v>1.238403429</v>
      </c>
      <c r="AR595" s="7">
        <f t="shared" si="5"/>
        <v>1.183109906</v>
      </c>
      <c r="AS595" s="7">
        <f t="shared" ref="AS595:AU595" si="597">AS594*(1+AM595)</f>
        <v>1.259231474</v>
      </c>
      <c r="AT595" s="5">
        <f t="shared" si="597"/>
        <v>1.316105896</v>
      </c>
      <c r="AU595" s="5">
        <f t="shared" si="597"/>
        <v>1.289167825</v>
      </c>
    </row>
    <row r="596" ht="15.75" customHeight="1">
      <c r="A596" s="3">
        <v>44692.0</v>
      </c>
      <c r="B596" s="4">
        <v>-0.007475</v>
      </c>
      <c r="C596" s="4">
        <v>-0.005194</v>
      </c>
      <c r="D596" s="4">
        <v>-0.00581</v>
      </c>
      <c r="E596" s="4">
        <v>-0.00484</v>
      </c>
      <c r="F596" s="4">
        <v>0.004687</v>
      </c>
      <c r="G596" s="4">
        <v>-0.005421</v>
      </c>
      <c r="H596" s="4">
        <v>-0.014084</v>
      </c>
      <c r="I596" s="4">
        <v>0.004425</v>
      </c>
      <c r="J596" s="4">
        <v>-0.010383</v>
      </c>
      <c r="K596" s="4">
        <v>0.008917</v>
      </c>
      <c r="L596" s="4">
        <v>0.002164</v>
      </c>
      <c r="M596" s="4">
        <v>-0.012658</v>
      </c>
      <c r="N596" s="4">
        <v>-0.01249</v>
      </c>
      <c r="O596" s="4">
        <v>-0.017109</v>
      </c>
      <c r="P596" s="4">
        <v>0.002197</v>
      </c>
      <c r="Q596" s="4">
        <v>0.005268</v>
      </c>
      <c r="R596" s="4">
        <v>-0.004436</v>
      </c>
      <c r="S596" s="4">
        <v>-0.002882</v>
      </c>
      <c r="T596" s="4">
        <v>-0.027484</v>
      </c>
      <c r="U596" s="4">
        <v>-0.005593</v>
      </c>
      <c r="V596" s="4">
        <v>0.0147820300432925</v>
      </c>
      <c r="W596" s="4">
        <v>0.0049421726091993</v>
      </c>
      <c r="X596" s="4">
        <v>0.0142012409100087</v>
      </c>
      <c r="Y596" s="4">
        <v>0.0153796954715992</v>
      </c>
      <c r="Z596" s="4">
        <v>0.015063627688084</v>
      </c>
      <c r="AA596" s="4">
        <v>-0.003705397567416</v>
      </c>
      <c r="AB596" s="4">
        <v>0.0</v>
      </c>
      <c r="AC596" s="4">
        <v>0.0034013968110675</v>
      </c>
      <c r="AD596" s="4">
        <v>-0.0035087586532888</v>
      </c>
      <c r="AE596" s="4">
        <v>-0.0108536498426636</v>
      </c>
      <c r="AF596" s="4">
        <v>9.800499465564E-4</v>
      </c>
      <c r="AG596" s="4">
        <v>-0.0123833682716614</v>
      </c>
      <c r="AH596" s="4">
        <v>0.0524748904068688</v>
      </c>
      <c r="AI596" s="4">
        <v>-0.0080768038087049</v>
      </c>
      <c r="AJ596" s="4">
        <v>-0.016463</v>
      </c>
      <c r="AK596" s="4">
        <f>Weights!E652</f>
        <v>0.0006617615631</v>
      </c>
      <c r="AL596" s="5">
        <v>0.00230964827852298</v>
      </c>
      <c r="AM596" s="5">
        <v>0.00201362495264434</v>
      </c>
      <c r="AN596" s="5">
        <v>-0.0280934681408541</v>
      </c>
      <c r="AO596" s="5">
        <v>-0.0294892330808921</v>
      </c>
      <c r="AP596" s="6">
        <f t="shared" si="3"/>
        <v>1.549230483</v>
      </c>
      <c r="AQ596" s="4">
        <f t="shared" si="4"/>
        <v>1.218015594</v>
      </c>
      <c r="AR596" s="7">
        <f t="shared" si="5"/>
        <v>1.185842474</v>
      </c>
      <c r="AS596" s="7">
        <f t="shared" ref="AS596:AU596" si="598">AS595*(1+AM596)</f>
        <v>1.261767094</v>
      </c>
      <c r="AT596" s="5">
        <f t="shared" si="598"/>
        <v>1.279131917</v>
      </c>
      <c r="AU596" s="5">
        <f t="shared" si="598"/>
        <v>1.251151254</v>
      </c>
    </row>
    <row r="597" ht="15.75" customHeight="1">
      <c r="A597" s="3">
        <v>44693.0</v>
      </c>
      <c r="B597" s="4">
        <v>-0.005439</v>
      </c>
      <c r="C597" s="4">
        <v>0.003759</v>
      </c>
      <c r="D597" s="4">
        <v>-0.0131</v>
      </c>
      <c r="E597" s="4">
        <v>-0.001524</v>
      </c>
      <c r="F597" s="4">
        <v>0.00311</v>
      </c>
      <c r="G597" s="4">
        <v>0.009879</v>
      </c>
      <c r="H597" s="4">
        <v>-0.004063</v>
      </c>
      <c r="I597" s="4">
        <v>0.004919</v>
      </c>
      <c r="J597" s="4">
        <v>-0.003703</v>
      </c>
      <c r="K597" s="4">
        <v>-0.010382</v>
      </c>
      <c r="L597" s="4">
        <v>-0.011414</v>
      </c>
      <c r="M597" s="4">
        <v>-0.104701</v>
      </c>
      <c r="N597" s="4">
        <v>-0.02965</v>
      </c>
      <c r="O597" s="4">
        <v>0.00444</v>
      </c>
      <c r="P597" s="4">
        <v>-0.04487</v>
      </c>
      <c r="Q597" s="4">
        <v>-0.034934</v>
      </c>
      <c r="R597" s="4">
        <v>-0.04372</v>
      </c>
      <c r="S597" s="4">
        <v>-0.051301</v>
      </c>
      <c r="T597" s="4">
        <v>-0.010558</v>
      </c>
      <c r="U597" s="4">
        <v>9.78E-4</v>
      </c>
      <c r="V597" s="4">
        <v>-0.0123816499214961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  <c r="AD597" s="4">
        <v>0.0</v>
      </c>
      <c r="AE597" s="4">
        <v>0.0</v>
      </c>
      <c r="AF597" s="4">
        <v>0.0</v>
      </c>
      <c r="AG597" s="4">
        <v>0.0</v>
      </c>
      <c r="AH597" s="4">
        <v>0.0</v>
      </c>
      <c r="AI597" s="4">
        <v>0.0</v>
      </c>
      <c r="AJ597" s="4">
        <v>-0.001296</v>
      </c>
      <c r="AK597" s="4">
        <f>Weights!E653</f>
        <v>-0.01033054467</v>
      </c>
      <c r="AL597" s="5">
        <v>-0.0132057522249546</v>
      </c>
      <c r="AM597" s="5">
        <v>-0.0180860452612102</v>
      </c>
      <c r="AN597" s="5">
        <v>-0.0051965423794229</v>
      </c>
      <c r="AO597" s="5">
        <v>-0.00543493695367802</v>
      </c>
      <c r="AP597" s="6">
        <f t="shared" si="3"/>
        <v>1.533226088</v>
      </c>
      <c r="AQ597" s="4">
        <f t="shared" si="4"/>
        <v>1.216437046</v>
      </c>
      <c r="AR597" s="7">
        <f t="shared" si="5"/>
        <v>1.170182532</v>
      </c>
      <c r="AS597" s="7">
        <f t="shared" ref="AS597:AU597" si="599">AS596*(1+AM597)</f>
        <v>1.238946717</v>
      </c>
      <c r="AT597" s="5">
        <f t="shared" si="599"/>
        <v>1.272484854</v>
      </c>
      <c r="AU597" s="5">
        <f t="shared" si="599"/>
        <v>1.244351326</v>
      </c>
    </row>
    <row r="598" ht="15.75" customHeight="1">
      <c r="A598" s="3">
        <v>44694.0</v>
      </c>
      <c r="B598" s="4">
        <v>0.020614</v>
      </c>
      <c r="C598" s="4">
        <v>0.002497</v>
      </c>
      <c r="D598" s="4">
        <v>0.016337</v>
      </c>
      <c r="E598" s="4">
        <v>0.019484</v>
      </c>
      <c r="F598" s="4">
        <v>0.018757</v>
      </c>
      <c r="G598" s="4">
        <v>-0.005734</v>
      </c>
      <c r="H598" s="4">
        <v>0.010724</v>
      </c>
      <c r="I598" s="4">
        <v>0.026008</v>
      </c>
      <c r="J598" s="4">
        <v>0.006607</v>
      </c>
      <c r="K598" s="4">
        <v>0.008364</v>
      </c>
      <c r="L598" s="4">
        <v>0.019867</v>
      </c>
      <c r="M598" s="4">
        <v>0.040573</v>
      </c>
      <c r="N598" s="4">
        <v>0.017521</v>
      </c>
      <c r="O598" s="4">
        <v>0.02366</v>
      </c>
      <c r="P598" s="4">
        <v>-0.00153</v>
      </c>
      <c r="Q598" s="4">
        <v>0.047964</v>
      </c>
      <c r="R598" s="4">
        <v>0.020384</v>
      </c>
      <c r="S598" s="4">
        <v>0.006855</v>
      </c>
      <c r="T598" s="4">
        <v>-0.00682</v>
      </c>
      <c r="U598" s="4">
        <v>0.025572</v>
      </c>
      <c r="V598" s="4">
        <v>0.0516224140921632</v>
      </c>
      <c r="W598" s="4">
        <v>0.0</v>
      </c>
      <c r="X598" s="4">
        <v>0.0281532135037996</v>
      </c>
      <c r="Y598" s="4">
        <v>-0.006544701789394</v>
      </c>
      <c r="Z598" s="4">
        <v>-0.0028017837376812</v>
      </c>
      <c r="AA598" s="4">
        <v>-0.0048038980152826</v>
      </c>
      <c r="AB598" s="4">
        <v>-0.0019044489645206</v>
      </c>
      <c r="AC598" s="4">
        <v>0.0</v>
      </c>
      <c r="AD598" s="4">
        <v>0.0017423947623911</v>
      </c>
      <c r="AE598" s="4">
        <v>-0.0118348164374944</v>
      </c>
      <c r="AF598" s="4">
        <v>0.0</v>
      </c>
      <c r="AG598" s="4">
        <v>-0.0025077603783316</v>
      </c>
      <c r="AH598" s="4">
        <v>0.0120226022156402</v>
      </c>
      <c r="AI598" s="4">
        <v>-0.0025438172715785</v>
      </c>
      <c r="AJ598" s="4">
        <v>0.02387</v>
      </c>
      <c r="AK598" s="4">
        <f>Weights!E654</f>
        <v>0.01095431181</v>
      </c>
      <c r="AL598" s="5">
        <v>-3.59145268793437E-4</v>
      </c>
      <c r="AM598" s="5">
        <v>0.00107457378644659</v>
      </c>
      <c r="AN598" s="5">
        <v>-0.00195892556021315</v>
      </c>
      <c r="AO598" s="5">
        <v>-0.00273190311473292</v>
      </c>
      <c r="AP598" s="6">
        <f t="shared" si="3"/>
        <v>1.550021525</v>
      </c>
      <c r="AQ598" s="4">
        <f t="shared" si="4"/>
        <v>1.245473398</v>
      </c>
      <c r="AR598" s="7">
        <f t="shared" si="5"/>
        <v>1.169762266</v>
      </c>
      <c r="AS598" s="7">
        <f t="shared" ref="AS598:AU598" si="600">AS597*(1+AM598)</f>
        <v>1.240278057</v>
      </c>
      <c r="AT598" s="5">
        <f t="shared" si="600"/>
        <v>1.269992151</v>
      </c>
      <c r="AU598" s="5">
        <f t="shared" si="600"/>
        <v>1.240951879</v>
      </c>
    </row>
    <row r="599" ht="15.75" customHeight="1">
      <c r="A599" s="3">
        <v>44697.0</v>
      </c>
      <c r="B599" s="4">
        <v>0.021434</v>
      </c>
      <c r="C599" s="4">
        <v>0.01785</v>
      </c>
      <c r="D599" s="4">
        <v>0.019088</v>
      </c>
      <c r="E599" s="4">
        <v>0.010074</v>
      </c>
      <c r="F599" s="4">
        <v>0.003652</v>
      </c>
      <c r="G599" s="4">
        <v>0.006955</v>
      </c>
      <c r="H599" s="4">
        <v>0.009764</v>
      </c>
      <c r="I599" s="4">
        <v>0.018041</v>
      </c>
      <c r="J599" s="4">
        <v>0.008907</v>
      </c>
      <c r="K599" s="4">
        <v>0.008295</v>
      </c>
      <c r="L599" s="4">
        <v>0.007343</v>
      </c>
      <c r="M599" s="4">
        <v>0.004587</v>
      </c>
      <c r="N599" s="4">
        <v>-0.00441</v>
      </c>
      <c r="O599" s="4">
        <v>2.54E-4</v>
      </c>
      <c r="P599" s="4">
        <v>0.003065</v>
      </c>
      <c r="Q599" s="4">
        <v>-0.010363</v>
      </c>
      <c r="R599" s="4">
        <v>0.003139</v>
      </c>
      <c r="S599" s="4">
        <v>0.003782</v>
      </c>
      <c r="T599" s="4">
        <v>-0.032636</v>
      </c>
      <c r="U599" s="4">
        <v>0.007385</v>
      </c>
      <c r="V599" s="4">
        <v>0.0115708362666486</v>
      </c>
      <c r="W599" s="4">
        <v>-0.0032386701365391</v>
      </c>
      <c r="X599" s="4">
        <v>-0.0350492162700195</v>
      </c>
      <c r="Y599" s="4">
        <v>0.0082821470564018</v>
      </c>
      <c r="Z599" s="4">
        <v>0.0198768563840556</v>
      </c>
      <c r="AA599" s="4">
        <v>0.0042043258119013</v>
      </c>
      <c r="AB599" s="4">
        <v>0.0087218305851084</v>
      </c>
      <c r="AC599" s="4">
        <v>0.0034306431757697</v>
      </c>
      <c r="AD599" s="4">
        <v>-0.0139129892845168</v>
      </c>
      <c r="AE599" s="4">
        <v>0.0253015324478047</v>
      </c>
      <c r="AF599" s="4">
        <v>0.0280677893133969</v>
      </c>
      <c r="AG599" s="4">
        <v>0.0042546156299119</v>
      </c>
      <c r="AH599" s="4">
        <v>0.017819747889429</v>
      </c>
      <c r="AI599" s="4">
        <v>-0.0020411617902118</v>
      </c>
      <c r="AJ599" s="4">
        <v>-0.003946</v>
      </c>
      <c r="AK599" s="4">
        <f>Weights!E655</f>
        <v>0.005690711804</v>
      </c>
      <c r="AL599" s="5">
        <v>0.025696245094164</v>
      </c>
      <c r="AM599" s="5">
        <v>0.0267811430661129</v>
      </c>
      <c r="AN599" s="5">
        <v>-0.00457943227074564</v>
      </c>
      <c r="AO599" s="5">
        <v>-0.00722298536109566</v>
      </c>
      <c r="AP599" s="6">
        <f t="shared" si="3"/>
        <v>1.558842251</v>
      </c>
      <c r="AQ599" s="4">
        <f t="shared" si="4"/>
        <v>1.24055876</v>
      </c>
      <c r="AR599" s="7">
        <f t="shared" si="5"/>
        <v>1.199820764</v>
      </c>
      <c r="AS599" s="7">
        <f t="shared" ref="AS599:AU599" si="601">AS598*(1+AM599)</f>
        <v>1.273494121</v>
      </c>
      <c r="AT599" s="5">
        <f t="shared" si="601"/>
        <v>1.264176308</v>
      </c>
      <c r="AU599" s="5">
        <f t="shared" si="601"/>
        <v>1.231988502</v>
      </c>
    </row>
    <row r="600" ht="15.75" customHeight="1">
      <c r="A600" s="3">
        <v>44698.0</v>
      </c>
      <c r="B600" s="4">
        <v>-4.04E-4</v>
      </c>
      <c r="C600" s="4">
        <v>-0.002039</v>
      </c>
      <c r="D600" s="4">
        <v>0.006703</v>
      </c>
      <c r="E600" s="4">
        <v>-0.005756</v>
      </c>
      <c r="F600" s="4">
        <v>-0.002729</v>
      </c>
      <c r="G600" s="4">
        <v>0.004155</v>
      </c>
      <c r="H600" s="4">
        <v>-0.002837</v>
      </c>
      <c r="I600" s="4">
        <v>0.006954</v>
      </c>
      <c r="J600" s="4">
        <v>0.009842</v>
      </c>
      <c r="K600" s="4">
        <v>0.021612</v>
      </c>
      <c r="L600" s="4">
        <v>0.005164</v>
      </c>
      <c r="M600" s="4">
        <v>0.026826</v>
      </c>
      <c r="N600" s="4">
        <v>0.031006</v>
      </c>
      <c r="O600" s="4">
        <v>0.004672</v>
      </c>
      <c r="P600" s="4">
        <v>7.64E-4</v>
      </c>
      <c r="Q600" s="4">
        <v>-0.006108</v>
      </c>
      <c r="R600" s="4">
        <v>0.070839</v>
      </c>
      <c r="S600" s="4">
        <v>0.011806</v>
      </c>
      <c r="T600" s="4">
        <v>0.044426</v>
      </c>
      <c r="U600" s="4">
        <v>0.005833</v>
      </c>
      <c r="V600" s="4">
        <v>0.0246100447667998</v>
      </c>
      <c r="W600" s="4">
        <v>-0.0287605184968372</v>
      </c>
      <c r="X600" s="4">
        <v>0.0249715379514832</v>
      </c>
      <c r="Y600" s="4">
        <v>6.843583045719E-4</v>
      </c>
      <c r="Z600" s="4">
        <v>-0.0016326022211397</v>
      </c>
      <c r="AA600" s="4">
        <v>0.0035664994022184</v>
      </c>
      <c r="AB600" s="4">
        <v>0.0064848284049645</v>
      </c>
      <c r="AC600" s="4">
        <v>0.0</v>
      </c>
      <c r="AD600" s="4">
        <v>-0.0035273229272186</v>
      </c>
      <c r="AE600" s="4">
        <v>-4.641173414824E-4</v>
      </c>
      <c r="AF600" s="4">
        <v>0.030158808567779</v>
      </c>
      <c r="AG600" s="4">
        <v>0.0267666654270171</v>
      </c>
      <c r="AH600" s="4">
        <v>-0.0250601407365259</v>
      </c>
      <c r="AI600" s="4">
        <v>0.0010225588214971</v>
      </c>
      <c r="AJ600" s="4">
        <v>0.02017</v>
      </c>
      <c r="AK600" s="4">
        <f>Weights!E656</f>
        <v>0.009112736747</v>
      </c>
      <c r="AL600" s="5">
        <v>-0.00297830780670149</v>
      </c>
      <c r="AM600" s="5">
        <v>-0.00492795566835346</v>
      </c>
      <c r="AN600" s="5">
        <v>0.017088338425607</v>
      </c>
      <c r="AO600" s="5">
        <v>0.021324562528638</v>
      </c>
      <c r="AP600" s="6">
        <f t="shared" si="3"/>
        <v>1.57304757</v>
      </c>
      <c r="AQ600" s="4">
        <f t="shared" si="4"/>
        <v>1.26558083</v>
      </c>
      <c r="AR600" s="7">
        <f t="shared" si="5"/>
        <v>1.196247329</v>
      </c>
      <c r="AS600" s="7">
        <f t="shared" ref="AS600:AU600" si="602">AS599*(1+AM600)</f>
        <v>1.267218398</v>
      </c>
      <c r="AT600" s="5">
        <f t="shared" si="602"/>
        <v>1.28577898</v>
      </c>
      <c r="AU600" s="5">
        <f t="shared" si="602"/>
        <v>1.258260117</v>
      </c>
    </row>
    <row r="601" ht="15.75" customHeight="1">
      <c r="A601" s="3">
        <v>44699.0</v>
      </c>
      <c r="B601" s="4">
        <v>-0.018571</v>
      </c>
      <c r="C601" s="4">
        <v>-0.001022</v>
      </c>
      <c r="D601" s="4">
        <v>-0.013122</v>
      </c>
      <c r="E601" s="4">
        <v>-0.061963</v>
      </c>
      <c r="F601" s="4">
        <v>-0.069626</v>
      </c>
      <c r="G601" s="4">
        <v>-0.018566</v>
      </c>
      <c r="H601" s="4">
        <v>-0.062322</v>
      </c>
      <c r="I601" s="4">
        <v>-0.01448</v>
      </c>
      <c r="J601" s="4">
        <v>0.001218</v>
      </c>
      <c r="K601" s="4">
        <v>-0.020609</v>
      </c>
      <c r="L601" s="4">
        <v>-0.015109</v>
      </c>
      <c r="M601" s="4">
        <v>-0.019455</v>
      </c>
      <c r="N601" s="4">
        <v>-0.016162</v>
      </c>
      <c r="O601" s="4">
        <v>-0.032452</v>
      </c>
      <c r="P601" s="4">
        <v>-0.024733</v>
      </c>
      <c r="Q601" s="4">
        <v>-0.016681</v>
      </c>
      <c r="R601" s="4">
        <v>-0.061105</v>
      </c>
      <c r="S601" s="4">
        <v>-0.024081</v>
      </c>
      <c r="T601" s="4">
        <v>-0.047094</v>
      </c>
      <c r="U601" s="4">
        <v>-0.031562</v>
      </c>
      <c r="V601" s="4">
        <v>-0.0314615709735397</v>
      </c>
      <c r="W601" s="4">
        <v>-0.0883410095603184</v>
      </c>
      <c r="X601" s="4">
        <v>-0.004429624938701</v>
      </c>
      <c r="Y601" s="4">
        <v>-0.0036067647037166</v>
      </c>
      <c r="Z601" s="4">
        <v>-0.0028617259471319</v>
      </c>
      <c r="AA601" s="4">
        <v>-0.004944439548983</v>
      </c>
      <c r="AB601" s="4">
        <v>-0.0053690966544066</v>
      </c>
      <c r="AC601" s="4">
        <v>0.0034186908278464</v>
      </c>
      <c r="AD601" s="4">
        <v>0.0088493756223297</v>
      </c>
      <c r="AE601" s="4">
        <v>-0.0152466076875845</v>
      </c>
      <c r="AF601" s="4">
        <v>0.0312029776626372</v>
      </c>
      <c r="AG601" s="4">
        <v>-0.0085775614018137</v>
      </c>
      <c r="AH601" s="4">
        <v>0.0271127265742614</v>
      </c>
      <c r="AI601" s="4">
        <v>-0.0076610287932905</v>
      </c>
      <c r="AJ601" s="4">
        <v>-0.040395</v>
      </c>
      <c r="AK601" s="4">
        <f>Weights!E657</f>
        <v>-0.01578876868</v>
      </c>
      <c r="AL601" s="5">
        <v>0.0202952002252614</v>
      </c>
      <c r="AM601" s="5">
        <v>0.0213596170287322</v>
      </c>
      <c r="AN601" s="5">
        <v>0.00420010523617309</v>
      </c>
      <c r="AO601" s="5">
        <v>0.00442151275746804</v>
      </c>
      <c r="AP601" s="6">
        <f t="shared" si="3"/>
        <v>1.548211086</v>
      </c>
      <c r="AQ601" s="4">
        <f t="shared" si="4"/>
        <v>1.214457692</v>
      </c>
      <c r="AR601" s="7">
        <f t="shared" si="5"/>
        <v>1.220525408</v>
      </c>
      <c r="AS601" s="7">
        <f t="shared" ref="AS601:AU601" si="603">AS600*(1+AM601)</f>
        <v>1.294285698</v>
      </c>
      <c r="AT601" s="5">
        <f t="shared" si="603"/>
        <v>1.291179387</v>
      </c>
      <c r="AU601" s="5">
        <f t="shared" si="603"/>
        <v>1.263823531</v>
      </c>
    </row>
    <row r="602" ht="15.75" customHeight="1">
      <c r="A602" s="3">
        <v>44700.0</v>
      </c>
      <c r="B602" s="4">
        <v>-0.016043</v>
      </c>
      <c r="C602" s="4">
        <v>0.004295</v>
      </c>
      <c r="D602" s="4">
        <v>-0.001588</v>
      </c>
      <c r="E602" s="4">
        <v>-0.014971</v>
      </c>
      <c r="F602" s="4">
        <v>-0.019608</v>
      </c>
      <c r="G602" s="4">
        <v>-0.008889</v>
      </c>
      <c r="H602" s="4">
        <v>-0.023028</v>
      </c>
      <c r="I602" s="4">
        <v>0.004521</v>
      </c>
      <c r="J602" s="4">
        <v>0.002636</v>
      </c>
      <c r="K602" s="4">
        <v>-0.001533</v>
      </c>
      <c r="L602" s="4">
        <v>0.014522</v>
      </c>
      <c r="M602" s="4">
        <v>0.003401</v>
      </c>
      <c r="N602" s="4">
        <v>0.002911</v>
      </c>
      <c r="O602" s="4">
        <v>0.032287</v>
      </c>
      <c r="P602" s="4">
        <v>0.034909</v>
      </c>
      <c r="Q602" s="4">
        <v>0.023214</v>
      </c>
      <c r="R602" s="4">
        <v>0.039049</v>
      </c>
      <c r="S602" s="4">
        <v>0.054185</v>
      </c>
      <c r="T602" s="4">
        <v>0.012838</v>
      </c>
      <c r="U602" s="4">
        <v>-0.008188</v>
      </c>
      <c r="V602" s="4">
        <v>-0.0499475099260595</v>
      </c>
      <c r="W602" s="4">
        <v>-0.0593910795064935</v>
      </c>
      <c r="X602" s="4">
        <v>0.0</v>
      </c>
      <c r="Y602" s="4">
        <v>-0.021032152493887</v>
      </c>
      <c r="Z602" s="4">
        <v>-0.0268552264790848</v>
      </c>
      <c r="AA602" s="4">
        <v>-0.0076085036747993</v>
      </c>
      <c r="AB602" s="4">
        <v>-0.0151144914280376</v>
      </c>
      <c r="AC602" s="4">
        <v>0.0</v>
      </c>
      <c r="AD602" s="4">
        <v>0.0</v>
      </c>
      <c r="AE602" s="4">
        <v>-0.0053441825848394</v>
      </c>
      <c r="AF602" s="4">
        <v>-0.0265989174343095</v>
      </c>
      <c r="AG602" s="4">
        <v>-0.0332763801877878</v>
      </c>
      <c r="AH602" s="4">
        <v>-0.0037710511463829</v>
      </c>
      <c r="AI602" s="4">
        <v>0.0015439905574714</v>
      </c>
      <c r="AJ602" s="4">
        <v>-0.005834</v>
      </c>
      <c r="AK602" s="4">
        <f>Weights!E658</f>
        <v>-0.00482313637</v>
      </c>
      <c r="AL602" s="5">
        <v>-0.0352191537787742</v>
      </c>
      <c r="AM602" s="5">
        <v>-0.0391320937846721</v>
      </c>
      <c r="AN602" s="5">
        <v>0.0125484907411645</v>
      </c>
      <c r="AO602" s="5">
        <v>0.0129614979684815</v>
      </c>
      <c r="AP602" s="6">
        <f t="shared" si="3"/>
        <v>1.540743852</v>
      </c>
      <c r="AQ602" s="4">
        <f t="shared" si="4"/>
        <v>1.207372546</v>
      </c>
      <c r="AR602" s="7">
        <f t="shared" si="5"/>
        <v>1.177539536</v>
      </c>
      <c r="AS602" s="7">
        <f t="shared" ref="AS602:AU602" si="604">AS601*(1+AM602)</f>
        <v>1.243637588</v>
      </c>
      <c r="AT602" s="5">
        <f t="shared" si="604"/>
        <v>1.30738174</v>
      </c>
      <c r="AU602" s="5">
        <f t="shared" si="604"/>
        <v>1.280204577</v>
      </c>
    </row>
    <row r="603" ht="15.75" customHeight="1">
      <c r="A603" s="3">
        <v>44701.0</v>
      </c>
      <c r="B603" s="4">
        <v>0.013378</v>
      </c>
      <c r="C603" s="4">
        <v>0.008758</v>
      </c>
      <c r="D603" s="4">
        <v>0.003975</v>
      </c>
      <c r="E603" s="4">
        <v>0.006266</v>
      </c>
      <c r="F603" s="4">
        <v>0.016333</v>
      </c>
      <c r="G603" s="4">
        <v>0.017477</v>
      </c>
      <c r="H603" s="4">
        <v>6.35E-4</v>
      </c>
      <c r="I603" s="4">
        <v>0.00225</v>
      </c>
      <c r="J603" s="4">
        <v>0.012945</v>
      </c>
      <c r="K603" s="4">
        <v>0.001675</v>
      </c>
      <c r="L603" s="4">
        <v>-3.02E-4</v>
      </c>
      <c r="M603" s="4">
        <v>-0.01017</v>
      </c>
      <c r="N603" s="4">
        <v>-0.005598</v>
      </c>
      <c r="O603" s="4">
        <v>3.54E-4</v>
      </c>
      <c r="P603" s="4">
        <v>0.016336</v>
      </c>
      <c r="Q603" s="4">
        <v>-0.001745</v>
      </c>
      <c r="R603" s="4">
        <v>-0.011166</v>
      </c>
      <c r="S603" s="4">
        <v>0.003378</v>
      </c>
      <c r="T603" s="4">
        <v>-0.00613</v>
      </c>
      <c r="U603" s="4">
        <v>0.01831</v>
      </c>
      <c r="V603" s="4">
        <v>0.0264706664907259</v>
      </c>
      <c r="W603" s="4">
        <v>-0.0684871957784363</v>
      </c>
      <c r="X603" s="4">
        <v>0.0211345880569133</v>
      </c>
      <c r="Y603" s="4">
        <v>0.0078411797869695</v>
      </c>
      <c r="Z603" s="4">
        <v>-6.320402937985E-4</v>
      </c>
      <c r="AA603" s="4">
        <v>-0.001408452403999</v>
      </c>
      <c r="AB603" s="4">
        <v>-0.00876999351332</v>
      </c>
      <c r="AC603" s="4">
        <v>0.0017212261148868</v>
      </c>
      <c r="AD603" s="4">
        <v>0.0</v>
      </c>
      <c r="AE603" s="4">
        <v>0.0357932364498898</v>
      </c>
      <c r="AF603" s="4">
        <v>-0.0171937490011722</v>
      </c>
      <c r="AG603" s="4">
        <v>8.851507770497E-4</v>
      </c>
      <c r="AH603" s="4">
        <v>-0.027529224531648</v>
      </c>
      <c r="AI603" s="4">
        <v>-2.574487042537E-4</v>
      </c>
      <c r="AJ603" s="4">
        <v>1.46E-4</v>
      </c>
      <c r="AK603" s="4">
        <f>Weights!E659</f>
        <v>0.001589594347</v>
      </c>
      <c r="AL603" s="5">
        <v>-4.46341245791792E-4</v>
      </c>
      <c r="AM603" s="5">
        <v>-0.00443447896948023</v>
      </c>
      <c r="AN603" s="5">
        <v>-0.0187482141292633</v>
      </c>
      <c r="AO603" s="5">
        <v>-0.0183485590375989</v>
      </c>
      <c r="AP603" s="6">
        <f t="shared" si="3"/>
        <v>1.54319301</v>
      </c>
      <c r="AQ603" s="4">
        <f t="shared" si="4"/>
        <v>1.207548823</v>
      </c>
      <c r="AR603" s="7">
        <f t="shared" si="5"/>
        <v>1.177013951</v>
      </c>
      <c r="AS603" s="7">
        <f t="shared" ref="AS603:AU603" si="605">AS602*(1+AM603)</f>
        <v>1.238122704</v>
      </c>
      <c r="AT603" s="5">
        <f t="shared" si="605"/>
        <v>1.282870667</v>
      </c>
      <c r="AU603" s="5">
        <f t="shared" si="605"/>
        <v>1.256714667</v>
      </c>
    </row>
    <row r="604" ht="15.75" customHeight="1">
      <c r="A604" s="3">
        <v>44704.0</v>
      </c>
      <c r="B604" s="4">
        <v>0.012789</v>
      </c>
      <c r="C604" s="4">
        <v>0.002827</v>
      </c>
      <c r="D604" s="4">
        <v>0.016828</v>
      </c>
      <c r="E604" s="4">
        <v>0.020899</v>
      </c>
      <c r="F604" s="4">
        <v>0.03083</v>
      </c>
      <c r="G604" s="4">
        <v>0.020285</v>
      </c>
      <c r="H604" s="4">
        <v>0.022992</v>
      </c>
      <c r="I604" s="4">
        <v>0.008307</v>
      </c>
      <c r="J604" s="4">
        <v>0.004393</v>
      </c>
      <c r="K604" s="4">
        <v>0.017138</v>
      </c>
      <c r="L604" s="4">
        <v>0.016235</v>
      </c>
      <c r="M604" s="4">
        <v>0.024543</v>
      </c>
      <c r="N604" s="4">
        <v>0.017515</v>
      </c>
      <c r="O604" s="4">
        <v>0.004047</v>
      </c>
      <c r="P604" s="4">
        <v>0.003572</v>
      </c>
      <c r="Q604" s="4">
        <v>0.020979</v>
      </c>
      <c r="R604" s="4">
        <v>0.056183</v>
      </c>
      <c r="S604" s="4">
        <v>0.006974</v>
      </c>
      <c r="T604" s="4">
        <v>0.052847</v>
      </c>
      <c r="U604" s="4">
        <v>0.010275</v>
      </c>
      <c r="V604" s="4">
        <v>0.0472778833920153</v>
      </c>
      <c r="W604" s="4">
        <v>0.0272994936243002</v>
      </c>
      <c r="X604" s="4">
        <v>-0.0141612235826027</v>
      </c>
      <c r="Y604" s="4">
        <v>-0.0077170724169657</v>
      </c>
      <c r="Z604" s="4">
        <v>-0.0191820174360792</v>
      </c>
      <c r="AA604" s="4">
        <v>0.0079910892107608</v>
      </c>
      <c r="AB604" s="4">
        <v>-0.0154822851752832</v>
      </c>
      <c r="AC604" s="4">
        <v>0.0</v>
      </c>
      <c r="AD604" s="4">
        <v>-0.001782573366404</v>
      </c>
      <c r="AE604" s="4">
        <v>-0.0159431454856645</v>
      </c>
      <c r="AF604" s="4">
        <v>0.0018743829221465</v>
      </c>
      <c r="AG604" s="4">
        <v>-0.0033407529140808</v>
      </c>
      <c r="AH604" s="4">
        <v>-0.0191082453261396</v>
      </c>
      <c r="AI604" s="4">
        <v>0.0025771317430891</v>
      </c>
      <c r="AJ604" s="4">
        <v>0.018555</v>
      </c>
      <c r="AK604" s="4">
        <f>Weights!E660</f>
        <v>0.008515612179</v>
      </c>
      <c r="AL604" s="5">
        <v>0.00294675281044098</v>
      </c>
      <c r="AM604" s="5">
        <v>0.0</v>
      </c>
      <c r="AN604" s="5">
        <v>0.0022670353827543</v>
      </c>
      <c r="AO604" s="5">
        <v>0.00467277756729545</v>
      </c>
      <c r="AP604" s="6">
        <f t="shared" si="3"/>
        <v>1.556334243</v>
      </c>
      <c r="AQ604" s="4">
        <f t="shared" si="4"/>
        <v>1.229954891</v>
      </c>
      <c r="AR604" s="7">
        <f t="shared" si="5"/>
        <v>1.18048232</v>
      </c>
      <c r="AS604" s="7">
        <f t="shared" ref="AS604:AU604" si="606">AS603*(1+AM604)</f>
        <v>1.238122704</v>
      </c>
      <c r="AT604" s="5">
        <f t="shared" si="606"/>
        <v>1.28577898</v>
      </c>
      <c r="AU604" s="5">
        <f t="shared" si="606"/>
        <v>1.262587016</v>
      </c>
    </row>
    <row r="605" ht="15.75" customHeight="1">
      <c r="A605" s="3">
        <v>44705.0</v>
      </c>
      <c r="B605" s="4">
        <v>-0.002444</v>
      </c>
      <c r="C605" s="4">
        <v>0.020334</v>
      </c>
      <c r="D605" s="4">
        <v>-0.006036</v>
      </c>
      <c r="E605" s="4">
        <v>0.013406</v>
      </c>
      <c r="F605" s="4">
        <v>0.018454</v>
      </c>
      <c r="G605" s="4">
        <v>0.010923</v>
      </c>
      <c r="H605" s="4">
        <v>0.017787</v>
      </c>
      <c r="I605" s="4">
        <v>0.001559</v>
      </c>
      <c r="J605" s="4">
        <v>0.009543</v>
      </c>
      <c r="K605" s="4">
        <v>-0.011096</v>
      </c>
      <c r="L605" s="4">
        <v>-0.002878</v>
      </c>
      <c r="M605" s="4">
        <v>-0.00791</v>
      </c>
      <c r="N605" s="4">
        <v>0.00123</v>
      </c>
      <c r="O605" s="4">
        <v>-0.014814</v>
      </c>
      <c r="P605" s="4">
        <v>0.02358</v>
      </c>
      <c r="Q605" s="4">
        <v>0.006849</v>
      </c>
      <c r="R605" s="4">
        <v>-0.022686</v>
      </c>
      <c r="S605" s="4">
        <v>0.021017</v>
      </c>
      <c r="T605" s="4">
        <v>-0.016547</v>
      </c>
      <c r="U605" s="4">
        <v>0.005482</v>
      </c>
      <c r="V605" s="4">
        <v>-0.00307801575473132</v>
      </c>
      <c r="W605" s="4">
        <v>0.0588857207003945</v>
      </c>
      <c r="X605" s="4">
        <v>-0.0110496604276209</v>
      </c>
      <c r="Y605" s="4">
        <v>-0.0097533122578901</v>
      </c>
      <c r="Z605" s="4">
        <v>0.002686480063631</v>
      </c>
      <c r="AA605" s="4">
        <v>9.329322693145E-4</v>
      </c>
      <c r="AB605" s="4">
        <v>-0.0078628779056757</v>
      </c>
      <c r="AC605" s="4">
        <v>-0.0051547309502145</v>
      </c>
      <c r="AD605" s="4">
        <v>0.0124999999999999</v>
      </c>
      <c r="AE605" s="4">
        <v>-0.0117055369427855</v>
      </c>
      <c r="AF605" s="4">
        <v>0.0040537935548605</v>
      </c>
      <c r="AG605" s="4">
        <v>-0.0057183363115556</v>
      </c>
      <c r="AH605" s="4">
        <v>0.0165945175253563</v>
      </c>
      <c r="AI605" s="4">
        <v>-0.00154232628706</v>
      </c>
      <c r="AJ605" s="4">
        <v>-0.008121</v>
      </c>
      <c r="AK605" s="4">
        <f>Weights!E661</f>
        <v>0.001915420558</v>
      </c>
      <c r="AL605" s="5">
        <v>0.0171831272989302</v>
      </c>
      <c r="AM605" s="5">
        <v>0.0171002016391654</v>
      </c>
      <c r="AN605" s="5">
        <v>0.00193853614492933</v>
      </c>
      <c r="AO605" s="5">
        <v>-7.34256917672371E-4</v>
      </c>
      <c r="AP605" s="6">
        <f t="shared" si="3"/>
        <v>1.559315278</v>
      </c>
      <c r="AQ605" s="4">
        <f t="shared" si="4"/>
        <v>1.219966427</v>
      </c>
      <c r="AR605" s="7">
        <f t="shared" si="5"/>
        <v>1.200766698</v>
      </c>
      <c r="AS605" s="7">
        <f t="shared" ref="AS605:AU605" si="607">AS604*(1+AM605)</f>
        <v>1.259294852</v>
      </c>
      <c r="AT605" s="5">
        <f t="shared" si="607"/>
        <v>1.288271509</v>
      </c>
      <c r="AU605" s="5">
        <f t="shared" si="607"/>
        <v>1.261659952</v>
      </c>
    </row>
    <row r="606" ht="15.75" customHeight="1">
      <c r="A606" s="3">
        <v>44706.0</v>
      </c>
      <c r="B606" s="4">
        <v>8.17E-4</v>
      </c>
      <c r="C606" s="4">
        <v>0.01105</v>
      </c>
      <c r="D606" s="4">
        <v>0.009794</v>
      </c>
      <c r="E606" s="4">
        <v>0.006853</v>
      </c>
      <c r="F606" s="4">
        <v>7.81E-4</v>
      </c>
      <c r="G606" s="4">
        <v>-0.009813</v>
      </c>
      <c r="H606" s="4">
        <v>-0.016392</v>
      </c>
      <c r="I606" s="4">
        <v>0.002668</v>
      </c>
      <c r="J606" s="4">
        <v>-0.007089</v>
      </c>
      <c r="K606" s="4">
        <v>0.014822</v>
      </c>
      <c r="L606" s="4">
        <v>-0.001393</v>
      </c>
      <c r="M606" s="4">
        <v>0.009687</v>
      </c>
      <c r="N606" s="4">
        <v>-0.002047</v>
      </c>
      <c r="O606" s="4">
        <v>-6.14E-4</v>
      </c>
      <c r="P606" s="4">
        <v>0.007534</v>
      </c>
      <c r="Q606" s="4">
        <v>-0.012755</v>
      </c>
      <c r="R606" s="4">
        <v>0.009338</v>
      </c>
      <c r="S606" s="4">
        <v>-0.004678</v>
      </c>
      <c r="T606" s="4">
        <v>0.035743</v>
      </c>
      <c r="U606" s="4">
        <v>-0.010905</v>
      </c>
      <c r="V606" s="4">
        <v>6.86012861210505E-4</v>
      </c>
      <c r="W606" s="4">
        <v>-0.0151147925889325</v>
      </c>
      <c r="X606" s="4">
        <v>-0.0134078739212887</v>
      </c>
      <c r="Y606" s="4">
        <v>-0.0018025097928324</v>
      </c>
      <c r="Z606" s="4">
        <v>0.0359017477490075</v>
      </c>
      <c r="AA606" s="4">
        <v>-1.553672734375E-4</v>
      </c>
      <c r="AB606" s="4">
        <v>0.0053777223266633</v>
      </c>
      <c r="AC606" s="4">
        <v>-0.0017270964957266</v>
      </c>
      <c r="AD606" s="4">
        <v>0.0229276477940016</v>
      </c>
      <c r="AE606" s="4">
        <v>0.0232175216064953</v>
      </c>
      <c r="AF606" s="4">
        <v>-0.0372672117262192</v>
      </c>
      <c r="AG606" s="4">
        <v>0.0</v>
      </c>
      <c r="AH606" s="4">
        <v>0.0159687142039006</v>
      </c>
      <c r="AI606" s="4">
        <v>0.0010296591775331</v>
      </c>
      <c r="AJ606" s="4">
        <v>0.009451</v>
      </c>
      <c r="AK606" s="4">
        <f>Weights!E662</f>
        <v>0.002464797213</v>
      </c>
      <c r="AL606" s="5">
        <v>-0.00717726546529318</v>
      </c>
      <c r="AM606" s="5">
        <v>-0.0100172096172544</v>
      </c>
      <c r="AN606" s="5">
        <v>0.00587881028494852</v>
      </c>
      <c r="AO606" s="5">
        <v>0.00661439695127574</v>
      </c>
      <c r="AP606" s="6">
        <f t="shared" si="3"/>
        <v>1.563158674</v>
      </c>
      <c r="AQ606" s="4">
        <f t="shared" si="4"/>
        <v>1.23149633</v>
      </c>
      <c r="AR606" s="7">
        <f t="shared" si="5"/>
        <v>1.192148477</v>
      </c>
      <c r="AS606" s="7">
        <f t="shared" ref="AS606:AU606" si="608">AS605*(1+AM606)</f>
        <v>1.246680231</v>
      </c>
      <c r="AT606" s="5">
        <f t="shared" si="608"/>
        <v>1.295845013</v>
      </c>
      <c r="AU606" s="5">
        <f t="shared" si="608"/>
        <v>1.270005072</v>
      </c>
    </row>
    <row r="607" ht="15.75" customHeight="1">
      <c r="A607" s="3">
        <v>44707.0</v>
      </c>
      <c r="B607" s="4">
        <v>0.0</v>
      </c>
      <c r="C607" s="4">
        <v>-0.004879</v>
      </c>
      <c r="D607" s="4">
        <v>1.94E-4</v>
      </c>
      <c r="E607" s="4">
        <v>0.006747</v>
      </c>
      <c r="F607" s="4">
        <v>0.00359</v>
      </c>
      <c r="G607" s="4">
        <v>-8.91E-4</v>
      </c>
      <c r="H607" s="4">
        <v>0.008746</v>
      </c>
      <c r="I607" s="4">
        <v>0.01663</v>
      </c>
      <c r="J607" s="4">
        <v>-0.001587</v>
      </c>
      <c r="K607" s="4">
        <v>0.0187</v>
      </c>
      <c r="L607" s="4">
        <v>0.003388</v>
      </c>
      <c r="M607" s="4">
        <v>0.02088</v>
      </c>
      <c r="N607" s="4">
        <v>0.010049</v>
      </c>
      <c r="O607" s="4">
        <v>0.034084</v>
      </c>
      <c r="P607" s="4">
        <v>-0.011936</v>
      </c>
      <c r="Q607" s="4">
        <v>0.009475</v>
      </c>
      <c r="R607" s="4">
        <v>0.017446</v>
      </c>
      <c r="S607" s="4">
        <v>-0.0047</v>
      </c>
      <c r="T607" s="4">
        <v>0.034276</v>
      </c>
      <c r="U607" s="4">
        <v>0.009427</v>
      </c>
      <c r="V607" s="4">
        <v>0.0761057024669809</v>
      </c>
      <c r="W607" s="4">
        <v>0.0383668890424913</v>
      </c>
      <c r="X607" s="4">
        <v>0.0</v>
      </c>
      <c r="Y607" s="4">
        <v>-0.0256673415706135</v>
      </c>
      <c r="Z607" s="4">
        <v>-0.0278295597922936</v>
      </c>
      <c r="AA607" s="4">
        <v>-0.026476512675535</v>
      </c>
      <c r="AB607" s="4">
        <v>-0.0022523265744892</v>
      </c>
      <c r="AC607" s="4">
        <v>0.0</v>
      </c>
      <c r="AD607" s="4">
        <v>0.0</v>
      </c>
      <c r="AE607" s="4">
        <v>0.0026064951213791</v>
      </c>
      <c r="AF607" s="4">
        <v>0.0058065122066448</v>
      </c>
      <c r="AG607" s="4">
        <v>-0.0468020933217155</v>
      </c>
      <c r="AH607" s="4">
        <v>0.008382874100663</v>
      </c>
      <c r="AI607" s="4">
        <v>-0.004114949628591</v>
      </c>
      <c r="AJ607" s="4">
        <v>0.019883</v>
      </c>
      <c r="AK607" s="4">
        <f>Weights!E663</f>
        <v>0.003647756807</v>
      </c>
      <c r="AL607" s="5">
        <v>0.00740548553647224</v>
      </c>
      <c r="AM607" s="5">
        <v>0.0111353964285261</v>
      </c>
      <c r="AN607" s="5">
        <v>0.0038744941694182</v>
      </c>
      <c r="AO607" s="5">
        <v>0.00486723430888957</v>
      </c>
      <c r="AP607" s="6">
        <f t="shared" si="3"/>
        <v>1.568860697</v>
      </c>
      <c r="AQ607" s="4">
        <f t="shared" si="4"/>
        <v>1.255982172</v>
      </c>
      <c r="AR607" s="7">
        <f t="shared" si="5"/>
        <v>1.200976915</v>
      </c>
      <c r="AS607" s="7">
        <f t="shared" ref="AS607:AU607" si="609">AS606*(1+AM607)</f>
        <v>1.26056251</v>
      </c>
      <c r="AT607" s="5">
        <f t="shared" si="609"/>
        <v>1.300865757</v>
      </c>
      <c r="AU607" s="5">
        <f t="shared" si="609"/>
        <v>1.276186484</v>
      </c>
    </row>
    <row r="608" ht="15.75" customHeight="1">
      <c r="A608" s="3">
        <v>44708.0</v>
      </c>
      <c r="B608" s="4">
        <v>0.010608</v>
      </c>
      <c r="C608" s="4">
        <v>0.008041</v>
      </c>
      <c r="D608" s="4">
        <v>7.76E-4</v>
      </c>
      <c r="E608" s="4">
        <v>0.009758</v>
      </c>
      <c r="F608" s="4">
        <v>0.00591</v>
      </c>
      <c r="G608" s="4">
        <v>0.009083</v>
      </c>
      <c r="H608" s="4">
        <v>0.015292</v>
      </c>
      <c r="I608" s="4">
        <v>0.007634</v>
      </c>
      <c r="J608" s="4">
        <v>-0.004172</v>
      </c>
      <c r="K608" s="4">
        <v>0.013131</v>
      </c>
      <c r="L608" s="4">
        <v>0.023339</v>
      </c>
      <c r="M608" s="4">
        <v>0.007186</v>
      </c>
      <c r="N608" s="4">
        <v>0.01198</v>
      </c>
      <c r="O608" s="4">
        <v>0.030882</v>
      </c>
      <c r="P608" s="4">
        <v>0.0</v>
      </c>
      <c r="Q608" s="4">
        <v>0.040956</v>
      </c>
      <c r="R608" s="4">
        <v>0.030138</v>
      </c>
      <c r="S608" s="4">
        <v>0.002125</v>
      </c>
      <c r="T608" s="4">
        <v>0.035094</v>
      </c>
      <c r="U608" s="4">
        <v>0.016937</v>
      </c>
      <c r="V608" s="4">
        <v>0.0168843550237602</v>
      </c>
      <c r="W608" s="4">
        <v>0.0</v>
      </c>
      <c r="X608" s="4">
        <v>0.0</v>
      </c>
      <c r="Y608" s="4">
        <v>0.0013899474781084</v>
      </c>
      <c r="Z608" s="4">
        <v>-0.0152175195330491</v>
      </c>
      <c r="AA608" s="4">
        <v>-0.0062871934185166</v>
      </c>
      <c r="AB608" s="4">
        <v>-0.019187152657489</v>
      </c>
      <c r="AC608" s="4">
        <v>0.0</v>
      </c>
      <c r="AD608" s="4">
        <v>0.0</v>
      </c>
      <c r="AE608" s="4">
        <v>-0.0033641542000014</v>
      </c>
      <c r="AF608" s="4">
        <v>0.0</v>
      </c>
      <c r="AG608" s="4">
        <v>0.0038488411229733</v>
      </c>
      <c r="AH608" s="4">
        <v>0.0377554431612436</v>
      </c>
      <c r="AI608" s="4">
        <v>-0.0051652438958464</v>
      </c>
      <c r="AJ608" s="4">
        <v>0.024742</v>
      </c>
      <c r="AK608" s="4">
        <f>Weights!E664</f>
        <v>0.007443066677</v>
      </c>
      <c r="AL608" s="5">
        <v>0.017502286994101</v>
      </c>
      <c r="AM608" s="5">
        <v>0.0204667689081485</v>
      </c>
      <c r="AN608" s="5">
        <v>0.00611154114584944</v>
      </c>
      <c r="AO608" s="5">
        <v>0.00702376633802215</v>
      </c>
      <c r="AP608" s="6">
        <f t="shared" si="3"/>
        <v>1.580537831</v>
      </c>
      <c r="AQ608" s="4">
        <f t="shared" si="4"/>
        <v>1.287057682</v>
      </c>
      <c r="AR608" s="7">
        <f t="shared" si="5"/>
        <v>1.221996758</v>
      </c>
      <c r="AS608" s="7">
        <f t="shared" ref="AS608:AU608" si="610">AS607*(1+AM608)</f>
        <v>1.286362151</v>
      </c>
      <c r="AT608" s="5">
        <f t="shared" si="610"/>
        <v>1.308816052</v>
      </c>
      <c r="AU608" s="5">
        <f t="shared" si="610"/>
        <v>1.28515012</v>
      </c>
    </row>
    <row r="609" ht="15.75" customHeight="1">
      <c r="A609" s="3">
        <v>44712.0</v>
      </c>
      <c r="B609" s="4">
        <v>0.0109</v>
      </c>
      <c r="C609" s="4">
        <v>-0.00214</v>
      </c>
      <c r="D609" s="4">
        <v>-0.006395</v>
      </c>
      <c r="E609" s="4">
        <v>-0.023403</v>
      </c>
      <c r="F609" s="4">
        <v>-0.020099</v>
      </c>
      <c r="G609" s="4">
        <v>-0.008614</v>
      </c>
      <c r="H609" s="4">
        <v>-0.005648</v>
      </c>
      <c r="I609" s="4">
        <v>-0.001082</v>
      </c>
      <c r="J609" s="4">
        <v>0.004588</v>
      </c>
      <c r="K609" s="4">
        <v>0.008729</v>
      </c>
      <c r="L609" s="4">
        <v>0.013975</v>
      </c>
      <c r="M609" s="4">
        <v>0.017014</v>
      </c>
      <c r="N609" s="4">
        <v>-0.009749</v>
      </c>
      <c r="O609" s="4">
        <v>-0.023236</v>
      </c>
      <c r="P609" s="4">
        <v>-0.012516</v>
      </c>
      <c r="Q609" s="4">
        <v>-0.234426</v>
      </c>
      <c r="R609" s="4">
        <v>-0.014376</v>
      </c>
      <c r="S609" s="4">
        <v>-0.026626</v>
      </c>
      <c r="T609" s="4">
        <v>-0.038333</v>
      </c>
      <c r="U609" s="4">
        <v>-0.007394</v>
      </c>
      <c r="V609" s="4">
        <v>0.0100249987304166</v>
      </c>
      <c r="W609" s="4">
        <v>-0.0016732075108547</v>
      </c>
      <c r="X609" s="4">
        <v>0.0</v>
      </c>
      <c r="Y609" s="4">
        <v>0.0022473543650363</v>
      </c>
      <c r="Z609" s="4">
        <v>0.0039983558697402</v>
      </c>
      <c r="AA609" s="4">
        <v>-0.0111940197935241</v>
      </c>
      <c r="AB609" s="4">
        <v>5.754087777367E-4</v>
      </c>
      <c r="AC609" s="4">
        <v>0.0</v>
      </c>
      <c r="AD609" s="4">
        <v>0.0</v>
      </c>
      <c r="AE609" s="4">
        <v>0.014729405471018</v>
      </c>
      <c r="AF609" s="4">
        <v>-0.0388069819869574</v>
      </c>
      <c r="AG609" s="4">
        <v>-0.0053885252807948</v>
      </c>
      <c r="AH609" s="4">
        <v>-0.0120160256116936</v>
      </c>
      <c r="AI609" s="4">
        <v>0.0010382128189896</v>
      </c>
      <c r="AJ609" s="4">
        <v>-0.006274</v>
      </c>
      <c r="AK609" s="4">
        <f>Weights!E665</f>
        <v>-0.008550864322</v>
      </c>
      <c r="AL609" s="5">
        <v>0.0206417056742456</v>
      </c>
      <c r="AM609" s="5">
        <v>0.025329093256633</v>
      </c>
      <c r="AN609" s="5">
        <v>0.0115088198485313</v>
      </c>
      <c r="AO609" s="5">
        <v>0.0105819073834774</v>
      </c>
      <c r="AP609" s="6">
        <f t="shared" si="3"/>
        <v>1.567022867</v>
      </c>
      <c r="AQ609" s="4">
        <f t="shared" si="4"/>
        <v>1.278982683</v>
      </c>
      <c r="AR609" s="7">
        <f t="shared" si="5"/>
        <v>1.247220855</v>
      </c>
      <c r="AS609" s="7">
        <f t="shared" ref="AS609:AU609" si="611">AS608*(1+AM609)</f>
        <v>1.318944538</v>
      </c>
      <c r="AT609" s="5">
        <f t="shared" si="611"/>
        <v>1.32387898</v>
      </c>
      <c r="AU609" s="5">
        <f t="shared" si="611"/>
        <v>1.29874946</v>
      </c>
    </row>
    <row r="610" ht="15.75" customHeight="1">
      <c r="A610" s="3">
        <v>44713.0</v>
      </c>
      <c r="B610" s="4">
        <v>-0.008786</v>
      </c>
      <c r="C610" s="4">
        <v>0.002145</v>
      </c>
      <c r="D610" s="4">
        <v>-0.003121</v>
      </c>
      <c r="E610" s="4">
        <v>-0.007511</v>
      </c>
      <c r="F610" s="4">
        <v>-0.004891</v>
      </c>
      <c r="G610" s="4">
        <v>-0.010138</v>
      </c>
      <c r="H610" s="4">
        <v>-0.015147</v>
      </c>
      <c r="I610" s="4">
        <v>-0.004334</v>
      </c>
      <c r="J610" s="4">
        <v>-0.011914</v>
      </c>
      <c r="K610" s="4">
        <v>-0.005244</v>
      </c>
      <c r="L610" s="4">
        <v>0.003063</v>
      </c>
      <c r="M610" s="4">
        <v>-0.003778</v>
      </c>
      <c r="N610" s="4">
        <v>0.012293</v>
      </c>
      <c r="O610" s="4">
        <v>-0.003686</v>
      </c>
      <c r="P610" s="4">
        <v>-4.42E-4</v>
      </c>
      <c r="Q610" s="4">
        <v>0.029979</v>
      </c>
      <c r="R610" s="4">
        <v>0.01433</v>
      </c>
      <c r="S610" s="4">
        <v>0.001694</v>
      </c>
      <c r="T610" s="4">
        <v>-0.013212</v>
      </c>
      <c r="U610" s="4">
        <v>-0.001019</v>
      </c>
      <c r="V610" s="4">
        <v>-0.0229528366619283</v>
      </c>
      <c r="W610" s="4">
        <v>-0.0202514113316695</v>
      </c>
      <c r="X610" s="4">
        <v>0.0</v>
      </c>
      <c r="Y610" s="4">
        <v>0.0304688910740433</v>
      </c>
      <c r="Z610" s="4">
        <v>0.0300287439990984</v>
      </c>
      <c r="AA610" s="4">
        <v>0.0014765259485327</v>
      </c>
      <c r="AB610" s="4">
        <v>0.0123632539900191</v>
      </c>
      <c r="AC610" s="4">
        <v>0.0</v>
      </c>
      <c r="AD610" s="4">
        <v>0.0</v>
      </c>
      <c r="AE610" s="4">
        <v>0.0138354058103864</v>
      </c>
      <c r="AF610" s="4">
        <v>0.0060060686607406</v>
      </c>
      <c r="AG610" s="4">
        <v>0.0478224525166641</v>
      </c>
      <c r="AH610" s="4">
        <v>-0.0145270210404393</v>
      </c>
      <c r="AI610" s="4">
        <v>0.0036305300859742</v>
      </c>
      <c r="AJ610" s="4">
        <v>-0.007483</v>
      </c>
      <c r="AK610" s="4">
        <f>Weights!E666</f>
        <v>0.002567043632</v>
      </c>
      <c r="AL610" s="5">
        <v>-0.00615150648897433</v>
      </c>
      <c r="AM610" s="5">
        <v>-0.00821849354868176</v>
      </c>
      <c r="AN610" s="5">
        <v>0.00726932142940972</v>
      </c>
      <c r="AO610" s="5">
        <v>0.00809139741354236</v>
      </c>
      <c r="AP610" s="6">
        <f t="shared" si="3"/>
        <v>1.571045483</v>
      </c>
      <c r="AQ610" s="4">
        <f t="shared" si="4"/>
        <v>1.269412055</v>
      </c>
      <c r="AR610" s="7">
        <f t="shared" si="5"/>
        <v>1.239548568</v>
      </c>
      <c r="AS610" s="7">
        <f t="shared" ref="AS610:AU610" si="612">AS609*(1+AM610)</f>
        <v>1.308104801</v>
      </c>
      <c r="AT610" s="5">
        <f t="shared" si="612"/>
        <v>1.333502682</v>
      </c>
      <c r="AU610" s="5">
        <f t="shared" si="612"/>
        <v>1.309258158</v>
      </c>
    </row>
    <row r="611" ht="15.75" customHeight="1">
      <c r="A611" s="3">
        <v>44714.0</v>
      </c>
      <c r="B611" s="4">
        <v>0.018131</v>
      </c>
      <c r="C611" s="4">
        <v>-0.00214</v>
      </c>
      <c r="D611" s="4">
        <v>0.002935</v>
      </c>
      <c r="E611" s="4">
        <v>0.008048</v>
      </c>
      <c r="F611" s="4">
        <v>0.010465</v>
      </c>
      <c r="G611" s="4">
        <v>-0.003151</v>
      </c>
      <c r="H611" s="4">
        <v>0.01078</v>
      </c>
      <c r="I611" s="4">
        <v>0.021328</v>
      </c>
      <c r="J611" s="4">
        <v>0.009646</v>
      </c>
      <c r="K611" s="4">
        <v>0.015421</v>
      </c>
      <c r="L611" s="4">
        <v>0.008683</v>
      </c>
      <c r="M611" s="4">
        <v>0.014626</v>
      </c>
      <c r="N611" s="4">
        <v>0.007286</v>
      </c>
      <c r="O611" s="4">
        <v>0.042178</v>
      </c>
      <c r="P611" s="4">
        <v>0.022596</v>
      </c>
      <c r="Q611" s="4">
        <v>0.051975</v>
      </c>
      <c r="R611" s="4">
        <v>0.052472</v>
      </c>
      <c r="S611" s="4">
        <v>0.049057</v>
      </c>
      <c r="T611" s="4">
        <v>0.007038</v>
      </c>
      <c r="U611" s="4">
        <v>0.022212</v>
      </c>
      <c r="V611" s="4">
        <v>-0.0219047663400518</v>
      </c>
      <c r="W611" s="4">
        <v>0.0038489389200702</v>
      </c>
      <c r="X611" s="4">
        <v>0.0</v>
      </c>
      <c r="Y611" s="4">
        <v>-0.0280960294927231</v>
      </c>
      <c r="Z611" s="4">
        <v>-0.0231973388536349</v>
      </c>
      <c r="AA611" s="4">
        <v>8.191972279119E-4</v>
      </c>
      <c r="AB611" s="4">
        <v>-0.0272650662745305</v>
      </c>
      <c r="AC611" s="4">
        <v>0.0</v>
      </c>
      <c r="AD611" s="4">
        <v>0.0</v>
      </c>
      <c r="AE611" s="4">
        <v>-0.0124534039828785</v>
      </c>
      <c r="AF611" s="4">
        <v>-0.0175788020642572</v>
      </c>
      <c r="AG611" s="4">
        <v>-0.0282389794766138</v>
      </c>
      <c r="AH611" s="4">
        <v>0.0510798514236252</v>
      </c>
      <c r="AI611" s="4">
        <v>-0.0067184330176113</v>
      </c>
      <c r="AJ611" s="4">
        <v>0.018431</v>
      </c>
      <c r="AK611" s="4">
        <f>Weights!E667</f>
        <v>0.005709077464</v>
      </c>
      <c r="AL611" s="5">
        <v>-0.00788542920038914</v>
      </c>
      <c r="AM611" s="5">
        <v>-0.00659068768452741</v>
      </c>
      <c r="AN611" s="5">
        <v>-0.00815806442369715</v>
      </c>
      <c r="AO611" s="5">
        <v>-0.00873463373859362</v>
      </c>
      <c r="AP611" s="6">
        <f t="shared" si="3"/>
        <v>1.580014703</v>
      </c>
      <c r="AQ611" s="4">
        <f t="shared" si="4"/>
        <v>1.292808589</v>
      </c>
      <c r="AR611" s="7">
        <f t="shared" si="5"/>
        <v>1.229774196</v>
      </c>
      <c r="AS611" s="7">
        <f t="shared" ref="AS611:AU611" si="613">AS610*(1+AM611)</f>
        <v>1.299483491</v>
      </c>
      <c r="AT611" s="5">
        <f t="shared" si="613"/>
        <v>1.322623881</v>
      </c>
      <c r="AU611" s="5">
        <f t="shared" si="613"/>
        <v>1.297822267</v>
      </c>
    </row>
    <row r="612" ht="15.75" customHeight="1">
      <c r="A612" s="3">
        <v>44715.0</v>
      </c>
      <c r="B612" s="4">
        <v>-0.008706</v>
      </c>
      <c r="C612" s="4">
        <v>-0.009359</v>
      </c>
      <c r="D612" s="4">
        <v>-0.009559</v>
      </c>
      <c r="E612" s="4">
        <v>-0.010979</v>
      </c>
      <c r="F612" s="4">
        <v>-0.011925</v>
      </c>
      <c r="G612" s="4">
        <v>-0.004121</v>
      </c>
      <c r="H612" s="4">
        <v>-0.008967</v>
      </c>
      <c r="I612" s="4">
        <v>-0.002557</v>
      </c>
      <c r="J612" s="4">
        <v>-0.007564</v>
      </c>
      <c r="K612" s="4">
        <v>-0.014278</v>
      </c>
      <c r="L612" s="4">
        <v>-0.008892</v>
      </c>
      <c r="M612" s="4">
        <v>-0.012814</v>
      </c>
      <c r="N612" s="4">
        <v>-0.004219</v>
      </c>
      <c r="O612" s="4">
        <v>-0.013964</v>
      </c>
      <c r="P612" s="4">
        <v>-0.014101</v>
      </c>
      <c r="Q612" s="4">
        <v>-0.041502</v>
      </c>
      <c r="R612" s="4">
        <v>-0.009348</v>
      </c>
      <c r="S612" s="4">
        <v>-0.024879</v>
      </c>
      <c r="T612" s="4">
        <v>-0.022183</v>
      </c>
      <c r="U612" s="4">
        <v>-0.008292</v>
      </c>
      <c r="V612" s="4">
        <v>0.0379747086569133</v>
      </c>
      <c r="W612" s="4">
        <v>-0.0092303698374306</v>
      </c>
      <c r="X612" s="4">
        <v>0.0</v>
      </c>
      <c r="Y612" s="4">
        <v>-0.0129722935232421</v>
      </c>
      <c r="Z612" s="4">
        <v>-0.0021393448070192</v>
      </c>
      <c r="AA612" s="4">
        <v>0.0166965920888102</v>
      </c>
      <c r="AB612" s="4">
        <v>-0.0081749696007759</v>
      </c>
      <c r="AC612" s="4">
        <v>0.0</v>
      </c>
      <c r="AD612" s="4">
        <v>0.0</v>
      </c>
      <c r="AE612" s="4">
        <v>0.0078533056031651</v>
      </c>
      <c r="AF612" s="4">
        <v>-0.0060769557513541</v>
      </c>
      <c r="AG612" s="4">
        <v>0.0302874083042183</v>
      </c>
      <c r="AH612" s="4">
        <v>0.0185909726296091</v>
      </c>
      <c r="AI612" s="4">
        <v>-0.0031214553856578</v>
      </c>
      <c r="AJ612" s="4">
        <v>-0.016347</v>
      </c>
      <c r="AK612" s="4">
        <f>Weights!E668</f>
        <v>-0.002257702945</v>
      </c>
      <c r="AL612" s="5">
        <v>0.020254649834229</v>
      </c>
      <c r="AM612" s="5">
        <v>0.0203904093601514</v>
      </c>
      <c r="AN612" s="5">
        <v>-6.32806308426103E-4</v>
      </c>
      <c r="AO612" s="5">
        <v>0.0</v>
      </c>
      <c r="AP612" s="6">
        <f t="shared" si="3"/>
        <v>1.576447499</v>
      </c>
      <c r="AQ612" s="4">
        <f t="shared" si="4"/>
        <v>1.271675047</v>
      </c>
      <c r="AR612" s="7">
        <f t="shared" si="5"/>
        <v>1.254682841</v>
      </c>
      <c r="AS612" s="7">
        <f t="shared" ref="AS612:AU612" si="614">AS611*(1+AM612)</f>
        <v>1.325980491</v>
      </c>
      <c r="AT612" s="5">
        <f t="shared" si="614"/>
        <v>1.321786916</v>
      </c>
      <c r="AU612" s="5">
        <f t="shared" si="614"/>
        <v>1.297822267</v>
      </c>
    </row>
    <row r="613" ht="15.75" customHeight="1">
      <c r="A613" s="3">
        <v>44718.0</v>
      </c>
      <c r="B613" s="4">
        <v>0.00519</v>
      </c>
      <c r="C613" s="4">
        <v>0.008463</v>
      </c>
      <c r="D613" s="4">
        <v>-0.003939</v>
      </c>
      <c r="E613" s="4">
        <v>0.004186</v>
      </c>
      <c r="F613" s="4">
        <v>-0.001588</v>
      </c>
      <c r="G613" s="4">
        <v>-1.13E-4</v>
      </c>
      <c r="H613" s="4">
        <v>-0.003907</v>
      </c>
      <c r="I613" s="4">
        <v>0.006409</v>
      </c>
      <c r="J613" s="4">
        <v>-0.004212</v>
      </c>
      <c r="K613" s="4">
        <v>0.004082</v>
      </c>
      <c r="L613" s="4">
        <v>0.005345</v>
      </c>
      <c r="M613" s="4">
        <v>0.013521</v>
      </c>
      <c r="N613" s="4">
        <v>0.007869</v>
      </c>
      <c r="O613" s="4">
        <v>0.012193</v>
      </c>
      <c r="P613" s="4">
        <v>5.9E-4</v>
      </c>
      <c r="Q613" s="4">
        <v>-0.02268</v>
      </c>
      <c r="R613" s="4">
        <v>0.035083</v>
      </c>
      <c r="S613" s="4">
        <v>-0.012757</v>
      </c>
      <c r="T613" s="4">
        <v>0.005905</v>
      </c>
      <c r="U613" s="4">
        <v>-0.001007</v>
      </c>
      <c r="V613" s="4">
        <v>-0.0353344720180874</v>
      </c>
      <c r="W613" s="4">
        <v>-0.0540347250791116</v>
      </c>
      <c r="X613" s="4">
        <v>0.0020021064632247</v>
      </c>
      <c r="Y613" s="4">
        <v>-0.0372273232893888</v>
      </c>
      <c r="Z613" s="4">
        <v>-0.0352702547855807</v>
      </c>
      <c r="AA613" s="4">
        <v>0.0143294345727125</v>
      </c>
      <c r="AB613" s="4">
        <v>-0.0067707969847382</v>
      </c>
      <c r="AC613" s="4">
        <v>-0.0035273743740016</v>
      </c>
      <c r="AD613" s="4">
        <v>0.0311419377048345</v>
      </c>
      <c r="AE613" s="4">
        <v>-0.0086163582254084</v>
      </c>
      <c r="AF613" s="4">
        <v>-0.0237771902585078</v>
      </c>
      <c r="AG613" s="4">
        <v>-0.018174524267577</v>
      </c>
      <c r="AH613" s="4">
        <v>-0.0140889886875992</v>
      </c>
      <c r="AI613" s="4">
        <v>0.0046974571817843</v>
      </c>
      <c r="AJ613" s="4">
        <v>0.003137</v>
      </c>
      <c r="AK613" s="4">
        <f>Weights!E669</f>
        <v>-0.004181311163</v>
      </c>
      <c r="AL613" s="5">
        <v>-0.0165018271023082</v>
      </c>
      <c r="AM613" s="5">
        <v>-0.0159670875904572</v>
      </c>
      <c r="AN613" s="5">
        <v>0.0148781916092564</v>
      </c>
      <c r="AO613" s="5">
        <v>0.0140510909118602</v>
      </c>
      <c r="AP613" s="6">
        <f t="shared" si="3"/>
        <v>1.569855882</v>
      </c>
      <c r="AQ613" s="4">
        <f t="shared" si="4"/>
        <v>1.275664291</v>
      </c>
      <c r="AR613" s="7">
        <f t="shared" si="5"/>
        <v>1.233978282</v>
      </c>
      <c r="AS613" s="7">
        <f t="shared" ref="AS613:AU613" si="615">AS612*(1+AM613)</f>
        <v>1.304808445</v>
      </c>
      <c r="AT613" s="5">
        <f t="shared" si="615"/>
        <v>1.341452715</v>
      </c>
      <c r="AU613" s="5">
        <f t="shared" si="615"/>
        <v>1.316058086</v>
      </c>
    </row>
    <row r="614" ht="15.75" customHeight="1">
      <c r="A614" s="3">
        <v>44719.0</v>
      </c>
      <c r="B614" s="4">
        <v>0.010326</v>
      </c>
      <c r="C614" s="4">
        <v>0.008002</v>
      </c>
      <c r="D614" s="4">
        <v>0.01404</v>
      </c>
      <c r="E614" s="4">
        <v>0.006162</v>
      </c>
      <c r="F614" s="4">
        <v>0.006044</v>
      </c>
      <c r="G614" s="4">
        <v>0.010998</v>
      </c>
      <c r="H614" s="4">
        <v>0.011148</v>
      </c>
      <c r="I614" s="4">
        <v>0.008915</v>
      </c>
      <c r="J614" s="4">
        <v>0.001611</v>
      </c>
      <c r="K614" s="4">
        <v>0.002885</v>
      </c>
      <c r="L614" s="4">
        <v>0.008829</v>
      </c>
      <c r="M614" s="4">
        <v>0.007471</v>
      </c>
      <c r="N614" s="4">
        <v>0.007007</v>
      </c>
      <c r="O614" s="4">
        <v>0.017311</v>
      </c>
      <c r="P614" s="4">
        <v>0.007663</v>
      </c>
      <c r="Q614" s="4">
        <v>0.007384</v>
      </c>
      <c r="R614" s="4">
        <v>0.014259</v>
      </c>
      <c r="S614" s="4">
        <v>0.011965</v>
      </c>
      <c r="T614" s="4">
        <v>0.03329</v>
      </c>
      <c r="U614" s="4">
        <v>0.014725</v>
      </c>
      <c r="V614" s="4">
        <v>-0.0103728629047724</v>
      </c>
      <c r="W614" s="4">
        <v>-0.0042424122129806</v>
      </c>
      <c r="X614" s="4">
        <v>-0.0408524551887239</v>
      </c>
      <c r="Y614" s="4">
        <v>-0.0076921053690521</v>
      </c>
      <c r="Z614" s="4">
        <v>-0.0150016722063729</v>
      </c>
      <c r="AA614" s="4">
        <v>0.0023809907333374</v>
      </c>
      <c r="AB614" s="4">
        <v>-0.0186721200373097</v>
      </c>
      <c r="AC614" s="4">
        <v>-0.0070795674584021</v>
      </c>
      <c r="AD614" s="4">
        <v>-0.0385908676018557</v>
      </c>
      <c r="AE614" s="4">
        <v>-0.0040053461115681</v>
      </c>
      <c r="AF614" s="4">
        <v>0.0093945847111676</v>
      </c>
      <c r="AG614" s="4">
        <v>-0.0070808588785071</v>
      </c>
      <c r="AH614" s="4">
        <v>-0.0279311353602706</v>
      </c>
      <c r="AI614" s="4">
        <v>0.0010385302489133</v>
      </c>
      <c r="AJ614" s="4">
        <v>0.009523</v>
      </c>
      <c r="AK614" s="4">
        <f>Weights!E670</f>
        <v>-0.0008025950651</v>
      </c>
      <c r="AL614" s="5">
        <v>0.00357715774104461</v>
      </c>
      <c r="AM614" s="5">
        <v>0.00296338966091092</v>
      </c>
      <c r="AN614" s="5">
        <v>-0.0115409096601183</v>
      </c>
      <c r="AO614" s="5">
        <v>-0.0110381073401204</v>
      </c>
      <c r="AP614" s="6">
        <f t="shared" si="3"/>
        <v>1.568595923</v>
      </c>
      <c r="AQ614" s="4">
        <f t="shared" si="4"/>
        <v>1.287812442</v>
      </c>
      <c r="AR614" s="7">
        <f t="shared" si="5"/>
        <v>1.238392417</v>
      </c>
      <c r="AS614" s="7">
        <f t="shared" ref="AS614:AU614" si="616">AS613*(1+AM614)</f>
        <v>1.3086751</v>
      </c>
      <c r="AT614" s="5">
        <f t="shared" si="616"/>
        <v>1.325971131</v>
      </c>
      <c r="AU614" s="5">
        <f t="shared" si="616"/>
        <v>1.301531295</v>
      </c>
    </row>
    <row r="615" ht="15.75" customHeight="1">
      <c r="A615" s="3">
        <v>44720.0</v>
      </c>
      <c r="B615" s="4">
        <v>-0.020833</v>
      </c>
      <c r="C615" s="4">
        <v>-0.001936</v>
      </c>
      <c r="D615" s="4">
        <v>-0.024376</v>
      </c>
      <c r="E615" s="4">
        <v>-0.004983</v>
      </c>
      <c r="F615" s="4">
        <v>-0.005692</v>
      </c>
      <c r="G615" s="4">
        <v>-0.005944</v>
      </c>
      <c r="H615" s="4">
        <v>-0.012454</v>
      </c>
      <c r="I615" s="4">
        <v>-0.007364</v>
      </c>
      <c r="J615" s="4">
        <v>-0.010658</v>
      </c>
      <c r="K615" s="4">
        <v>-0.012423</v>
      </c>
      <c r="L615" s="4">
        <v>-0.010917</v>
      </c>
      <c r="M615" s="4">
        <v>-0.005826</v>
      </c>
      <c r="N615" s="4">
        <v>-0.00994</v>
      </c>
      <c r="O615" s="4">
        <v>-0.010396</v>
      </c>
      <c r="P615" s="4">
        <v>-0.017695</v>
      </c>
      <c r="Q615" s="4">
        <v>0.006283</v>
      </c>
      <c r="R615" s="4">
        <v>-0.027426</v>
      </c>
      <c r="S615" s="4">
        <v>-0.011823</v>
      </c>
      <c r="T615" s="4">
        <v>-0.029302</v>
      </c>
      <c r="U615" s="4">
        <v>-0.016803</v>
      </c>
      <c r="V615" s="4">
        <v>-0.0320996849109209</v>
      </c>
      <c r="W615" s="4">
        <v>0.033931793829977</v>
      </c>
      <c r="X615" s="4">
        <v>-0.0074074368679071</v>
      </c>
      <c r="Y615" s="4">
        <v>0.0097768293042086</v>
      </c>
      <c r="Z615" s="4">
        <v>0.007107309616539</v>
      </c>
      <c r="AA615" s="4">
        <v>-0.00760091583296</v>
      </c>
      <c r="AB615" s="4">
        <v>-0.0018121176475764</v>
      </c>
      <c r="AC615" s="4">
        <v>0.0017825888818732</v>
      </c>
      <c r="AD615" s="4">
        <v>-0.0104709722543799</v>
      </c>
      <c r="AE615" s="4">
        <v>0.0056908833930899</v>
      </c>
      <c r="AF615" s="4">
        <v>-0.0072388460517409</v>
      </c>
      <c r="AG615" s="4">
        <v>-0.001731764668797</v>
      </c>
      <c r="AH615" s="4">
        <v>-0.0240561396487624</v>
      </c>
      <c r="AI615" s="4">
        <v>0.0</v>
      </c>
      <c r="AJ615" s="4">
        <v>-0.010794</v>
      </c>
      <c r="AK615" s="4">
        <f>Weights!E671</f>
        <v>-0.008037276265</v>
      </c>
      <c r="AL615" s="5">
        <v>0.0083170636549763</v>
      </c>
      <c r="AM615" s="5">
        <v>0.0108501101953437</v>
      </c>
      <c r="AN615" s="5">
        <v>9.46682018030387E-4</v>
      </c>
      <c r="AO615" s="5">
        <v>7.1218728758593E-4</v>
      </c>
      <c r="AP615" s="6">
        <f t="shared" si="3"/>
        <v>1.555988684</v>
      </c>
      <c r="AQ615" s="4">
        <f t="shared" si="4"/>
        <v>1.273911795</v>
      </c>
      <c r="AR615" s="7">
        <f t="shared" si="5"/>
        <v>1.248692206</v>
      </c>
      <c r="AS615" s="7">
        <f t="shared" ref="AS615:AU615" si="617">AS614*(1+AM615)</f>
        <v>1.322874369</v>
      </c>
      <c r="AT615" s="5">
        <f t="shared" si="617"/>
        <v>1.327226404</v>
      </c>
      <c r="AU615" s="5">
        <f t="shared" si="617"/>
        <v>1.302458229</v>
      </c>
    </row>
    <row r="616" ht="15.75" customHeight="1">
      <c r="A616" s="3">
        <v>44721.0</v>
      </c>
      <c r="B616" s="4">
        <v>-0.019102</v>
      </c>
      <c r="C616" s="4">
        <v>-0.011833</v>
      </c>
      <c r="D616" s="4">
        <v>-0.028183</v>
      </c>
      <c r="E616" s="4">
        <v>-0.0178</v>
      </c>
      <c r="F616" s="4">
        <v>-0.017332</v>
      </c>
      <c r="G616" s="4">
        <v>-0.020138</v>
      </c>
      <c r="H616" s="4">
        <v>-0.018055</v>
      </c>
      <c r="I616" s="4">
        <v>-0.021407</v>
      </c>
      <c r="J616" s="4">
        <v>-0.013821</v>
      </c>
      <c r="K616" s="4">
        <v>-0.027278</v>
      </c>
      <c r="L616" s="4">
        <v>-0.019505</v>
      </c>
      <c r="M616" s="4">
        <v>-0.021843</v>
      </c>
      <c r="N616" s="4">
        <v>-0.008032</v>
      </c>
      <c r="O616" s="4">
        <v>-0.017242</v>
      </c>
      <c r="P616" s="4">
        <v>-0.038559</v>
      </c>
      <c r="Q616" s="4">
        <v>-0.030177</v>
      </c>
      <c r="R616" s="4">
        <v>-0.03981</v>
      </c>
      <c r="S616" s="4">
        <v>-0.03039</v>
      </c>
      <c r="T616" s="4">
        <v>-0.047744</v>
      </c>
      <c r="U616" s="4">
        <v>-0.032393</v>
      </c>
      <c r="V616" s="4">
        <v>-0.0104905479162126</v>
      </c>
      <c r="W616" s="4">
        <v>-0.0456217552601572</v>
      </c>
      <c r="X616" s="4">
        <v>-0.065298542301163</v>
      </c>
      <c r="Y616" s="4">
        <v>0.003250423017159</v>
      </c>
      <c r="Z616" s="4">
        <v>-0.005264980042888</v>
      </c>
      <c r="AA616" s="4">
        <v>-0.0089357856523445</v>
      </c>
      <c r="AB616" s="4">
        <v>-0.0305598362105946</v>
      </c>
      <c r="AC616" s="4">
        <v>-0.0124556085099962</v>
      </c>
      <c r="AD616" s="4">
        <v>-0.0213523735620781</v>
      </c>
      <c r="AE616" s="4">
        <v>-0.0021880303065965</v>
      </c>
      <c r="AF616" s="4">
        <v>0.0024305147402432</v>
      </c>
      <c r="AG616" s="4">
        <v>0.0026533374543782</v>
      </c>
      <c r="AH616" s="4">
        <v>-0.0356042764179783</v>
      </c>
      <c r="AI616" s="4">
        <v>0.0020757923573644</v>
      </c>
      <c r="AJ616" s="4">
        <v>-0.023799</v>
      </c>
      <c r="AK616" s="4">
        <f>Weights!E672</f>
        <v>-0.0196377842</v>
      </c>
      <c r="AL616" s="5">
        <v>-0.0114469025611941</v>
      </c>
      <c r="AM616" s="5">
        <v>-0.0112128173773528</v>
      </c>
      <c r="AN616" s="5">
        <v>0.0044136273548101</v>
      </c>
      <c r="AO616" s="5">
        <v>0.00474615656354582</v>
      </c>
      <c r="AP616" s="6">
        <f t="shared" si="3"/>
        <v>1.525432514</v>
      </c>
      <c r="AQ616" s="4">
        <f t="shared" si="4"/>
        <v>1.243593968</v>
      </c>
      <c r="AR616" s="7">
        <f t="shared" si="5"/>
        <v>1.234398548</v>
      </c>
      <c r="AS616" s="7">
        <f t="shared" ref="AS616:AU616" si="618">AS615*(1+AM616)</f>
        <v>1.308041221</v>
      </c>
      <c r="AT616" s="5">
        <f t="shared" si="618"/>
        <v>1.333084286</v>
      </c>
      <c r="AU616" s="5">
        <f t="shared" si="618"/>
        <v>1.3086399</v>
      </c>
    </row>
    <row r="617" ht="15.75" customHeight="1">
      <c r="A617" s="3">
        <v>44722.0</v>
      </c>
      <c r="B617" s="4">
        <v>-0.016549</v>
      </c>
      <c r="C617" s="4">
        <v>-0.002356</v>
      </c>
      <c r="D617" s="4">
        <v>-0.013369</v>
      </c>
      <c r="E617" s="4">
        <v>-0.001597</v>
      </c>
      <c r="F617" s="4">
        <v>-0.006311</v>
      </c>
      <c r="G617" s="4">
        <v>-0.006678</v>
      </c>
      <c r="H617" s="4">
        <v>-0.00379</v>
      </c>
      <c r="I617" s="4">
        <v>-0.013429</v>
      </c>
      <c r="J617" s="4">
        <v>0.004946</v>
      </c>
      <c r="K617" s="4">
        <v>-0.023822</v>
      </c>
      <c r="L617" s="4">
        <v>-0.023678</v>
      </c>
      <c r="M617" s="4">
        <v>-0.028322</v>
      </c>
      <c r="N617" s="4">
        <v>-0.030769</v>
      </c>
      <c r="O617" s="4">
        <v>-4.79E-4</v>
      </c>
      <c r="P617" s="4">
        <v>0.03515</v>
      </c>
      <c r="Q617" s="4">
        <v>0.093348</v>
      </c>
      <c r="R617" s="4">
        <v>-0.007651</v>
      </c>
      <c r="S617" s="4">
        <v>0.042942</v>
      </c>
      <c r="T617" s="4">
        <v>-0.028223</v>
      </c>
      <c r="U617" s="4">
        <v>-0.008108</v>
      </c>
      <c r="V617" s="4">
        <v>-0.00547204658990874</v>
      </c>
      <c r="W617" s="4">
        <v>0.0191210373922945</v>
      </c>
      <c r="X617" s="4">
        <v>0.0</v>
      </c>
      <c r="Y617" s="4">
        <v>-0.0148204708935241</v>
      </c>
      <c r="Z617" s="4">
        <v>0.007882899863554</v>
      </c>
      <c r="AA617" s="4">
        <v>-0.0072451100658121</v>
      </c>
      <c r="AB617" s="4">
        <v>0.0299626389345029</v>
      </c>
      <c r="AC617" s="4">
        <v>0.0</v>
      </c>
      <c r="AD617" s="4">
        <v>0.0</v>
      </c>
      <c r="AE617" s="4">
        <v>0.0214743921812405</v>
      </c>
      <c r="AF617" s="4">
        <v>0.0471077811928279</v>
      </c>
      <c r="AG617" s="4">
        <v>-0.0078369358671053</v>
      </c>
      <c r="AH617" s="4">
        <v>0.0418885460393314</v>
      </c>
      <c r="AI617" s="4">
        <v>-0.0010355249659185</v>
      </c>
      <c r="AJ617" s="4">
        <v>-0.02911</v>
      </c>
      <c r="AK617" s="4">
        <f>Weights!E673</f>
        <v>0.001948608586</v>
      </c>
      <c r="AL617" s="5">
        <v>-0.0232988522577997</v>
      </c>
      <c r="AM617" s="5">
        <v>-0.0239398600992656</v>
      </c>
      <c r="AN617" s="5">
        <v>-0.00721912480451791</v>
      </c>
      <c r="AO617" s="5">
        <v>-0.00661291580644551</v>
      </c>
      <c r="AP617" s="6">
        <f t="shared" si="3"/>
        <v>1.528404985</v>
      </c>
      <c r="AQ617" s="4">
        <f t="shared" si="4"/>
        <v>1.207392948</v>
      </c>
      <c r="AR617" s="7">
        <f t="shared" si="5"/>
        <v>1.205638478</v>
      </c>
      <c r="AS617" s="7">
        <f t="shared" ref="AS617:AU617" si="619">AS616*(1+AM617)</f>
        <v>1.276726897</v>
      </c>
      <c r="AT617" s="5">
        <f t="shared" si="619"/>
        <v>1.323460585</v>
      </c>
      <c r="AU617" s="5">
        <f t="shared" si="619"/>
        <v>1.299985975</v>
      </c>
    </row>
    <row r="618" ht="15.75" customHeight="1">
      <c r="A618" s="3">
        <v>44725.0</v>
      </c>
      <c r="B618" s="4">
        <v>-0.024401</v>
      </c>
      <c r="C618" s="4">
        <v>-0.024203</v>
      </c>
      <c r="D618" s="4">
        <v>-0.025224</v>
      </c>
      <c r="E618" s="4">
        <v>-0.017106</v>
      </c>
      <c r="F618" s="4">
        <v>-0.00114</v>
      </c>
      <c r="G618" s="4">
        <v>-0.010084</v>
      </c>
      <c r="H618" s="4">
        <v>-0.02677</v>
      </c>
      <c r="I618" s="4">
        <v>-0.034029</v>
      </c>
      <c r="J618" s="4">
        <v>-0.023995</v>
      </c>
      <c r="K618" s="4">
        <v>-0.023149</v>
      </c>
      <c r="L618" s="4">
        <v>-0.023358</v>
      </c>
      <c r="M618" s="4">
        <v>-0.04204</v>
      </c>
      <c r="N618" s="4">
        <v>-0.02924</v>
      </c>
      <c r="O618" s="4">
        <v>-0.029351</v>
      </c>
      <c r="P618" s="4">
        <v>-0.032909</v>
      </c>
      <c r="Q618" s="4">
        <v>-0.082434</v>
      </c>
      <c r="R618" s="4">
        <v>-0.075603</v>
      </c>
      <c r="S618" s="4">
        <v>-0.054425</v>
      </c>
      <c r="T618" s="4">
        <v>-0.06574</v>
      </c>
      <c r="U618" s="4">
        <v>-0.033104</v>
      </c>
      <c r="V618" s="4">
        <v>-0.033356213436046</v>
      </c>
      <c r="W618" s="4">
        <v>0.0133152020363538</v>
      </c>
      <c r="X618" s="4">
        <v>-0.0366089308954808</v>
      </c>
      <c r="Y618" s="4">
        <v>0.0124546005821613</v>
      </c>
      <c r="Z618" s="4">
        <v>0.0017878276372023</v>
      </c>
      <c r="AA618" s="4">
        <v>0.0165421716323768</v>
      </c>
      <c r="AB618" s="4">
        <v>0.0024241883440694</v>
      </c>
      <c r="AC618" s="4">
        <v>-0.005395545572012</v>
      </c>
      <c r="AD618" s="4">
        <v>-0.021621783381578</v>
      </c>
      <c r="AE618" s="4">
        <v>0.0126584236796705</v>
      </c>
      <c r="AF618" s="4">
        <v>-0.012901198008786</v>
      </c>
      <c r="AG618" s="4">
        <v>0.0109764649562034</v>
      </c>
      <c r="AH618" s="4">
        <v>-0.0197614481942818</v>
      </c>
      <c r="AI618" s="4">
        <v>0.0020736396749896</v>
      </c>
      <c r="AJ618" s="4">
        <v>-0.038768</v>
      </c>
      <c r="AK618" s="4">
        <f>Weights!E674</f>
        <v>-0.01908678755</v>
      </c>
      <c r="AL618" s="5">
        <v>-0.0284006063618839</v>
      </c>
      <c r="AM618" s="5">
        <v>-0.0296907159269105</v>
      </c>
      <c r="AN618" s="5">
        <v>-0.0101171187950398</v>
      </c>
      <c r="AO618" s="5">
        <v>-0.00879723190984649</v>
      </c>
      <c r="AP618" s="6">
        <f t="shared" si="3"/>
        <v>1.499232644</v>
      </c>
      <c r="AQ618" s="4">
        <f t="shared" si="4"/>
        <v>1.160584738</v>
      </c>
      <c r="AR618" s="7">
        <f t="shared" si="5"/>
        <v>1.171397614</v>
      </c>
      <c r="AS618" s="7">
        <f t="shared" ref="AS618:AU618" si="620">AS617*(1+AM618)</f>
        <v>1.238819961</v>
      </c>
      <c r="AT618" s="5">
        <f t="shared" si="620"/>
        <v>1.310070977</v>
      </c>
      <c r="AU618" s="5">
        <f t="shared" si="620"/>
        <v>1.288549696</v>
      </c>
    </row>
    <row r="619" ht="15.75" customHeight="1">
      <c r="A619" s="3">
        <v>44726.0</v>
      </c>
      <c r="B619" s="4">
        <v>-0.02458</v>
      </c>
      <c r="C619" s="4">
        <v>-0.008671</v>
      </c>
      <c r="D619" s="4">
        <v>-0.019675</v>
      </c>
      <c r="E619" s="4">
        <v>-0.022662</v>
      </c>
      <c r="F619" s="4">
        <v>-0.027225</v>
      </c>
      <c r="G619" s="4">
        <v>-0.015339</v>
      </c>
      <c r="H619" s="4">
        <v>-0.031198</v>
      </c>
      <c r="I619" s="4">
        <v>-0.024091</v>
      </c>
      <c r="J619" s="4">
        <v>-0.037823</v>
      </c>
      <c r="K619" s="4">
        <v>-0.015275</v>
      </c>
      <c r="L619" s="4">
        <v>-0.010177</v>
      </c>
      <c r="M619" s="4">
        <v>-0.009362</v>
      </c>
      <c r="N619" s="4">
        <v>-0.014845</v>
      </c>
      <c r="O619" s="4">
        <v>-0.001878</v>
      </c>
      <c r="P619" s="4">
        <v>-0.02413</v>
      </c>
      <c r="Q619" s="4">
        <v>-0.012834</v>
      </c>
      <c r="R619" s="4">
        <v>-0.009416</v>
      </c>
      <c r="S619" s="4">
        <v>-0.026526</v>
      </c>
      <c r="T619" s="4">
        <v>0.012915</v>
      </c>
      <c r="U619" s="4">
        <v>-0.017579</v>
      </c>
      <c r="V619" s="4">
        <v>0.0441124936081991</v>
      </c>
      <c r="W619" s="4">
        <v>0.0447961434867472</v>
      </c>
      <c r="X619" s="4">
        <v>-0.0399999189558268</v>
      </c>
      <c r="Y619" s="4">
        <v>0.0198338739860939</v>
      </c>
      <c r="Z619" s="4">
        <v>0.0218603707780058</v>
      </c>
      <c r="AA619" s="4">
        <v>0.0105298162594129</v>
      </c>
      <c r="AB619" s="4">
        <v>0.0181378110097119</v>
      </c>
      <c r="AC619" s="4">
        <v>0.0090415689678164</v>
      </c>
      <c r="AD619" s="4">
        <v>-0.0110494549367617</v>
      </c>
      <c r="AE619" s="4">
        <v>-0.0010966125738203</v>
      </c>
      <c r="AF619" s="4">
        <v>0.0080429248487725</v>
      </c>
      <c r="AG619" s="4">
        <v>0.0084220062379036</v>
      </c>
      <c r="AH619" s="4">
        <v>0.0316301142627426</v>
      </c>
      <c r="AI619" s="4">
        <v>-0.0051733714791212</v>
      </c>
      <c r="AJ619" s="4">
        <v>-0.003774</v>
      </c>
      <c r="AK619" s="4">
        <f>Weights!E675</f>
        <v>-0.003887224173</v>
      </c>
      <c r="AL619" s="5">
        <v>-0.038461485941492</v>
      </c>
      <c r="AM619" s="5">
        <v>-0.0408329967625459</v>
      </c>
      <c r="AN619" s="5">
        <v>-0.0150111141148561</v>
      </c>
      <c r="AO619" s="5">
        <v>-0.0143918581105539</v>
      </c>
      <c r="AP619" s="6">
        <f t="shared" si="3"/>
        <v>1.493404791</v>
      </c>
      <c r="AQ619" s="4">
        <f t="shared" si="4"/>
        <v>1.156204691</v>
      </c>
      <c r="AR619" s="7">
        <f t="shared" si="5"/>
        <v>1.126343921</v>
      </c>
      <c r="AS619" s="7">
        <f t="shared" ref="AS619:AU619" si="621">AS618*(1+AM619)</f>
        <v>1.18823523</v>
      </c>
      <c r="AT619" s="5">
        <f t="shared" si="621"/>
        <v>1.290405352</v>
      </c>
      <c r="AU619" s="5">
        <f t="shared" si="621"/>
        <v>1.270005072</v>
      </c>
    </row>
    <row r="620" ht="15.75" customHeight="1">
      <c r="A620" s="3">
        <v>44727.0</v>
      </c>
      <c r="B620" s="4">
        <v>0.006189</v>
      </c>
      <c r="C620" s="4">
        <v>-2.03E-4</v>
      </c>
      <c r="D620" s="4">
        <v>0.010253</v>
      </c>
      <c r="E620" s="4">
        <v>0.010697</v>
      </c>
      <c r="F620" s="4">
        <v>0.007429</v>
      </c>
      <c r="G620" s="4">
        <v>0.010702</v>
      </c>
      <c r="H620" s="4">
        <v>-0.009937</v>
      </c>
      <c r="I620" s="4">
        <v>-0.006055</v>
      </c>
      <c r="J620" s="4">
        <v>2.18E-4</v>
      </c>
      <c r="K620" s="4">
        <v>0.002319</v>
      </c>
      <c r="L620" s="4">
        <v>0.009665</v>
      </c>
      <c r="M620" s="4">
        <v>0.021264</v>
      </c>
      <c r="N620" s="4">
        <v>0.011575</v>
      </c>
      <c r="O620" s="4">
        <v>0.006287</v>
      </c>
      <c r="P620" s="4">
        <v>-0.006499</v>
      </c>
      <c r="Q620" s="4">
        <v>0.021669</v>
      </c>
      <c r="R620" s="4">
        <v>0.002173</v>
      </c>
      <c r="S620" s="4">
        <v>-0.001028</v>
      </c>
      <c r="T620" s="4">
        <v>0.024094</v>
      </c>
      <c r="U620" s="4">
        <v>0.007072</v>
      </c>
      <c r="V620" s="4">
        <v>-0.0756186169327889</v>
      </c>
      <c r="W620" s="4">
        <v>-0.024439021313009</v>
      </c>
      <c r="X620" s="4">
        <v>0.0</v>
      </c>
      <c r="Y620" s="4">
        <v>-0.0161957564772363</v>
      </c>
      <c r="Z620" s="4">
        <v>-0.017245112099134</v>
      </c>
      <c r="AA620" s="4">
        <v>-0.001105060579126</v>
      </c>
      <c r="AB620" s="4">
        <v>-0.010391865144385</v>
      </c>
      <c r="AC620" s="4">
        <v>0.0</v>
      </c>
      <c r="AD620" s="4">
        <v>0.0</v>
      </c>
      <c r="AE620" s="4">
        <v>0.0010244794790765</v>
      </c>
      <c r="AF620" s="4">
        <v>-0.0219415283430117</v>
      </c>
      <c r="AG620" s="4">
        <v>-0.0539344285180655</v>
      </c>
      <c r="AH620" s="4">
        <v>-0.0276280387324164</v>
      </c>
      <c r="AI620" s="4">
        <v>0.001560304468182</v>
      </c>
      <c r="AJ620" s="4">
        <v>0.014593</v>
      </c>
      <c r="AK620" s="4">
        <f>Weights!E676</f>
        <v>-0.00599563604</v>
      </c>
      <c r="AL620" s="5">
        <v>-0.00498828607100831</v>
      </c>
      <c r="AM620" s="5">
        <v>-0.00282741415917275</v>
      </c>
      <c r="AN620" s="5">
        <v>-0.0226978396885395</v>
      </c>
      <c r="AO620" s="5">
        <v>-0.0272571632511957</v>
      </c>
      <c r="AP620" s="6">
        <f t="shared" si="3"/>
        <v>1.484450879</v>
      </c>
      <c r="AQ620" s="4">
        <f t="shared" si="4"/>
        <v>1.173077186</v>
      </c>
      <c r="AR620" s="7">
        <f t="shared" si="5"/>
        <v>1.120725396</v>
      </c>
      <c r="AS620" s="7">
        <f t="shared" ref="AS620:AU620" si="622">AS619*(1+AM620)</f>
        <v>1.184875597</v>
      </c>
      <c r="AT620" s="5">
        <f t="shared" si="622"/>
        <v>1.261115938</v>
      </c>
      <c r="AU620" s="5">
        <f t="shared" si="622"/>
        <v>1.235388336</v>
      </c>
    </row>
    <row r="621" ht="15.75" customHeight="1">
      <c r="A621" s="3">
        <v>44728.0</v>
      </c>
      <c r="B621" s="4">
        <v>-0.061511</v>
      </c>
      <c r="C621" s="4">
        <v>-0.006307</v>
      </c>
      <c r="D621" s="4">
        <v>-0.033038</v>
      </c>
      <c r="E621" s="4">
        <v>-0.004816</v>
      </c>
      <c r="F621" s="4">
        <v>-0.010055</v>
      </c>
      <c r="G621" s="4">
        <v>5.29E-4</v>
      </c>
      <c r="H621" s="4">
        <v>0.006113</v>
      </c>
      <c r="I621" s="4">
        <v>-0.040066</v>
      </c>
      <c r="J621" s="4">
        <v>-0.0131</v>
      </c>
      <c r="K621" s="4">
        <v>-0.036592</v>
      </c>
      <c r="L621" s="4">
        <v>-0.017515</v>
      </c>
      <c r="M621" s="4">
        <v>-0.037016</v>
      </c>
      <c r="N621" s="4">
        <v>-0.042098</v>
      </c>
      <c r="O621" s="4">
        <v>-0.034681</v>
      </c>
      <c r="P621" s="4">
        <v>0.032387</v>
      </c>
      <c r="Q621" s="4">
        <v>0.038176</v>
      </c>
      <c r="R621" s="4">
        <v>-0.055014</v>
      </c>
      <c r="S621" s="4">
        <v>0.001544</v>
      </c>
      <c r="T621" s="4">
        <v>-0.033402</v>
      </c>
      <c r="U621" s="4">
        <v>-0.02699</v>
      </c>
      <c r="V621" s="4">
        <v>0.0394542673505657</v>
      </c>
      <c r="W621" s="4">
        <v>0.0158218944467547</v>
      </c>
      <c r="X621" s="4">
        <v>-0.0260416855734547</v>
      </c>
      <c r="Y621" s="4">
        <v>-0.0212148504288186</v>
      </c>
      <c r="Z621" s="4">
        <v>-0.0228786077400477</v>
      </c>
      <c r="AA621" s="4">
        <v>4.740807694529E-4</v>
      </c>
      <c r="AB621" s="4">
        <v>-0.0018001564714204</v>
      </c>
      <c r="AC621" s="4">
        <v>-0.014336913647455</v>
      </c>
      <c r="AD621" s="4">
        <v>-0.0223465335175033</v>
      </c>
      <c r="AE621" s="4">
        <v>0.0099294867074706</v>
      </c>
      <c r="AF621" s="4">
        <v>-0.0037388906983449</v>
      </c>
      <c r="AG621" s="4">
        <v>-0.0093595449839368</v>
      </c>
      <c r="AH621" s="4">
        <v>-0.0107414760192291</v>
      </c>
      <c r="AI621" s="4">
        <v>0.0051920621632419</v>
      </c>
      <c r="AJ621" s="4">
        <v>-0.032512</v>
      </c>
      <c r="AK621" s="4">
        <f>Weights!E677</f>
        <v>-0.01219942569</v>
      </c>
      <c r="AL621" s="5">
        <v>0.0165531543006471</v>
      </c>
      <c r="AM621" s="5">
        <v>0.0145519204568611</v>
      </c>
      <c r="AN621" s="5">
        <v>-0.00763089295216479</v>
      </c>
      <c r="AO621" s="5">
        <v>-0.00775586532347138</v>
      </c>
      <c r="AP621" s="6">
        <f t="shared" si="3"/>
        <v>1.466341431</v>
      </c>
      <c r="AQ621" s="4">
        <f t="shared" si="4"/>
        <v>1.134938101</v>
      </c>
      <c r="AR621" s="7">
        <f t="shared" si="5"/>
        <v>1.139276936</v>
      </c>
      <c r="AS621" s="7">
        <f t="shared" ref="AS621:AU621" si="623">AS620*(1+AM621)</f>
        <v>1.202117812</v>
      </c>
      <c r="AT621" s="5">
        <f t="shared" si="623"/>
        <v>1.251492497</v>
      </c>
      <c r="AU621" s="5">
        <f t="shared" si="623"/>
        <v>1.225806831</v>
      </c>
    </row>
    <row r="622" ht="15.75" customHeight="1">
      <c r="A622" s="3">
        <v>44729.0</v>
      </c>
      <c r="B622" s="4">
        <v>0.031367</v>
      </c>
      <c r="C622" s="4">
        <v>0.00389</v>
      </c>
      <c r="D622" s="4">
        <v>0.011166</v>
      </c>
      <c r="E622" s="4">
        <v>1.91E-4</v>
      </c>
      <c r="F622" s="4">
        <v>0.006094</v>
      </c>
      <c r="G622" s="4">
        <v>-0.003645</v>
      </c>
      <c r="H622" s="4">
        <v>-0.007201</v>
      </c>
      <c r="I622" s="4">
        <v>-0.011716</v>
      </c>
      <c r="J622" s="4">
        <v>-0.015487</v>
      </c>
      <c r="K622" s="4">
        <v>-0.003903</v>
      </c>
      <c r="L622" s="4">
        <v>-0.009225</v>
      </c>
      <c r="M622" s="4">
        <v>-0.00961</v>
      </c>
      <c r="N622" s="4">
        <v>0.006987</v>
      </c>
      <c r="O622" s="4">
        <v>0.006829</v>
      </c>
      <c r="P622" s="4">
        <v>-0.014681</v>
      </c>
      <c r="Q622" s="4">
        <v>0.0143</v>
      </c>
      <c r="R622" s="4">
        <v>-0.030112</v>
      </c>
      <c r="S622" s="4">
        <v>-0.013104</v>
      </c>
      <c r="T622" s="4">
        <v>0.012614</v>
      </c>
      <c r="U622" s="4">
        <v>-0.001739</v>
      </c>
      <c r="V622" s="4">
        <v>-0.0475346043860543</v>
      </c>
      <c r="W622" s="4">
        <v>0.0162964781196937</v>
      </c>
      <c r="X622" s="4">
        <v>0.0</v>
      </c>
      <c r="Y622" s="4">
        <v>0.0080224574015275</v>
      </c>
      <c r="Z622" s="4">
        <v>0.0040915331896873</v>
      </c>
      <c r="AA622" s="4">
        <v>0.0142178827342291</v>
      </c>
      <c r="AB622" s="4">
        <v>0.0069131881225013</v>
      </c>
      <c r="AC622" s="4">
        <v>0.0</v>
      </c>
      <c r="AD622" s="4">
        <v>0.0</v>
      </c>
      <c r="AE622" s="4">
        <v>0.0017478618671813</v>
      </c>
      <c r="AF622" s="4">
        <v>0.0160354641756075</v>
      </c>
      <c r="AG622" s="4">
        <v>0.0192183216140555</v>
      </c>
      <c r="AH622" s="4">
        <v>-0.0238178906294234</v>
      </c>
      <c r="AI622" s="4">
        <v>-5.16866392961E-4</v>
      </c>
      <c r="AJ622" s="4">
        <v>0.002201</v>
      </c>
      <c r="AK622" s="4">
        <f>Weights!E678</f>
        <v>-0.001715003787</v>
      </c>
      <c r="AL622" s="5">
        <v>-0.0299618734511897</v>
      </c>
      <c r="AM622" s="5">
        <v>-0.0349083318250905</v>
      </c>
      <c r="AN622" s="5">
        <v>0.0013373379054169</v>
      </c>
      <c r="AO622" s="5">
        <v>0.00302578526432251</v>
      </c>
      <c r="AP622" s="6">
        <f t="shared" si="3"/>
        <v>1.46382665</v>
      </c>
      <c r="AQ622" s="4">
        <f t="shared" si="4"/>
        <v>1.137436099</v>
      </c>
      <c r="AR622" s="7">
        <f t="shared" si="5"/>
        <v>1.105142065</v>
      </c>
      <c r="AS622" s="7">
        <f t="shared" ref="AS622:AU622" si="624">AS621*(1+AM622)</f>
        <v>1.160153885</v>
      </c>
      <c r="AT622" s="5">
        <f t="shared" si="624"/>
        <v>1.253166166</v>
      </c>
      <c r="AU622" s="5">
        <f t="shared" si="624"/>
        <v>1.229515859</v>
      </c>
    </row>
    <row r="623" ht="15.75" customHeight="1">
      <c r="A623" s="3">
        <v>44733.0</v>
      </c>
      <c r="B623" s="4">
        <v>0.012256</v>
      </c>
      <c r="C623" s="4">
        <v>0.033041</v>
      </c>
      <c r="D623" s="4">
        <v>0.041078</v>
      </c>
      <c r="E623" s="4">
        <v>0.02324</v>
      </c>
      <c r="F623" s="4">
        <v>0.02137</v>
      </c>
      <c r="G623" s="4">
        <v>0.020949</v>
      </c>
      <c r="H623" s="4">
        <v>0.030296</v>
      </c>
      <c r="I623" s="4">
        <v>0.024697</v>
      </c>
      <c r="J623" s="4">
        <v>0.011236</v>
      </c>
      <c r="K623" s="4">
        <v>0.020497</v>
      </c>
      <c r="L623" s="4">
        <v>0.023433</v>
      </c>
      <c r="M623" s="4">
        <v>0.039418</v>
      </c>
      <c r="N623" s="4">
        <v>0.027081</v>
      </c>
      <c r="O623" s="4">
        <v>0.019942</v>
      </c>
      <c r="P623" s="4">
        <v>0.022114</v>
      </c>
      <c r="Q623" s="4">
        <v>-0.024169</v>
      </c>
      <c r="R623" s="4">
        <v>0.006209</v>
      </c>
      <c r="S623" s="4">
        <v>0.019786</v>
      </c>
      <c r="T623" s="4">
        <v>-0.015177</v>
      </c>
      <c r="U623" s="4">
        <v>0.021341</v>
      </c>
      <c r="V623" s="4">
        <v>0.0134077680383948</v>
      </c>
      <c r="W623" s="4">
        <v>0.0370369959324237</v>
      </c>
      <c r="X623" s="4">
        <v>-0.0226049530633035</v>
      </c>
      <c r="Y623" s="4">
        <v>0.0</v>
      </c>
      <c r="Z623" s="4">
        <v>0.0</v>
      </c>
      <c r="AA623" s="4">
        <v>0.0</v>
      </c>
      <c r="AB623" s="4">
        <v>0.0</v>
      </c>
      <c r="AC623" s="4">
        <v>-0.0018315611257709</v>
      </c>
      <c r="AD623" s="4">
        <v>-0.0113636682158944</v>
      </c>
      <c r="AE623" s="4">
        <v>0.0</v>
      </c>
      <c r="AF623" s="4">
        <v>0.0265278372879043</v>
      </c>
      <c r="AG623" s="4">
        <v>0.0067417621229266</v>
      </c>
      <c r="AH623" s="4">
        <v>0.0258342404845361</v>
      </c>
      <c r="AI623" s="4">
        <v>0.0</v>
      </c>
      <c r="AJ623" s="4">
        <v>0.024477</v>
      </c>
      <c r="AK623" s="4">
        <f>Weights!E679</f>
        <v>0.01260632869</v>
      </c>
      <c r="AL623" s="5">
        <v>8.63328271033747E-4</v>
      </c>
      <c r="AM623" s="5">
        <v>0.00376999973470981</v>
      </c>
      <c r="AN623" s="5">
        <v>-0.0293823484347671</v>
      </c>
      <c r="AO623" s="5">
        <v>-0.0309201614572769</v>
      </c>
      <c r="AP623" s="6">
        <f t="shared" si="3"/>
        <v>1.48228013</v>
      </c>
      <c r="AQ623" s="4">
        <f t="shared" si="4"/>
        <v>1.165277123</v>
      </c>
      <c r="AR623" s="7">
        <f t="shared" si="5"/>
        <v>1.106096165</v>
      </c>
      <c r="AS623" s="7">
        <f t="shared" ref="AS623:AU623" si="625">AS622*(1+AM623)</f>
        <v>1.164527664</v>
      </c>
      <c r="AT623" s="5">
        <f t="shared" si="625"/>
        <v>1.216345201</v>
      </c>
      <c r="AU623" s="5">
        <f t="shared" si="625"/>
        <v>1.19149903</v>
      </c>
    </row>
    <row r="624" ht="15.75" customHeight="1">
      <c r="A624" s="3">
        <v>44734.0</v>
      </c>
      <c r="B624" s="4">
        <v>-0.01435</v>
      </c>
      <c r="C624" s="4">
        <v>0.002764</v>
      </c>
      <c r="D624" s="4">
        <v>-0.001909</v>
      </c>
      <c r="E624" s="4">
        <v>0.008214</v>
      </c>
      <c r="F624" s="4">
        <v>0.007414</v>
      </c>
      <c r="G624" s="4">
        <v>0.015779</v>
      </c>
      <c r="H624" s="4">
        <v>0.015619</v>
      </c>
      <c r="I624" s="4">
        <v>-0.005785</v>
      </c>
      <c r="J624" s="4">
        <v>0.005556</v>
      </c>
      <c r="K624" s="4">
        <v>-0.009157</v>
      </c>
      <c r="L624" s="4">
        <v>-0.011142</v>
      </c>
      <c r="M624" s="4">
        <v>-0.022754</v>
      </c>
      <c r="N624" s="4">
        <v>-0.018087</v>
      </c>
      <c r="O624" s="4">
        <v>0.007245</v>
      </c>
      <c r="P624" s="4">
        <v>-0.009053</v>
      </c>
      <c r="Q624" s="4">
        <v>-0.019608</v>
      </c>
      <c r="R624" s="4">
        <v>-0.079636</v>
      </c>
      <c r="S624" s="4">
        <v>-0.023487</v>
      </c>
      <c r="T624" s="4">
        <v>-0.039373</v>
      </c>
      <c r="U624" s="4">
        <v>0.009893</v>
      </c>
      <c r="V624" s="4">
        <v>0.00918785495131624</v>
      </c>
      <c r="W624" s="4">
        <v>-0.0080732308253744</v>
      </c>
      <c r="X624" s="4">
        <v>0.0033038884775193</v>
      </c>
      <c r="Y624" s="4">
        <v>-0.0135437918313952</v>
      </c>
      <c r="Z624" s="4">
        <v>-0.0056600379973715</v>
      </c>
      <c r="AA624" s="4">
        <v>0.0048288037303207</v>
      </c>
      <c r="AB624" s="4">
        <v>0.0122386559321803</v>
      </c>
      <c r="AC624" s="4">
        <v>0.0110092118367761</v>
      </c>
      <c r="AD624" s="4">
        <v>-0.0076630669909313</v>
      </c>
      <c r="AE624" s="4">
        <v>-0.0082152402068963</v>
      </c>
      <c r="AF624" s="4">
        <v>-0.0013084505080752</v>
      </c>
      <c r="AG624" s="4">
        <v>0.0092079227955894</v>
      </c>
      <c r="AH624" s="4">
        <v>-0.0346274845171772</v>
      </c>
      <c r="AI624" s="4">
        <v>0.0019179754232907</v>
      </c>
      <c r="AJ624" s="4">
        <v>-0.001302</v>
      </c>
      <c r="AK624" s="4">
        <f>Weights!E680</f>
        <v>-0.005870935884</v>
      </c>
      <c r="AL624" s="5">
        <v>0.0207974510210005</v>
      </c>
      <c r="AM624" s="5">
        <v>0.0242227829384127</v>
      </c>
      <c r="AN624" s="5">
        <v>-0.00206400785759863</v>
      </c>
      <c r="AO624" s="5">
        <v>-0.00389086534775584</v>
      </c>
      <c r="AP624" s="6">
        <f t="shared" si="3"/>
        <v>1.473577758</v>
      </c>
      <c r="AQ624" s="4">
        <f t="shared" si="4"/>
        <v>1.163759932</v>
      </c>
      <c r="AR624" s="7">
        <f t="shared" si="5"/>
        <v>1.129100146</v>
      </c>
      <c r="AS624" s="7">
        <f t="shared" ref="AS624:AU624" si="626">AS623*(1+AM624)</f>
        <v>1.192735765</v>
      </c>
      <c r="AT624" s="5">
        <f t="shared" si="626"/>
        <v>1.213834655</v>
      </c>
      <c r="AU624" s="5">
        <f t="shared" si="626"/>
        <v>1.186863068</v>
      </c>
    </row>
    <row r="625" ht="15.75" customHeight="1">
      <c r="A625" s="3">
        <v>44735.0</v>
      </c>
      <c r="B625" s="4">
        <v>-0.00273</v>
      </c>
      <c r="C625" s="4">
        <v>0.025596</v>
      </c>
      <c r="D625" s="4">
        <v>0.006589</v>
      </c>
      <c r="E625" s="4">
        <v>0.012775</v>
      </c>
      <c r="F625" s="4">
        <v>0.011938</v>
      </c>
      <c r="G625" s="4">
        <v>0.022306</v>
      </c>
      <c r="H625" s="4">
        <v>0.027437</v>
      </c>
      <c r="I625" s="4">
        <v>-0.010909</v>
      </c>
      <c r="J625" s="4">
        <v>0.009945</v>
      </c>
      <c r="K625" s="4">
        <v>-0.035773</v>
      </c>
      <c r="L625" s="4">
        <v>-0.018296</v>
      </c>
      <c r="M625" s="4">
        <v>-0.013731</v>
      </c>
      <c r="N625" s="4">
        <v>-0.010209</v>
      </c>
      <c r="O625" s="4">
        <v>0.022269</v>
      </c>
      <c r="P625" s="4">
        <v>-0.026634</v>
      </c>
      <c r="Q625" s="4">
        <v>-0.041053</v>
      </c>
      <c r="R625" s="4">
        <v>-0.055875</v>
      </c>
      <c r="S625" s="4">
        <v>-0.028235</v>
      </c>
      <c r="T625" s="4">
        <v>-0.016691</v>
      </c>
      <c r="U625" s="4">
        <v>0.017735</v>
      </c>
      <c r="V625" s="4">
        <v>-0.0112892983382855</v>
      </c>
      <c r="W625" s="4">
        <v>0.0220719646682414</v>
      </c>
      <c r="X625" s="4">
        <v>0.0318331888594247</v>
      </c>
      <c r="Y625" s="4">
        <v>-0.0014862668688764</v>
      </c>
      <c r="Z625" s="4">
        <v>-0.0022767075772114</v>
      </c>
      <c r="AA625" s="4">
        <v>-9.30284228456E-4</v>
      </c>
      <c r="AB625" s="4">
        <v>0.0029489659383432</v>
      </c>
      <c r="AC625" s="4">
        <v>0.0054446644540333</v>
      </c>
      <c r="AD625" s="4">
        <v>0.0077222430567958</v>
      </c>
      <c r="AE625" s="4">
        <v>0.0033718316611091</v>
      </c>
      <c r="AF625" s="4">
        <v>-0.0029479507913752</v>
      </c>
      <c r="AG625" s="4">
        <v>0.0072577016749153</v>
      </c>
      <c r="AH625" s="4">
        <v>-0.0039854775442091</v>
      </c>
      <c r="AI625" s="4">
        <v>0.0036214891622485</v>
      </c>
      <c r="AJ625" s="4">
        <v>0.009532</v>
      </c>
      <c r="AK625" s="4">
        <f>Weights!E681</f>
        <v>-0.002036895028</v>
      </c>
      <c r="AL625" s="5">
        <v>-0.00328609019464598</v>
      </c>
      <c r="AM625" s="5">
        <v>-1.59494479742394E-4</v>
      </c>
      <c r="AN625" s="5">
        <v>0.0141331052712303</v>
      </c>
      <c r="AO625" s="5">
        <v>0.0140622633895071</v>
      </c>
      <c r="AP625" s="6">
        <f t="shared" si="3"/>
        <v>1.470576235</v>
      </c>
      <c r="AQ625" s="4">
        <f t="shared" si="4"/>
        <v>1.174852892</v>
      </c>
      <c r="AR625" s="7">
        <f t="shared" si="5"/>
        <v>1.125389821</v>
      </c>
      <c r="AS625" s="7">
        <f t="shared" ref="AS625:AU625" si="627">AS624*(1+AM625)</f>
        <v>1.192545531</v>
      </c>
      <c r="AT625" s="5">
        <f t="shared" si="627"/>
        <v>1.230989908</v>
      </c>
      <c r="AU625" s="5">
        <f t="shared" si="627"/>
        <v>1.203553049</v>
      </c>
    </row>
    <row r="626" ht="15.75" customHeight="1">
      <c r="A626" s="3">
        <v>44736.0</v>
      </c>
      <c r="B626" s="4">
        <v>0.022354</v>
      </c>
      <c r="C626" s="4">
        <v>-0.021693</v>
      </c>
      <c r="D626" s="4">
        <v>0.022804</v>
      </c>
      <c r="E626" s="4">
        <v>0.01237</v>
      </c>
      <c r="F626" s="4">
        <v>0.018746</v>
      </c>
      <c r="G626" s="4">
        <v>0.014639</v>
      </c>
      <c r="H626" s="4">
        <v>0.014406</v>
      </c>
      <c r="I626" s="4">
        <v>0.02402</v>
      </c>
      <c r="J626" s="4">
        <v>0.014442</v>
      </c>
      <c r="K626" s="4">
        <v>0.004174</v>
      </c>
      <c r="L626" s="4">
        <v>0.0159</v>
      </c>
      <c r="M626" s="4">
        <v>0.029661</v>
      </c>
      <c r="N626" s="4">
        <v>0.027579</v>
      </c>
      <c r="O626" s="4">
        <v>0.019326</v>
      </c>
      <c r="P626" s="4">
        <v>0.020999</v>
      </c>
      <c r="Q626" s="4">
        <v>0.047201</v>
      </c>
      <c r="R626" s="4">
        <v>0.048022</v>
      </c>
      <c r="S626" s="4">
        <v>0.027711</v>
      </c>
      <c r="T626" s="4">
        <v>0.047341</v>
      </c>
      <c r="U626" s="4">
        <v>0.018422</v>
      </c>
      <c r="V626" s="4">
        <v>0.0453040019832851</v>
      </c>
      <c r="W626" s="4">
        <v>0.0141719452117696</v>
      </c>
      <c r="X626" s="4">
        <v>-0.0010638340063735</v>
      </c>
      <c r="Y626" s="4">
        <v>0.0190661451758651</v>
      </c>
      <c r="Z626" s="4">
        <v>0.0203103473086445</v>
      </c>
      <c r="AA626" s="4">
        <v>-0.0076026188423887</v>
      </c>
      <c r="AB626" s="4">
        <v>0.0079389006390933</v>
      </c>
      <c r="AC626" s="4">
        <v>0.001805034007853</v>
      </c>
      <c r="AD626" s="4">
        <v>-0.0038316385035093</v>
      </c>
      <c r="AE626" s="4">
        <v>-0.001461090444141</v>
      </c>
      <c r="AF626" s="4">
        <v>0.0223390559592961</v>
      </c>
      <c r="AG626" s="4">
        <v>0.0066906114114806</v>
      </c>
      <c r="AH626" s="4">
        <v>0.0025463693335259</v>
      </c>
      <c r="AI626" s="4">
        <v>-0.0010309775153156</v>
      </c>
      <c r="AJ626" s="4">
        <v>0.030563</v>
      </c>
      <c r="AK626" s="4">
        <f>Weights!E682</f>
        <v>0.01486575773</v>
      </c>
      <c r="AL626" s="5">
        <v>0.00621696726513065</v>
      </c>
      <c r="AM626" s="5">
        <v>0.00906733650884672</v>
      </c>
      <c r="AN626" s="5">
        <v>0.00237919684412246</v>
      </c>
      <c r="AO626" s="5">
        <v>0.00359553321665284</v>
      </c>
      <c r="AP626" s="6">
        <f t="shared" si="3"/>
        <v>1.492437465</v>
      </c>
      <c r="AQ626" s="4">
        <f t="shared" si="4"/>
        <v>1.210759921</v>
      </c>
      <c r="AR626" s="7">
        <f t="shared" si="5"/>
        <v>1.132386333</v>
      </c>
      <c r="AS626" s="7">
        <f t="shared" ref="AS626:AU626" si="628">AS625*(1+AM626)</f>
        <v>1.203358742</v>
      </c>
      <c r="AT626" s="5">
        <f t="shared" si="628"/>
        <v>1.233918675</v>
      </c>
      <c r="AU626" s="5">
        <f t="shared" si="628"/>
        <v>1.207880464</v>
      </c>
    </row>
    <row r="627" ht="15.75" customHeight="1">
      <c r="A627" s="3">
        <v>44739.0</v>
      </c>
      <c r="B627" s="4">
        <v>0.006693</v>
      </c>
      <c r="C627" s="4">
        <v>0.0</v>
      </c>
      <c r="D627" s="4">
        <v>-0.009496</v>
      </c>
      <c r="E627" s="4">
        <v>0.001324</v>
      </c>
      <c r="F627" s="4">
        <v>-0.002062</v>
      </c>
      <c r="G627" s="4">
        <v>-9.33E-4</v>
      </c>
      <c r="H627" s="4">
        <v>-0.00762</v>
      </c>
      <c r="I627" s="4">
        <v>0.009574</v>
      </c>
      <c r="J627" s="4">
        <v>0.017472</v>
      </c>
      <c r="K627" s="4">
        <v>0.013393</v>
      </c>
      <c r="L627" s="4">
        <v>0.003939</v>
      </c>
      <c r="M627" s="4">
        <v>0.009406</v>
      </c>
      <c r="N627" s="4">
        <v>6.55E-4</v>
      </c>
      <c r="O627" s="4">
        <v>0.005295</v>
      </c>
      <c r="P627" s="4">
        <v>-0.005453</v>
      </c>
      <c r="Q627" s="4">
        <v>0.020964</v>
      </c>
      <c r="R627" s="4">
        <v>9.68E-4</v>
      </c>
      <c r="S627" s="4">
        <v>0.01466</v>
      </c>
      <c r="T627" s="4">
        <v>-0.009004</v>
      </c>
      <c r="U627" s="4">
        <v>0.003096</v>
      </c>
      <c r="V627" s="4">
        <v>-0.00105708545651062</v>
      </c>
      <c r="W627" s="4">
        <v>0.0122437578055485</v>
      </c>
      <c r="X627" s="4">
        <v>0.0</v>
      </c>
      <c r="Y627" s="4">
        <v>0.0092500208709858</v>
      </c>
      <c r="Z627" s="4">
        <v>0.0135316172454313</v>
      </c>
      <c r="AA627" s="4">
        <v>-0.0100063254304065</v>
      </c>
      <c r="AB627" s="4">
        <v>0.0055425717599935</v>
      </c>
      <c r="AC627" s="4">
        <v>0.0</v>
      </c>
      <c r="AD627" s="4">
        <v>0.0</v>
      </c>
      <c r="AE627" s="4">
        <v>0.0082676071697818</v>
      </c>
      <c r="AF627" s="4">
        <v>0.0115680869739052</v>
      </c>
      <c r="AG627" s="4">
        <v>0.002556183023461</v>
      </c>
      <c r="AH627" s="4">
        <v>-0.0047169852126848</v>
      </c>
      <c r="AI627" s="4">
        <v>0.004643637445306</v>
      </c>
      <c r="AJ627" s="4">
        <v>-0.002973</v>
      </c>
      <c r="AK627" s="4">
        <f>Weights!E683</f>
        <v>0.003901251698</v>
      </c>
      <c r="AL627" s="5">
        <v>0.0303313198842856</v>
      </c>
      <c r="AM627" s="5">
        <v>0.0323143442758806</v>
      </c>
      <c r="AN627" s="5">
        <v>-0.010851006693609</v>
      </c>
      <c r="AO627" s="5">
        <v>-0.0125386390352213</v>
      </c>
      <c r="AP627" s="6">
        <f t="shared" si="3"/>
        <v>1.498259839</v>
      </c>
      <c r="AQ627" s="4">
        <f t="shared" si="4"/>
        <v>1.207160331</v>
      </c>
      <c r="AR627" s="7">
        <f t="shared" si="5"/>
        <v>1.166733105</v>
      </c>
      <c r="AS627" s="7">
        <f t="shared" ref="AS627:AU627" si="629">AS626*(1+AM627)</f>
        <v>1.242244491</v>
      </c>
      <c r="AT627" s="5">
        <f t="shared" si="629"/>
        <v>1.220529415</v>
      </c>
      <c r="AU627" s="5">
        <f t="shared" si="629"/>
        <v>1.192735287</v>
      </c>
    </row>
    <row r="628" ht="15.75" customHeight="1">
      <c r="A628" s="3">
        <v>44740.0</v>
      </c>
      <c r="B628" s="4">
        <v>-0.016401</v>
      </c>
      <c r="C628" s="4">
        <v>-0.009812</v>
      </c>
      <c r="D628" s="4">
        <v>-0.002501</v>
      </c>
      <c r="E628" s="4">
        <v>-0.014067</v>
      </c>
      <c r="F628" s="4">
        <v>-0.010014</v>
      </c>
      <c r="G628" s="4">
        <v>-0.028443</v>
      </c>
      <c r="H628" s="4">
        <v>-0.016265</v>
      </c>
      <c r="I628" s="4">
        <v>0.008535</v>
      </c>
      <c r="J628" s="4">
        <v>0.0106</v>
      </c>
      <c r="K628" s="4">
        <v>-3.04E-4</v>
      </c>
      <c r="L628" s="4">
        <v>0.004646</v>
      </c>
      <c r="M628" s="4">
        <v>0.017472</v>
      </c>
      <c r="N628" s="4">
        <v>0.006324</v>
      </c>
      <c r="O628" s="4">
        <v>-0.006349</v>
      </c>
      <c r="P628" s="4">
        <v>-0.01363</v>
      </c>
      <c r="Q628" s="4">
        <v>-0.029774</v>
      </c>
      <c r="R628" s="4">
        <v>-0.007737</v>
      </c>
      <c r="S628" s="4">
        <v>-0.022704</v>
      </c>
      <c r="T628" s="4">
        <v>-0.01899</v>
      </c>
      <c r="U628" s="4">
        <v>-0.012103</v>
      </c>
      <c r="V628" s="4">
        <v>-0.0165784154646244</v>
      </c>
      <c r="W628" s="4">
        <v>0.0123587028262326</v>
      </c>
      <c r="X628" s="4">
        <v>0.0426638078850154</v>
      </c>
      <c r="Y628" s="4">
        <v>0.0048930401302396</v>
      </c>
      <c r="Z628" s="4">
        <v>-0.0047444606227549</v>
      </c>
      <c r="AA628" s="4">
        <v>-0.0017371838106693</v>
      </c>
      <c r="AB628" s="4">
        <v>0.0046418063680577</v>
      </c>
      <c r="AC628" s="4">
        <v>0.0125900239688048</v>
      </c>
      <c r="AD628" s="4">
        <v>-0.0076482047984116</v>
      </c>
      <c r="AE628" s="4">
        <v>-0.001886665373547</v>
      </c>
      <c r="AF628" s="4">
        <v>0.0250954230975533</v>
      </c>
      <c r="AG628" s="4">
        <v>0.0</v>
      </c>
      <c r="AH628" s="4">
        <v>0.0</v>
      </c>
      <c r="AI628" s="4">
        <v>-0.0041085381203823</v>
      </c>
      <c r="AJ628" s="4">
        <v>-0.020143</v>
      </c>
      <c r="AK628" s="4">
        <f>Weights!E684</f>
        <v>-0.000464688374</v>
      </c>
      <c r="AL628" s="5">
        <v>-0.00245311697818584</v>
      </c>
      <c r="AM628" s="5">
        <v>-0.00307408738871117</v>
      </c>
      <c r="AN628" s="5">
        <v>-0.0133699155933333</v>
      </c>
      <c r="AO628" s="5">
        <v>-0.0147705051809808</v>
      </c>
      <c r="AP628" s="6">
        <f t="shared" si="3"/>
        <v>1.497563615</v>
      </c>
      <c r="AQ628" s="4">
        <f t="shared" si="4"/>
        <v>1.182844501</v>
      </c>
      <c r="AR628" s="7">
        <f t="shared" si="5"/>
        <v>1.163870972</v>
      </c>
      <c r="AS628" s="7">
        <f t="shared" ref="AS628:AU628" si="630">AS627*(1+AM628)</f>
        <v>1.238425723</v>
      </c>
      <c r="AT628" s="5">
        <f t="shared" si="630"/>
        <v>1.20421104</v>
      </c>
      <c r="AU628" s="5">
        <f t="shared" si="630"/>
        <v>1.175117984</v>
      </c>
    </row>
    <row r="629" ht="15.75" customHeight="1">
      <c r="A629" s="3">
        <v>44741.0</v>
      </c>
      <c r="B629" s="4">
        <v>0.006309</v>
      </c>
      <c r="C629" s="4">
        <v>0.009512</v>
      </c>
      <c r="D629" s="4">
        <v>4.18E-4</v>
      </c>
      <c r="E629" s="4">
        <v>0.016584</v>
      </c>
      <c r="F629" s="4">
        <v>0.007225</v>
      </c>
      <c r="G629" s="4">
        <v>2.83E-4</v>
      </c>
      <c r="H629" s="4">
        <v>0.009083</v>
      </c>
      <c r="I629" s="4">
        <v>-0.002351</v>
      </c>
      <c r="J629" s="4">
        <v>-0.003356</v>
      </c>
      <c r="K629" s="4">
        <v>-7.6E-4</v>
      </c>
      <c r="L629" s="4">
        <v>0.003802</v>
      </c>
      <c r="M629" s="4">
        <v>-0.010303</v>
      </c>
      <c r="N629" s="4">
        <v>-0.004984</v>
      </c>
      <c r="O629" s="4">
        <v>0.007763</v>
      </c>
      <c r="P629" s="4">
        <v>-0.015407</v>
      </c>
      <c r="Q629" s="4">
        <v>-0.007407</v>
      </c>
      <c r="R629" s="4">
        <v>-0.015919</v>
      </c>
      <c r="S629" s="4">
        <v>-0.009768</v>
      </c>
      <c r="T629" s="4">
        <v>-0.011299</v>
      </c>
      <c r="U629" s="4">
        <v>0.024667</v>
      </c>
      <c r="V629" s="4">
        <v>-0.0347920037063221</v>
      </c>
      <c r="W629" s="4">
        <v>0.0096103530878564</v>
      </c>
      <c r="X629" s="4">
        <v>-0.0129740234824278</v>
      </c>
      <c r="Y629" s="4">
        <v>-0.0137156281963504</v>
      </c>
      <c r="Z629" s="4">
        <v>5.544358188322E-4</v>
      </c>
      <c r="AA629" s="4">
        <v>-0.0053788212341469</v>
      </c>
      <c r="AB629" s="4">
        <v>0.0023100841634011</v>
      </c>
      <c r="AC629" s="4">
        <v>0.0</v>
      </c>
      <c r="AD629" s="4">
        <v>-0.0096342023689447</v>
      </c>
      <c r="AE629" s="4">
        <v>5.814567240538E-4</v>
      </c>
      <c r="AF629" s="4">
        <v>-0.0154943095289277</v>
      </c>
      <c r="AG629" s="4">
        <v>-0.0132584841426698</v>
      </c>
      <c r="AH629" s="4">
        <v>0.0368210242246482</v>
      </c>
      <c r="AI629" s="4">
        <v>-0.0041262566439376</v>
      </c>
      <c r="AJ629" s="4">
        <v>-7.12E-4</v>
      </c>
      <c r="AK629" s="4">
        <f>Weights!E685</f>
        <v>-0.001987764488</v>
      </c>
      <c r="AL629" s="5">
        <v>-0.0169414189011579</v>
      </c>
      <c r="AM629" s="5">
        <v>-0.0206073054015184</v>
      </c>
      <c r="AN629" s="5">
        <v>0.0173731881727245</v>
      </c>
      <c r="AO629" s="5">
        <v>0.0181482466169196</v>
      </c>
      <c r="AP629" s="6">
        <f t="shared" si="3"/>
        <v>1.494586811</v>
      </c>
      <c r="AQ629" s="4">
        <f t="shared" si="4"/>
        <v>1.182002316</v>
      </c>
      <c r="AR629" s="7">
        <f t="shared" si="5"/>
        <v>1.144153346</v>
      </c>
      <c r="AS629" s="7">
        <f t="shared" ref="AS629:AU629" si="631">AS628*(1+AM629)</f>
        <v>1.212905106</v>
      </c>
      <c r="AT629" s="5">
        <f t="shared" si="631"/>
        <v>1.225132025</v>
      </c>
      <c r="AU629" s="5">
        <f t="shared" si="631"/>
        <v>1.196444315</v>
      </c>
    </row>
    <row r="630" ht="15.75" customHeight="1">
      <c r="A630" s="3">
        <v>44742.0</v>
      </c>
      <c r="B630" s="4">
        <v>-0.002239</v>
      </c>
      <c r="C630" s="4">
        <v>-0.00373</v>
      </c>
      <c r="D630" s="4">
        <v>4.18E-4</v>
      </c>
      <c r="E630" s="4">
        <v>-4.2E-4</v>
      </c>
      <c r="F630" s="4">
        <v>0.002869</v>
      </c>
      <c r="G630" s="4">
        <v>0.002938</v>
      </c>
      <c r="H630" s="4">
        <v>0.011181</v>
      </c>
      <c r="I630" s="4">
        <v>-0.004241</v>
      </c>
      <c r="J630" s="4">
        <v>-0.005052</v>
      </c>
      <c r="K630" s="4">
        <v>-0.002737</v>
      </c>
      <c r="L630" s="4">
        <v>-0.008804</v>
      </c>
      <c r="M630" s="4">
        <v>0.002313</v>
      </c>
      <c r="N630" s="4">
        <v>-0.002395</v>
      </c>
      <c r="O630" s="4">
        <v>-0.015406</v>
      </c>
      <c r="P630" s="4">
        <v>-0.037425</v>
      </c>
      <c r="Q630" s="4">
        <v>-0.027719</v>
      </c>
      <c r="R630" s="4">
        <v>-0.034005</v>
      </c>
      <c r="S630" s="4">
        <v>-0.039456</v>
      </c>
      <c r="T630" s="4">
        <v>-0.017318</v>
      </c>
      <c r="U630" s="4">
        <v>-0.005296</v>
      </c>
      <c r="V630" s="4">
        <v>-0.0271274777388134</v>
      </c>
      <c r="W630" s="4">
        <v>-0.0095188733539265</v>
      </c>
      <c r="X630" s="4">
        <v>-0.0232558253877539</v>
      </c>
      <c r="Y630" s="4">
        <v>0.0036155415163574</v>
      </c>
      <c r="Z630" s="4">
        <v>0.0245980820974629</v>
      </c>
      <c r="AA630" s="4">
        <v>-6.362960584355E-4</v>
      </c>
      <c r="AB630" s="4">
        <v>-0.0175336263723403</v>
      </c>
      <c r="AC630" s="4">
        <v>-0.0017761018218982</v>
      </c>
      <c r="AD630" s="4">
        <v>0.0038910626172399</v>
      </c>
      <c r="AE630" s="4">
        <v>0.0061760717162331</v>
      </c>
      <c r="AF630" s="4">
        <v>0.0154232506302829</v>
      </c>
      <c r="AG630" s="4">
        <v>-0.0021705070373965</v>
      </c>
      <c r="AH630" s="4">
        <v>0.0305906786554435</v>
      </c>
      <c r="AI630" s="4">
        <v>-0.0020714560241564</v>
      </c>
      <c r="AJ630" s="4">
        <v>-0.008759</v>
      </c>
      <c r="AK630" s="4">
        <f>Weights!E686</f>
        <v>-0.004353731892</v>
      </c>
      <c r="AL630" s="5">
        <v>-0.00176042243663365</v>
      </c>
      <c r="AM630" s="5">
        <v>-0.00167918872739081</v>
      </c>
      <c r="AN630" s="5">
        <v>0.0095627885379248</v>
      </c>
      <c r="AO630" s="5">
        <v>0.0105915059526193</v>
      </c>
      <c r="AP630" s="6">
        <f t="shared" si="3"/>
        <v>1.488079781</v>
      </c>
      <c r="AQ630" s="4">
        <f t="shared" si="4"/>
        <v>1.171649157</v>
      </c>
      <c r="AR630" s="7">
        <f t="shared" si="5"/>
        <v>1.142139153</v>
      </c>
      <c r="AS630" s="7">
        <f t="shared" ref="AS630:AU630" si="632">AS629*(1+AM630)</f>
        <v>1.210868409</v>
      </c>
      <c r="AT630" s="5">
        <f t="shared" si="632"/>
        <v>1.236847703</v>
      </c>
      <c r="AU630" s="5">
        <f t="shared" si="632"/>
        <v>1.209116462</v>
      </c>
    </row>
    <row r="631" ht="15.75" customHeight="1">
      <c r="A631" s="3">
        <v>44743.0</v>
      </c>
      <c r="B631" s="4">
        <v>0.011221</v>
      </c>
      <c r="C631" s="4">
        <v>0.017537</v>
      </c>
      <c r="D631" s="4">
        <v>0.015658</v>
      </c>
      <c r="E631" s="4">
        <v>0.016381</v>
      </c>
      <c r="F631" s="4">
        <v>0.023367</v>
      </c>
      <c r="G631" s="4">
        <v>0.011323</v>
      </c>
      <c r="H631" s="4">
        <v>0.016135</v>
      </c>
      <c r="I631" s="4">
        <v>0.009465</v>
      </c>
      <c r="J631" s="4">
        <v>0.017982</v>
      </c>
      <c r="K631" s="4">
        <v>0.009759</v>
      </c>
      <c r="L631" s="4">
        <v>0.006507</v>
      </c>
      <c r="M631" s="4">
        <v>0.010964</v>
      </c>
      <c r="N631" s="4">
        <v>0.012443</v>
      </c>
      <c r="O631" s="4">
        <v>0.029051</v>
      </c>
      <c r="P631" s="4">
        <v>0.025138</v>
      </c>
      <c r="Q631" s="4">
        <v>0.027412</v>
      </c>
      <c r="R631" s="4">
        <v>-0.002051</v>
      </c>
      <c r="S631" s="4">
        <v>0.028865</v>
      </c>
      <c r="T631" s="4">
        <v>0.01178</v>
      </c>
      <c r="U631" s="4">
        <v>0.010971</v>
      </c>
      <c r="V631" s="4">
        <v>0.00572948742400192</v>
      </c>
      <c r="W631" s="4">
        <v>0.0</v>
      </c>
      <c r="X631" s="4">
        <v>-0.0124223263771259</v>
      </c>
      <c r="Y631" s="4">
        <v>0.0299985323372404</v>
      </c>
      <c r="Z631" s="4">
        <v>0.0388236645091464</v>
      </c>
      <c r="AA631" s="4">
        <v>0.0117777927858875</v>
      </c>
      <c r="AB631" s="4">
        <v>0.0059488469844857</v>
      </c>
      <c r="AC631" s="4">
        <v>0.0142347930119555</v>
      </c>
      <c r="AD631" s="4">
        <v>-0.0058138120554511</v>
      </c>
      <c r="AE631" s="4">
        <v>0.0081600690047478</v>
      </c>
      <c r="AF631" s="4">
        <v>0.0</v>
      </c>
      <c r="AG631" s="4">
        <v>0.0071473780593966</v>
      </c>
      <c r="AH631" s="4">
        <v>-0.0061412103383046</v>
      </c>
      <c r="AI631" s="4">
        <v>-0.0036324346163979</v>
      </c>
      <c r="AJ631" s="4">
        <v>0.010554</v>
      </c>
      <c r="AK631" s="4">
        <f>Weights!E687</f>
        <v>0.0100684204</v>
      </c>
      <c r="AL631" s="5">
        <v>-0.0079821985863332</v>
      </c>
      <c r="AM631" s="5">
        <v>-0.00861976344124315</v>
      </c>
      <c r="AN631" s="5">
        <v>-0.00338303692059049</v>
      </c>
      <c r="AO631" s="5">
        <v>-0.00178917410214562</v>
      </c>
      <c r="AP631" s="6">
        <f t="shared" si="3"/>
        <v>1.503062394</v>
      </c>
      <c r="AQ631" s="4">
        <f t="shared" si="4"/>
        <v>1.184014742</v>
      </c>
      <c r="AR631" s="7">
        <f t="shared" si="5"/>
        <v>1.133022372</v>
      </c>
      <c r="AS631" s="7">
        <f t="shared" ref="AS631:AU631" si="633">AS630*(1+AM631)</f>
        <v>1.20043101</v>
      </c>
      <c r="AT631" s="5">
        <f t="shared" si="633"/>
        <v>1.232663402</v>
      </c>
      <c r="AU631" s="5">
        <f t="shared" si="633"/>
        <v>1.206953142</v>
      </c>
    </row>
    <row r="632" ht="15.75" customHeight="1">
      <c r="A632" s="3">
        <v>44747.0</v>
      </c>
      <c r="B632" s="4">
        <v>-0.017754</v>
      </c>
      <c r="C632" s="4">
        <v>-0.00426</v>
      </c>
      <c r="D632" s="4">
        <v>-0.004933</v>
      </c>
      <c r="E632" s="4">
        <v>-0.002243</v>
      </c>
      <c r="F632" s="4">
        <v>-0.017086</v>
      </c>
      <c r="G632" s="4">
        <v>-0.007687</v>
      </c>
      <c r="H632" s="4">
        <v>-0.00965</v>
      </c>
      <c r="I632" s="4">
        <v>-0.028598</v>
      </c>
      <c r="J632" s="4">
        <v>-0.034081</v>
      </c>
      <c r="K632" s="4">
        <v>-0.0299</v>
      </c>
      <c r="L632" s="4">
        <v>-0.01724</v>
      </c>
      <c r="M632" s="4">
        <v>-0.025114</v>
      </c>
      <c r="N632" s="4">
        <v>-0.03191</v>
      </c>
      <c r="O632" s="4">
        <v>0.003291</v>
      </c>
      <c r="P632" s="4">
        <v>-0.023868</v>
      </c>
      <c r="Q632" s="4">
        <v>-0.046958</v>
      </c>
      <c r="R632" s="4">
        <v>-0.066438</v>
      </c>
      <c r="S632" s="4">
        <v>-0.055301</v>
      </c>
      <c r="T632" s="4">
        <v>-0.009845</v>
      </c>
      <c r="U632" s="4">
        <v>-0.005586</v>
      </c>
      <c r="V632" s="4">
        <v>-0.00873518459060973</v>
      </c>
      <c r="W632" s="4">
        <v>0.0</v>
      </c>
      <c r="X632" s="4">
        <v>0.0</v>
      </c>
      <c r="Y632" s="4">
        <v>-0.0067934515774685</v>
      </c>
      <c r="Z632" s="4">
        <v>-0.0142620789923576</v>
      </c>
      <c r="AA632" s="4">
        <v>-0.0061348137542395</v>
      </c>
      <c r="AB632" s="4">
        <v>-0.0242459594571899</v>
      </c>
      <c r="AC632" s="4">
        <v>0.0</v>
      </c>
      <c r="AD632" s="4">
        <v>0.0</v>
      </c>
      <c r="AE632" s="4">
        <v>-0.010887568312674</v>
      </c>
      <c r="AF632" s="4">
        <v>0.0</v>
      </c>
      <c r="AG632" s="4">
        <v>-0.0239640437731588</v>
      </c>
      <c r="AH632" s="4">
        <v>0.0151046717271752</v>
      </c>
      <c r="AI632" s="4">
        <v>-0.0026038492291881</v>
      </c>
      <c r="AJ632" s="4">
        <v>0.001584</v>
      </c>
      <c r="AK632" s="4">
        <f>Weights!E688</f>
        <v>-0.01535369951</v>
      </c>
      <c r="AL632" s="5">
        <v>0.00823352359054707</v>
      </c>
      <c r="AM632" s="5">
        <v>0.0105504099694864</v>
      </c>
      <c r="AN632" s="5">
        <v>-0.00475214540642776</v>
      </c>
      <c r="AO632" s="5">
        <v>-0.00640217119716657</v>
      </c>
      <c r="AP632" s="6">
        <f t="shared" si="3"/>
        <v>1.479984826</v>
      </c>
      <c r="AQ632" s="4">
        <f t="shared" si="4"/>
        <v>1.185890222</v>
      </c>
      <c r="AR632" s="7">
        <f t="shared" si="5"/>
        <v>1.142351138</v>
      </c>
      <c r="AS632" s="7">
        <f t="shared" ref="AS632:AU632" si="634">AS631*(1+AM632)</f>
        <v>1.213096049</v>
      </c>
      <c r="AT632" s="5">
        <f t="shared" si="634"/>
        <v>1.226805606</v>
      </c>
      <c r="AU632" s="5">
        <f t="shared" si="634"/>
        <v>1.199226022</v>
      </c>
    </row>
    <row r="633" ht="15.75" customHeight="1">
      <c r="A633" s="3">
        <v>44748.0</v>
      </c>
      <c r="B633" s="4">
        <v>0.002259</v>
      </c>
      <c r="C633" s="4">
        <v>0.00175</v>
      </c>
      <c r="D633" s="4">
        <v>-0.019211</v>
      </c>
      <c r="E633" s="4">
        <v>0.009999</v>
      </c>
      <c r="F633" s="4">
        <v>0.002054</v>
      </c>
      <c r="G633" s="4">
        <v>8.98E-4</v>
      </c>
      <c r="H633" s="4">
        <v>0.00933</v>
      </c>
      <c r="I633" s="4">
        <v>-0.003861</v>
      </c>
      <c r="J633" s="4">
        <v>-0.001506</v>
      </c>
      <c r="K633" s="4">
        <v>-0.007316</v>
      </c>
      <c r="L633" s="4">
        <v>0.005012</v>
      </c>
      <c r="M633" s="4">
        <v>-0.009953</v>
      </c>
      <c r="N633" s="4">
        <v>-0.007127</v>
      </c>
      <c r="O633" s="4">
        <v>0.003974</v>
      </c>
      <c r="P633" s="4">
        <v>-0.004354</v>
      </c>
      <c r="Q633" s="4">
        <v>0.008959</v>
      </c>
      <c r="R633" s="4">
        <v>0.004402</v>
      </c>
      <c r="S633" s="4">
        <v>-0.003998</v>
      </c>
      <c r="T633" s="4">
        <v>0.012524</v>
      </c>
      <c r="U633" s="4">
        <v>0.01308</v>
      </c>
      <c r="V633" s="4">
        <v>-0.0157087315365729</v>
      </c>
      <c r="W633" s="4">
        <v>0.0302597762463898</v>
      </c>
      <c r="X633" s="4">
        <v>0.0104275700930629</v>
      </c>
      <c r="Y633" s="4">
        <v>0.002505718057395</v>
      </c>
      <c r="Z633" s="4">
        <v>0.0054915146048637</v>
      </c>
      <c r="AA633" s="4">
        <v>-0.0096551742763504</v>
      </c>
      <c r="AB633" s="4">
        <v>0.0124241178653417</v>
      </c>
      <c r="AC633" s="4">
        <v>0.0</v>
      </c>
      <c r="AD633" s="4">
        <v>0.0</v>
      </c>
      <c r="AE633" s="4">
        <v>-0.0078932671314855</v>
      </c>
      <c r="AF633" s="4">
        <v>0.0130193048415654</v>
      </c>
      <c r="AG633" s="4">
        <v>0.008640850289793</v>
      </c>
      <c r="AH633" s="4">
        <v>0.0273926578204801</v>
      </c>
      <c r="AI633" s="4">
        <v>-0.0062663978621074</v>
      </c>
      <c r="AJ633" s="4">
        <v>0.003573</v>
      </c>
      <c r="AK633" s="4">
        <f>Weights!E689</f>
        <v>0.002219125457</v>
      </c>
      <c r="AL633" s="5">
        <v>-0.00426867523305374</v>
      </c>
      <c r="AM633" s="5">
        <v>0.00356732839951945</v>
      </c>
      <c r="AN633" s="5">
        <v>-0.0105729476987973</v>
      </c>
      <c r="AO633" s="5">
        <v>-0.0108292906610445</v>
      </c>
      <c r="AP633" s="6">
        <f t="shared" si="3"/>
        <v>1.483269098</v>
      </c>
      <c r="AQ633" s="4">
        <f t="shared" si="4"/>
        <v>1.190127408</v>
      </c>
      <c r="AR633" s="7">
        <f t="shared" si="5"/>
        <v>1.137474812</v>
      </c>
      <c r="AS633" s="7">
        <f t="shared" ref="AS633:AU633" si="635">AS632*(1+AM633)</f>
        <v>1.217423561</v>
      </c>
      <c r="AT633" s="5">
        <f t="shared" si="635"/>
        <v>1.213834655</v>
      </c>
      <c r="AU633" s="5">
        <f t="shared" si="635"/>
        <v>1.186239255</v>
      </c>
    </row>
    <row r="634" ht="15.75" customHeight="1">
      <c r="A634" s="3">
        <v>44749.0</v>
      </c>
      <c r="B634" s="4">
        <v>0.004959</v>
      </c>
      <c r="C634" s="4">
        <v>-0.015531</v>
      </c>
      <c r="D634" s="4">
        <v>0.009899</v>
      </c>
      <c r="E634" s="4">
        <v>-0.001992</v>
      </c>
      <c r="F634" s="4">
        <v>-0.007885</v>
      </c>
      <c r="G634" s="4">
        <v>0.001122</v>
      </c>
      <c r="H634" s="4">
        <v>-3.42E-4</v>
      </c>
      <c r="I634" s="4">
        <v>0.017442</v>
      </c>
      <c r="J634" s="4">
        <v>-0.001724</v>
      </c>
      <c r="K634" s="4">
        <v>0.006782</v>
      </c>
      <c r="L634" s="4">
        <v>0.020675</v>
      </c>
      <c r="M634" s="4">
        <v>0.034891</v>
      </c>
      <c r="N634" s="4">
        <v>0.022207</v>
      </c>
      <c r="O634" s="4">
        <v>0.01376</v>
      </c>
      <c r="P634" s="4">
        <v>0.007065</v>
      </c>
      <c r="Q634" s="4">
        <v>0.009989</v>
      </c>
      <c r="R634" s="4">
        <v>0.067202</v>
      </c>
      <c r="S634" s="4">
        <v>0.012041</v>
      </c>
      <c r="T634" s="4">
        <v>0.043244</v>
      </c>
      <c r="U634" s="4">
        <v>-0.001505</v>
      </c>
      <c r="V634" s="4">
        <v>0.0451536574880204</v>
      </c>
      <c r="W634" s="4">
        <v>0.0128576987312734</v>
      </c>
      <c r="X634" s="4">
        <v>-0.0185759244136467</v>
      </c>
      <c r="Y634" s="4">
        <v>-0.0133754270359081</v>
      </c>
      <c r="Z634" s="4">
        <v>0.0051464803330407</v>
      </c>
      <c r="AA634" s="4">
        <v>-0.0086302868751018</v>
      </c>
      <c r="AB634" s="4">
        <v>0.0113737370710795</v>
      </c>
      <c r="AC634" s="4">
        <v>0.0018017239048309</v>
      </c>
      <c r="AD634" s="4">
        <v>-0.0019645885154654</v>
      </c>
      <c r="AE634" s="4">
        <v>0.003868567805223</v>
      </c>
      <c r="AF634" s="4">
        <v>-0.0159119800146733</v>
      </c>
      <c r="AG634" s="4">
        <v>0.0020894182464381</v>
      </c>
      <c r="AH634" s="4">
        <v>-0.0217248916521795</v>
      </c>
      <c r="AI634" s="4">
        <v>5.253995134542E-4</v>
      </c>
      <c r="AJ634" s="4">
        <v>0.014965</v>
      </c>
      <c r="AK634" s="4">
        <f>Weights!E690</f>
        <v>0.006674476627</v>
      </c>
      <c r="AL634" s="5">
        <v>0.0024230341749365</v>
      </c>
      <c r="AM634" s="5">
        <v>0.00198655780294432</v>
      </c>
      <c r="AN634" s="5">
        <v>0.00792820317413522</v>
      </c>
      <c r="AO634" s="5">
        <v>0.00840136322280704</v>
      </c>
      <c r="AP634" s="6">
        <f t="shared" si="3"/>
        <v>1.493169143</v>
      </c>
      <c r="AQ634" s="4">
        <f t="shared" si="4"/>
        <v>1.207937664</v>
      </c>
      <c r="AR634" s="7">
        <f t="shared" si="5"/>
        <v>1.140230952</v>
      </c>
      <c r="AS634" s="7">
        <f t="shared" ref="AS634:AU634" si="636">AS633*(1+AM634)</f>
        <v>1.219842043</v>
      </c>
      <c r="AT634" s="5">
        <f t="shared" si="636"/>
        <v>1.223458182</v>
      </c>
      <c r="AU634" s="5">
        <f t="shared" si="636"/>
        <v>1.196205281</v>
      </c>
    </row>
    <row r="635" ht="15.75" customHeight="1">
      <c r="A635" s="3">
        <v>44750.0</v>
      </c>
      <c r="B635" s="4">
        <v>-0.004486</v>
      </c>
      <c r="C635" s="4">
        <v>-0.004338</v>
      </c>
      <c r="D635" s="4">
        <v>-0.010219</v>
      </c>
      <c r="E635" s="4">
        <v>0.008922</v>
      </c>
      <c r="F635" s="4">
        <v>0.003656</v>
      </c>
      <c r="G635" s="4">
        <v>-0.001232</v>
      </c>
      <c r="H635" s="4">
        <v>-0.006712</v>
      </c>
      <c r="I635" s="4">
        <v>0.004524</v>
      </c>
      <c r="J635" s="4">
        <v>-0.006044</v>
      </c>
      <c r="K635" s="4">
        <v>0.010705</v>
      </c>
      <c r="L635" s="4">
        <v>0.001832</v>
      </c>
      <c r="M635" s="4">
        <v>0.004</v>
      </c>
      <c r="N635" s="4">
        <v>-0.001975</v>
      </c>
      <c r="O635" s="4">
        <v>-0.011849</v>
      </c>
      <c r="P635" s="4">
        <v>-0.008518</v>
      </c>
      <c r="Q635" s="4">
        <v>0.00989</v>
      </c>
      <c r="R635" s="4">
        <v>-0.041752</v>
      </c>
      <c r="S635" s="4">
        <v>-0.003116</v>
      </c>
      <c r="T635" s="4">
        <v>-0.013395</v>
      </c>
      <c r="U635" s="4">
        <v>-0.004363</v>
      </c>
      <c r="V635" s="4">
        <v>0.0171322946990986</v>
      </c>
      <c r="W635" s="4">
        <v>-0.0026135884699879</v>
      </c>
      <c r="X635" s="4">
        <v>-0.0115667329280159</v>
      </c>
      <c r="Y635" s="4">
        <v>-0.0076866477675013</v>
      </c>
      <c r="Z635" s="4">
        <v>-0.0254962804993522</v>
      </c>
      <c r="AA635" s="4">
        <v>-0.0020957311395055</v>
      </c>
      <c r="AB635" s="4">
        <v>-0.0109498260494</v>
      </c>
      <c r="AC635" s="4">
        <v>0.0</v>
      </c>
      <c r="AD635" s="4">
        <v>-0.0098424944087894</v>
      </c>
      <c r="AE635" s="4">
        <v>-0.0108340707897769</v>
      </c>
      <c r="AF635" s="4">
        <v>-0.0118158757631</v>
      </c>
      <c r="AG635" s="4">
        <v>-0.0212676116094439</v>
      </c>
      <c r="AH635" s="4">
        <v>0.0191790586974209</v>
      </c>
      <c r="AI635" s="4">
        <v>-0.0036765363808324</v>
      </c>
      <c r="AJ635" s="4">
        <v>-8.3E-4</v>
      </c>
      <c r="AK635" s="4">
        <f>Weights!E691</f>
        <v>-0.003610951956</v>
      </c>
      <c r="AL635" s="5">
        <v>0.0153403411145256</v>
      </c>
      <c r="AM635" s="5">
        <v>0.0164866639643022</v>
      </c>
      <c r="AN635" s="5">
        <v>-0.0071817436448327</v>
      </c>
      <c r="AO635" s="5">
        <v>-0.00911231263953438</v>
      </c>
      <c r="AP635" s="6">
        <f t="shared" si="3"/>
        <v>1.487777381</v>
      </c>
      <c r="AQ635" s="4">
        <f t="shared" si="4"/>
        <v>1.206935076</v>
      </c>
      <c r="AR635" s="7">
        <f t="shared" si="5"/>
        <v>1.157722484</v>
      </c>
      <c r="AS635" s="7">
        <f t="shared" ref="AS635:AU635" si="637">AS634*(1+AM635)</f>
        <v>1.239953169</v>
      </c>
      <c r="AT635" s="5">
        <f t="shared" si="637"/>
        <v>1.214671619</v>
      </c>
      <c r="AU635" s="5">
        <f t="shared" si="637"/>
        <v>1.185305085</v>
      </c>
    </row>
    <row r="636" ht="15.75" customHeight="1">
      <c r="A636" s="3">
        <v>44753.0</v>
      </c>
      <c r="B636" s="4">
        <v>0.003605</v>
      </c>
      <c r="C636" s="4">
        <v>1.98E-4</v>
      </c>
      <c r="D636" s="4">
        <v>-0.048673</v>
      </c>
      <c r="E636" s="4">
        <v>-0.008203</v>
      </c>
      <c r="F636" s="4">
        <v>-0.003168</v>
      </c>
      <c r="G636" s="4">
        <v>3.93E-4</v>
      </c>
      <c r="H636" s="4">
        <v>0.007033</v>
      </c>
      <c r="I636" s="4">
        <v>-0.002133</v>
      </c>
      <c r="J636" s="4">
        <v>0.003257</v>
      </c>
      <c r="K636" s="4">
        <v>-0.019159</v>
      </c>
      <c r="L636" s="4">
        <v>-0.00508</v>
      </c>
      <c r="M636" s="4">
        <v>-0.014798</v>
      </c>
      <c r="N636" s="4">
        <v>-0.004617</v>
      </c>
      <c r="O636" s="4">
        <v>-0.003675</v>
      </c>
      <c r="P636" s="4">
        <v>-0.009602</v>
      </c>
      <c r="Q636" s="4">
        <v>-0.003264</v>
      </c>
      <c r="R636" s="4">
        <v>-0.038929</v>
      </c>
      <c r="S636" s="4">
        <v>-0.011935</v>
      </c>
      <c r="T636" s="4">
        <v>-0.010825</v>
      </c>
      <c r="U636" s="4">
        <v>-0.003107</v>
      </c>
      <c r="V636" s="4">
        <v>-0.00768951213188895</v>
      </c>
      <c r="W636" s="4">
        <v>-0.0255802784438694</v>
      </c>
      <c r="X636" s="4">
        <v>0.0021276680127471</v>
      </c>
      <c r="Y636" s="4">
        <v>-0.0072123173486787</v>
      </c>
      <c r="Z636" s="4">
        <v>-0.005254089424031</v>
      </c>
      <c r="AA636" s="4">
        <v>8.077432509552E-4</v>
      </c>
      <c r="AB636" s="4">
        <v>-0.0047877143202825</v>
      </c>
      <c r="AC636" s="4">
        <v>-0.0071940866276175</v>
      </c>
      <c r="AD636" s="4">
        <v>-0.0019881317990587</v>
      </c>
      <c r="AE636" s="4">
        <v>-7.34422916022214E-5</v>
      </c>
      <c r="AF636" s="4">
        <v>0.0129012111261062</v>
      </c>
      <c r="AG636" s="4">
        <v>-0.0121434467939174</v>
      </c>
      <c r="AH636" s="4">
        <v>0.0049520852652205</v>
      </c>
      <c r="AI636" s="4">
        <v>0.0010543472684469</v>
      </c>
      <c r="AJ636" s="4">
        <v>-0.011527</v>
      </c>
      <c r="AK636" s="4">
        <f>Weights!E692</f>
        <v>-0.005609721518</v>
      </c>
      <c r="AL636" s="5">
        <v>3.66210200728467E-4</v>
      </c>
      <c r="AM636" s="5">
        <v>-0.00102634439071758</v>
      </c>
      <c r="AN636" s="5">
        <v>-0.00585596027379842</v>
      </c>
      <c r="AO636" s="5">
        <v>-0.00472930054860321</v>
      </c>
      <c r="AP636" s="6">
        <f t="shared" si="3"/>
        <v>1.479431364</v>
      </c>
      <c r="AQ636" s="4">
        <f t="shared" si="4"/>
        <v>1.193022735</v>
      </c>
      <c r="AR636" s="7">
        <f t="shared" si="5"/>
        <v>1.158146454</v>
      </c>
      <c r="AS636" s="7">
        <f t="shared" ref="AS636:AU636" si="638">AS635*(1+AM636)</f>
        <v>1.23868055</v>
      </c>
      <c r="AT636" s="5">
        <f t="shared" si="638"/>
        <v>1.207558551</v>
      </c>
      <c r="AU636" s="5">
        <f t="shared" si="638"/>
        <v>1.179699421</v>
      </c>
    </row>
    <row r="637" ht="15.75" customHeight="1">
      <c r="A637" s="3">
        <v>44754.0</v>
      </c>
      <c r="B637" s="4">
        <v>-0.006287</v>
      </c>
      <c r="C637" s="4">
        <v>0.005545</v>
      </c>
      <c r="D637" s="4">
        <v>0.024806</v>
      </c>
      <c r="E637" s="4">
        <v>-0.00569</v>
      </c>
      <c r="F637" s="4">
        <v>-0.00429</v>
      </c>
      <c r="G637" s="4">
        <v>-0.014017</v>
      </c>
      <c r="H637" s="4">
        <v>-0.008833</v>
      </c>
      <c r="I637" s="4">
        <v>-0.008551</v>
      </c>
      <c r="J637" s="4">
        <v>0.008009</v>
      </c>
      <c r="K637" s="4">
        <v>-0.014134</v>
      </c>
      <c r="L637" s="4">
        <v>9.19E-4</v>
      </c>
      <c r="M637" s="4">
        <v>-5.78E-4</v>
      </c>
      <c r="N637" s="4">
        <v>-4.42E-4</v>
      </c>
      <c r="O637" s="4">
        <v>-0.005026</v>
      </c>
      <c r="P637" s="4">
        <v>-0.014458</v>
      </c>
      <c r="Q637" s="4">
        <v>-0.010917</v>
      </c>
      <c r="R637" s="4">
        <v>-0.022668</v>
      </c>
      <c r="S637" s="4">
        <v>-0.002876</v>
      </c>
      <c r="T637" s="4">
        <v>0.012427</v>
      </c>
      <c r="U637" s="4">
        <v>-0.021499</v>
      </c>
      <c r="V637" s="4">
        <v>-0.0114391760892883</v>
      </c>
      <c r="W637" s="4">
        <v>-0.0746574178875191</v>
      </c>
      <c r="X637" s="4">
        <v>0.0</v>
      </c>
      <c r="Y637" s="4">
        <v>-0.0188602946357356</v>
      </c>
      <c r="Z637" s="4">
        <v>-0.0395602667488148</v>
      </c>
      <c r="AA637" s="4">
        <v>0.003551274327262</v>
      </c>
      <c r="AB637" s="4">
        <v>-0.0282621232795416</v>
      </c>
      <c r="AC637" s="4">
        <v>0.0</v>
      </c>
      <c r="AD637" s="4">
        <v>0.0</v>
      </c>
      <c r="AE637" s="4">
        <v>-0.0063222367487076</v>
      </c>
      <c r="AF637" s="4">
        <v>-0.0347934403162167</v>
      </c>
      <c r="AG637" s="4">
        <v>0.0046368798910931</v>
      </c>
      <c r="AH637" s="4">
        <v>0.0367936898338674</v>
      </c>
      <c r="AI637" s="4">
        <v>-0.0063187478952365</v>
      </c>
      <c r="AJ637" s="4">
        <v>-0.009244</v>
      </c>
      <c r="AK637" s="4">
        <f>Weights!E693</f>
        <v>-0.006091090205</v>
      </c>
      <c r="AL637" s="5">
        <v>-0.0144621882819143</v>
      </c>
      <c r="AM637" s="5">
        <v>-0.0126394579518832</v>
      </c>
      <c r="AN637" s="5">
        <v>0.0155923372699133</v>
      </c>
      <c r="AO637" s="5">
        <v>0.0174234601451259</v>
      </c>
      <c r="AP637" s="6">
        <f t="shared" si="3"/>
        <v>1.470420014</v>
      </c>
      <c r="AQ637" s="4">
        <f t="shared" si="4"/>
        <v>1.181994433</v>
      </c>
      <c r="AR637" s="7">
        <f t="shared" si="5"/>
        <v>1.141397122</v>
      </c>
      <c r="AS637" s="7">
        <f t="shared" ref="AS637:AU637" si="639">AS636*(1+AM637)</f>
        <v>1.2230243</v>
      </c>
      <c r="AT637" s="5">
        <f t="shared" si="639"/>
        <v>1.226387211</v>
      </c>
      <c r="AU637" s="5">
        <f t="shared" si="639"/>
        <v>1.200253867</v>
      </c>
    </row>
    <row r="638" ht="15.75" customHeight="1">
      <c r="A638" s="3">
        <v>44755.0</v>
      </c>
      <c r="B638" s="4">
        <v>0.005423</v>
      </c>
      <c r="C638" s="4">
        <v>-0.005317</v>
      </c>
      <c r="D638" s="4">
        <v>-0.009726</v>
      </c>
      <c r="E638" s="4">
        <v>0.00354</v>
      </c>
      <c r="F638" s="4">
        <v>-0.004627</v>
      </c>
      <c r="G638" s="4">
        <v>-0.002332</v>
      </c>
      <c r="H638" s="4">
        <v>0.006563</v>
      </c>
      <c r="I638" s="4">
        <v>-0.002396</v>
      </c>
      <c r="J638" s="4">
        <v>0.014172</v>
      </c>
      <c r="K638" s="4">
        <v>-0.008376</v>
      </c>
      <c r="L638" s="4">
        <v>-0.006428</v>
      </c>
      <c r="M638" s="4">
        <v>-0.001734</v>
      </c>
      <c r="N638" s="4">
        <v>-0.01105</v>
      </c>
      <c r="O638" s="4">
        <v>0.011447</v>
      </c>
      <c r="P638" s="4">
        <v>0.004315</v>
      </c>
      <c r="Q638" s="4">
        <v>0.04415</v>
      </c>
      <c r="R638" s="4">
        <v>0.005323</v>
      </c>
      <c r="S638" s="4">
        <v>0.010961</v>
      </c>
      <c r="T638" s="4">
        <v>0.004946</v>
      </c>
      <c r="U638" s="4">
        <v>0.005718</v>
      </c>
      <c r="V638" s="4">
        <v>0.0298619428065973</v>
      </c>
      <c r="W638" s="4">
        <v>-0.0261556434499614</v>
      </c>
      <c r="X638" s="4">
        <v>-0.0204082449863387</v>
      </c>
      <c r="Y638" s="4">
        <v>-0.0108213520910483</v>
      </c>
      <c r="Z638" s="4">
        <v>-0.0123455560436764</v>
      </c>
      <c r="AA638" s="4">
        <v>-0.0141546851742135</v>
      </c>
      <c r="AB638" s="4">
        <v>-0.0232054418778528</v>
      </c>
      <c r="AC638" s="4">
        <v>-0.0166052299802687</v>
      </c>
      <c r="AD638" s="4">
        <v>-0.0373833891857621</v>
      </c>
      <c r="AE638" s="4">
        <v>-0.0085817107018115</v>
      </c>
      <c r="AF638" s="4">
        <v>-0.0196330738262631</v>
      </c>
      <c r="AG638" s="4">
        <v>-0.0244715208111213</v>
      </c>
      <c r="AH638" s="4">
        <v>0.0665399381728328</v>
      </c>
      <c r="AI638" s="4">
        <v>-0.0121889052917375</v>
      </c>
      <c r="AJ638" s="4">
        <v>-0.004457</v>
      </c>
      <c r="AK638" s="4">
        <f>Weights!E694</f>
        <v>-0.001578559538</v>
      </c>
      <c r="AL638" s="5">
        <v>-0.00510814885273358</v>
      </c>
      <c r="AM638" s="5">
        <v>-0.00863814492216152</v>
      </c>
      <c r="AN638" s="5">
        <v>-0.00170587532674471</v>
      </c>
      <c r="AO638" s="5">
        <v>-0.00207592409248558</v>
      </c>
      <c r="AP638" s="6">
        <f t="shared" si="3"/>
        <v>1.468098868</v>
      </c>
      <c r="AQ638" s="4">
        <f t="shared" si="4"/>
        <v>1.176726284</v>
      </c>
      <c r="AR638" s="7">
        <f t="shared" si="5"/>
        <v>1.135566695</v>
      </c>
      <c r="AS638" s="7">
        <f t="shared" ref="AS638:AU638" si="640">AS637*(1+AM638)</f>
        <v>1.212459638</v>
      </c>
      <c r="AT638" s="5">
        <f t="shared" si="640"/>
        <v>1.224295147</v>
      </c>
      <c r="AU638" s="5">
        <f t="shared" si="640"/>
        <v>1.197762231</v>
      </c>
    </row>
    <row r="639" ht="15.75" customHeight="1">
      <c r="A639" s="3">
        <v>44756.0</v>
      </c>
      <c r="B639" s="4">
        <v>-0.013034</v>
      </c>
      <c r="C639" s="4">
        <v>-3.96E-4</v>
      </c>
      <c r="D639" s="4">
        <v>-0.011349</v>
      </c>
      <c r="E639" s="4">
        <v>0.005173</v>
      </c>
      <c r="F639" s="4">
        <v>-0.003206</v>
      </c>
      <c r="G639" s="4">
        <v>0.001368</v>
      </c>
      <c r="H639" s="4">
        <v>-0.002951</v>
      </c>
      <c r="I639" s="4">
        <v>-0.012968</v>
      </c>
      <c r="J639" s="4">
        <v>-0.002541</v>
      </c>
      <c r="K639" s="4">
        <v>-0.030539</v>
      </c>
      <c r="L639" s="4">
        <v>-0.064592</v>
      </c>
      <c r="M639" s="4">
        <v>-0.031847</v>
      </c>
      <c r="N639" s="4">
        <v>-0.03486</v>
      </c>
      <c r="O639" s="4">
        <v>0.016816</v>
      </c>
      <c r="P639" s="4">
        <v>-0.054992</v>
      </c>
      <c r="Q639" s="4">
        <v>-0.070825</v>
      </c>
      <c r="R639" s="4">
        <v>-0.051059</v>
      </c>
      <c r="S639" s="4">
        <v>-0.028531</v>
      </c>
      <c r="T639" s="4">
        <v>-0.012214</v>
      </c>
      <c r="U639" s="4">
        <v>0.008852</v>
      </c>
      <c r="V639" s="4">
        <v>-0.00978618156615573</v>
      </c>
      <c r="W639" s="4">
        <v>-0.0180473587745239</v>
      </c>
      <c r="X639" s="4">
        <v>-0.0120613639486002</v>
      </c>
      <c r="Y639" s="4">
        <v>0.0113716184170129</v>
      </c>
      <c r="Z639" s="4">
        <v>0.0084090929598616</v>
      </c>
      <c r="AA639" s="4">
        <v>-0.0311633276977066</v>
      </c>
      <c r="AB639" s="4">
        <v>0.0088692048204994</v>
      </c>
      <c r="AC639" s="4">
        <v>-0.0187616316206534</v>
      </c>
      <c r="AD639" s="4">
        <v>-0.0097086086949395</v>
      </c>
      <c r="AE639" s="4">
        <v>-0.0055966006035005</v>
      </c>
      <c r="AF639" s="4">
        <v>-6.565878665E-4</v>
      </c>
      <c r="AG639" s="4">
        <v>-0.0027506118406841</v>
      </c>
      <c r="AH639" s="4">
        <v>0.034759389537929</v>
      </c>
      <c r="AI639" s="4">
        <v>-0.0026827612538989</v>
      </c>
      <c r="AJ639" s="4">
        <v>-0.002999</v>
      </c>
      <c r="AK639" s="4">
        <f>Weights!E695</f>
        <v>-0.01262090008</v>
      </c>
      <c r="AL639" s="5">
        <v>-0.00326752564074239</v>
      </c>
      <c r="AM639" s="5">
        <v>-0.00435695682706527</v>
      </c>
      <c r="AN639" s="5">
        <v>-0.0102528129527954</v>
      </c>
      <c r="AO639" s="5">
        <v>-0.010920302353606</v>
      </c>
      <c r="AP639" s="6">
        <f t="shared" si="3"/>
        <v>1.449570139</v>
      </c>
      <c r="AQ639" s="4">
        <f t="shared" si="4"/>
        <v>1.173197282</v>
      </c>
      <c r="AR639" s="7">
        <f t="shared" si="5"/>
        <v>1.131856202</v>
      </c>
      <c r="AS639" s="7">
        <f t="shared" ref="AS639:AU639" si="641">AS638*(1+AM639)</f>
        <v>1.207177004</v>
      </c>
      <c r="AT639" s="5">
        <f t="shared" si="641"/>
        <v>1.211742678</v>
      </c>
      <c r="AU639" s="5">
        <f t="shared" si="641"/>
        <v>1.184682305</v>
      </c>
    </row>
    <row r="640" ht="15.75" customHeight="1">
      <c r="A640" s="3">
        <v>44757.0</v>
      </c>
      <c r="B640" s="4">
        <v>0.0</v>
      </c>
      <c r="C640" s="4">
        <v>0.010497</v>
      </c>
      <c r="D640" s="4">
        <v>0.002649</v>
      </c>
      <c r="E640" s="4">
        <v>8.19E-4</v>
      </c>
      <c r="F640" s="4">
        <v>0.005146</v>
      </c>
      <c r="G640" s="4">
        <v>0.014515</v>
      </c>
      <c r="H640" s="4">
        <v>-0.001377</v>
      </c>
      <c r="I640" s="4">
        <v>0.011922</v>
      </c>
      <c r="J640" s="4">
        <v>-8.49E-4</v>
      </c>
      <c r="K640" s="4">
        <v>0.014243</v>
      </c>
      <c r="L640" s="4">
        <v>3.29E-4</v>
      </c>
      <c r="M640" s="4">
        <v>0.01256</v>
      </c>
      <c r="N640" s="4">
        <v>0.004631</v>
      </c>
      <c r="O640" s="4">
        <v>0.016132</v>
      </c>
      <c r="P640" s="4">
        <v>-0.004728</v>
      </c>
      <c r="Q640" s="4">
        <v>0.0</v>
      </c>
      <c r="R640" s="4">
        <v>0.029095</v>
      </c>
      <c r="S640" s="4">
        <v>-0.007342</v>
      </c>
      <c r="T640" s="4">
        <v>0.017994</v>
      </c>
      <c r="U640" s="4">
        <v>0.001771</v>
      </c>
      <c r="V640" s="4">
        <v>-0.0329429913148587</v>
      </c>
      <c r="W640" s="4">
        <v>0.02778581847455</v>
      </c>
      <c r="X640" s="4">
        <v>-0.0066592044862312</v>
      </c>
      <c r="Y640" s="4">
        <v>0.0120269489107063</v>
      </c>
      <c r="Z640" s="4">
        <v>0.0018031390445309</v>
      </c>
      <c r="AA640" s="4">
        <v>-0.0050522870726271</v>
      </c>
      <c r="AB640" s="4">
        <v>-3.139653066627E-4</v>
      </c>
      <c r="AC640" s="4">
        <v>-0.0038241694251579</v>
      </c>
      <c r="AD640" s="4">
        <v>0.0156862142373566</v>
      </c>
      <c r="AE640" s="4">
        <v>0.01050592134303</v>
      </c>
      <c r="AF640" s="4">
        <v>0.0312089764172776</v>
      </c>
      <c r="AG640" s="4">
        <v>0.0089364780365464</v>
      </c>
      <c r="AH640" s="4">
        <v>-0.0252655923387342</v>
      </c>
      <c r="AI640" s="4">
        <v>0.0053793828699206</v>
      </c>
      <c r="AJ640" s="4">
        <v>0.019201</v>
      </c>
      <c r="AK640" s="4">
        <f>Weights!E696</f>
        <v>0.003321623804</v>
      </c>
      <c r="AL640" s="5">
        <v>-0.00730533559647794</v>
      </c>
      <c r="AM640" s="5">
        <v>-0.00442827223831165</v>
      </c>
      <c r="AN640" s="5">
        <v>-0.00690618231424877</v>
      </c>
      <c r="AO640" s="5">
        <v>-0.00683488785550978</v>
      </c>
      <c r="AP640" s="6">
        <f t="shared" si="3"/>
        <v>1.454385066</v>
      </c>
      <c r="AQ640" s="4">
        <f t="shared" si="4"/>
        <v>1.195723843</v>
      </c>
      <c r="AR640" s="7">
        <f t="shared" si="5"/>
        <v>1.123587613</v>
      </c>
      <c r="AS640" s="7">
        <f t="shared" ref="AS640:AU640" si="642">AS639*(1+AM640)</f>
        <v>1.201831296</v>
      </c>
      <c r="AT640" s="5">
        <f t="shared" si="642"/>
        <v>1.203374162</v>
      </c>
      <c r="AU640" s="5">
        <f t="shared" si="642"/>
        <v>1.176585134</v>
      </c>
    </row>
    <row r="641" ht="15.75" customHeight="1">
      <c r="A641" s="3">
        <v>44760.0</v>
      </c>
      <c r="B641" s="4">
        <v>0.001366</v>
      </c>
      <c r="C641" s="4">
        <v>-0.014504</v>
      </c>
      <c r="D641" s="4">
        <v>0.020255</v>
      </c>
      <c r="E641" s="4">
        <v>-0.016713</v>
      </c>
      <c r="F641" s="4">
        <v>-0.0136</v>
      </c>
      <c r="G641" s="4">
        <v>-0.022443</v>
      </c>
      <c r="H641" s="4">
        <v>-0.012132</v>
      </c>
      <c r="I641" s="4">
        <v>0.020918</v>
      </c>
      <c r="J641" s="4">
        <v>-0.009773</v>
      </c>
      <c r="K641" s="4">
        <v>0.014043</v>
      </c>
      <c r="L641" s="4">
        <v>0.0214</v>
      </c>
      <c r="M641" s="4">
        <v>0.020673</v>
      </c>
      <c r="N641" s="4">
        <v>4.61E-4</v>
      </c>
      <c r="O641" s="4">
        <v>-0.029889</v>
      </c>
      <c r="P641" s="4">
        <v>0.001462</v>
      </c>
      <c r="Q641" s="4">
        <v>0.011377</v>
      </c>
      <c r="R641" s="4">
        <v>0.061967</v>
      </c>
      <c r="S641" s="4">
        <v>0.002071</v>
      </c>
      <c r="T641" s="4">
        <v>0.037618</v>
      </c>
      <c r="U641" s="4">
        <v>-0.013179</v>
      </c>
      <c r="V641" s="4">
        <v>0.03444373400115</v>
      </c>
      <c r="W641" s="4">
        <v>-0.0292874795962782</v>
      </c>
      <c r="X641" s="4">
        <v>-0.0368715647346854</v>
      </c>
      <c r="Y641" s="4">
        <v>-0.015329325197823</v>
      </c>
      <c r="Z641" s="4">
        <v>-0.0157481494039527</v>
      </c>
      <c r="AA641" s="4">
        <v>-0.0184494567197611</v>
      </c>
      <c r="AB641" s="4">
        <v>-0.0304647462404601</v>
      </c>
      <c r="AC641" s="4">
        <v>-0.0211132265826213</v>
      </c>
      <c r="AD641" s="4">
        <v>-0.0173744119641436</v>
      </c>
      <c r="AE641" s="4">
        <v>-0.0034160513856238</v>
      </c>
      <c r="AF641" s="4">
        <v>-0.0477860533903196</v>
      </c>
      <c r="AG641" s="4">
        <v>-0.0174959149320221</v>
      </c>
      <c r="AH641" s="4">
        <v>-0.0259204888430638</v>
      </c>
      <c r="AI641" s="4">
        <v>0.0053504860022886</v>
      </c>
      <c r="AJ641" s="4">
        <v>-0.008364</v>
      </c>
      <c r="AK641" s="4">
        <f>Weights!E697</f>
        <v>-0.004337629316</v>
      </c>
      <c r="AL641" s="5">
        <v>0.0169828064968886</v>
      </c>
      <c r="AM641" s="5">
        <v>0.0194343082372383</v>
      </c>
      <c r="AN641" s="5">
        <v>-0.00312931103008184</v>
      </c>
      <c r="AO641" s="5">
        <v>-0.00291165125020131</v>
      </c>
      <c r="AP641" s="6">
        <f t="shared" si="3"/>
        <v>1.448076483</v>
      </c>
      <c r="AQ641" s="4">
        <f t="shared" si="4"/>
        <v>1.185722809</v>
      </c>
      <c r="AR641" s="7">
        <f t="shared" si="5"/>
        <v>1.142669284</v>
      </c>
      <c r="AS641" s="7">
        <f t="shared" ref="AS641:AU641" si="643">AS640*(1+AM641)</f>
        <v>1.225188056</v>
      </c>
      <c r="AT641" s="5">
        <f t="shared" si="643"/>
        <v>1.19960843</v>
      </c>
      <c r="AU641" s="5">
        <f t="shared" si="643"/>
        <v>1.173159329</v>
      </c>
    </row>
    <row r="642" ht="15.75" customHeight="1">
      <c r="A642" s="3">
        <v>44761.0</v>
      </c>
      <c r="B642" s="4">
        <v>0.017281</v>
      </c>
      <c r="C642" s="4">
        <v>0.003381</v>
      </c>
      <c r="D642" s="4">
        <v>0.019206</v>
      </c>
      <c r="E642" s="4">
        <v>0.010698</v>
      </c>
      <c r="F642" s="4">
        <v>0.014274</v>
      </c>
      <c r="G642" s="4">
        <v>-0.014578</v>
      </c>
      <c r="H642" s="4">
        <v>0.005094</v>
      </c>
      <c r="I642" s="4">
        <v>0.016251</v>
      </c>
      <c r="J642" s="4">
        <v>-0.001716</v>
      </c>
      <c r="K642" s="4">
        <v>0.037471</v>
      </c>
      <c r="L642" s="4">
        <v>0.029118</v>
      </c>
      <c r="M642" s="4">
        <v>0.017361</v>
      </c>
      <c r="N642" s="4">
        <v>0.029486</v>
      </c>
      <c r="O642" s="4">
        <v>0.027427</v>
      </c>
      <c r="P642" s="4">
        <v>-0.002919</v>
      </c>
      <c r="Q642" s="4">
        <v>0.007874</v>
      </c>
      <c r="R642" s="4">
        <v>0.039387</v>
      </c>
      <c r="S642" s="4">
        <v>0.003543</v>
      </c>
      <c r="T642" s="4">
        <v>0.024111</v>
      </c>
      <c r="U642" s="4">
        <v>0.020358</v>
      </c>
      <c r="V642" s="4">
        <v>0.0117086581937804</v>
      </c>
      <c r="W642" s="4">
        <v>-0.0297361938239132</v>
      </c>
      <c r="X642" s="4">
        <v>0.0</v>
      </c>
      <c r="Y642" s="4">
        <v>0.00614129991924</v>
      </c>
      <c r="Z642" s="4">
        <v>0.0042285724555408</v>
      </c>
      <c r="AA642" s="4">
        <v>-0.0048285062595662</v>
      </c>
      <c r="AB642" s="4">
        <v>-0.0100422578492284</v>
      </c>
      <c r="AC642" s="4">
        <v>0.0</v>
      </c>
      <c r="AD642" s="4">
        <v>0.0</v>
      </c>
      <c r="AE642" s="4">
        <v>-0.0056633521653668</v>
      </c>
      <c r="AF642" s="4">
        <v>0.0133825070161244</v>
      </c>
      <c r="AG642" s="4">
        <v>-0.0132441729092345</v>
      </c>
      <c r="AH642" s="4">
        <v>-0.0205623953404053</v>
      </c>
      <c r="AI642" s="4">
        <v>-0.0021290082674881</v>
      </c>
      <c r="AJ642" s="4">
        <v>0.027628</v>
      </c>
      <c r="AK642" s="4">
        <f>Weights!E698</f>
        <v>0.006067539137</v>
      </c>
      <c r="AL642" s="5">
        <v>-0.00315445676150794</v>
      </c>
      <c r="AM642" s="5">
        <v>-0.00690872347190996</v>
      </c>
      <c r="AN642" s="5">
        <v>-0.0174397723715835</v>
      </c>
      <c r="AO642" s="5">
        <v>-0.0156623723423974</v>
      </c>
      <c r="AP642" s="6">
        <f t="shared" si="3"/>
        <v>1.456862743</v>
      </c>
      <c r="AQ642" s="4">
        <f t="shared" si="4"/>
        <v>1.218481958</v>
      </c>
      <c r="AR642" s="7">
        <f t="shared" si="5"/>
        <v>1.139064783</v>
      </c>
      <c r="AS642" s="7">
        <f t="shared" ref="AS642:AU642" si="644">AS641*(1+AM642)</f>
        <v>1.21672357</v>
      </c>
      <c r="AT642" s="5">
        <f t="shared" si="644"/>
        <v>1.178687532</v>
      </c>
      <c r="AU642" s="5">
        <f t="shared" si="644"/>
        <v>1.154784871</v>
      </c>
    </row>
    <row r="643" ht="15.75" customHeight="1">
      <c r="A643" s="3">
        <v>44762.0</v>
      </c>
      <c r="B643" s="4">
        <v>-0.001788</v>
      </c>
      <c r="C643" s="4">
        <v>-0.027354</v>
      </c>
      <c r="D643" s="4">
        <v>-0.006775</v>
      </c>
      <c r="E643" s="4">
        <v>-0.010585</v>
      </c>
      <c r="F643" s="4">
        <v>-0.016472</v>
      </c>
      <c r="G643" s="4">
        <v>-0.005708</v>
      </c>
      <c r="H643" s="4">
        <v>-0.017287</v>
      </c>
      <c r="I643" s="4">
        <v>-0.001622</v>
      </c>
      <c r="J643" s="4">
        <v>-0.013969</v>
      </c>
      <c r="K643" s="4">
        <v>0.002041</v>
      </c>
      <c r="L643" s="4">
        <v>0.002923</v>
      </c>
      <c r="M643" s="4">
        <v>-0.001707</v>
      </c>
      <c r="N643" s="4">
        <v>-0.002014</v>
      </c>
      <c r="O643" s="4">
        <v>0.009521</v>
      </c>
      <c r="P643" s="4">
        <v>-0.042818</v>
      </c>
      <c r="Q643" s="4">
        <v>-0.029018</v>
      </c>
      <c r="R643" s="4">
        <v>0.002456</v>
      </c>
      <c r="S643" s="4">
        <v>-0.049721</v>
      </c>
      <c r="T643" s="4">
        <v>0.004436</v>
      </c>
      <c r="U643" s="4">
        <v>-7.18E-4</v>
      </c>
      <c r="V643" s="4">
        <v>0.0115732405020372</v>
      </c>
      <c r="W643" s="4">
        <v>0.0026911135668048</v>
      </c>
      <c r="X643" s="4">
        <v>0.0109488496954139</v>
      </c>
      <c r="Y643" s="4">
        <v>0.0029100913063484</v>
      </c>
      <c r="Z643" s="4">
        <v>0.0162740187937633</v>
      </c>
      <c r="AA643" s="4">
        <v>0.005891445002196</v>
      </c>
      <c r="AB643" s="4">
        <v>0.020942692478683</v>
      </c>
      <c r="AC643" s="4">
        <v>0.0040000817329488</v>
      </c>
      <c r="AD643" s="4">
        <v>-0.0010073004997974</v>
      </c>
      <c r="AE643" s="4">
        <v>5.995936796023E-4</v>
      </c>
      <c r="AF643" s="4">
        <v>-0.0099042547847004</v>
      </c>
      <c r="AG643" s="4">
        <v>0.0</v>
      </c>
      <c r="AH643" s="4">
        <v>0.0</v>
      </c>
      <c r="AI643" s="4">
        <v>0.0</v>
      </c>
      <c r="AJ643" s="4">
        <v>0.005896</v>
      </c>
      <c r="AK643" s="4">
        <f>Weights!E699</f>
        <v>-0.002383519061</v>
      </c>
      <c r="AL643" s="5">
        <v>0.0271756671910552</v>
      </c>
      <c r="AM643" s="5">
        <v>0.0279319874860062</v>
      </c>
      <c r="AN643" s="5">
        <v>0.00319477800302592</v>
      </c>
      <c r="AO643" s="5">
        <v>0.00269685424813559</v>
      </c>
      <c r="AP643" s="6">
        <f t="shared" si="3"/>
        <v>1.453390283</v>
      </c>
      <c r="AQ643" s="4">
        <f t="shared" si="4"/>
        <v>1.225666128</v>
      </c>
      <c r="AR643" s="7">
        <f t="shared" si="5"/>
        <v>1.170019628</v>
      </c>
      <c r="AS643" s="7">
        <f t="shared" ref="AS643:AU643" si="645">AS642*(1+AM643)</f>
        <v>1.250709078</v>
      </c>
      <c r="AT643" s="5">
        <f t="shared" si="645"/>
        <v>1.182453177</v>
      </c>
      <c r="AU643" s="5">
        <f t="shared" si="645"/>
        <v>1.157899157</v>
      </c>
    </row>
    <row r="644" ht="15.75" customHeight="1">
      <c r="A644" s="3">
        <v>44763.0</v>
      </c>
      <c r="B644" s="4">
        <v>0.002239</v>
      </c>
      <c r="C644" s="4">
        <v>-0.028734</v>
      </c>
      <c r="D644" s="4">
        <v>-0.005116</v>
      </c>
      <c r="E644" s="4">
        <v>0.001486</v>
      </c>
      <c r="F644" s="4">
        <v>-0.002276</v>
      </c>
      <c r="G644" s="4">
        <v>0.003515</v>
      </c>
      <c r="H644" s="4">
        <v>9.42E-4</v>
      </c>
      <c r="I644" s="4">
        <v>-0.002786</v>
      </c>
      <c r="J644" s="4">
        <v>-0.001962</v>
      </c>
      <c r="K644" s="4">
        <v>9.4E-4</v>
      </c>
      <c r="L644" s="4">
        <v>0.003539</v>
      </c>
      <c r="M644" s="4">
        <v>0.00114</v>
      </c>
      <c r="N644" s="4">
        <v>-0.002242</v>
      </c>
      <c r="O644" s="4">
        <v>0.026487</v>
      </c>
      <c r="P644" s="4">
        <v>-0.004206</v>
      </c>
      <c r="Q644" s="4">
        <v>0.009195</v>
      </c>
      <c r="R644" s="4">
        <v>0.011901</v>
      </c>
      <c r="S644" s="4">
        <v>0.012693</v>
      </c>
      <c r="T644" s="4">
        <v>0.091465</v>
      </c>
      <c r="U644" s="4">
        <v>0.019008</v>
      </c>
      <c r="V644" s="4">
        <v>0.0128710572606118</v>
      </c>
      <c r="W644" s="4">
        <v>0.00611298316377</v>
      </c>
      <c r="X644" s="4">
        <v>0.0336942838406704</v>
      </c>
      <c r="Y644" s="4">
        <v>-0.0012028518015992</v>
      </c>
      <c r="Z644" s="4">
        <v>0.0053752332850722</v>
      </c>
      <c r="AA644" s="4">
        <v>-0.0020670776481864</v>
      </c>
      <c r="AB644" s="4">
        <v>0.0112177860772255</v>
      </c>
      <c r="AC644" s="4">
        <v>0.0039841448280009</v>
      </c>
      <c r="AD644" s="4">
        <v>0.0030242854564757</v>
      </c>
      <c r="AE644" s="4">
        <v>0.0029958683487527</v>
      </c>
      <c r="AF644" s="4">
        <v>-3.333574684248E-4</v>
      </c>
      <c r="AG644" s="4">
        <v>0.0272952959495678</v>
      </c>
      <c r="AH644" s="4">
        <v>0.020994083995327</v>
      </c>
      <c r="AI644" s="4">
        <v>-0.0015996234683526</v>
      </c>
      <c r="AJ644" s="4">
        <v>0.009861</v>
      </c>
      <c r="AK644" s="4">
        <f>Weights!E700</f>
        <v>0.007725596316</v>
      </c>
      <c r="AL644" s="5">
        <v>0.00271785333622398</v>
      </c>
      <c r="AM644" s="5">
        <v>0.0080906845702342</v>
      </c>
      <c r="AN644" s="5">
        <v>0.00884635912930709</v>
      </c>
      <c r="AO644" s="5">
        <v>0.0104895881327711</v>
      </c>
      <c r="AP644" s="6">
        <f t="shared" si="3"/>
        <v>1.46461859</v>
      </c>
      <c r="AQ644" s="4">
        <f t="shared" si="4"/>
        <v>1.237752422</v>
      </c>
      <c r="AR644" s="7">
        <f t="shared" si="5"/>
        <v>1.17319957</v>
      </c>
      <c r="AS644" s="7">
        <f t="shared" ref="AS644:AU644" si="646">AS643*(1+AM644)</f>
        <v>1.26082817</v>
      </c>
      <c r="AT644" s="5">
        <f t="shared" si="646"/>
        <v>1.192913583</v>
      </c>
      <c r="AU644" s="5">
        <f t="shared" si="646"/>
        <v>1.170045042</v>
      </c>
    </row>
    <row r="645" ht="15.75" customHeight="1">
      <c r="A645" s="3">
        <v>44764.0</v>
      </c>
      <c r="B645" s="4">
        <v>-4.47E-4</v>
      </c>
      <c r="C645" s="4">
        <v>-0.067352</v>
      </c>
      <c r="D645" s="4">
        <v>0.002357</v>
      </c>
      <c r="E645" s="4">
        <v>0.006528</v>
      </c>
      <c r="F645" s="4">
        <v>0.003748</v>
      </c>
      <c r="G645" s="4">
        <v>0.004728</v>
      </c>
      <c r="H645" s="4">
        <v>0.015984</v>
      </c>
      <c r="I645" s="4">
        <v>-0.001164</v>
      </c>
      <c r="J645" s="4">
        <v>0.016597</v>
      </c>
      <c r="K645" s="4">
        <v>-0.005323</v>
      </c>
      <c r="L645" s="4">
        <v>-0.006847</v>
      </c>
      <c r="M645" s="4">
        <v>-0.009106</v>
      </c>
      <c r="N645" s="4">
        <v>-0.003596</v>
      </c>
      <c r="O645" s="4">
        <v>-0.00498</v>
      </c>
      <c r="P645" s="4">
        <v>-0.013438</v>
      </c>
      <c r="Q645" s="4">
        <v>0.013667</v>
      </c>
      <c r="R645" s="4">
        <v>-0.039779</v>
      </c>
      <c r="S645" s="4">
        <v>-0.00642</v>
      </c>
      <c r="T645" s="4">
        <v>-0.067383</v>
      </c>
      <c r="U645" s="4">
        <v>-0.010424</v>
      </c>
      <c r="V645" s="4">
        <v>0.0391809283571118</v>
      </c>
      <c r="W645" s="4">
        <v>-0.0494961934446799</v>
      </c>
      <c r="X645" s="4">
        <v>-0.0430732327983034</v>
      </c>
      <c r="Y645" s="4">
        <v>0.0081483255295673</v>
      </c>
      <c r="Z645" s="4">
        <v>0.0144797319390947</v>
      </c>
      <c r="AA645" s="4">
        <v>0.0100120221467943</v>
      </c>
      <c r="AB645" s="4">
        <v>-0.0187005049069416</v>
      </c>
      <c r="AC645" s="4">
        <v>-0.0119048350023597</v>
      </c>
      <c r="AD645" s="4">
        <v>-0.0341710081901782</v>
      </c>
      <c r="AE645" s="4">
        <v>-0.0022401142832066</v>
      </c>
      <c r="AF645" s="4">
        <v>-0.026684578758154</v>
      </c>
      <c r="AG645" s="4">
        <v>0.0023056273092623</v>
      </c>
      <c r="AH645" s="4">
        <v>-0.0456607276863959</v>
      </c>
      <c r="AI645" s="4">
        <v>0.0032048277638283</v>
      </c>
      <c r="AJ645" s="4">
        <v>-0.009332</v>
      </c>
      <c r="AK645" s="4">
        <f>Weights!E701</f>
        <v>-0.008150223793</v>
      </c>
      <c r="AL645" s="5">
        <v>0.0107528216594949</v>
      </c>
      <c r="AM645" s="5">
        <v>0.00989349292598684</v>
      </c>
      <c r="AN645" s="5">
        <v>0.0175377934651845</v>
      </c>
      <c r="AO645" s="5">
        <v>0.0191641462986922</v>
      </c>
      <c r="AP645" s="6">
        <f t="shared" si="3"/>
        <v>1.452681621</v>
      </c>
      <c r="AQ645" s="4">
        <f t="shared" si="4"/>
        <v>1.226201716</v>
      </c>
      <c r="AR645" s="7">
        <f t="shared" si="5"/>
        <v>1.185814776</v>
      </c>
      <c r="AS645" s="7">
        <f t="shared" ref="AS645:AU645" si="647">AS644*(1+AM645)</f>
        <v>1.273302165</v>
      </c>
      <c r="AT645" s="5">
        <f t="shared" si="647"/>
        <v>1.213834655</v>
      </c>
      <c r="AU645" s="5">
        <f t="shared" si="647"/>
        <v>1.192467957</v>
      </c>
    </row>
    <row r="646" ht="15.75" customHeight="1">
      <c r="A646" s="3">
        <v>44767.0</v>
      </c>
      <c r="B646" s="4">
        <v>0.008493</v>
      </c>
      <c r="C646" s="4">
        <v>0.006974</v>
      </c>
      <c r="D646" s="4">
        <v>0.00342</v>
      </c>
      <c r="E646" s="4">
        <v>0.001415</v>
      </c>
      <c r="F646" s="4">
        <v>0.009742</v>
      </c>
      <c r="G646" s="4">
        <v>0.001975</v>
      </c>
      <c r="H646" s="4">
        <v>0.006782</v>
      </c>
      <c r="I646" s="4">
        <v>0.025635</v>
      </c>
      <c r="J646" s="4">
        <v>0.013104</v>
      </c>
      <c r="K646" s="4">
        <v>0.011176</v>
      </c>
      <c r="L646" s="4">
        <v>0.012021</v>
      </c>
      <c r="M646" s="4">
        <v>0.01436</v>
      </c>
      <c r="N646" s="4">
        <v>0.00857</v>
      </c>
      <c r="O646" s="4">
        <v>0.018425</v>
      </c>
      <c r="P646" s="4">
        <v>-0.132321</v>
      </c>
      <c r="Q646" s="4">
        <v>-0.031461</v>
      </c>
      <c r="R646" s="4">
        <v>0.019092</v>
      </c>
      <c r="S646" s="4">
        <v>-0.020923</v>
      </c>
      <c r="T646" s="4">
        <v>0.019856</v>
      </c>
      <c r="U646" s="4">
        <v>0.008871</v>
      </c>
      <c r="V646" s="4">
        <v>-0.0315895987923458</v>
      </c>
      <c r="W646" s="4">
        <v>-0.0455252541094884</v>
      </c>
      <c r="X646" s="4">
        <v>0.0097323984793669</v>
      </c>
      <c r="Y646" s="4">
        <v>-5.621757153022E-4</v>
      </c>
      <c r="Z646" s="4">
        <v>-0.0218944387120507</v>
      </c>
      <c r="AA646" s="4">
        <v>0.021022294323939</v>
      </c>
      <c r="AB646" s="4">
        <v>-0.0129199829162829</v>
      </c>
      <c r="AC646" s="4">
        <v>0.0160642433532993</v>
      </c>
      <c r="AD646" s="4">
        <v>0.0093654157124563</v>
      </c>
      <c r="AE646" s="4">
        <v>0.0033676396583097</v>
      </c>
      <c r="AF646" s="4">
        <v>-0.0562027795442192</v>
      </c>
      <c r="AG646" s="4">
        <v>0.0118303410244733</v>
      </c>
      <c r="AH646" s="4">
        <v>-0.0278833407883208</v>
      </c>
      <c r="AI646" s="4">
        <v>0.0058571256857617</v>
      </c>
      <c r="AJ646" s="4">
        <v>0.001315</v>
      </c>
      <c r="AK646" s="4">
        <f>Weights!E702</f>
        <v>-0.001873420373</v>
      </c>
      <c r="AL646" s="5">
        <v>-0.0082245021796049</v>
      </c>
      <c r="AM646" s="5">
        <v>-0.0108462855421767</v>
      </c>
      <c r="AN646" s="5">
        <v>0.00379179299104848</v>
      </c>
      <c r="AO646" s="5">
        <v>0.00443976215227093</v>
      </c>
      <c r="AP646" s="6">
        <f t="shared" si="3"/>
        <v>1.449960137</v>
      </c>
      <c r="AQ646" s="4">
        <f t="shared" si="4"/>
        <v>1.227814171</v>
      </c>
      <c r="AR646" s="7">
        <f t="shared" si="5"/>
        <v>1.17606204</v>
      </c>
      <c r="AS646" s="7">
        <f t="shared" ref="AS646:AU646" si="648">AS645*(1+AM646)</f>
        <v>1.259491566</v>
      </c>
      <c r="AT646" s="5">
        <f t="shared" si="648"/>
        <v>1.218437264</v>
      </c>
      <c r="AU646" s="5">
        <f t="shared" si="648"/>
        <v>1.197762231</v>
      </c>
    </row>
    <row r="647" ht="15.75" customHeight="1">
      <c r="A647" s="3">
        <v>44768.0</v>
      </c>
      <c r="B647" s="4">
        <v>-0.006649</v>
      </c>
      <c r="C647" s="4">
        <v>0.003575</v>
      </c>
      <c r="D647" s="4">
        <v>-0.011504</v>
      </c>
      <c r="E647" s="4">
        <v>0.011657</v>
      </c>
      <c r="F647" s="4">
        <v>0.016401</v>
      </c>
      <c r="G647" s="4">
        <v>0.007074</v>
      </c>
      <c r="H647" s="4">
        <v>0.001945</v>
      </c>
      <c r="I647" s="4">
        <v>-0.004317</v>
      </c>
      <c r="J647" s="4">
        <v>0.004241</v>
      </c>
      <c r="K647" s="4">
        <v>-0.016656</v>
      </c>
      <c r="L647" s="4">
        <v>-0.014077</v>
      </c>
      <c r="M647" s="4">
        <v>-0.008494</v>
      </c>
      <c r="N647" s="4">
        <v>-0.007379</v>
      </c>
      <c r="O647" s="4">
        <v>0.009067</v>
      </c>
      <c r="P647" s="4">
        <v>0.034761</v>
      </c>
      <c r="Q647" s="4">
        <v>0.041763</v>
      </c>
      <c r="R647" s="4">
        <v>-0.012725</v>
      </c>
      <c r="S647" s="4">
        <v>0.019799</v>
      </c>
      <c r="T647" s="4">
        <v>0.008753</v>
      </c>
      <c r="U647" s="4">
        <v>-0.008086</v>
      </c>
      <c r="V647" s="4">
        <v>-0.0119257020967039</v>
      </c>
      <c r="W647" s="4">
        <v>0.001633379874719</v>
      </c>
      <c r="X647" s="4">
        <v>0.0</v>
      </c>
      <c r="Y647" s="4">
        <v>0.0319971198960185</v>
      </c>
      <c r="Z647" s="4">
        <v>0.0230595076513733</v>
      </c>
      <c r="AA647" s="4">
        <v>0.0010043380760407</v>
      </c>
      <c r="AB647" s="4">
        <v>0.0189790257606725</v>
      </c>
      <c r="AC647" s="4">
        <v>0.0</v>
      </c>
      <c r="AD647" s="4">
        <v>0.0</v>
      </c>
      <c r="AE647" s="4">
        <v>-0.0052210354217172</v>
      </c>
      <c r="AF647" s="4">
        <v>0.0188816649837495</v>
      </c>
      <c r="AG647" s="4">
        <v>0.0232758994218984</v>
      </c>
      <c r="AH647" s="4">
        <v>0.018578852785468</v>
      </c>
      <c r="AI647" s="4">
        <v>2.657178236797E-4</v>
      </c>
      <c r="AJ647" s="4">
        <v>-0.011543</v>
      </c>
      <c r="AK647" s="4">
        <f>Weights!E703</f>
        <v>0.00480085206</v>
      </c>
      <c r="AL647" s="5">
        <v>0.00342524639024466</v>
      </c>
      <c r="AM647" s="5">
        <v>0.00136435210718155</v>
      </c>
      <c r="AN647" s="5">
        <v>0.00309069591662525</v>
      </c>
      <c r="AO647" s="5">
        <v>0.00129998976275591</v>
      </c>
      <c r="AP647" s="6">
        <f t="shared" si="3"/>
        <v>1.456921181</v>
      </c>
      <c r="AQ647" s="4">
        <f t="shared" si="4"/>
        <v>1.213641512</v>
      </c>
      <c r="AR647" s="7">
        <f t="shared" si="5"/>
        <v>1.180090342</v>
      </c>
      <c r="AS647" s="7">
        <f t="shared" ref="AS647:AU647" si="649">AS646*(1+AM647)</f>
        <v>1.261209956</v>
      </c>
      <c r="AT647" s="5">
        <f t="shared" si="649"/>
        <v>1.222203083</v>
      </c>
      <c r="AU647" s="5">
        <f t="shared" si="649"/>
        <v>1.199319309</v>
      </c>
    </row>
    <row r="648" ht="15.75" customHeight="1">
      <c r="A648" s="3">
        <v>44769.0</v>
      </c>
      <c r="B648" s="4">
        <v>0.009371</v>
      </c>
      <c r="C648" s="4">
        <v>-2.23E-4</v>
      </c>
      <c r="D648" s="4">
        <v>0.012069</v>
      </c>
      <c r="E648" s="4">
        <v>-0.001397</v>
      </c>
      <c r="F648" s="4">
        <v>-0.003164</v>
      </c>
      <c r="G648" s="4">
        <v>-0.002764</v>
      </c>
      <c r="H648" s="4">
        <v>0.009496</v>
      </c>
      <c r="I648" s="4">
        <v>0.0178</v>
      </c>
      <c r="J648" s="4">
        <v>-8.45E-4</v>
      </c>
      <c r="K648" s="4">
        <v>0.018047</v>
      </c>
      <c r="L648" s="4">
        <v>0.011951</v>
      </c>
      <c r="M648" s="4">
        <v>0.024557</v>
      </c>
      <c r="N648" s="4">
        <v>0.015544</v>
      </c>
      <c r="O648" s="4">
        <v>0.008398</v>
      </c>
      <c r="P648" s="4">
        <v>-0.011487</v>
      </c>
      <c r="Q648" s="4">
        <v>0.007795</v>
      </c>
      <c r="R648" s="4">
        <v>0.048693</v>
      </c>
      <c r="S648" s="4">
        <v>0.012943</v>
      </c>
      <c r="T648" s="4">
        <v>0.032601</v>
      </c>
      <c r="U648" s="4">
        <v>0.014563</v>
      </c>
      <c r="V648" s="4">
        <v>-0.0117145367698195</v>
      </c>
      <c r="W648" s="4">
        <v>0.0220156664190738</v>
      </c>
      <c r="X648" s="4">
        <v>-0.0047281514112031</v>
      </c>
      <c r="Y648" s="4">
        <v>-0.0049743129470819</v>
      </c>
      <c r="Z648" s="4">
        <v>2.198625201541E-4</v>
      </c>
      <c r="AA648" s="4">
        <v>0.0078594214128067</v>
      </c>
      <c r="AB648" s="4">
        <v>0.0054593845799904</v>
      </c>
      <c r="AC648" s="4">
        <v>0.0078740926271749</v>
      </c>
      <c r="AD648" s="4">
        <v>-0.0202019687490382</v>
      </c>
      <c r="AE648" s="4">
        <v>-0.0271425827601433</v>
      </c>
      <c r="AF648" s="4">
        <v>0.0256591315583789</v>
      </c>
      <c r="AG648" s="4">
        <v>2.117190591275E-4</v>
      </c>
      <c r="AH648" s="4">
        <v>0.0220800018310547</v>
      </c>
      <c r="AI648" s="4">
        <v>-0.003715229318258</v>
      </c>
      <c r="AJ648" s="4">
        <v>0.026156</v>
      </c>
      <c r="AK648" s="4">
        <f>Weights!E704</f>
        <v>0.006900961046</v>
      </c>
      <c r="AL648" s="5">
        <v>-0.0132950902648895</v>
      </c>
      <c r="AM648" s="5">
        <v>-0.0123631827416994</v>
      </c>
      <c r="AN648" s="5">
        <v>-0.00376590178574287</v>
      </c>
      <c r="AO648" s="5">
        <v>-0.00311598940070179</v>
      </c>
      <c r="AP648" s="6">
        <f t="shared" si="3"/>
        <v>1.466975338</v>
      </c>
      <c r="AQ648" s="4">
        <f t="shared" si="4"/>
        <v>1.24538552</v>
      </c>
      <c r="AR648" s="7">
        <f t="shared" si="5"/>
        <v>1.164400934</v>
      </c>
      <c r="AS648" s="7">
        <f t="shared" ref="AS648:AU648" si="650">AS647*(1+AM648)</f>
        <v>1.245617387</v>
      </c>
      <c r="AT648" s="5">
        <f t="shared" si="650"/>
        <v>1.217600387</v>
      </c>
      <c r="AU648" s="5">
        <f t="shared" si="650"/>
        <v>1.195582243</v>
      </c>
    </row>
    <row r="649" ht="15.75" customHeight="1">
      <c r="A649" s="3">
        <v>44770.0</v>
      </c>
      <c r="B649" s="4">
        <v>0.014147</v>
      </c>
      <c r="C649" s="4">
        <v>0.014251</v>
      </c>
      <c r="D649" s="4">
        <v>-0.0181</v>
      </c>
      <c r="E649" s="4">
        <v>0.01894</v>
      </c>
      <c r="F649" s="4">
        <v>0.016664</v>
      </c>
      <c r="G649" s="4">
        <v>0.005774</v>
      </c>
      <c r="H649" s="4">
        <v>0.016616</v>
      </c>
      <c r="I649" s="4">
        <v>0.002466</v>
      </c>
      <c r="J649" s="4">
        <v>-0.003381</v>
      </c>
      <c r="K649" s="4">
        <v>-0.004043</v>
      </c>
      <c r="L649" s="4">
        <v>0.008884</v>
      </c>
      <c r="M649" s="4">
        <v>0.006689</v>
      </c>
      <c r="N649" s="4">
        <v>0.012201</v>
      </c>
      <c r="O649" s="4">
        <v>0.012117</v>
      </c>
      <c r="P649" s="4">
        <v>0.004385</v>
      </c>
      <c r="Q649" s="4">
        <v>0.01768</v>
      </c>
      <c r="R649" s="4">
        <v>0.018436</v>
      </c>
      <c r="S649" s="4">
        <v>0.014299</v>
      </c>
      <c r="T649" s="4">
        <v>0.024111</v>
      </c>
      <c r="U649" s="4">
        <v>0.02153</v>
      </c>
      <c r="V649" s="4">
        <v>0.0168822898582481</v>
      </c>
      <c r="W649" s="4">
        <v>0.007340002820378</v>
      </c>
      <c r="X649" s="4">
        <v>0.0095011298058136</v>
      </c>
      <c r="Y649" s="4">
        <v>-0.0208876877690734</v>
      </c>
      <c r="Z649" s="4">
        <v>-0.0078046847579268</v>
      </c>
      <c r="AA649" s="4">
        <v>0.0054752845932102</v>
      </c>
      <c r="AB649" s="4">
        <v>0.003832562476711</v>
      </c>
      <c r="AC649" s="4">
        <v>0.0</v>
      </c>
      <c r="AD649" s="4">
        <v>0.0206185031044052</v>
      </c>
      <c r="AE649" s="4">
        <v>-0.0021579473447415</v>
      </c>
      <c r="AF649" s="4">
        <v>0.0045171203137337</v>
      </c>
      <c r="AG649" s="4">
        <v>-0.0141740808979826</v>
      </c>
      <c r="AH649" s="4">
        <v>0.0037570707269385</v>
      </c>
      <c r="AI649" s="4">
        <v>0.0015976777505584</v>
      </c>
      <c r="AJ649" s="4">
        <v>0.012133</v>
      </c>
      <c r="AK649" s="4">
        <f>Weights!E705</f>
        <v>0.005316332314</v>
      </c>
      <c r="AL649" s="5">
        <v>0.0257648167416468</v>
      </c>
      <c r="AM649" s="5">
        <v>0.0262620640416901</v>
      </c>
      <c r="AN649" s="5">
        <v>0.00721650899474113</v>
      </c>
      <c r="AO649" s="5">
        <v>0.00651223290188984</v>
      </c>
      <c r="AP649" s="6">
        <f t="shared" si="3"/>
        <v>1.474774266</v>
      </c>
      <c r="AQ649" s="4">
        <f t="shared" si="4"/>
        <v>1.260495782</v>
      </c>
      <c r="AR649" s="7">
        <f t="shared" si="5"/>
        <v>1.194401511</v>
      </c>
      <c r="AS649" s="7">
        <f t="shared" ref="AS649:AU649" si="651">AS648*(1+AM649)</f>
        <v>1.27832987</v>
      </c>
      <c r="AT649" s="5">
        <f t="shared" si="651"/>
        <v>1.226387211</v>
      </c>
      <c r="AU649" s="5">
        <f t="shared" si="651"/>
        <v>1.203368153</v>
      </c>
    </row>
    <row r="650" ht="15.75" customHeight="1">
      <c r="A650" s="3">
        <v>44771.0</v>
      </c>
      <c r="B650" s="4">
        <v>0.002615</v>
      </c>
      <c r="C650" s="4">
        <v>0.01405</v>
      </c>
      <c r="D650" s="4">
        <v>-0.003253</v>
      </c>
      <c r="E650" s="4">
        <v>6.86E-4</v>
      </c>
      <c r="F650" s="4">
        <v>0.001717</v>
      </c>
      <c r="G650" s="4">
        <v>0.001837</v>
      </c>
      <c r="H650" s="4">
        <v>-0.061799</v>
      </c>
      <c r="I650" s="4">
        <v>0.004921</v>
      </c>
      <c r="J650" s="4">
        <v>0.00212</v>
      </c>
      <c r="K650" s="4">
        <v>0.014364</v>
      </c>
      <c r="L650" s="4">
        <v>0.010152</v>
      </c>
      <c r="M650" s="4">
        <v>0.014396</v>
      </c>
      <c r="N650" s="4">
        <v>0.017751</v>
      </c>
      <c r="O650" s="4">
        <v>-0.010491</v>
      </c>
      <c r="P650" s="4">
        <v>-0.01157</v>
      </c>
      <c r="Q650" s="4">
        <v>-0.001086</v>
      </c>
      <c r="R650" s="4">
        <v>0.05766</v>
      </c>
      <c r="S650" s="4">
        <v>0.028794</v>
      </c>
      <c r="T650" s="4">
        <v>0.041411</v>
      </c>
      <c r="U650" s="4">
        <v>0.01848</v>
      </c>
      <c r="V650" s="4">
        <v>0.046273239028316</v>
      </c>
      <c r="W650" s="4">
        <v>-0.0172659376069002</v>
      </c>
      <c r="X650" s="4">
        <v>-0.0035293308887867</v>
      </c>
      <c r="Y650" s="4">
        <v>0.015597558142449</v>
      </c>
      <c r="Z650" s="4">
        <v>0.0140705795189706</v>
      </c>
      <c r="AA650" s="4">
        <v>0.0</v>
      </c>
      <c r="AB650" s="4">
        <v>-0.0012726433404575</v>
      </c>
      <c r="AC650" s="4">
        <v>-0.0019532888172373</v>
      </c>
      <c r="AD650" s="4">
        <v>0.0060606792133239</v>
      </c>
      <c r="AE650" s="4">
        <v>0.0125124353053021</v>
      </c>
      <c r="AF650" s="4">
        <v>-0.0235212173891884</v>
      </c>
      <c r="AG650" s="4">
        <v>0.0016096607794631</v>
      </c>
      <c r="AH650" s="4">
        <v>-0.0352464601795248</v>
      </c>
      <c r="AI650" s="4">
        <v>0.0047874207630869</v>
      </c>
      <c r="AJ650" s="4">
        <v>0.014208</v>
      </c>
      <c r="AK650" s="4">
        <f>Weights!E706</f>
        <v>0.004797008074</v>
      </c>
      <c r="AL650" s="5">
        <v>0.0110056525018844</v>
      </c>
      <c r="AM650" s="5">
        <v>0.0130439314173911</v>
      </c>
      <c r="AN650" s="5">
        <v>-0.00716480412135389</v>
      </c>
      <c r="AO650" s="5">
        <v>-0.00698773602935964</v>
      </c>
      <c r="AP650" s="6">
        <f t="shared" si="3"/>
        <v>1.48184877</v>
      </c>
      <c r="AQ650" s="4">
        <f t="shared" si="4"/>
        <v>1.278404906</v>
      </c>
      <c r="AR650" s="7">
        <f t="shared" si="5"/>
        <v>1.207546679</v>
      </c>
      <c r="AS650" s="7">
        <f t="shared" ref="AS650:AU650" si="652">AS649*(1+AM650)</f>
        <v>1.295004317</v>
      </c>
      <c r="AT650" s="5">
        <f t="shared" si="652"/>
        <v>1.217600387</v>
      </c>
      <c r="AU650" s="5">
        <f t="shared" si="652"/>
        <v>1.194959334</v>
      </c>
    </row>
    <row r="651" ht="15.75" customHeight="1">
      <c r="A651" s="3">
        <v>44774.0</v>
      </c>
      <c r="B651" s="4">
        <v>-0.003478</v>
      </c>
      <c r="C651" s="4">
        <v>0.001515</v>
      </c>
      <c r="D651" s="4">
        <v>-0.009574</v>
      </c>
      <c r="E651" s="4">
        <v>0.011374</v>
      </c>
      <c r="F651" s="4">
        <v>0.005454</v>
      </c>
      <c r="G651" s="4">
        <v>-0.003495</v>
      </c>
      <c r="H651" s="4">
        <v>0.028724</v>
      </c>
      <c r="I651" s="4">
        <v>-0.008903</v>
      </c>
      <c r="J651" s="4">
        <v>-0.004232</v>
      </c>
      <c r="K651" s="4">
        <v>-0.006926</v>
      </c>
      <c r="L651" s="4">
        <v>-0.002564</v>
      </c>
      <c r="M651" s="4">
        <v>-0.006004</v>
      </c>
      <c r="N651" s="4">
        <v>-0.011628</v>
      </c>
      <c r="O651" s="4">
        <v>-0.005488</v>
      </c>
      <c r="P651" s="4">
        <v>-0.007509</v>
      </c>
      <c r="Q651" s="4">
        <v>0.008696</v>
      </c>
      <c r="R651" s="4">
        <v>-0.049762</v>
      </c>
      <c r="S651" s="4">
        <v>-0.001458</v>
      </c>
      <c r="T651" s="4">
        <v>-0.006922</v>
      </c>
      <c r="U651" s="4">
        <v>-0.009147</v>
      </c>
      <c r="V651" s="4">
        <v>0.0273463832860183</v>
      </c>
      <c r="W651" s="4">
        <v>-0.0531915505490782</v>
      </c>
      <c r="X651" s="4">
        <v>-0.0259739389887619</v>
      </c>
      <c r="Y651" s="4">
        <v>-0.0028237104983142</v>
      </c>
      <c r="Z651" s="4">
        <v>-0.0176992367240235</v>
      </c>
      <c r="AA651" s="4">
        <v>-0.004950574648852</v>
      </c>
      <c r="AB651" s="4">
        <v>0.0012742650253561</v>
      </c>
      <c r="AC651" s="4">
        <v>-0.0039137254823881</v>
      </c>
      <c r="AD651" s="4">
        <v>-0.0251007210929115</v>
      </c>
      <c r="AE651" s="4">
        <v>-6.864805308059E-4</v>
      </c>
      <c r="AF651" s="4">
        <v>-0.0343606381833667</v>
      </c>
      <c r="AG651" s="4">
        <v>-0.0073915312914193</v>
      </c>
      <c r="AH651" s="4">
        <v>-0.0391206123619072</v>
      </c>
      <c r="AI651" s="4">
        <v>-5.293262359329E-4</v>
      </c>
      <c r="AJ651" s="4">
        <v>-0.002823</v>
      </c>
      <c r="AK651" s="4">
        <f>Weights!E707</f>
        <v>-0.008082789791</v>
      </c>
      <c r="AL651" s="5">
        <v>0.0145728162196543</v>
      </c>
      <c r="AM651" s="5">
        <v>0.0136132090532281</v>
      </c>
      <c r="AN651" s="5">
        <v>0.0147767123348383</v>
      </c>
      <c r="AO651" s="5">
        <v>0.0148553584519666</v>
      </c>
      <c r="AP651" s="6">
        <f t="shared" si="3"/>
        <v>1.469871298</v>
      </c>
      <c r="AQ651" s="4">
        <f t="shared" si="4"/>
        <v>1.274795969</v>
      </c>
      <c r="AR651" s="7">
        <f t="shared" si="5"/>
        <v>1.225144035</v>
      </c>
      <c r="AS651" s="7">
        <f t="shared" ref="AS651:AU651" si="653">AS650*(1+AM651)</f>
        <v>1.312633482</v>
      </c>
      <c r="AT651" s="5">
        <f t="shared" si="653"/>
        <v>1.235592517</v>
      </c>
      <c r="AU651" s="5">
        <f t="shared" si="653"/>
        <v>1.212710883</v>
      </c>
    </row>
    <row r="652" ht="15.75" customHeight="1">
      <c r="A652" s="3">
        <v>44775.0</v>
      </c>
      <c r="B652" s="4">
        <v>-0.012653</v>
      </c>
      <c r="C652" s="4">
        <v>-0.019888</v>
      </c>
      <c r="D652" s="4">
        <v>-0.016916</v>
      </c>
      <c r="E652" s="4">
        <v>-0.008251</v>
      </c>
      <c r="F652" s="4">
        <v>-0.013639</v>
      </c>
      <c r="G652" s="4">
        <v>-0.005693</v>
      </c>
      <c r="H652" s="4">
        <v>-0.006648</v>
      </c>
      <c r="I652" s="4">
        <v>-0.012127</v>
      </c>
      <c r="J652" s="4">
        <v>-0.004887</v>
      </c>
      <c r="K652" s="4">
        <v>-0.002635</v>
      </c>
      <c r="L652" s="4">
        <v>-0.007917</v>
      </c>
      <c r="M652" s="4">
        <v>-0.008237</v>
      </c>
      <c r="N652" s="4">
        <v>-0.01024</v>
      </c>
      <c r="O652" s="4">
        <v>4.6E-4</v>
      </c>
      <c r="P652" s="4">
        <v>-0.002225</v>
      </c>
      <c r="Q652" s="4">
        <v>-0.012931</v>
      </c>
      <c r="R652" s="4">
        <v>-0.021681</v>
      </c>
      <c r="S652" s="4">
        <v>-0.018686</v>
      </c>
      <c r="T652" s="4">
        <v>-0.020169</v>
      </c>
      <c r="U652" s="4">
        <v>-0.007567</v>
      </c>
      <c r="V652" s="4">
        <v>-0.00755824515902703</v>
      </c>
      <c r="W652" s="4">
        <v>-0.0393258571892319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>
        <v>0.0</v>
      </c>
      <c r="AD652" s="4">
        <v>0.0</v>
      </c>
      <c r="AE652" s="4">
        <v>0.0</v>
      </c>
      <c r="AF652" s="4">
        <v>0.0073366342213845</v>
      </c>
      <c r="AG652" s="4">
        <v>0.0138140269650837</v>
      </c>
      <c r="AH652" s="4">
        <v>-0.0279273041508016</v>
      </c>
      <c r="AI652" s="4">
        <v>0.0</v>
      </c>
      <c r="AJ652" s="4">
        <v>-0.006662</v>
      </c>
      <c r="AK652" s="4">
        <f>Weights!E708</f>
        <v>-0.006851663178</v>
      </c>
      <c r="AL652" s="5">
        <v>-0.00164397734219357</v>
      </c>
      <c r="AM652" s="5">
        <v>-0.00232730084162002</v>
      </c>
      <c r="AN652" s="5">
        <v>0.00846604312460064</v>
      </c>
      <c r="AO652" s="5">
        <v>0.00975881781863785</v>
      </c>
      <c r="AP652" s="6">
        <f t="shared" si="3"/>
        <v>1.459800235</v>
      </c>
      <c r="AQ652" s="4">
        <f t="shared" si="4"/>
        <v>1.266303279</v>
      </c>
      <c r="AR652" s="7">
        <f t="shared" si="5"/>
        <v>1.223129926</v>
      </c>
      <c r="AS652" s="7">
        <f t="shared" ref="AS652:AU652" si="654">AS651*(1+AM652)</f>
        <v>1.309578589</v>
      </c>
      <c r="AT652" s="5">
        <f t="shared" si="654"/>
        <v>1.246053097</v>
      </c>
      <c r="AU652" s="5">
        <f t="shared" si="654"/>
        <v>1.224545508</v>
      </c>
    </row>
    <row r="653" ht="15.75" customHeight="1">
      <c r="A653" s="3">
        <v>44776.0</v>
      </c>
      <c r="B653" s="4">
        <v>-0.003977</v>
      </c>
      <c r="C653" s="4">
        <v>-2.21E-4</v>
      </c>
      <c r="D653" s="4">
        <v>-0.003799</v>
      </c>
      <c r="E653" s="4">
        <v>0.007636</v>
      </c>
      <c r="F653" s="4">
        <v>0.0044</v>
      </c>
      <c r="G653" s="4">
        <v>0.009658</v>
      </c>
      <c r="H653" s="4">
        <v>0.020641</v>
      </c>
      <c r="I653" s="4">
        <v>0.003864</v>
      </c>
      <c r="J653" s="4">
        <v>-0.00662</v>
      </c>
      <c r="K653" s="4">
        <v>0.015229</v>
      </c>
      <c r="L653" s="4">
        <v>0.01938</v>
      </c>
      <c r="M653" s="4">
        <v>0.011074</v>
      </c>
      <c r="N653" s="4">
        <v>0.013868</v>
      </c>
      <c r="O653" s="4">
        <v>0.001212</v>
      </c>
      <c r="P653" s="4">
        <v>-0.009813</v>
      </c>
      <c r="Q653" s="4">
        <v>-0.029476</v>
      </c>
      <c r="R653" s="4">
        <v>-0.021821</v>
      </c>
      <c r="S653" s="4">
        <v>-0.02529</v>
      </c>
      <c r="T653" s="4">
        <v>-0.0056</v>
      </c>
      <c r="U653" s="4">
        <v>0.034922</v>
      </c>
      <c r="V653" s="4">
        <v>-0.0268211856484839</v>
      </c>
      <c r="W653" s="4">
        <v>0.0065568581687347</v>
      </c>
      <c r="X653" s="4">
        <v>-0.004975244737749</v>
      </c>
      <c r="Y653" s="4">
        <v>0.0096693121118094</v>
      </c>
      <c r="Z653" s="4">
        <v>0.0223557462795218</v>
      </c>
      <c r="AA653" s="4">
        <v>0.003482613553732</v>
      </c>
      <c r="AB653" s="4">
        <v>0.0111359754323057</v>
      </c>
      <c r="AC653" s="4">
        <v>-0.0097088113888096</v>
      </c>
      <c r="AD653" s="4">
        <v>-0.0040984844885368</v>
      </c>
      <c r="AE653" s="4">
        <v>-0.0015267493242056</v>
      </c>
      <c r="AF653" s="4">
        <v>0.0298617428391725</v>
      </c>
      <c r="AG653" s="4">
        <v>0.0</v>
      </c>
      <c r="AH653" s="4">
        <v>0.0</v>
      </c>
      <c r="AI653" s="4">
        <v>0.0063560661152339</v>
      </c>
      <c r="AJ653" s="4">
        <v>0.015638</v>
      </c>
      <c r="AK653" s="4">
        <f>Weights!E709</f>
        <v>0.002811997706</v>
      </c>
      <c r="AL653" s="5">
        <v>-0.00875370682959697</v>
      </c>
      <c r="AM653" s="5">
        <v>-0.00539456330314669</v>
      </c>
      <c r="AN653" s="5">
        <v>0.0117527357890303</v>
      </c>
      <c r="AO653" s="5">
        <v>0.0127158802206774</v>
      </c>
      <c r="AP653" s="6">
        <f t="shared" si="3"/>
        <v>1.46390519</v>
      </c>
      <c r="AQ653" s="4">
        <f t="shared" si="4"/>
        <v>1.286105729</v>
      </c>
      <c r="AR653" s="7">
        <f t="shared" si="5"/>
        <v>1.212423005</v>
      </c>
      <c r="AS653" s="7">
        <f t="shared" ref="AS653:AU653" si="655">AS652*(1+AM653)</f>
        <v>1.302513984</v>
      </c>
      <c r="AT653" s="5">
        <f t="shared" si="655"/>
        <v>1.26069763</v>
      </c>
      <c r="AU653" s="5">
        <f t="shared" si="655"/>
        <v>1.240116682</v>
      </c>
    </row>
    <row r="654" ht="15.75" customHeight="1">
      <c r="A654" s="3">
        <v>44777.0</v>
      </c>
      <c r="B654" s="4">
        <v>-0.001775</v>
      </c>
      <c r="C654" s="4">
        <v>-0.019854</v>
      </c>
      <c r="D654" s="4">
        <v>-0.012113</v>
      </c>
      <c r="E654" s="4">
        <v>-0.005429</v>
      </c>
      <c r="F654" s="4">
        <v>-0.003911</v>
      </c>
      <c r="G654" s="4">
        <v>-0.016038</v>
      </c>
      <c r="H654" s="4">
        <v>-0.001588</v>
      </c>
      <c r="I654" s="4">
        <v>-0.020607</v>
      </c>
      <c r="J654" s="4">
        <v>0.004084</v>
      </c>
      <c r="K654" s="4">
        <v>-0.011633</v>
      </c>
      <c r="L654" s="4">
        <v>1.02E-4</v>
      </c>
      <c r="M654" s="4">
        <v>-0.003286</v>
      </c>
      <c r="N654" s="4">
        <v>0.020625</v>
      </c>
      <c r="O654" s="4">
        <v>-0.003756</v>
      </c>
      <c r="P654" s="4">
        <v>0.01982</v>
      </c>
      <c r="Q654" s="4">
        <v>0.03937</v>
      </c>
      <c r="R654" s="4">
        <v>0.00244</v>
      </c>
      <c r="S654" s="4">
        <v>0.030525</v>
      </c>
      <c r="T654" s="4">
        <v>0.02169</v>
      </c>
      <c r="U654" s="4">
        <v>0.026229</v>
      </c>
      <c r="V654" s="4">
        <v>0.0176930033366942</v>
      </c>
      <c r="W654" s="4">
        <v>-0.0827463903912669</v>
      </c>
      <c r="X654" s="4">
        <v>0.0</v>
      </c>
      <c r="Y654" s="4">
        <v>0.0109445612532106</v>
      </c>
      <c r="Z654" s="4">
        <v>0.0021758462389596</v>
      </c>
      <c r="AA654" s="4">
        <v>-0.0105766923921116</v>
      </c>
      <c r="AB654" s="4">
        <v>-0.0097546354702399</v>
      </c>
      <c r="AC654" s="4">
        <v>-0.0019606995611118</v>
      </c>
      <c r="AD654" s="4">
        <v>0.0051440762030223</v>
      </c>
      <c r="AE654" s="4">
        <v>-0.0034403224633171</v>
      </c>
      <c r="AF654" s="4">
        <v>-0.0282885873636835</v>
      </c>
      <c r="AG654" s="4">
        <v>-0.0150097540039749</v>
      </c>
      <c r="AH654" s="4">
        <v>-0.027691216821112</v>
      </c>
      <c r="AI654" s="4">
        <v>0.0047372486050267</v>
      </c>
      <c r="AJ654" s="4">
        <v>-7.77E-4</v>
      </c>
      <c r="AK654" s="4">
        <f>Weights!E710</f>
        <v>-0.002845800253</v>
      </c>
      <c r="AL654" s="5">
        <v>0.0126781344797581</v>
      </c>
      <c r="AM654" s="5">
        <v>0.0160755136246149</v>
      </c>
      <c r="AN654" s="5">
        <v>-0.00896113619109872</v>
      </c>
      <c r="AO654" s="5">
        <v>-0.00979393876248646</v>
      </c>
      <c r="AP654" s="6">
        <f t="shared" si="3"/>
        <v>1.459739208</v>
      </c>
      <c r="AQ654" s="4">
        <f t="shared" si="4"/>
        <v>1.285106425</v>
      </c>
      <c r="AR654" s="7">
        <f t="shared" si="5"/>
        <v>1.227794267</v>
      </c>
      <c r="AS654" s="7">
        <f t="shared" ref="AS654:AU654" si="656">AS653*(1+AM654)</f>
        <v>1.323452566</v>
      </c>
      <c r="AT654" s="5">
        <f t="shared" si="656"/>
        <v>1.249400346</v>
      </c>
      <c r="AU654" s="5">
        <f t="shared" si="656"/>
        <v>1.227971055</v>
      </c>
    </row>
    <row r="655" ht="15.75" customHeight="1">
      <c r="A655" s="3">
        <v>44778.0</v>
      </c>
      <c r="B655" s="4">
        <v>-0.006222</v>
      </c>
      <c r="C655" s="4">
        <v>0.011704</v>
      </c>
      <c r="D655" s="4">
        <v>-0.017257</v>
      </c>
      <c r="E655" s="4">
        <v>-0.007505</v>
      </c>
      <c r="F655" s="4">
        <v>-0.004555</v>
      </c>
      <c r="G655" s="4">
        <v>-0.003958</v>
      </c>
      <c r="H655" s="4">
        <v>4.84E-4</v>
      </c>
      <c r="I655" s="4">
        <v>-0.011098</v>
      </c>
      <c r="J655" s="4">
        <v>-0.012417</v>
      </c>
      <c r="K655" s="4">
        <v>-0.001394</v>
      </c>
      <c r="L655" s="4">
        <v>-0.006099</v>
      </c>
      <c r="M655" s="4">
        <v>0.002198</v>
      </c>
      <c r="N655" s="4">
        <v>-0.006594</v>
      </c>
      <c r="O655" s="4">
        <v>0.012987</v>
      </c>
      <c r="P655" s="4">
        <v>-0.011263</v>
      </c>
      <c r="Q655" s="4">
        <v>0.005411</v>
      </c>
      <c r="R655" s="4">
        <v>0.052503</v>
      </c>
      <c r="S655" s="4">
        <v>-8.89E-4</v>
      </c>
      <c r="T655" s="4">
        <v>0.017803</v>
      </c>
      <c r="U655" s="4">
        <v>-0.006892</v>
      </c>
      <c r="V655" s="4">
        <v>0.0170512022251747</v>
      </c>
      <c r="W655" s="4">
        <v>0.0092129576420862</v>
      </c>
      <c r="X655" s="4">
        <v>0.0200000810441731</v>
      </c>
      <c r="Y655" s="4">
        <v>0.0025036171184684</v>
      </c>
      <c r="Z655" s="4">
        <v>0.0143291535962917</v>
      </c>
      <c r="AA655" s="4">
        <v>0.0070152522636293</v>
      </c>
      <c r="AB655" s="4">
        <v>-0.0041309026453794</v>
      </c>
      <c r="AC655" s="4">
        <v>-0.0078587055414874</v>
      </c>
      <c r="AD655" s="4">
        <v>0.0030707173894211</v>
      </c>
      <c r="AE655" s="4">
        <v>0.0049099135306087</v>
      </c>
      <c r="AF655" s="4">
        <v>0.0032750544420248</v>
      </c>
      <c r="AG655" s="4">
        <v>0.0071328996556998</v>
      </c>
      <c r="AH655" s="4">
        <v>0.0370238842961176</v>
      </c>
      <c r="AI655" s="4">
        <v>-0.0052385820001534</v>
      </c>
      <c r="AJ655" s="4">
        <v>-0.001626</v>
      </c>
      <c r="AK655" s="4">
        <f>Weights!E711</f>
        <v>0.003576676701</v>
      </c>
      <c r="AL655" s="5">
        <v>0.00155416980481071</v>
      </c>
      <c r="AM655" s="5">
        <v>-9.61666670619143E-4</v>
      </c>
      <c r="AN655" s="5">
        <v>0.00267922428379385</v>
      </c>
      <c r="AO655" s="5">
        <v>0.00304349573658058</v>
      </c>
      <c r="AP655" s="6">
        <f t="shared" si="3"/>
        <v>1.464960223</v>
      </c>
      <c r="AQ655" s="4">
        <f t="shared" si="4"/>
        <v>1.283016842</v>
      </c>
      <c r="AR655" s="7">
        <f t="shared" si="5"/>
        <v>1.229702468</v>
      </c>
      <c r="AS655" s="7">
        <f t="shared" ref="AS655:AU655" si="657">AS654*(1+AM655)</f>
        <v>1.322179845</v>
      </c>
      <c r="AT655" s="5">
        <f t="shared" si="657"/>
        <v>1.25274777</v>
      </c>
      <c r="AU655" s="5">
        <f t="shared" si="657"/>
        <v>1.23170838</v>
      </c>
    </row>
    <row r="656" ht="15.75" customHeight="1">
      <c r="A656" s="3">
        <v>44781.0</v>
      </c>
      <c r="B656" s="4">
        <v>0.012522</v>
      </c>
      <c r="C656" s="4">
        <v>-0.009121</v>
      </c>
      <c r="D656" s="4">
        <v>0.029344</v>
      </c>
      <c r="E656" s="4">
        <v>-0.00401</v>
      </c>
      <c r="F656" s="4">
        <v>-0.006469</v>
      </c>
      <c r="G656" s="4">
        <v>-0.005318</v>
      </c>
      <c r="H656" s="4">
        <v>0.0038</v>
      </c>
      <c r="I656" s="4">
        <v>0.014964</v>
      </c>
      <c r="J656" s="4">
        <v>0.01214</v>
      </c>
      <c r="K656" s="4">
        <v>0.004497</v>
      </c>
      <c r="L656" s="4">
        <v>-0.008898</v>
      </c>
      <c r="M656" s="4">
        <v>0.007675</v>
      </c>
      <c r="N656" s="4">
        <v>0.006638</v>
      </c>
      <c r="O656" s="4">
        <v>-0.021381</v>
      </c>
      <c r="P656" s="4">
        <v>2.23E-4</v>
      </c>
      <c r="Q656" s="4">
        <v>0.026911</v>
      </c>
      <c r="R656" s="4">
        <v>0.011563</v>
      </c>
      <c r="S656" s="4">
        <v>0.016602</v>
      </c>
      <c r="T656" s="4">
        <v>-6.59E-4</v>
      </c>
      <c r="U656" s="4">
        <v>0.008386</v>
      </c>
      <c r="V656" s="4">
        <v>-0.0256410977426755</v>
      </c>
      <c r="W656" s="4">
        <v>0.0711297961879269</v>
      </c>
      <c r="X656" s="4">
        <v>0.0</v>
      </c>
      <c r="Y656" s="4">
        <v>-0.008031631978686</v>
      </c>
      <c r="Z656" s="4">
        <v>9.629329030647E-4</v>
      </c>
      <c r="AA656" s="4">
        <v>-0.0013270503628197</v>
      </c>
      <c r="AB656" s="4">
        <v>0.0111678154042635</v>
      </c>
      <c r="AC656" s="4">
        <v>0.0</v>
      </c>
      <c r="AD656" s="4">
        <v>0.0</v>
      </c>
      <c r="AE656" s="4">
        <v>-0.0023666496868796</v>
      </c>
      <c r="AF656" s="4">
        <v>0.0369968281294823</v>
      </c>
      <c r="AG656" s="4">
        <v>0.0057944791077182</v>
      </c>
      <c r="AH656" s="4">
        <v>0.0326123538305098</v>
      </c>
      <c r="AI656" s="4">
        <v>-5.268741013537E-4</v>
      </c>
      <c r="AJ656" s="4">
        <v>-0.001238</v>
      </c>
      <c r="AK656" s="4">
        <f>Weights!E712</f>
        <v>0.006583728063</v>
      </c>
      <c r="AL656" s="5">
        <v>-0.00310344775649573</v>
      </c>
      <c r="AM656" s="5">
        <v>-3.37071958048107E-4</v>
      </c>
      <c r="AN656" s="5">
        <v>0.00300597784184764</v>
      </c>
      <c r="AO656" s="5">
        <v>0.00151686823565677</v>
      </c>
      <c r="AP656" s="6">
        <f t="shared" si="3"/>
        <v>1.474605123</v>
      </c>
      <c r="AQ656" s="4">
        <f t="shared" si="4"/>
        <v>1.281428467</v>
      </c>
      <c r="AR656" s="7">
        <f t="shared" si="5"/>
        <v>1.22588615</v>
      </c>
      <c r="AS656" s="7">
        <f t="shared" ref="AS656:AU656" si="658">AS655*(1+AM656)</f>
        <v>1.321734176</v>
      </c>
      <c r="AT656" s="5">
        <f t="shared" si="658"/>
        <v>1.256513502</v>
      </c>
      <c r="AU656" s="5">
        <f t="shared" si="658"/>
        <v>1.233576719</v>
      </c>
    </row>
    <row r="657" ht="15.75" customHeight="1">
      <c r="A657" s="3">
        <v>44782.0</v>
      </c>
      <c r="B657" s="4">
        <v>0.001767</v>
      </c>
      <c r="C657" s="4">
        <v>0.003143</v>
      </c>
      <c r="D657" s="4">
        <v>0.01055</v>
      </c>
      <c r="E657" s="4">
        <v>0.003739</v>
      </c>
      <c r="F657" s="4">
        <v>0.00127</v>
      </c>
      <c r="G657" s="4">
        <v>-1.18E-4</v>
      </c>
      <c r="H657" s="4">
        <v>-0.002341</v>
      </c>
      <c r="I657" s="4">
        <v>2.3E-4</v>
      </c>
      <c r="J657" s="4">
        <v>0.004712</v>
      </c>
      <c r="K657" s="4">
        <v>-0.008028</v>
      </c>
      <c r="L657" s="4">
        <v>-0.005573</v>
      </c>
      <c r="M657" s="4">
        <v>-0.00272</v>
      </c>
      <c r="N657" s="4">
        <v>-0.008296</v>
      </c>
      <c r="O657" s="4">
        <v>6.34E-4</v>
      </c>
      <c r="P657" s="4">
        <v>0.011612</v>
      </c>
      <c r="Q657" s="4">
        <v>-0.013627</v>
      </c>
      <c r="R657" s="4">
        <v>-0.018615</v>
      </c>
      <c r="S657" s="4">
        <v>-0.004666</v>
      </c>
      <c r="T657" s="4">
        <v>0.01494</v>
      </c>
      <c r="U657" s="4">
        <v>0.00172</v>
      </c>
      <c r="V657" s="4">
        <v>0.0185561688915385</v>
      </c>
      <c r="W657" s="4">
        <v>0.003018426042443</v>
      </c>
      <c r="X657" s="4">
        <v>0.0</v>
      </c>
      <c r="Y657" s="4">
        <v>-0.0061920555182067</v>
      </c>
      <c r="Z657" s="4">
        <v>2.140468738565E-4</v>
      </c>
      <c r="AA657" s="4">
        <v>-8.303408051577E-4</v>
      </c>
      <c r="AB657" s="4">
        <v>0.0012621332420994</v>
      </c>
      <c r="AC657" s="4">
        <v>0.0</v>
      </c>
      <c r="AD657" s="4">
        <v>0.0</v>
      </c>
      <c r="AE657" s="4">
        <v>-0.0039792065174685</v>
      </c>
      <c r="AF657" s="4">
        <v>0.0010493003724409</v>
      </c>
      <c r="AG657" s="4">
        <v>0.0048011380634889</v>
      </c>
      <c r="AH657" s="4">
        <v>0.0309176119525071</v>
      </c>
      <c r="AI657" s="4">
        <v>-0.003688272918771</v>
      </c>
      <c r="AJ657" s="4">
        <v>-0.004249</v>
      </c>
      <c r="AK657" s="4">
        <f>Weights!E713</f>
        <v>0.001541475271</v>
      </c>
      <c r="AL657" s="5">
        <v>-3.45847600290771E-4</v>
      </c>
      <c r="AM657" s="5">
        <v>9.14889816443054E-4</v>
      </c>
      <c r="AN657" s="5">
        <v>0.00133192465745257</v>
      </c>
      <c r="AO657" s="5">
        <v>0.00176741827156878</v>
      </c>
      <c r="AP657" s="6">
        <f t="shared" si="3"/>
        <v>1.47687819</v>
      </c>
      <c r="AQ657" s="4">
        <f t="shared" si="4"/>
        <v>1.275983678</v>
      </c>
      <c r="AR657" s="7">
        <f t="shared" si="5"/>
        <v>1.225462181</v>
      </c>
      <c r="AS657" s="7">
        <f t="shared" ref="AS657:AU657" si="659">AS656*(1+AM657)</f>
        <v>1.322943417</v>
      </c>
      <c r="AT657" s="5">
        <f t="shared" si="659"/>
        <v>1.258187084</v>
      </c>
      <c r="AU657" s="5">
        <f t="shared" si="659"/>
        <v>1.235756965</v>
      </c>
    </row>
    <row r="658" ht="15.75" customHeight="1">
      <c r="A658" s="3">
        <v>44783.0</v>
      </c>
      <c r="B658" s="4">
        <v>0.015873</v>
      </c>
      <c r="C658" s="4">
        <v>0.003581</v>
      </c>
      <c r="D658" s="4">
        <v>0.030431</v>
      </c>
      <c r="E658" s="4">
        <v>0.008252</v>
      </c>
      <c r="F658" s="4">
        <v>0.009516</v>
      </c>
      <c r="G658" s="4">
        <v>0.002879</v>
      </c>
      <c r="H658" s="4">
        <v>0.009453</v>
      </c>
      <c r="I658" s="4">
        <v>0.010594</v>
      </c>
      <c r="J658" s="4">
        <v>0.006608</v>
      </c>
      <c r="K658" s="4">
        <v>0.031907</v>
      </c>
      <c r="L658" s="4">
        <v>0.021689</v>
      </c>
      <c r="M658" s="4">
        <v>0.03437</v>
      </c>
      <c r="N658" s="4">
        <v>0.019734</v>
      </c>
      <c r="O658" s="4">
        <v>0.028719</v>
      </c>
      <c r="P658" s="4">
        <v>0.009713</v>
      </c>
      <c r="Q658" s="4">
        <v>0.014878</v>
      </c>
      <c r="R658" s="4">
        <v>0.044925</v>
      </c>
      <c r="S658" s="4">
        <v>0.015822</v>
      </c>
      <c r="T658" s="4">
        <v>0.020925</v>
      </c>
      <c r="U658" s="4">
        <v>0.001932</v>
      </c>
      <c r="V658" s="4">
        <v>-0.032129958872176</v>
      </c>
      <c r="W658" s="4">
        <v>-0.0354044679106286</v>
      </c>
      <c r="X658" s="4">
        <v>0.0</v>
      </c>
      <c r="Y658" s="4">
        <v>-0.0058193633805412</v>
      </c>
      <c r="Z658" s="4">
        <v>-9.622989411391E-4</v>
      </c>
      <c r="AA658" s="4">
        <v>0.0033245712100284</v>
      </c>
      <c r="AB658" s="4">
        <v>-0.0025212217116145</v>
      </c>
      <c r="AC658" s="4">
        <v>0.0</v>
      </c>
      <c r="AD658" s="4">
        <v>0.0</v>
      </c>
      <c r="AE658" s="4">
        <v>-0.0055316283726642</v>
      </c>
      <c r="AF658" s="4">
        <v>-0.0303983264295365</v>
      </c>
      <c r="AG658" s="4">
        <v>0.0056274164960474</v>
      </c>
      <c r="AH658" s="4">
        <v>-0.0354724704969509</v>
      </c>
      <c r="AI658" s="4">
        <v>0.0031732724669879</v>
      </c>
      <c r="AJ658" s="4">
        <v>0.021291</v>
      </c>
      <c r="AK658" s="4">
        <f>Weights!E714</f>
        <v>0.004467926206</v>
      </c>
      <c r="AL658" s="5">
        <v>-0.00501734954323185</v>
      </c>
      <c r="AM658" s="5">
        <v>-0.00630187276900984</v>
      </c>
      <c r="AN658" s="5">
        <v>-3.32607426387743E-4</v>
      </c>
      <c r="AO658" s="5">
        <v>0.00252014479514239</v>
      </c>
      <c r="AP658" s="6">
        <f t="shared" si="3"/>
        <v>1.483476773</v>
      </c>
      <c r="AQ658" s="4">
        <f t="shared" si="4"/>
        <v>1.303150646</v>
      </c>
      <c r="AR658" s="7">
        <f t="shared" si="5"/>
        <v>1.219313608</v>
      </c>
      <c r="AS658" s="7">
        <f t="shared" ref="AS658:AU658" si="660">AS657*(1+AM658)</f>
        <v>1.314606396</v>
      </c>
      <c r="AT658" s="5">
        <f t="shared" si="660"/>
        <v>1.257768601</v>
      </c>
      <c r="AU658" s="5">
        <f t="shared" si="660"/>
        <v>1.238871252</v>
      </c>
    </row>
    <row r="659" ht="15.75" customHeight="1">
      <c r="A659" s="3">
        <v>44784.0</v>
      </c>
      <c r="B659" s="4">
        <v>0.013455</v>
      </c>
      <c r="C659" s="4">
        <v>-0.001338</v>
      </c>
      <c r="D659" s="4">
        <v>-0.009054</v>
      </c>
      <c r="E659" s="4">
        <v>-0.005115</v>
      </c>
      <c r="F659" s="4">
        <v>-0.006756</v>
      </c>
      <c r="G659" s="4">
        <v>-0.020683</v>
      </c>
      <c r="H659" s="4">
        <v>-0.007109</v>
      </c>
      <c r="I659" s="4">
        <v>0.009116</v>
      </c>
      <c r="J659" s="4">
        <v>-0.008683</v>
      </c>
      <c r="K659" s="4">
        <v>0.007541</v>
      </c>
      <c r="L659" s="4">
        <v>0.00904</v>
      </c>
      <c r="M659" s="4">
        <v>-0.013713</v>
      </c>
      <c r="N659" s="4">
        <v>0.00589</v>
      </c>
      <c r="O659" s="4">
        <v>-0.011208</v>
      </c>
      <c r="P659" s="4">
        <v>-0.00962</v>
      </c>
      <c r="Q659" s="4">
        <v>-0.02199</v>
      </c>
      <c r="R659" s="4">
        <v>0.008599</v>
      </c>
      <c r="S659" s="4">
        <v>-0.02942</v>
      </c>
      <c r="T659" s="4">
        <v>0.002898</v>
      </c>
      <c r="U659" s="4">
        <v>-0.007357</v>
      </c>
      <c r="V659" s="4">
        <v>0.0616017342521832</v>
      </c>
      <c r="W659" s="4">
        <v>0.0022021940487384</v>
      </c>
      <c r="X659" s="4">
        <v>0.0</v>
      </c>
      <c r="Y659" s="4">
        <v>-0.0077132079934255</v>
      </c>
      <c r="Z659" s="4">
        <v>-0.0167985158940576</v>
      </c>
      <c r="AA659" s="4">
        <v>0.0064611422399041</v>
      </c>
      <c r="AB659" s="4">
        <v>-0.0072669712385755</v>
      </c>
      <c r="AC659" s="4">
        <v>0.0</v>
      </c>
      <c r="AD659" s="4">
        <v>0.0</v>
      </c>
      <c r="AE659" s="4">
        <v>-0.0074937952906208</v>
      </c>
      <c r="AF659" s="4">
        <v>-0.0111711603867251</v>
      </c>
      <c r="AG659" s="4">
        <v>0.0028508753044791</v>
      </c>
      <c r="AH659" s="4">
        <v>-0.0110330969792898</v>
      </c>
      <c r="AI659" s="4">
        <v>0.003163010794958</v>
      </c>
      <c r="AJ659" s="4">
        <v>-7.05E-4</v>
      </c>
      <c r="AK659" s="4">
        <f>Weights!E715</f>
        <v>-0.0008653190951</v>
      </c>
      <c r="AL659" s="5">
        <v>0.0221700132780906</v>
      </c>
      <c r="AM659" s="5">
        <v>0.0228021841978738</v>
      </c>
      <c r="AN659" s="5">
        <v>-0.0039918558804739</v>
      </c>
      <c r="AO659" s="5">
        <v>-0.00527907323098852</v>
      </c>
      <c r="AP659" s="6">
        <f t="shared" si="3"/>
        <v>1.482193092</v>
      </c>
      <c r="AQ659" s="4">
        <f t="shared" si="4"/>
        <v>1.302231925</v>
      </c>
      <c r="AR659" s="7">
        <f t="shared" si="5"/>
        <v>1.246345807</v>
      </c>
      <c r="AS659" s="7">
        <f t="shared" ref="AS659:AU659" si="661">AS658*(1+AM659)</f>
        <v>1.344582293</v>
      </c>
      <c r="AT659" s="5">
        <f t="shared" si="661"/>
        <v>1.25274777</v>
      </c>
      <c r="AU659" s="5">
        <f t="shared" si="661"/>
        <v>1.23233116</v>
      </c>
    </row>
    <row r="660" ht="15.75" customHeight="1">
      <c r="A660" s="3">
        <v>44785.0</v>
      </c>
      <c r="B660" s="4">
        <v>0.010707</v>
      </c>
      <c r="C660" s="4">
        <v>0.008263</v>
      </c>
      <c r="D660" s="4">
        <v>0.005003</v>
      </c>
      <c r="E660" s="4">
        <v>0.013083</v>
      </c>
      <c r="F660" s="4">
        <v>0.007593</v>
      </c>
      <c r="G660" s="4">
        <v>-0.011009</v>
      </c>
      <c r="H660" s="4">
        <v>0.009707</v>
      </c>
      <c r="I660" s="4">
        <v>-0.002178</v>
      </c>
      <c r="J660" s="4">
        <v>0.008545</v>
      </c>
      <c r="K660" s="4">
        <v>0.013623</v>
      </c>
      <c r="L660" s="4">
        <v>0.009261</v>
      </c>
      <c r="M660" s="4">
        <v>0.02246</v>
      </c>
      <c r="N660" s="4">
        <v>0.017566</v>
      </c>
      <c r="O660" s="4">
        <v>-0.003571</v>
      </c>
      <c r="P660" s="4">
        <v>0.027594</v>
      </c>
      <c r="Q660" s="4">
        <v>0.007495</v>
      </c>
      <c r="R660" s="4">
        <v>-0.001579</v>
      </c>
      <c r="S660" s="4">
        <v>0.013076</v>
      </c>
      <c r="T660" s="4">
        <v>0.006977</v>
      </c>
      <c r="U660" s="4">
        <v>0.018637</v>
      </c>
      <c r="V660" s="4">
        <v>0.00386848262117678</v>
      </c>
      <c r="W660" s="4">
        <v>-0.0166636114280722</v>
      </c>
      <c r="X660" s="4">
        <v>-0.0061275746420748</v>
      </c>
      <c r="Y660" s="4">
        <v>-0.001318451738237</v>
      </c>
      <c r="Z660" s="4">
        <v>-0.006747199410905</v>
      </c>
      <c r="AA660" s="4">
        <v>0.0121810485207085</v>
      </c>
      <c r="AB660" s="4">
        <v>-0.0168682372768235</v>
      </c>
      <c r="AC660" s="4">
        <v>-0.0188118250026402</v>
      </c>
      <c r="AD660" s="4">
        <v>0.0112242694889639</v>
      </c>
      <c r="AE660" s="4">
        <v>-0.0069275867592868</v>
      </c>
      <c r="AF660" s="4">
        <v>0.0112973650638001</v>
      </c>
      <c r="AG660" s="4">
        <v>-0.016108858154566</v>
      </c>
      <c r="AH660" s="4">
        <v>-0.0182555449045442</v>
      </c>
      <c r="AI660" s="4">
        <v>5.254318968739E-4</v>
      </c>
      <c r="AJ660" s="4">
        <v>0.017322</v>
      </c>
      <c r="AK660" s="4">
        <f>Weights!E716</f>
        <v>0.002349367812</v>
      </c>
      <c r="AL660" s="5">
        <v>2.55127698606916E-4</v>
      </c>
      <c r="AM660" s="7">
        <v>4.70604145035302E-5</v>
      </c>
      <c r="AN660" s="5">
        <v>0.0160320439391767</v>
      </c>
      <c r="AO660" s="5">
        <v>0.0154157971711808</v>
      </c>
      <c r="AP660" s="6">
        <f t="shared" si="3"/>
        <v>1.485675309</v>
      </c>
      <c r="AQ660" s="4">
        <f t="shared" si="4"/>
        <v>1.324789186</v>
      </c>
      <c r="AR660" s="7">
        <f t="shared" si="5"/>
        <v>1.246663785</v>
      </c>
      <c r="AS660" s="7">
        <f t="shared" ref="AS660:AU660" si="662">AS659*(1+AM660)</f>
        <v>1.34464557</v>
      </c>
      <c r="AT660" s="5">
        <f t="shared" si="662"/>
        <v>1.272831877</v>
      </c>
      <c r="AU660" s="5">
        <f t="shared" si="662"/>
        <v>1.251328527</v>
      </c>
    </row>
    <row r="661" ht="15.75" customHeight="1">
      <c r="A661" s="3">
        <v>44788.0</v>
      </c>
      <c r="B661" s="4">
        <v>-0.011864</v>
      </c>
      <c r="C661" s="4">
        <v>0.009081</v>
      </c>
      <c r="D661" s="4">
        <v>-0.014502</v>
      </c>
      <c r="E661" s="4">
        <v>0.010996</v>
      </c>
      <c r="F661" s="4">
        <v>0.012559</v>
      </c>
      <c r="G661" s="4">
        <v>0.004779</v>
      </c>
      <c r="H661" s="4">
        <v>0.012886</v>
      </c>
      <c r="I661" s="4">
        <v>-0.018157</v>
      </c>
      <c r="J661" s="4">
        <v>-0.003389</v>
      </c>
      <c r="K661" s="4">
        <v>-0.002806</v>
      </c>
      <c r="L661" s="4">
        <v>-0.007181</v>
      </c>
      <c r="M661" s="4">
        <v>-0.011506</v>
      </c>
      <c r="N661" s="4">
        <v>-0.015002</v>
      </c>
      <c r="O661" s="4">
        <v>-0.012001</v>
      </c>
      <c r="P661" s="4">
        <v>-0.013104</v>
      </c>
      <c r="Q661" s="4">
        <v>-0.017003</v>
      </c>
      <c r="R661" s="4">
        <v>-0.035421</v>
      </c>
      <c r="S661" s="4">
        <v>-0.004693</v>
      </c>
      <c r="T661" s="4">
        <v>-0.007138</v>
      </c>
      <c r="U661" s="4">
        <v>9.89E-4</v>
      </c>
      <c r="V661" s="4">
        <v>0.00353241771027779</v>
      </c>
      <c r="W661" s="4">
        <v>-0.0512103649941866</v>
      </c>
      <c r="X661" s="4">
        <v>-0.0098643054663947</v>
      </c>
      <c r="Y661" s="4">
        <v>0.0090339693532783</v>
      </c>
      <c r="Z661" s="4">
        <v>0.0041635928718433</v>
      </c>
      <c r="AA661" s="4">
        <v>0.0065052516015577</v>
      </c>
      <c r="AB661" s="4">
        <v>-0.0278405770901815</v>
      </c>
      <c r="AC661" s="4">
        <v>0.0030272855239987</v>
      </c>
      <c r="AD661" s="4">
        <v>0.0171546901216166</v>
      </c>
      <c r="AE661" s="4">
        <v>-0.0096411532086213</v>
      </c>
      <c r="AF661" s="4">
        <v>-0.0425226035644623</v>
      </c>
      <c r="AG661" s="4">
        <v>-0.0066343922177819</v>
      </c>
      <c r="AH661" s="4">
        <v>0.0192837442947642</v>
      </c>
      <c r="AI661" s="4">
        <v>5.2515596318E-4</v>
      </c>
      <c r="AJ661" s="4">
        <v>0.003969</v>
      </c>
      <c r="AK661" s="4">
        <f>Weights!E717</f>
        <v>-0.005742709039</v>
      </c>
      <c r="AL661" s="5">
        <v>0.0138606311344688</v>
      </c>
      <c r="AM661" s="5">
        <v>0.0173230645564714</v>
      </c>
      <c r="AN661" s="5">
        <v>0.00558844880678921</v>
      </c>
      <c r="AO661" s="5">
        <v>0.00572400713748111</v>
      </c>
      <c r="AP661" s="6">
        <f t="shared" si="3"/>
        <v>1.477143508</v>
      </c>
      <c r="AQ661" s="4">
        <f t="shared" si="4"/>
        <v>1.330047275</v>
      </c>
      <c r="AR661" s="7">
        <f t="shared" si="5"/>
        <v>1.263943332</v>
      </c>
      <c r="AS661" s="7">
        <f t="shared" ref="AS661:AU661" si="663">AS660*(1+AM661)</f>
        <v>1.367938952</v>
      </c>
      <c r="AT661" s="5">
        <f t="shared" si="663"/>
        <v>1.279945033</v>
      </c>
      <c r="AU661" s="5">
        <f t="shared" si="663"/>
        <v>1.25849114</v>
      </c>
    </row>
    <row r="662" ht="15.75" customHeight="1">
      <c r="A662" s="3">
        <v>44789.0</v>
      </c>
      <c r="B662" s="4">
        <v>0.012436</v>
      </c>
      <c r="C662" s="4">
        <v>0.005268</v>
      </c>
      <c r="D662" s="4">
        <v>0.015374</v>
      </c>
      <c r="E662" s="4">
        <v>0.005801</v>
      </c>
      <c r="F662" s="4">
        <v>0.008217</v>
      </c>
      <c r="G662" s="4">
        <v>0.008911</v>
      </c>
      <c r="H662" s="4">
        <v>0.009222</v>
      </c>
      <c r="I662" s="4">
        <v>0.011002</v>
      </c>
      <c r="J662" s="4">
        <v>0.011265</v>
      </c>
      <c r="K662" s="4">
        <v>0.020883</v>
      </c>
      <c r="L662" s="4">
        <v>0.011654</v>
      </c>
      <c r="M662" s="4">
        <v>0.007407</v>
      </c>
      <c r="N662" s="4">
        <v>0.008763</v>
      </c>
      <c r="O662" s="4">
        <v>-0.00426</v>
      </c>
      <c r="P662" s="4">
        <v>0.002394</v>
      </c>
      <c r="Q662" s="4">
        <v>0.004324</v>
      </c>
      <c r="R662" s="4">
        <v>0.02918</v>
      </c>
      <c r="S662" s="4">
        <v>-0.002947</v>
      </c>
      <c r="T662" s="4">
        <v>0.005498</v>
      </c>
      <c r="U662" s="4">
        <v>0.014185</v>
      </c>
      <c r="V662" s="4">
        <v>-3.20105161545125E-4</v>
      </c>
      <c r="W662" s="4">
        <v>9.813582231898E-4</v>
      </c>
      <c r="X662" s="4">
        <v>0.0</v>
      </c>
      <c r="Y662" s="4">
        <v>0.0012397916429773</v>
      </c>
      <c r="Z662" s="4">
        <v>0.0086196790604184</v>
      </c>
      <c r="AA662" s="4">
        <v>-0.0148651652720115</v>
      </c>
      <c r="AB662" s="4">
        <v>0.0059938821964087</v>
      </c>
      <c r="AC662" s="4">
        <v>0.0</v>
      </c>
      <c r="AD662" s="4">
        <v>0.0</v>
      </c>
      <c r="AE662" s="4">
        <v>0.0049862774116942</v>
      </c>
      <c r="AF662" s="4">
        <v>0.0180655545135894</v>
      </c>
      <c r="AG662" s="4">
        <v>0.0273619786383003</v>
      </c>
      <c r="AH662" s="4">
        <v>-0.0101351253389007</v>
      </c>
      <c r="AI662" s="4">
        <v>0.0047244801884709</v>
      </c>
      <c r="AJ662" s="4">
        <v>0.001876</v>
      </c>
      <c r="AK662" s="4">
        <f>Weights!E718</f>
        <v>0.006772256153</v>
      </c>
      <c r="AL662" s="5">
        <v>0.00109029426955076</v>
      </c>
      <c r="AM662" s="5">
        <v>0.00390807801442627</v>
      </c>
      <c r="AN662" s="5">
        <v>0.0104607404324652</v>
      </c>
      <c r="AO662" s="5">
        <v>0.00965104613060829</v>
      </c>
      <c r="AP662" s="6">
        <f t="shared" si="3"/>
        <v>1.487147102</v>
      </c>
      <c r="AQ662" s="4">
        <f t="shared" si="4"/>
        <v>1.332542443</v>
      </c>
      <c r="AR662" s="7">
        <f t="shared" si="5"/>
        <v>1.265321402</v>
      </c>
      <c r="AS662" s="7">
        <f t="shared" ref="AS662:AU662" si="664">AS661*(1+AM662)</f>
        <v>1.373284964</v>
      </c>
      <c r="AT662" s="5">
        <f t="shared" si="664"/>
        <v>1.293334206</v>
      </c>
      <c r="AU662" s="5">
        <f t="shared" si="664"/>
        <v>1.270636896</v>
      </c>
    </row>
    <row r="663" ht="15.75" customHeight="1">
      <c r="A663" s="3">
        <v>44790.0</v>
      </c>
      <c r="B663" s="4">
        <v>-0.006777</v>
      </c>
      <c r="C663" s="4">
        <v>-0.010044</v>
      </c>
      <c r="D663" s="4">
        <v>-0.012979</v>
      </c>
      <c r="E663" s="4">
        <v>-5.55E-4</v>
      </c>
      <c r="F663" s="4">
        <v>-0.002307</v>
      </c>
      <c r="G663" s="4">
        <v>6.0E-5</v>
      </c>
      <c r="H663" s="4">
        <v>-0.004602</v>
      </c>
      <c r="I663" s="4">
        <v>-0.00903</v>
      </c>
      <c r="J663" s="4">
        <v>-0.001261</v>
      </c>
      <c r="K663" s="4">
        <v>-0.007689</v>
      </c>
      <c r="L663" s="4">
        <v>-0.006951</v>
      </c>
      <c r="M663" s="4">
        <v>-0.011555</v>
      </c>
      <c r="N663" s="4">
        <v>-0.006412</v>
      </c>
      <c r="O663" s="4">
        <v>0.003177</v>
      </c>
      <c r="P663" s="4">
        <v>-0.024973</v>
      </c>
      <c r="Q663" s="4">
        <v>-0.038751</v>
      </c>
      <c r="R663" s="4">
        <v>-0.036317</v>
      </c>
      <c r="S663" s="4">
        <v>-0.036949</v>
      </c>
      <c r="T663" s="4">
        <v>-0.015282</v>
      </c>
      <c r="U663" s="4">
        <v>0.003062</v>
      </c>
      <c r="V663" s="4">
        <v>-0.0134442625092607</v>
      </c>
      <c r="W663" s="4">
        <v>0.0343135760851209</v>
      </c>
      <c r="X663" s="4">
        <v>0.0234280627503775</v>
      </c>
      <c r="Y663" s="4">
        <v>0.0036456073146164</v>
      </c>
      <c r="Z663" s="4">
        <v>0.0023799252935909</v>
      </c>
      <c r="AA663" s="4">
        <v>-0.0070527716175802</v>
      </c>
      <c r="AB663" s="4">
        <v>0.0066204045878845</v>
      </c>
      <c r="AC663" s="4">
        <v>0.0080159396179839</v>
      </c>
      <c r="AD663" s="4">
        <v>-0.005928709245608</v>
      </c>
      <c r="AE663" s="4">
        <v>0.0019686552105881</v>
      </c>
      <c r="AF663" s="4">
        <v>0.0269871519636857</v>
      </c>
      <c r="AG663" s="4">
        <v>-0.0113244060673199</v>
      </c>
      <c r="AH663" s="4">
        <v>0.0102388978519625</v>
      </c>
      <c r="AI663" s="4">
        <v>5.226340712816E-4</v>
      </c>
      <c r="AJ663" s="4">
        <v>-0.007238</v>
      </c>
      <c r="AK663" s="4">
        <f>Weights!E719</f>
        <v>-0.003458632706</v>
      </c>
      <c r="AL663" s="5">
        <v>0.00201067922167941</v>
      </c>
      <c r="AM663" s="5">
        <v>0.00213177158726529</v>
      </c>
      <c r="AN663" s="5">
        <v>9.70840464113775E-4</v>
      </c>
      <c r="AO663" s="5">
        <v>9.80569012717591E-4</v>
      </c>
      <c r="AP663" s="6">
        <f t="shared" si="3"/>
        <v>1.482003607</v>
      </c>
      <c r="AQ663" s="4">
        <f t="shared" si="4"/>
        <v>1.322897501</v>
      </c>
      <c r="AR663" s="7">
        <f t="shared" si="5"/>
        <v>1.267865557</v>
      </c>
      <c r="AS663" s="7">
        <f t="shared" ref="AS663:AU663" si="665">AS662*(1+AM663)</f>
        <v>1.376212494</v>
      </c>
      <c r="AT663" s="5">
        <f t="shared" si="665"/>
        <v>1.294589827</v>
      </c>
      <c r="AU663" s="5">
        <f t="shared" si="665"/>
        <v>1.271882843</v>
      </c>
    </row>
    <row r="664" ht="15.75" customHeight="1">
      <c r="A664" s="3">
        <v>44791.0</v>
      </c>
      <c r="B664" s="4">
        <v>-0.001706</v>
      </c>
      <c r="C664" s="4">
        <v>-0.025364</v>
      </c>
      <c r="D664" s="4">
        <v>-0.005698</v>
      </c>
      <c r="E664" s="4">
        <v>9.99E-4</v>
      </c>
      <c r="F664" s="4">
        <v>0.005241</v>
      </c>
      <c r="G664" s="4">
        <v>-0.004833</v>
      </c>
      <c r="H664" s="4">
        <v>0.003551</v>
      </c>
      <c r="I664" s="4">
        <v>0.012383</v>
      </c>
      <c r="J664" s="4">
        <v>-0.013991</v>
      </c>
      <c r="K664" s="4">
        <v>1.46E-4</v>
      </c>
      <c r="L664" s="4">
        <v>0.0021</v>
      </c>
      <c r="M664" s="4">
        <v>0.0</v>
      </c>
      <c r="N664" s="4">
        <v>0.002914</v>
      </c>
      <c r="O664" s="4">
        <v>-0.001734</v>
      </c>
      <c r="P664" s="4">
        <v>-0.005568</v>
      </c>
      <c r="Q664" s="4">
        <v>-0.004479</v>
      </c>
      <c r="R664" s="4">
        <v>0.032397</v>
      </c>
      <c r="S664" s="4">
        <v>-3.07E-4</v>
      </c>
      <c r="T664" s="4">
        <v>0.014736</v>
      </c>
      <c r="U664" s="4">
        <v>-0.010631</v>
      </c>
      <c r="V664" s="4">
        <v>-0.0210901550860748</v>
      </c>
      <c r="W664" s="4">
        <v>-1.895927832424E-4</v>
      </c>
      <c r="X664" s="4">
        <v>0.0228914603864927</v>
      </c>
      <c r="Y664" s="4">
        <v>0.0184360311508022</v>
      </c>
      <c r="Z664" s="4">
        <v>0.0275198383021593</v>
      </c>
      <c r="AA664" s="4">
        <v>-0.0051205107916635</v>
      </c>
      <c r="AB664" s="4">
        <v>0.0105227090095001</v>
      </c>
      <c r="AC664" s="4">
        <v>0.0119285036497673</v>
      </c>
      <c r="AD664" s="4">
        <v>0.0</v>
      </c>
      <c r="AE664" s="4">
        <v>-0.0093530880330598</v>
      </c>
      <c r="AF664" s="4">
        <v>0.0262778081656522</v>
      </c>
      <c r="AG664" s="4">
        <v>0.0265139189469125</v>
      </c>
      <c r="AH664" s="4">
        <v>0.0199324373305496</v>
      </c>
      <c r="AI664" s="4">
        <v>-0.0010447221351804</v>
      </c>
      <c r="AJ664" s="4">
        <v>0.00227</v>
      </c>
      <c r="AK664" s="4">
        <f>Weights!E720</f>
        <v>0.004490542534</v>
      </c>
      <c r="AL664" s="5">
        <v>-0.00785944617275724</v>
      </c>
      <c r="AM664" s="5">
        <v>-0.00897145716971714</v>
      </c>
      <c r="AN664" s="5">
        <v>0.00517120267725967</v>
      </c>
      <c r="AO664" s="5">
        <v>0.00514205541416257</v>
      </c>
      <c r="AP664" s="6">
        <f t="shared" si="3"/>
        <v>1.488658607</v>
      </c>
      <c r="AQ664" s="4">
        <f t="shared" si="4"/>
        <v>1.325900478</v>
      </c>
      <c r="AR664" s="7">
        <f t="shared" si="5"/>
        <v>1.257900836</v>
      </c>
      <c r="AS664" s="7">
        <f t="shared" ref="AS664:AU664" si="666">AS663*(1+AM664)</f>
        <v>1.363865862</v>
      </c>
      <c r="AT664" s="5">
        <f t="shared" si="666"/>
        <v>1.301284414</v>
      </c>
      <c r="AU664" s="5">
        <f t="shared" si="666"/>
        <v>1.278422936</v>
      </c>
    </row>
    <row r="665" ht="15.75" customHeight="1">
      <c r="A665" s="3">
        <v>44792.0</v>
      </c>
      <c r="B665" s="4">
        <v>0.010679</v>
      </c>
      <c r="C665" s="4">
        <v>0.005205</v>
      </c>
      <c r="D665" s="4">
        <v>4.41E-4</v>
      </c>
      <c r="E665" s="4">
        <v>-0.001275</v>
      </c>
      <c r="F665" s="4">
        <v>-7.67E-4</v>
      </c>
      <c r="G665" s="4">
        <v>0.015231</v>
      </c>
      <c r="H665" s="4">
        <v>-2.67E-4</v>
      </c>
      <c r="I665" s="4">
        <v>-0.001154</v>
      </c>
      <c r="J665" s="4">
        <v>-2.15E-4</v>
      </c>
      <c r="K665" s="4">
        <v>-0.016226</v>
      </c>
      <c r="L665" s="4">
        <v>-0.009081</v>
      </c>
      <c r="M665" s="4">
        <v>-0.012752</v>
      </c>
      <c r="N665" s="4">
        <v>-0.014321</v>
      </c>
      <c r="O665" s="4">
        <v>-0.010636</v>
      </c>
      <c r="P665" s="4">
        <v>-0.025084</v>
      </c>
      <c r="Q665" s="4">
        <v>-0.025872</v>
      </c>
      <c r="R665" s="4">
        <v>-0.024976</v>
      </c>
      <c r="S665" s="4">
        <v>-0.019036</v>
      </c>
      <c r="T665" s="4">
        <v>-0.030658</v>
      </c>
      <c r="U665" s="4">
        <v>-0.003652</v>
      </c>
      <c r="V665" s="4">
        <v>0.00530332315770132</v>
      </c>
      <c r="W665" s="4">
        <v>-0.0125141989844945</v>
      </c>
      <c r="X665" s="4">
        <v>0.030624291161823</v>
      </c>
      <c r="Y665" s="4">
        <v>-0.0055855437075202</v>
      </c>
      <c r="Z665" s="4">
        <v>-0.0147042108581062</v>
      </c>
      <c r="AA665" s="4">
        <v>-0.0156069967905991</v>
      </c>
      <c r="AB665" s="4">
        <v>-0.00423023635332</v>
      </c>
      <c r="AC665" s="4">
        <v>0.0176816293950468</v>
      </c>
      <c r="AD665" s="4">
        <v>0.0039761546235614</v>
      </c>
      <c r="AE665" s="4">
        <v>-0.0019043095505141</v>
      </c>
      <c r="AF665" s="4">
        <v>0.0105226191933662</v>
      </c>
      <c r="AG665" s="4">
        <v>-0.0169438077503945</v>
      </c>
      <c r="AH665" s="4">
        <v>0.0056309902765654</v>
      </c>
      <c r="AI665" s="4">
        <v>0.0010458147209688</v>
      </c>
      <c r="AJ665" s="4">
        <v>-0.0129</v>
      </c>
      <c r="AK665" s="4">
        <f>Weights!E721</f>
        <v>-0.004471129081</v>
      </c>
      <c r="AL665" s="7">
        <v>8.43282956770608E-5</v>
      </c>
      <c r="AM665" s="5">
        <v>0.00261319088697642</v>
      </c>
      <c r="AN665" s="5">
        <v>-0.00353697445947265</v>
      </c>
      <c r="AO665" s="5">
        <v>-0.00389778162194853</v>
      </c>
      <c r="AP665" s="6">
        <f t="shared" si="3"/>
        <v>1.482002622</v>
      </c>
      <c r="AQ665" s="4">
        <f t="shared" si="4"/>
        <v>1.308796362</v>
      </c>
      <c r="AR665" s="7">
        <f t="shared" si="5"/>
        <v>1.258006913</v>
      </c>
      <c r="AS665" s="7">
        <f t="shared" ref="AS665:AU665" si="667">AS664*(1+AM665)</f>
        <v>1.367429904</v>
      </c>
      <c r="AT665" s="5">
        <f t="shared" si="667"/>
        <v>1.296681804</v>
      </c>
      <c r="AU665" s="5">
        <f t="shared" si="667"/>
        <v>1.273439922</v>
      </c>
    </row>
    <row r="666" ht="15.75" customHeight="1">
      <c r="A666" s="3">
        <v>44795.0</v>
      </c>
      <c r="B666" s="4">
        <v>-0.015216</v>
      </c>
      <c r="C666" s="4">
        <v>-0.005628</v>
      </c>
      <c r="D666" s="4">
        <v>-0.010575</v>
      </c>
      <c r="E666" s="4">
        <v>-0.009547</v>
      </c>
      <c r="F666" s="4">
        <v>-0.014884</v>
      </c>
      <c r="G666" s="4">
        <v>-0.003485</v>
      </c>
      <c r="H666" s="4">
        <v>-0.002671</v>
      </c>
      <c r="I666" s="4">
        <v>-0.007163</v>
      </c>
      <c r="J666" s="4">
        <v>-0.001508</v>
      </c>
      <c r="K666" s="4">
        <v>-0.023031</v>
      </c>
      <c r="L666" s="4">
        <v>-0.015106</v>
      </c>
      <c r="M666" s="4">
        <v>-0.031541</v>
      </c>
      <c r="N666" s="4">
        <v>-0.021478</v>
      </c>
      <c r="O666" s="4">
        <v>-0.017688</v>
      </c>
      <c r="P666" s="4">
        <v>0.006662</v>
      </c>
      <c r="Q666" s="4">
        <v>0.0</v>
      </c>
      <c r="R666" s="4">
        <v>-0.019376</v>
      </c>
      <c r="S666" s="4">
        <v>0.005321</v>
      </c>
      <c r="T666" s="4">
        <v>-0.019975</v>
      </c>
      <c r="U666" s="4">
        <v>-0.002185</v>
      </c>
      <c r="V666" s="4">
        <v>-0.0313221016840382</v>
      </c>
      <c r="W666" s="4">
        <v>0.0090245588663999</v>
      </c>
      <c r="X666" s="4">
        <v>0.0171428327965277</v>
      </c>
      <c r="Y666" s="4">
        <v>0.0105571132619011</v>
      </c>
      <c r="Z666" s="4">
        <v>0.016309436747891</v>
      </c>
      <c r="AA666" s="4">
        <v>-0.0015178660145847</v>
      </c>
      <c r="AB666" s="4">
        <v>0.0032679775748365</v>
      </c>
      <c r="AC666" s="4">
        <v>0.0135135024541881</v>
      </c>
      <c r="AD666" s="4">
        <v>0.0</v>
      </c>
      <c r="AE666" s="4">
        <v>0.0019873632917495</v>
      </c>
      <c r="AF666" s="4">
        <v>0.0274210850672373</v>
      </c>
      <c r="AG666" s="4">
        <v>-0.0149048623924554</v>
      </c>
      <c r="AH666" s="4">
        <v>-0.0415019522288013</v>
      </c>
      <c r="AI666" s="4">
        <v>0.0073103937988168</v>
      </c>
      <c r="AJ666" s="4">
        <v>-0.0214</v>
      </c>
      <c r="AK666" s="4">
        <f>Weights!E722</f>
        <v>-0.006675133493</v>
      </c>
      <c r="AL666" s="5">
        <v>-0.0133985693773295</v>
      </c>
      <c r="AM666" s="5">
        <v>-0.014288482270686</v>
      </c>
      <c r="AN666" s="5">
        <v>0.0041948613586038</v>
      </c>
      <c r="AO666" s="5">
        <v>0.00391303377307528</v>
      </c>
      <c r="AP666" s="6">
        <f t="shared" si="3"/>
        <v>1.472110057</v>
      </c>
      <c r="AQ666" s="4">
        <f t="shared" si="4"/>
        <v>1.28078812</v>
      </c>
      <c r="AR666" s="7">
        <f t="shared" si="5"/>
        <v>1.24115142</v>
      </c>
      <c r="AS666" s="7">
        <f t="shared" ref="AS666:AU666" si="668">AS665*(1+AM666)</f>
        <v>1.347891406</v>
      </c>
      <c r="AT666" s="5">
        <f t="shared" si="668"/>
        <v>1.302121204</v>
      </c>
      <c r="AU666" s="5">
        <f t="shared" si="668"/>
        <v>1.278422936</v>
      </c>
    </row>
    <row r="667" ht="15.75" customHeight="1">
      <c r="A667" s="3">
        <v>44796.0</v>
      </c>
      <c r="B667" s="4">
        <v>-0.003004</v>
      </c>
      <c r="C667" s="4">
        <v>-0.015848</v>
      </c>
      <c r="D667" s="4">
        <v>0.001781</v>
      </c>
      <c r="E667" s="4">
        <v>-4.48E-4</v>
      </c>
      <c r="F667" s="4">
        <v>0.00109</v>
      </c>
      <c r="G667" s="4">
        <v>-0.008712</v>
      </c>
      <c r="H667" s="4">
        <v>-0.019286</v>
      </c>
      <c r="I667" s="4">
        <v>0.017454</v>
      </c>
      <c r="J667" s="4">
        <v>-0.007118</v>
      </c>
      <c r="K667" s="4">
        <v>0.007148</v>
      </c>
      <c r="L667" s="4">
        <v>-0.002863</v>
      </c>
      <c r="M667" s="4">
        <v>0.012401</v>
      </c>
      <c r="N667" s="4">
        <v>-8.61E-4</v>
      </c>
      <c r="O667" s="4">
        <v>-0.020405</v>
      </c>
      <c r="P667" s="4">
        <v>0.016659</v>
      </c>
      <c r="Q667" s="4">
        <v>0.010393</v>
      </c>
      <c r="R667" s="4">
        <v>0.064635</v>
      </c>
      <c r="S667" s="4">
        <v>0.012453</v>
      </c>
      <c r="T667" s="4">
        <v>0.015139</v>
      </c>
      <c r="U667" s="4">
        <v>-0.00445</v>
      </c>
      <c r="V667" s="4">
        <v>-0.0282506427765952</v>
      </c>
      <c r="W667" s="4">
        <v>0.0144624958862891</v>
      </c>
      <c r="X667" s="4">
        <v>0.0</v>
      </c>
      <c r="Y667" s="4">
        <v>-4.019422923701E-4</v>
      </c>
      <c r="Z667" s="4">
        <v>0.0027271748728672</v>
      </c>
      <c r="AA667" s="4">
        <v>0.0172298711273388</v>
      </c>
      <c r="AB667" s="4">
        <v>-0.002280295919576</v>
      </c>
      <c r="AC667" s="4">
        <v>0.0</v>
      </c>
      <c r="AD667" s="4">
        <v>0.0</v>
      </c>
      <c r="AE667" s="4">
        <v>-0.0027766936516926</v>
      </c>
      <c r="AF667" s="4">
        <v>0.0108107122342366</v>
      </c>
      <c r="AG667" s="4">
        <v>0.009335754069518</v>
      </c>
      <c r="AH667" s="4">
        <v>-0.0436426425134726</v>
      </c>
      <c r="AI667" s="4">
        <v>0.0072574498634832</v>
      </c>
      <c r="AJ667" s="4">
        <v>-0.002238</v>
      </c>
      <c r="AK667" s="4">
        <f>Weights!E723</f>
        <v>0.001256221754</v>
      </c>
      <c r="AL667" s="5">
        <v>-0.0200717632127356</v>
      </c>
      <c r="AM667" s="5">
        <v>-0.0213890636907568</v>
      </c>
      <c r="AN667" s="5">
        <v>-0.00674821836139716</v>
      </c>
      <c r="AO667" s="5">
        <v>-0.00755178765731456</v>
      </c>
      <c r="AP667" s="6">
        <f t="shared" si="3"/>
        <v>1.473959353</v>
      </c>
      <c r="AQ667" s="4">
        <f t="shared" si="4"/>
        <v>1.277921716</v>
      </c>
      <c r="AR667" s="7">
        <f t="shared" si="5"/>
        <v>1.216239322</v>
      </c>
      <c r="AS667" s="7">
        <f t="shared" ref="AS667:AU667" si="669">AS666*(1+AM667)</f>
        <v>1.319061271</v>
      </c>
      <c r="AT667" s="5">
        <f t="shared" si="669"/>
        <v>1.293334206</v>
      </c>
      <c r="AU667" s="5">
        <f t="shared" si="669"/>
        <v>1.268768557</v>
      </c>
    </row>
    <row r="668" ht="15.75" customHeight="1">
      <c r="A668" s="3">
        <v>44797.0</v>
      </c>
      <c r="B668" s="4">
        <v>0.0</v>
      </c>
      <c r="C668" s="4">
        <v>0.00184</v>
      </c>
      <c r="D668" s="4">
        <v>-0.008446</v>
      </c>
      <c r="E668" s="4">
        <v>0.00499</v>
      </c>
      <c r="F668" s="4">
        <v>0.0014</v>
      </c>
      <c r="G668" s="4">
        <v>-0.003311</v>
      </c>
      <c r="H668" s="4">
        <v>-0.004302</v>
      </c>
      <c r="I668" s="4">
        <v>0.00892</v>
      </c>
      <c r="J668" s="4">
        <v>-0.00239</v>
      </c>
      <c r="K668" s="4">
        <v>-0.005587</v>
      </c>
      <c r="L668" s="4">
        <v>-0.025738</v>
      </c>
      <c r="M668" s="4">
        <v>-0.003898</v>
      </c>
      <c r="N668" s="4">
        <v>-0.005011</v>
      </c>
      <c r="O668" s="4">
        <v>-0.004273</v>
      </c>
      <c r="P668" s="4">
        <v>0.005612</v>
      </c>
      <c r="Q668" s="4">
        <v>0.009143</v>
      </c>
      <c r="R668" s="4">
        <v>-0.014785</v>
      </c>
      <c r="S668" s="4">
        <v>0.009225</v>
      </c>
      <c r="T668" s="4">
        <v>0.004874</v>
      </c>
      <c r="U668" s="4">
        <v>0.003406</v>
      </c>
      <c r="V668" s="4">
        <v>-0.00595445430556829</v>
      </c>
      <c r="W668" s="4">
        <v>0.0238227819897369</v>
      </c>
      <c r="X668" s="4">
        <v>-0.0191011090666934</v>
      </c>
      <c r="Y668" s="4">
        <v>0.0081060862357742</v>
      </c>
      <c r="Z668" s="4">
        <v>0.0077404485466943</v>
      </c>
      <c r="AA668" s="4">
        <v>0.0041513868167166</v>
      </c>
      <c r="AB668" s="4">
        <v>0.0055502138471434</v>
      </c>
      <c r="AC668" s="4">
        <v>0.0038096014812378</v>
      </c>
      <c r="AD668" s="4">
        <v>-0.013861371737863</v>
      </c>
      <c r="AE668" s="4">
        <v>0.0128083879225551</v>
      </c>
      <c r="AF668" s="4">
        <v>0.0090240771587168</v>
      </c>
      <c r="AG668" s="4">
        <v>0.0045715097278229</v>
      </c>
      <c r="AH668" s="4">
        <v>0.0132949841802463</v>
      </c>
      <c r="AI668" s="4">
        <v>-0.001754543754693</v>
      </c>
      <c r="AJ668" s="4">
        <v>0.002916</v>
      </c>
      <c r="AK668" s="4">
        <f>Weights!E724</f>
        <v>0.0007375313313</v>
      </c>
      <c r="AL668" s="5">
        <v>0.0</v>
      </c>
      <c r="AM668" s="5">
        <v>-0.00188168863517934</v>
      </c>
      <c r="AN668" s="5">
        <v>-0.00549972441482737</v>
      </c>
      <c r="AO668" s="5">
        <v>-0.00711829554404619</v>
      </c>
      <c r="AP668" s="6">
        <f t="shared" si="3"/>
        <v>1.475046445</v>
      </c>
      <c r="AQ668" s="4">
        <f t="shared" si="4"/>
        <v>1.281648136</v>
      </c>
      <c r="AR668" s="7">
        <f t="shared" si="5"/>
        <v>1.216239322</v>
      </c>
      <c r="AS668" s="7">
        <f t="shared" ref="AS668:AU668" si="670">AS667*(1+AM668)</f>
        <v>1.316579208</v>
      </c>
      <c r="AT668" s="5">
        <f t="shared" si="670"/>
        <v>1.286221224</v>
      </c>
      <c r="AU668" s="5">
        <f t="shared" si="670"/>
        <v>1.259737087</v>
      </c>
    </row>
    <row r="669" ht="15.75" customHeight="1">
      <c r="A669" s="3">
        <v>44798.0</v>
      </c>
      <c r="B669" s="4">
        <v>0.011192</v>
      </c>
      <c r="C669" s="4">
        <v>0.004363</v>
      </c>
      <c r="D669" s="4">
        <v>0.008967</v>
      </c>
      <c r="E669" s="4">
        <v>5.6E-5</v>
      </c>
      <c r="F669" s="4">
        <v>0.004817</v>
      </c>
      <c r="G669" s="4">
        <v>0.009361</v>
      </c>
      <c r="H669" s="4">
        <v>-8.23E-4</v>
      </c>
      <c r="I669" s="4">
        <v>0.006121</v>
      </c>
      <c r="J669" s="4">
        <v>-2.18E-4</v>
      </c>
      <c r="K669" s="4">
        <v>0.011541</v>
      </c>
      <c r="L669" s="4">
        <v>0.024524</v>
      </c>
      <c r="M669" s="4">
        <v>0.018446</v>
      </c>
      <c r="N669" s="4">
        <v>0.021896</v>
      </c>
      <c r="O669" s="4">
        <v>0.024629</v>
      </c>
      <c r="P669" s="4">
        <v>0.007589</v>
      </c>
      <c r="Q669" s="4">
        <v>0.019253</v>
      </c>
      <c r="R669" s="4">
        <v>0.060983</v>
      </c>
      <c r="S669" s="4">
        <v>0.001523</v>
      </c>
      <c r="T669" s="4">
        <v>0.044017</v>
      </c>
      <c r="U669" s="4">
        <v>0.00693</v>
      </c>
      <c r="V669" s="4">
        <v>-0.00317125636953197</v>
      </c>
      <c r="W669" s="4">
        <v>0.0080615773215109</v>
      </c>
      <c r="X669" s="4">
        <v>0.002290959889728</v>
      </c>
      <c r="Y669" s="4">
        <v>8.639158285359E-4</v>
      </c>
      <c r="Z669" s="4">
        <v>-0.0021797208947669</v>
      </c>
      <c r="AA669" s="4">
        <v>0.0114106069003783</v>
      </c>
      <c r="AB669" s="4">
        <v>-0.004870029734561</v>
      </c>
      <c r="AC669" s="4">
        <v>0.0037950630555785</v>
      </c>
      <c r="AD669" s="4">
        <v>0.0</v>
      </c>
      <c r="AE669" s="4">
        <v>-0.0081691580912807</v>
      </c>
      <c r="AF669" s="4">
        <v>-0.0178865811563632</v>
      </c>
      <c r="AG669" s="4">
        <v>0.0086782533010247</v>
      </c>
      <c r="AH669" s="4">
        <v>-0.0117021252311371</v>
      </c>
      <c r="AI669" s="4">
        <v>0.0010342141286328</v>
      </c>
      <c r="AJ669" s="4">
        <v>0.014092</v>
      </c>
      <c r="AK669" s="4">
        <f>Weights!E725</f>
        <v>0.006774540595</v>
      </c>
      <c r="AL669" s="5">
        <v>0.00278914135645824</v>
      </c>
      <c r="AM669" s="5">
        <v>0.00420563899052051</v>
      </c>
      <c r="AN669" s="5">
        <v>-0.00195187733191282</v>
      </c>
      <c r="AO669" s="5">
        <v>9.88745633595744E-4</v>
      </c>
      <c r="AP669" s="6">
        <f t="shared" si="3"/>
        <v>1.485039207</v>
      </c>
      <c r="AQ669" s="4">
        <f t="shared" si="4"/>
        <v>1.299709122</v>
      </c>
      <c r="AR669" s="7">
        <f t="shared" si="5"/>
        <v>1.219631586</v>
      </c>
      <c r="AS669" s="7">
        <f t="shared" ref="AS669:AU669" si="671">AS668*(1+AM669)</f>
        <v>1.322116265</v>
      </c>
      <c r="AT669" s="5">
        <f t="shared" si="671"/>
        <v>1.283710678</v>
      </c>
      <c r="AU669" s="5">
        <f t="shared" si="671"/>
        <v>1.260982647</v>
      </c>
    </row>
    <row r="670" ht="15.75" customHeight="1">
      <c r="A670" s="3">
        <v>44799.0</v>
      </c>
      <c r="B670" s="4">
        <v>-0.017029</v>
      </c>
      <c r="C670" s="4">
        <v>-0.011203</v>
      </c>
      <c r="D670" s="4">
        <v>-0.021551</v>
      </c>
      <c r="E670" s="4">
        <v>-0.023596</v>
      </c>
      <c r="F670" s="4">
        <v>-0.024122</v>
      </c>
      <c r="G670" s="4">
        <v>-0.017112</v>
      </c>
      <c r="H670" s="4">
        <v>-0.023404</v>
      </c>
      <c r="I670" s="4">
        <v>-0.018251</v>
      </c>
      <c r="J670" s="4">
        <v>-0.017425</v>
      </c>
      <c r="K670" s="4">
        <v>-1.5E-4</v>
      </c>
      <c r="L670" s="4">
        <v>-0.015307</v>
      </c>
      <c r="M670" s="4">
        <v>-0.021405</v>
      </c>
      <c r="N670" s="4">
        <v>-0.027427</v>
      </c>
      <c r="O670" s="4">
        <v>-0.035248</v>
      </c>
      <c r="P670" s="4">
        <v>-0.042534</v>
      </c>
      <c r="Q670" s="4">
        <v>-0.044444</v>
      </c>
      <c r="R670" s="4">
        <v>-0.031297</v>
      </c>
      <c r="S670" s="4">
        <v>-0.036812</v>
      </c>
      <c r="T670" s="4">
        <v>-0.025657</v>
      </c>
      <c r="U670" s="4">
        <v>-0.019313</v>
      </c>
      <c r="V670" s="4">
        <v>0.00106044841028629</v>
      </c>
      <c r="W670" s="4">
        <v>0.0087242793674169</v>
      </c>
      <c r="X670" s="4">
        <v>0.0125714786401844</v>
      </c>
      <c r="Y670" s="4">
        <v>0.0418299420909826</v>
      </c>
      <c r="Z670" s="4">
        <v>0.0249662642077022</v>
      </c>
      <c r="AA670" s="4">
        <v>6.539397428335E-4</v>
      </c>
      <c r="AB670" s="4">
        <v>0.0035888328614255</v>
      </c>
      <c r="AC670" s="4">
        <v>-0.0075615101447342</v>
      </c>
      <c r="AD670" s="4">
        <v>-0.0020080929094089</v>
      </c>
      <c r="AE670" s="4">
        <v>0.0038805661612575</v>
      </c>
      <c r="AF670" s="4">
        <v>0.0033725422224755</v>
      </c>
      <c r="AG670" s="4">
        <v>0.0058754485942322</v>
      </c>
      <c r="AH670" s="4">
        <v>-0.019016854833708</v>
      </c>
      <c r="AI670" s="4">
        <v>0.0010329269102231</v>
      </c>
      <c r="AJ670" s="4">
        <v>-0.033688</v>
      </c>
      <c r="AK670" s="4">
        <f>Weights!E726</f>
        <v>-0.009373652942</v>
      </c>
      <c r="AL670" s="5">
        <v>0.0130378654457496</v>
      </c>
      <c r="AM670" s="5">
        <v>0.0144891245800373</v>
      </c>
      <c r="AN670" s="5">
        <v>-6.51853000978253E-4</v>
      </c>
      <c r="AO670" s="5">
        <v>4.93986956326075E-4</v>
      </c>
      <c r="AP670" s="6">
        <f t="shared" si="3"/>
        <v>1.471118965</v>
      </c>
      <c r="AQ670" s="4">
        <f t="shared" si="4"/>
        <v>1.255924521</v>
      </c>
      <c r="AR670" s="7">
        <f t="shared" si="5"/>
        <v>1.235532978</v>
      </c>
      <c r="AS670" s="7">
        <f t="shared" ref="AS670:AU670" si="672">AS669*(1+AM670)</f>
        <v>1.341272572</v>
      </c>
      <c r="AT670" s="5">
        <f t="shared" si="672"/>
        <v>1.282873888</v>
      </c>
      <c r="AU670" s="5">
        <f t="shared" si="672"/>
        <v>1.261605556</v>
      </c>
    </row>
    <row r="671" ht="15.75" customHeight="1">
      <c r="A671" s="3">
        <v>44802.0</v>
      </c>
      <c r="B671" s="4">
        <v>0.002165</v>
      </c>
      <c r="C671" s="4">
        <v>0.00185</v>
      </c>
      <c r="D671" s="4">
        <v>0.005904</v>
      </c>
      <c r="E671" s="4">
        <v>-0.003142</v>
      </c>
      <c r="F671" s="4">
        <v>-0.006021</v>
      </c>
      <c r="G671" s="4">
        <v>-0.007731</v>
      </c>
      <c r="H671" s="4">
        <v>-0.004217</v>
      </c>
      <c r="I671" s="4">
        <v>0.008263</v>
      </c>
      <c r="J671" s="4">
        <v>0.006872</v>
      </c>
      <c r="K671" s="4">
        <v>-0.006006</v>
      </c>
      <c r="L671" s="4">
        <v>0.003339</v>
      </c>
      <c r="M671" s="4">
        <v>-0.002804</v>
      </c>
      <c r="N671" s="4">
        <v>-0.002644</v>
      </c>
      <c r="O671" s="4">
        <v>-0.002351</v>
      </c>
      <c r="P671" s="4">
        <v>-0.009486</v>
      </c>
      <c r="Q671" s="4">
        <v>-0.016279</v>
      </c>
      <c r="R671" s="4">
        <v>-0.021435</v>
      </c>
      <c r="S671" s="4">
        <v>-0.009792</v>
      </c>
      <c r="T671" s="4">
        <v>-0.006761</v>
      </c>
      <c r="U671" s="4">
        <v>0.008235</v>
      </c>
      <c r="V671" s="4">
        <v>-0.0317796652222162</v>
      </c>
      <c r="W671" s="4">
        <v>0.0250449527502909</v>
      </c>
      <c r="X671" s="4">
        <v>0.0112865431654844</v>
      </c>
      <c r="Y671" s="4">
        <v>0.0150404763021494</v>
      </c>
      <c r="Z671" s="4">
        <v>0.0102506238058357</v>
      </c>
      <c r="AA671" s="4">
        <v>0.0052288327874068</v>
      </c>
      <c r="AB671" s="4">
        <v>-0.0039012315318159</v>
      </c>
      <c r="AC671" s="4">
        <v>0.0190476844149032</v>
      </c>
      <c r="AD671" s="4">
        <v>0.0100603364312732</v>
      </c>
      <c r="AE671" s="4">
        <v>0.0032344544621956</v>
      </c>
      <c r="AF671" s="4">
        <v>0.0715966769057065</v>
      </c>
      <c r="AG671" s="4">
        <v>-0.0035464279837766</v>
      </c>
      <c r="AH671" s="4">
        <v>-0.0193855061908164</v>
      </c>
      <c r="AI671" s="4">
        <v>0.008255762580839</v>
      </c>
      <c r="AJ671" s="4">
        <v>-0.006666</v>
      </c>
      <c r="AK671" s="4">
        <f>Weights!E727</f>
        <v>0.001343276027</v>
      </c>
      <c r="AL671" s="5">
        <v>-0.0312311723821766</v>
      </c>
      <c r="AM671" s="5">
        <v>-0.0331196676356099</v>
      </c>
      <c r="AN671" s="5">
        <v>0.00854413868951375</v>
      </c>
      <c r="AO671" s="5">
        <v>0.00814619710312825</v>
      </c>
      <c r="AP671" s="6">
        <f t="shared" si="3"/>
        <v>1.473095083</v>
      </c>
      <c r="AQ671" s="4">
        <f t="shared" si="4"/>
        <v>1.247552528</v>
      </c>
      <c r="AR671" s="7">
        <f t="shared" si="5"/>
        <v>1.196945835</v>
      </c>
      <c r="AS671" s="7">
        <f t="shared" ref="AS671:AU671" si="673">AS670*(1+AM671)</f>
        <v>1.296850071</v>
      </c>
      <c r="AT671" s="5">
        <f t="shared" si="673"/>
        <v>1.29383494</v>
      </c>
      <c r="AU671" s="5">
        <f t="shared" si="673"/>
        <v>1.271882843</v>
      </c>
    </row>
    <row r="672" ht="15.75" customHeight="1">
      <c r="A672" s="3">
        <v>44803.0</v>
      </c>
      <c r="B672" s="4">
        <v>-0.014261</v>
      </c>
      <c r="C672" s="4">
        <v>-0.018463</v>
      </c>
      <c r="D672" s="4">
        <v>-0.009707</v>
      </c>
      <c r="E672" s="4">
        <v>-0.008596</v>
      </c>
      <c r="F672" s="4">
        <v>-0.009246</v>
      </c>
      <c r="G672" s="4">
        <v>-0.003497</v>
      </c>
      <c r="H672" s="4">
        <v>-0.010657</v>
      </c>
      <c r="I672" s="4">
        <v>-0.029365</v>
      </c>
      <c r="J672" s="4">
        <v>-0.015632</v>
      </c>
      <c r="K672" s="4">
        <v>-0.014501</v>
      </c>
      <c r="L672" s="4">
        <v>-0.022252</v>
      </c>
      <c r="M672" s="4">
        <v>-0.019123</v>
      </c>
      <c r="N672" s="4">
        <v>-0.017893</v>
      </c>
      <c r="O672" s="4">
        <v>-0.005394</v>
      </c>
      <c r="P672" s="4">
        <v>-0.014249</v>
      </c>
      <c r="Q672" s="4">
        <v>-0.027187</v>
      </c>
      <c r="R672" s="4">
        <v>-0.055238</v>
      </c>
      <c r="S672" s="4">
        <v>-0.015949</v>
      </c>
      <c r="T672" s="4">
        <v>-0.031241</v>
      </c>
      <c r="U672" s="4">
        <v>-0.009447</v>
      </c>
      <c r="V672" s="4">
        <v>-0.00948212716673158</v>
      </c>
      <c r="W672" s="4">
        <v>0.0370892042175852</v>
      </c>
      <c r="X672" s="4">
        <v>0.0</v>
      </c>
      <c r="Y672" s="4">
        <v>0.0185847658687137</v>
      </c>
      <c r="Z672" s="4">
        <v>0.0143660654511239</v>
      </c>
      <c r="AA672" s="4">
        <v>-0.0024155710652324</v>
      </c>
      <c r="AB672" s="4">
        <v>0.0156658299104173</v>
      </c>
      <c r="AC672" s="4">
        <v>0.0</v>
      </c>
      <c r="AD672" s="4">
        <v>0.0</v>
      </c>
      <c r="AE672" s="4">
        <v>0.0331839990693332</v>
      </c>
      <c r="AF672" s="4">
        <v>0.047678841914849</v>
      </c>
      <c r="AG672" s="4">
        <v>0.0015701613512961</v>
      </c>
      <c r="AH672" s="4">
        <v>-0.0145468237282778</v>
      </c>
      <c r="AI672" s="4">
        <v>0.0184239086386159</v>
      </c>
      <c r="AJ672" s="4">
        <v>-0.011028</v>
      </c>
      <c r="AK672" s="4">
        <f>Weights!E728</f>
        <v>-0.004969902081</v>
      </c>
      <c r="AL672" s="5">
        <v>-0.0055797869227705</v>
      </c>
      <c r="AM672" s="5">
        <v>-0.00731224418562803</v>
      </c>
      <c r="AN672" s="5">
        <v>-0.0140110593692867</v>
      </c>
      <c r="AO672" s="5">
        <v>-0.0144465578034502</v>
      </c>
      <c r="AP672" s="6">
        <f t="shared" si="3"/>
        <v>1.465773945</v>
      </c>
      <c r="AQ672" s="4">
        <f t="shared" si="4"/>
        <v>1.233794519</v>
      </c>
      <c r="AR672" s="7">
        <f t="shared" si="5"/>
        <v>1.190267132</v>
      </c>
      <c r="AS672" s="7">
        <f t="shared" ref="AS672:AU672" si="674">AS671*(1+AM672)</f>
        <v>1.287367186</v>
      </c>
      <c r="AT672" s="5">
        <f t="shared" si="674"/>
        <v>1.275706942</v>
      </c>
      <c r="AU672" s="5">
        <f t="shared" si="674"/>
        <v>1.253508514</v>
      </c>
    </row>
    <row r="673" ht="15.75" customHeight="1">
      <c r="A673" s="3">
        <v>44804.0</v>
      </c>
      <c r="B673" s="4">
        <v>-0.012714</v>
      </c>
      <c r="C673" s="4">
        <v>-0.016929</v>
      </c>
      <c r="D673" s="4">
        <v>-0.018464</v>
      </c>
      <c r="E673" s="4">
        <v>-0.004162</v>
      </c>
      <c r="F673" s="4">
        <v>-0.00708</v>
      </c>
      <c r="G673" s="4">
        <v>-0.006711</v>
      </c>
      <c r="H673" s="4">
        <v>-0.015979</v>
      </c>
      <c r="I673" s="4">
        <v>-0.033302</v>
      </c>
      <c r="J673" s="4">
        <v>-0.01342</v>
      </c>
      <c r="K673" s="4">
        <v>-0.013795</v>
      </c>
      <c r="L673" s="4">
        <v>-0.010529</v>
      </c>
      <c r="M673" s="4">
        <v>-0.008601</v>
      </c>
      <c r="N673" s="4">
        <v>-0.008772</v>
      </c>
      <c r="O673" s="4">
        <v>0.002187</v>
      </c>
      <c r="P673" s="4">
        <v>-0.019905</v>
      </c>
      <c r="Q673" s="4">
        <v>-0.017011</v>
      </c>
      <c r="R673" s="4">
        <v>-0.005376</v>
      </c>
      <c r="S673" s="4">
        <v>-0.011345</v>
      </c>
      <c r="T673" s="4">
        <v>-0.016716</v>
      </c>
      <c r="U673" s="4">
        <v>-0.002008</v>
      </c>
      <c r="V673" s="4">
        <v>0.00662741211030204</v>
      </c>
      <c r="W673" s="4">
        <v>-0.0398305873214224</v>
      </c>
      <c r="X673" s="4">
        <v>0.0044994556183801</v>
      </c>
      <c r="Y673" s="4">
        <v>0.0</v>
      </c>
      <c r="Z673" s="4">
        <v>0.0</v>
      </c>
      <c r="AA673" s="4">
        <v>0.0</v>
      </c>
      <c r="AB673" s="4">
        <v>0.0</v>
      </c>
      <c r="AC673" s="4">
        <v>-0.0074074795155404</v>
      </c>
      <c r="AD673" s="4">
        <v>0.0039679384828148</v>
      </c>
      <c r="AE673" s="4">
        <v>0.0</v>
      </c>
      <c r="AF673" s="4">
        <v>-0.0101796165023022</v>
      </c>
      <c r="AG673" s="4">
        <v>0.0035533830049738</v>
      </c>
      <c r="AH673" s="4">
        <v>-0.0136260461382371</v>
      </c>
      <c r="AI673" s="4">
        <v>0.0</v>
      </c>
      <c r="AJ673" s="4">
        <v>-0.007817</v>
      </c>
      <c r="AK673" s="4">
        <f>Weights!E729</f>
        <v>-0.008001021276</v>
      </c>
      <c r="AL673" s="5">
        <v>-0.0101531753923774</v>
      </c>
      <c r="AM673" s="5">
        <v>-0.0111230456400573</v>
      </c>
      <c r="AN673" s="5">
        <v>-0.0019827017798194</v>
      </c>
      <c r="AO673" s="5">
        <v>-0.00173910874387639</v>
      </c>
      <c r="AP673" s="6">
        <f t="shared" si="3"/>
        <v>1.454046257</v>
      </c>
      <c r="AQ673" s="4">
        <f t="shared" si="4"/>
        <v>1.224149947</v>
      </c>
      <c r="AR673" s="7">
        <f t="shared" si="5"/>
        <v>1.178182141</v>
      </c>
      <c r="AS673" s="7">
        <f t="shared" ref="AS673:AU673" si="675">AS672*(1+AM673)</f>
        <v>1.273047742</v>
      </c>
      <c r="AT673" s="5">
        <f t="shared" si="675"/>
        <v>1.273177595</v>
      </c>
      <c r="AU673" s="5">
        <f t="shared" si="675"/>
        <v>1.251328527</v>
      </c>
    </row>
    <row r="674" ht="15.75" customHeight="1">
      <c r="A674" s="3">
        <v>44805.0</v>
      </c>
      <c r="B674" s="4">
        <v>-0.001776</v>
      </c>
      <c r="C674" s="4">
        <v>0.0</v>
      </c>
      <c r="D674" s="4">
        <v>-0.001858</v>
      </c>
      <c r="E674" s="4">
        <v>0.010042</v>
      </c>
      <c r="F674" s="4">
        <v>0.004699</v>
      </c>
      <c r="G674" s="4">
        <v>0.024792</v>
      </c>
      <c r="H674" s="4">
        <v>0.012324</v>
      </c>
      <c r="I674" s="4">
        <v>-0.005095</v>
      </c>
      <c r="J674" s="4">
        <v>0.005668</v>
      </c>
      <c r="K674" s="4">
        <v>-9.33E-4</v>
      </c>
      <c r="L674" s="4">
        <v>-0.004192</v>
      </c>
      <c r="M674" s="4">
        <v>-0.016773</v>
      </c>
      <c r="N674" s="4">
        <v>-0.008396</v>
      </c>
      <c r="O674" s="4">
        <v>-0.002001</v>
      </c>
      <c r="P674" s="4">
        <v>-0.01088</v>
      </c>
      <c r="Q674" s="4">
        <v>-0.038319</v>
      </c>
      <c r="R674" s="4">
        <v>-0.051014</v>
      </c>
      <c r="S674" s="4">
        <v>-0.024262</v>
      </c>
      <c r="T674" s="4">
        <v>-0.019106</v>
      </c>
      <c r="U674" s="4">
        <v>0.001724</v>
      </c>
      <c r="V674" s="4">
        <v>-0.0749816856529494</v>
      </c>
      <c r="W674" s="4">
        <v>-0.0150044752066305</v>
      </c>
      <c r="X674" s="4">
        <v>-0.0134379036042692</v>
      </c>
      <c r="Y674" s="4">
        <v>-0.008506483674368</v>
      </c>
      <c r="Z674" s="4">
        <v>-0.0108941869022471</v>
      </c>
      <c r="AA674" s="4">
        <v>-0.0074122016602914</v>
      </c>
      <c r="AB674" s="4">
        <v>0.0</v>
      </c>
      <c r="AC674" s="4">
        <v>0.003731340332437</v>
      </c>
      <c r="AD674" s="4">
        <v>0.0</v>
      </c>
      <c r="AE674" s="4">
        <v>3.805929522515E-4</v>
      </c>
      <c r="AF674" s="4">
        <v>-0.0251058903548587</v>
      </c>
      <c r="AG674" s="4">
        <v>-0.0067691377604985</v>
      </c>
      <c r="AH674" s="4">
        <v>0.051803527716755</v>
      </c>
      <c r="AI674" s="4">
        <v>-0.0236184516061076</v>
      </c>
      <c r="AJ674" s="4">
        <v>0.002996</v>
      </c>
      <c r="AK674" s="4">
        <f>Weights!E730</f>
        <v>-0.007153856076</v>
      </c>
      <c r="AL674" s="5">
        <v>-0.00773800689675918</v>
      </c>
      <c r="AM674" s="5">
        <v>-0.00734907531153983</v>
      </c>
      <c r="AN674" s="5">
        <v>-0.0162253033763047</v>
      </c>
      <c r="AO674" s="5">
        <v>-0.01717264094961</v>
      </c>
      <c r="AP674" s="6">
        <f t="shared" si="3"/>
        <v>1.443644219</v>
      </c>
      <c r="AQ674" s="4">
        <f t="shared" si="4"/>
        <v>1.2278175</v>
      </c>
      <c r="AR674" s="7">
        <f t="shared" si="5"/>
        <v>1.16906536</v>
      </c>
      <c r="AS674" s="7">
        <f t="shared" ref="AS674:AU674" si="676">AS673*(1+AM674)</f>
        <v>1.263692019</v>
      </c>
      <c r="AT674" s="5">
        <f t="shared" si="676"/>
        <v>1.252519903</v>
      </c>
      <c r="AU674" s="5">
        <f t="shared" si="676"/>
        <v>1.229839911</v>
      </c>
    </row>
    <row r="675" ht="15.75" customHeight="1">
      <c r="A675" s="3">
        <v>44806.0</v>
      </c>
      <c r="B675" s="4">
        <v>0.005783</v>
      </c>
      <c r="C675" s="4">
        <v>-0.012198</v>
      </c>
      <c r="D675" s="4">
        <v>-0.009539</v>
      </c>
      <c r="E675" s="4">
        <v>-0.01267</v>
      </c>
      <c r="F675" s="4">
        <v>-0.01371</v>
      </c>
      <c r="G675" s="4">
        <v>-0.015725</v>
      </c>
      <c r="H675" s="4">
        <v>-0.01776</v>
      </c>
      <c r="I675" s="4">
        <v>0.008047</v>
      </c>
      <c r="J675" s="4">
        <v>-4.51E-4</v>
      </c>
      <c r="K675" s="4">
        <v>0.01229</v>
      </c>
      <c r="L675" s="4">
        <v>0.010685</v>
      </c>
      <c r="M675" s="4">
        <v>0.010588</v>
      </c>
      <c r="N675" s="4">
        <v>0.005721</v>
      </c>
      <c r="O675" s="4">
        <v>-0.015947</v>
      </c>
      <c r="P675" s="4">
        <v>0.018577</v>
      </c>
      <c r="Q675" s="4">
        <v>0.050129</v>
      </c>
      <c r="R675" s="4">
        <v>0.007476</v>
      </c>
      <c r="S675" s="4">
        <v>0.046707</v>
      </c>
      <c r="T675" s="4">
        <v>0.002914</v>
      </c>
      <c r="U675" s="4">
        <v>0.008105</v>
      </c>
      <c r="V675" s="4">
        <v>0.0415183097927327</v>
      </c>
      <c r="W675" s="4">
        <v>-0.004300988233909</v>
      </c>
      <c r="X675" s="4">
        <v>-0.0090805350019295</v>
      </c>
      <c r="Y675" s="4">
        <v>-0.0016784469669757</v>
      </c>
      <c r="Z675" s="4">
        <v>-4.005282710418E-4</v>
      </c>
      <c r="AA675" s="4">
        <v>-0.0082974035941434</v>
      </c>
      <c r="AB675" s="4">
        <v>0.0019279809263454</v>
      </c>
      <c r="AC675" s="4">
        <v>-0.0130111421640023</v>
      </c>
      <c r="AD675" s="4">
        <v>0.0039526894873604</v>
      </c>
      <c r="AE675" s="4">
        <v>-0.0027389183585239</v>
      </c>
      <c r="AF675" s="4">
        <v>0.0043437063358651</v>
      </c>
      <c r="AG675" s="4">
        <v>0.0630174389810971</v>
      </c>
      <c r="AH675" s="4">
        <v>0.0025538014021031</v>
      </c>
      <c r="AI675" s="4">
        <v>0.0020588481434407</v>
      </c>
      <c r="AJ675" s="4">
        <v>-0.010736</v>
      </c>
      <c r="AK675" s="4">
        <f>Weights!E731</f>
        <v>0.007006649584</v>
      </c>
      <c r="AL675" s="5">
        <v>-0.0029016884004045</v>
      </c>
      <c r="AM675" s="5">
        <v>6.04398747426904E-4</v>
      </c>
      <c r="AN675" s="5">
        <v>-0.0100974478138816</v>
      </c>
      <c r="AO675" s="5">
        <v>-0.00658402758969056</v>
      </c>
      <c r="AP675" s="6">
        <f t="shared" si="3"/>
        <v>1.453759328</v>
      </c>
      <c r="AQ675" s="4">
        <f t="shared" si="4"/>
        <v>1.214635651</v>
      </c>
      <c r="AR675" s="7">
        <f t="shared" si="5"/>
        <v>1.165673096</v>
      </c>
      <c r="AS675" s="7">
        <f t="shared" ref="AS675:AU675" si="677">AS674*(1+AM675)</f>
        <v>1.264455792</v>
      </c>
      <c r="AT675" s="5">
        <f t="shared" si="677"/>
        <v>1.239872648</v>
      </c>
      <c r="AU675" s="5">
        <f t="shared" si="677"/>
        <v>1.221742611</v>
      </c>
    </row>
    <row r="676" ht="15.75" customHeight="1">
      <c r="A676" s="3">
        <v>44810.0</v>
      </c>
      <c r="B676" s="4">
        <v>-0.01946</v>
      </c>
      <c r="C676" s="4">
        <v>-0.004843</v>
      </c>
      <c r="D676" s="4">
        <v>-0.010101</v>
      </c>
      <c r="E676" s="4">
        <v>-0.006739</v>
      </c>
      <c r="F676" s="4">
        <v>4.91E-4</v>
      </c>
      <c r="G676" s="4">
        <v>0.002704</v>
      </c>
      <c r="H676" s="4">
        <v>-0.011155</v>
      </c>
      <c r="I676" s="4">
        <v>-0.012337</v>
      </c>
      <c r="J676" s="4">
        <v>-0.004962</v>
      </c>
      <c r="K676" s="4">
        <v>-0.016905</v>
      </c>
      <c r="L676" s="4">
        <v>-0.005126</v>
      </c>
      <c r="M676" s="4">
        <v>-0.012806</v>
      </c>
      <c r="N676" s="4">
        <v>-0.010466</v>
      </c>
      <c r="O676" s="4">
        <v>0.021669</v>
      </c>
      <c r="P676" s="4">
        <v>9.6E-4</v>
      </c>
      <c r="Q676" s="4">
        <v>-0.033048</v>
      </c>
      <c r="R676" s="4">
        <v>-0.00636</v>
      </c>
      <c r="S676" s="4">
        <v>-0.009631</v>
      </c>
      <c r="T676" s="4">
        <v>0.028062</v>
      </c>
      <c r="U676" s="4">
        <v>0.005336</v>
      </c>
      <c r="V676" s="4">
        <v>-0.0242975614105751</v>
      </c>
      <c r="W676" s="4">
        <v>0.0316774378700484</v>
      </c>
      <c r="X676" s="4">
        <v>0.002290959889728</v>
      </c>
      <c r="Y676" s="4">
        <v>0.0110845350198016</v>
      </c>
      <c r="Z676" s="4">
        <v>0.0223381064502952</v>
      </c>
      <c r="AA676" s="4">
        <v>0.005522187271973</v>
      </c>
      <c r="AB676" s="4">
        <v>-0.0041692537653452</v>
      </c>
      <c r="AC676" s="4">
        <v>0.0112995058427152</v>
      </c>
      <c r="AD676" s="4">
        <v>0.0098424944087893</v>
      </c>
      <c r="AE676" s="4">
        <v>0.0048061938080474</v>
      </c>
      <c r="AF676" s="4">
        <v>0.0256410507935145</v>
      </c>
      <c r="AG676" s="4">
        <v>0.0048334848512958</v>
      </c>
      <c r="AH676" s="4">
        <v>-0.0262007972099819</v>
      </c>
      <c r="AI676" s="4">
        <v>0.0025682181240056</v>
      </c>
      <c r="AJ676" s="4">
        <v>-0.004095</v>
      </c>
      <c r="AK676" s="4">
        <f>Weights!E732</f>
        <v>-0.002237299447</v>
      </c>
      <c r="AL676" s="5">
        <v>-0.0089123265288199</v>
      </c>
      <c r="AM676" s="5">
        <v>-0.0099153119813089</v>
      </c>
      <c r="AN676" s="5">
        <v>-0.00714050896089402</v>
      </c>
      <c r="AO676" s="5">
        <v>-0.0107061700235064</v>
      </c>
      <c r="AP676" s="6">
        <f t="shared" si="3"/>
        <v>1.450506833</v>
      </c>
      <c r="AQ676" s="4">
        <f t="shared" si="4"/>
        <v>1.209661718</v>
      </c>
      <c r="AR676" s="7">
        <f t="shared" si="5"/>
        <v>1.155284237</v>
      </c>
      <c r="AS676" s="7">
        <f t="shared" ref="AS676:AU676" si="678">AS675*(1+AM676)</f>
        <v>1.251918319</v>
      </c>
      <c r="AT676" s="5">
        <f t="shared" si="678"/>
        <v>1.231019327</v>
      </c>
      <c r="AU676" s="5">
        <f t="shared" si="678"/>
        <v>1.208662427</v>
      </c>
    </row>
    <row r="677" ht="15.75" customHeight="1">
      <c r="A677" s="3">
        <v>44811.0</v>
      </c>
      <c r="B677" s="4">
        <v>0.005413</v>
      </c>
      <c r="C677" s="4">
        <v>-4.87E-4</v>
      </c>
      <c r="D677" s="4">
        <v>-0.002848</v>
      </c>
      <c r="E677" s="4">
        <v>0.022064</v>
      </c>
      <c r="F677" s="4">
        <v>0.01847</v>
      </c>
      <c r="G677" s="4">
        <v>0.005454</v>
      </c>
      <c r="H677" s="4">
        <v>0.015115</v>
      </c>
      <c r="I677" s="4">
        <v>0.008572</v>
      </c>
      <c r="J677" s="4">
        <v>0.015413</v>
      </c>
      <c r="K677" s="4">
        <v>0.015007</v>
      </c>
      <c r="L677" s="4">
        <v>0.014062</v>
      </c>
      <c r="M677" s="4">
        <v>0.012382</v>
      </c>
      <c r="N677" s="4">
        <v>0.010347</v>
      </c>
      <c r="O677" s="4">
        <v>0.048174</v>
      </c>
      <c r="P677" s="4">
        <v>0.02853</v>
      </c>
      <c r="Q677" s="4">
        <v>0.029114</v>
      </c>
      <c r="R677" s="4">
        <v>0.009246</v>
      </c>
      <c r="S677" s="4">
        <v>0.03825</v>
      </c>
      <c r="T677" s="4">
        <v>0.008628</v>
      </c>
      <c r="U677" s="4">
        <v>0.022364</v>
      </c>
      <c r="V677" s="4">
        <v>0.0108949086277336</v>
      </c>
      <c r="W677" s="4">
        <v>0.0108165478856097</v>
      </c>
      <c r="X677" s="4">
        <v>0.0</v>
      </c>
      <c r="Y677" s="4">
        <v>0.0121338003352911</v>
      </c>
      <c r="Z677" s="4">
        <v>0.0141092326609488</v>
      </c>
      <c r="AA677" s="4">
        <v>-0.0108171032555316</v>
      </c>
      <c r="AB677" s="4">
        <v>0.0016102727763536</v>
      </c>
      <c r="AC677" s="4">
        <v>0.0</v>
      </c>
      <c r="AD677" s="4">
        <v>0.0</v>
      </c>
      <c r="AE677" s="4">
        <v>-0.0157162663198697</v>
      </c>
      <c r="AF677" s="4">
        <v>-0.0147589368015305</v>
      </c>
      <c r="AG677" s="4">
        <v>0.0038284435804945</v>
      </c>
      <c r="AH677" s="4">
        <v>0.0612854217736738</v>
      </c>
      <c r="AI677" s="4">
        <v>-0.003074032210252</v>
      </c>
      <c r="AJ677" s="4">
        <v>0.018341</v>
      </c>
      <c r="AK677" s="4">
        <f>Weights!E733</f>
        <v>0.01081836594</v>
      </c>
      <c r="AL677" s="5">
        <v>-0.00431263432575934</v>
      </c>
      <c r="AM677" s="5">
        <v>-0.0040669493125004</v>
      </c>
      <c r="AN677" s="5">
        <v>0.00650680539102976</v>
      </c>
      <c r="AO677" s="5">
        <v>0.00695712782225754</v>
      </c>
      <c r="AP677" s="6">
        <f t="shared" si="3"/>
        <v>1.466198947</v>
      </c>
      <c r="AQ677" s="4">
        <f t="shared" si="4"/>
        <v>1.231848124</v>
      </c>
      <c r="AR677" s="7">
        <f t="shared" si="5"/>
        <v>1.150301919</v>
      </c>
      <c r="AS677" s="7">
        <f t="shared" ref="AS677:AU677" si="679">AS676*(1+AM677)</f>
        <v>1.24682683</v>
      </c>
      <c r="AT677" s="5">
        <f t="shared" si="679"/>
        <v>1.23902933</v>
      </c>
      <c r="AU677" s="5">
        <f t="shared" si="679"/>
        <v>1.217071246</v>
      </c>
    </row>
    <row r="678" ht="15.75" customHeight="1">
      <c r="A678" s="3">
        <v>44812.0</v>
      </c>
      <c r="B678" s="4">
        <v>-2.97E-4</v>
      </c>
      <c r="C678" s="4">
        <v>0.005842</v>
      </c>
      <c r="D678" s="4">
        <v>-0.010471</v>
      </c>
      <c r="E678" s="4">
        <v>-0.003348</v>
      </c>
      <c r="F678" s="4">
        <v>-0.003049</v>
      </c>
      <c r="G678" s="4">
        <v>0.008045</v>
      </c>
      <c r="H678" s="4">
        <v>0.001307</v>
      </c>
      <c r="I678" s="4">
        <v>-0.001214</v>
      </c>
      <c r="J678" s="4">
        <v>-0.001339</v>
      </c>
      <c r="K678" s="4">
        <v>0.014169</v>
      </c>
      <c r="L678" s="4">
        <v>0.015561</v>
      </c>
      <c r="M678" s="4">
        <v>0.011648</v>
      </c>
      <c r="N678" s="4">
        <v>0.008876</v>
      </c>
      <c r="O678" s="4">
        <v>0.007696</v>
      </c>
      <c r="P678" s="4">
        <v>9.45E-4</v>
      </c>
      <c r="Q678" s="4">
        <v>0.00246</v>
      </c>
      <c r="R678" s="4">
        <v>0.078929</v>
      </c>
      <c r="S678" s="4">
        <v>0.011864</v>
      </c>
      <c r="T678" s="4">
        <v>0.028095</v>
      </c>
      <c r="U678" s="4">
        <v>0.007684</v>
      </c>
      <c r="V678" s="4">
        <v>-0.013471908125214</v>
      </c>
      <c r="W678" s="4">
        <v>0.0179494060607676</v>
      </c>
      <c r="X678" s="4">
        <v>-0.0023201009761497</v>
      </c>
      <c r="Y678" s="4">
        <v>-0.0038338319265996</v>
      </c>
      <c r="Z678" s="4">
        <v>-0.011111190340458</v>
      </c>
      <c r="AA678" s="4">
        <v>0.0158142243201473</v>
      </c>
      <c r="AB678" s="4">
        <v>0.0064308058418791</v>
      </c>
      <c r="AC678" s="4">
        <v>0.0037593952009822</v>
      </c>
      <c r="AD678" s="4">
        <v>0.0099207250896358</v>
      </c>
      <c r="AE678" s="4">
        <v>0.0021596219325044</v>
      </c>
      <c r="AF678" s="4">
        <v>0.0269030837685344</v>
      </c>
      <c r="AG678" s="4">
        <v>-0.0025426434155768</v>
      </c>
      <c r="AH678" s="4">
        <v>-0.0264083843421784</v>
      </c>
      <c r="AI678" s="4">
        <v>-5.136465028409E-4</v>
      </c>
      <c r="AJ678" s="4">
        <v>0.006611</v>
      </c>
      <c r="AK678" s="4">
        <f>Weights!E734</f>
        <v>0.004576828635</v>
      </c>
      <c r="AL678" s="5">
        <v>0.0153901753881613</v>
      </c>
      <c r="AM678" s="5">
        <v>0.0184777500145347</v>
      </c>
      <c r="AN678" s="5">
        <v>-0.00952704157965922</v>
      </c>
      <c r="AO678" s="5">
        <v>-0.00972396137168418</v>
      </c>
      <c r="AP678" s="6">
        <f t="shared" si="3"/>
        <v>1.472909488</v>
      </c>
      <c r="AQ678" s="4">
        <f t="shared" si="4"/>
        <v>1.239991872</v>
      </c>
      <c r="AR678" s="7">
        <f t="shared" si="5"/>
        <v>1.168005267</v>
      </c>
      <c r="AS678" s="7">
        <f t="shared" ref="AS678:AU678" si="680">AS677*(1+AM678)</f>
        <v>1.269865385</v>
      </c>
      <c r="AT678" s="5">
        <f t="shared" si="680"/>
        <v>1.227225046</v>
      </c>
      <c r="AU678" s="5">
        <f t="shared" si="680"/>
        <v>1.205236493</v>
      </c>
    </row>
    <row r="679" ht="15.75" customHeight="1">
      <c r="A679" s="3">
        <v>44813.0</v>
      </c>
      <c r="B679" s="4">
        <v>0.022252</v>
      </c>
      <c r="C679" s="4">
        <v>0.022265</v>
      </c>
      <c r="D679" s="4">
        <v>0.006974</v>
      </c>
      <c r="E679" s="4">
        <v>0.003185</v>
      </c>
      <c r="F679" s="4">
        <v>0.00322</v>
      </c>
      <c r="G679" s="4">
        <v>0.001935</v>
      </c>
      <c r="H679" s="4">
        <v>0.015233</v>
      </c>
      <c r="I679" s="4">
        <v>0.016776</v>
      </c>
      <c r="J679" s="4">
        <v>0.003129</v>
      </c>
      <c r="K679" s="4">
        <v>0.026272</v>
      </c>
      <c r="L679" s="4">
        <v>0.021889</v>
      </c>
      <c r="M679" s="4">
        <v>0.023604</v>
      </c>
      <c r="N679" s="4">
        <v>0.027521</v>
      </c>
      <c r="O679" s="4">
        <v>0.0127</v>
      </c>
      <c r="P679" s="4">
        <v>0.018401</v>
      </c>
      <c r="Q679" s="4">
        <v>0.035583</v>
      </c>
      <c r="R679" s="4">
        <v>0.05062</v>
      </c>
      <c r="S679" s="4">
        <v>0.019747</v>
      </c>
      <c r="T679" s="4">
        <v>0.029694</v>
      </c>
      <c r="U679" s="4">
        <v>0.005702</v>
      </c>
      <c r="V679" s="4">
        <v>-0.0214592246030099</v>
      </c>
      <c r="W679" s="4">
        <v>-0.0069513065431291</v>
      </c>
      <c r="X679" s="4">
        <v>-0.0011628895373678</v>
      </c>
      <c r="Y679" s="4">
        <v>-0.0067194495010521</v>
      </c>
      <c r="Z679" s="4">
        <v>-0.0016609799060366</v>
      </c>
      <c r="AA679" s="4">
        <v>0.0105995538392864</v>
      </c>
      <c r="AB679" s="4">
        <v>-3.194127366697E-4</v>
      </c>
      <c r="AC679" s="4">
        <v>0.0</v>
      </c>
      <c r="AD679" s="4">
        <v>0.0039293937526585</v>
      </c>
      <c r="AE679" s="4">
        <v>-0.0042331901575598</v>
      </c>
      <c r="AF679" s="4">
        <v>-0.0360226751397272</v>
      </c>
      <c r="AG679" s="4">
        <v>0.0165686973719991</v>
      </c>
      <c r="AH679" s="4">
        <v>0.0115731736771067</v>
      </c>
      <c r="AI679" s="4">
        <v>0.0015423845511175</v>
      </c>
      <c r="AJ679" s="4">
        <v>0.015271</v>
      </c>
      <c r="AK679" s="4">
        <f>Weights!E735</f>
        <v>0.009256218324</v>
      </c>
      <c r="AL679" s="5">
        <v>0.00517341816657945</v>
      </c>
      <c r="AM679" s="5">
        <v>0.00791864529153851</v>
      </c>
      <c r="AN679" s="5">
        <v>0.00824468343523454</v>
      </c>
      <c r="AO679" s="5">
        <v>0.00904413845744822</v>
      </c>
      <c r="AP679" s="6">
        <f t="shared" si="3"/>
        <v>1.48654306</v>
      </c>
      <c r="AQ679" s="4">
        <f t="shared" si="4"/>
        <v>1.258927788</v>
      </c>
      <c r="AR679" s="7">
        <f t="shared" si="5"/>
        <v>1.174047846</v>
      </c>
      <c r="AS679" s="7">
        <f t="shared" ref="AS679:AU679" si="681">AS678*(1+AM679)</f>
        <v>1.279920998</v>
      </c>
      <c r="AT679" s="5">
        <f t="shared" si="681"/>
        <v>1.237343128</v>
      </c>
      <c r="AU679" s="5">
        <f t="shared" si="681"/>
        <v>1.216136818</v>
      </c>
    </row>
    <row r="680" ht="15.75" customHeight="1">
      <c r="A680" s="3">
        <v>44816.0</v>
      </c>
      <c r="B680" s="4">
        <v>0.007552</v>
      </c>
      <c r="C680" s="4">
        <v>0.012311</v>
      </c>
      <c r="D680" s="4">
        <v>0.012897</v>
      </c>
      <c r="E680" s="4">
        <v>0.003926</v>
      </c>
      <c r="F680" s="4">
        <v>0.002888</v>
      </c>
      <c r="G680" s="4">
        <v>-4.22E-4</v>
      </c>
      <c r="H680" s="4">
        <v>0.008145</v>
      </c>
      <c r="I680" s="4">
        <v>0.026542</v>
      </c>
      <c r="J680" s="4">
        <v>0.009358</v>
      </c>
      <c r="K680" s="4">
        <v>0.014649</v>
      </c>
      <c r="L680" s="4">
        <v>0.012954</v>
      </c>
      <c r="M680" s="4">
        <v>0.014061</v>
      </c>
      <c r="N680" s="4">
        <v>0.010757</v>
      </c>
      <c r="O680" s="4">
        <v>0.008389</v>
      </c>
      <c r="P680" s="4">
        <v>0.018068</v>
      </c>
      <c r="Q680" s="4">
        <v>0.0</v>
      </c>
      <c r="R680" s="4">
        <v>0.0</v>
      </c>
      <c r="S680" s="4">
        <v>0.020575</v>
      </c>
      <c r="T680" s="4">
        <v>-0.012817</v>
      </c>
      <c r="U680" s="4">
        <v>0.010929</v>
      </c>
      <c r="V680" s="4">
        <v>0.0235246574430725</v>
      </c>
      <c r="W680" s="4">
        <v>0.0097318506231158</v>
      </c>
      <c r="X680" s="4">
        <v>0.0174621418040943</v>
      </c>
      <c r="Y680" s="4">
        <v>0.0116234692359313</v>
      </c>
      <c r="Z680" s="4">
        <v>0.0190839717871458</v>
      </c>
      <c r="AA680" s="4">
        <v>0.0045885714398024</v>
      </c>
      <c r="AB680" s="4">
        <v>0.0153403962748497</v>
      </c>
      <c r="AC680" s="4">
        <v>-0.0018727369276174</v>
      </c>
      <c r="AD680" s="4">
        <v>0.0097843978371701</v>
      </c>
      <c r="AE680" s="4">
        <v>-0.0057199430418116</v>
      </c>
      <c r="AF680" s="4">
        <v>0.0200740853947853</v>
      </c>
      <c r="AG680" s="4">
        <v>0.003471974758304</v>
      </c>
      <c r="AH680" s="4">
        <v>-0.0039327559006255</v>
      </c>
      <c r="AI680" s="4">
        <v>0.0025664647304293</v>
      </c>
      <c r="AJ680" s="4">
        <v>0.010584</v>
      </c>
      <c r="AK680" s="4">
        <f>Weights!E736</f>
        <v>0.009173150853</v>
      </c>
      <c r="AL680" s="5">
        <v>0.019413102975057</v>
      </c>
      <c r="AM680" s="5">
        <v>0.0166078105229785</v>
      </c>
      <c r="AN680" s="5">
        <v>0.00953995430923226</v>
      </c>
      <c r="AO680" s="5">
        <v>0.00870681427662134</v>
      </c>
      <c r="AP680" s="6">
        <f t="shared" si="3"/>
        <v>1.500179344</v>
      </c>
      <c r="AQ680" s="4">
        <f t="shared" si="4"/>
        <v>1.272252279</v>
      </c>
      <c r="AR680" s="7">
        <f t="shared" si="5"/>
        <v>1.196839758</v>
      </c>
      <c r="AS680" s="7">
        <f t="shared" ref="AS680:AU680" si="682">AS679*(1+AM680)</f>
        <v>1.301177684</v>
      </c>
      <c r="AT680" s="5">
        <f t="shared" si="682"/>
        <v>1.249147325</v>
      </c>
      <c r="AU680" s="5">
        <f t="shared" si="682"/>
        <v>1.226725496</v>
      </c>
    </row>
    <row r="681" ht="15.75" customHeight="1">
      <c r="A681" s="3">
        <v>44817.0</v>
      </c>
      <c r="B681" s="4">
        <v>-0.034392</v>
      </c>
      <c r="C681" s="4">
        <v>-0.02362</v>
      </c>
      <c r="D681" s="4">
        <v>-0.027116</v>
      </c>
      <c r="E681" s="4">
        <v>-0.03732</v>
      </c>
      <c r="F681" s="4">
        <v>-0.03248</v>
      </c>
      <c r="G681" s="4">
        <v>-0.02602</v>
      </c>
      <c r="H681" s="4">
        <v>-0.020695</v>
      </c>
      <c r="I681" s="4">
        <v>-0.022129</v>
      </c>
      <c r="J681" s="4">
        <v>-0.024503</v>
      </c>
      <c r="K681" s="4">
        <v>-0.035001</v>
      </c>
      <c r="L681" s="4">
        <v>-0.029504</v>
      </c>
      <c r="M681" s="4">
        <v>-0.031059</v>
      </c>
      <c r="N681" s="4">
        <v>-0.03258</v>
      </c>
      <c r="O681" s="4">
        <v>-0.014159</v>
      </c>
      <c r="P681" s="4">
        <v>-0.020933</v>
      </c>
      <c r="Q681" s="4">
        <v>-0.052133</v>
      </c>
      <c r="R681" s="4">
        <v>-0.034815</v>
      </c>
      <c r="S681" s="4">
        <v>-0.034391</v>
      </c>
      <c r="T681" s="4">
        <v>-0.039656</v>
      </c>
      <c r="U681" s="4">
        <v>-0.012027</v>
      </c>
      <c r="V681" s="4">
        <v>0.00701219181287982</v>
      </c>
      <c r="W681" s="4">
        <v>0.0169090169273657</v>
      </c>
      <c r="X681" s="4">
        <v>0.0057209398676327</v>
      </c>
      <c r="Y681" s="4">
        <v>-0.0138002822439364</v>
      </c>
      <c r="Z681" s="4">
        <v>-0.0104675668886595</v>
      </c>
      <c r="AA681" s="4">
        <v>-0.0035889471817754</v>
      </c>
      <c r="AB681" s="4">
        <v>0.0119609968506604</v>
      </c>
      <c r="AC681" s="4">
        <v>0.003752421767148</v>
      </c>
      <c r="AD681" s="4">
        <v>0.0058141332823393</v>
      </c>
      <c r="AE681" s="4">
        <v>0.0115021531038665</v>
      </c>
      <c r="AF681" s="4">
        <v>0.0054496481030279</v>
      </c>
      <c r="AG681" s="4">
        <v>0.0019218796611366</v>
      </c>
      <c r="AH681" s="4">
        <v>0.0366116287163795</v>
      </c>
      <c r="AI681" s="4">
        <v>-0.0046080925980954</v>
      </c>
      <c r="AJ681" s="4">
        <v>-0.043237</v>
      </c>
      <c r="AK681" s="4">
        <f>Weights!E737</f>
        <v>-0.01206586413</v>
      </c>
      <c r="AL681" s="5">
        <v>0.0116031532237483</v>
      </c>
      <c r="AM681" s="5">
        <v>0.0107605911633616</v>
      </c>
      <c r="AN681" s="5">
        <v>0.0192373391131217</v>
      </c>
      <c r="AO681" s="5">
        <v>0.0185325114169294</v>
      </c>
      <c r="AP681" s="6">
        <f t="shared" si="3"/>
        <v>1.482078384</v>
      </c>
      <c r="AQ681" s="4">
        <f t="shared" si="4"/>
        <v>1.217243908</v>
      </c>
      <c r="AR681" s="7">
        <f t="shared" si="5"/>
        <v>1.210726873</v>
      </c>
      <c r="AS681" s="7">
        <f t="shared" ref="AS681:AU681" si="683">AS680*(1+AM681)</f>
        <v>1.315179125</v>
      </c>
      <c r="AT681" s="5">
        <f t="shared" si="683"/>
        <v>1.273177595</v>
      </c>
      <c r="AU681" s="5">
        <f t="shared" si="683"/>
        <v>1.2494598</v>
      </c>
    </row>
    <row r="682" ht="15.75" customHeight="1">
      <c r="A682" s="3">
        <v>44818.0</v>
      </c>
      <c r="B682" s="4">
        <v>-0.010502</v>
      </c>
      <c r="C682" s="4">
        <v>-0.011258</v>
      </c>
      <c r="D682" s="4">
        <v>-0.00412</v>
      </c>
      <c r="E682" s="4">
        <v>0.007586</v>
      </c>
      <c r="F682" s="4">
        <v>0.005292</v>
      </c>
      <c r="G682" s="4">
        <v>0.020641</v>
      </c>
      <c r="H682" s="4">
        <v>0.002388</v>
      </c>
      <c r="I682" s="4">
        <v>0.005241</v>
      </c>
      <c r="J682" s="4">
        <v>-0.009052</v>
      </c>
      <c r="K682" s="4">
        <v>0.005592</v>
      </c>
      <c r="L682" s="4">
        <v>4.15E-4</v>
      </c>
      <c r="M682" s="4">
        <v>-0.005724</v>
      </c>
      <c r="N682" s="4">
        <v>-0.008981</v>
      </c>
      <c r="O682" s="4">
        <v>-0.006137</v>
      </c>
      <c r="P682" s="4">
        <v>-0.002324</v>
      </c>
      <c r="Q682" s="4">
        <v>-0.01375</v>
      </c>
      <c r="R682" s="4">
        <v>-0.03285</v>
      </c>
      <c r="S682" s="4">
        <v>0.002763</v>
      </c>
      <c r="T682" s="4">
        <v>-0.113079</v>
      </c>
      <c r="U682" s="4">
        <v>0.003146</v>
      </c>
      <c r="V682" s="4">
        <v>-0.0363636741817969</v>
      </c>
      <c r="W682" s="4">
        <v>-0.0146323899348065</v>
      </c>
      <c r="X682" s="4">
        <v>0.0</v>
      </c>
      <c r="Y682" s="4">
        <v>0.0093084018870504</v>
      </c>
      <c r="Z682" s="4">
        <v>0.006696385657168</v>
      </c>
      <c r="AA682" s="4">
        <v>0.0068762786893101</v>
      </c>
      <c r="AB682" s="4">
        <v>0.0108863802973351</v>
      </c>
      <c r="AC682" s="4">
        <v>0.0</v>
      </c>
      <c r="AD682" s="4">
        <v>0.0</v>
      </c>
      <c r="AE682" s="4">
        <v>0.0151620183512102</v>
      </c>
      <c r="AF682" s="4">
        <v>-0.0057212930303178</v>
      </c>
      <c r="AG682" s="4">
        <v>0.0205275772838333</v>
      </c>
      <c r="AH682" s="4">
        <v>-0.0135041669590486</v>
      </c>
      <c r="AI682" s="4">
        <v>0.0025720724297164</v>
      </c>
      <c r="AJ682" s="4">
        <v>0.003387</v>
      </c>
      <c r="AK682" s="4">
        <f>Weights!E738</f>
        <v>-0.003304938693</v>
      </c>
      <c r="AL682" s="5">
        <v>-0.0408895964763036</v>
      </c>
      <c r="AM682" s="5">
        <v>-0.0429712668869219</v>
      </c>
      <c r="AN682" s="5">
        <v>0.00960246130152442</v>
      </c>
      <c r="AO682" s="5">
        <v>0.0107179944625677</v>
      </c>
      <c r="AP682" s="6">
        <f t="shared" si="3"/>
        <v>1.477180205</v>
      </c>
      <c r="AQ682" s="4">
        <f t="shared" si="4"/>
        <v>1.221366713</v>
      </c>
      <c r="AR682" s="7">
        <f t="shared" si="5"/>
        <v>1.16122074</v>
      </c>
      <c r="AS682" s="7">
        <f t="shared" ref="AS682:AU682" si="684">AS681*(1+AM682)</f>
        <v>1.258664212</v>
      </c>
      <c r="AT682" s="5">
        <f t="shared" si="684"/>
        <v>1.285403234</v>
      </c>
      <c r="AU682" s="5">
        <f t="shared" si="684"/>
        <v>1.262851503</v>
      </c>
    </row>
    <row r="683" ht="15.75" customHeight="1">
      <c r="A683" s="3">
        <v>44819.0</v>
      </c>
      <c r="B683" s="4">
        <v>-0.001384</v>
      </c>
      <c r="C683" s="4">
        <v>-0.006056</v>
      </c>
      <c r="D683" s="4">
        <v>0.020686</v>
      </c>
      <c r="E683" s="4">
        <v>-0.016599</v>
      </c>
      <c r="F683" s="4">
        <v>-0.013489</v>
      </c>
      <c r="G683" s="4">
        <v>0.002551</v>
      </c>
      <c r="H683" s="4">
        <v>-0.007725</v>
      </c>
      <c r="I683" s="4">
        <v>-0.00782</v>
      </c>
      <c r="J683" s="4">
        <v>-0.023521</v>
      </c>
      <c r="K683" s="4">
        <v>-4.51E-4</v>
      </c>
      <c r="L683" s="4">
        <v>0.002593</v>
      </c>
      <c r="M683" s="4">
        <v>-0.005181</v>
      </c>
      <c r="N683" s="4">
        <v>-0.003172</v>
      </c>
      <c r="O683" s="4">
        <v>-0.031089</v>
      </c>
      <c r="P683" s="4">
        <v>-0.012346</v>
      </c>
      <c r="Q683" s="4">
        <v>-0.025503</v>
      </c>
      <c r="R683" s="4">
        <v>-0.008325</v>
      </c>
      <c r="S683" s="4">
        <v>-0.030006</v>
      </c>
      <c r="T683" s="4">
        <v>-0.028498</v>
      </c>
      <c r="U683" s="4">
        <v>-0.005795</v>
      </c>
      <c r="V683" s="4">
        <v>-0.0220794828416277</v>
      </c>
      <c r="W683" s="4">
        <v>-0.0209248061717532</v>
      </c>
      <c r="X683" s="4">
        <v>0.0</v>
      </c>
      <c r="Y683" s="4">
        <v>0.0037256514493184</v>
      </c>
      <c r="Z683" s="4">
        <v>0.0039524756277733</v>
      </c>
      <c r="AA683" s="4">
        <v>0.002113979377488</v>
      </c>
      <c r="AB683" s="4">
        <v>-0.0030769937465753</v>
      </c>
      <c r="AC683" s="4">
        <v>0.0092937517709552</v>
      </c>
      <c r="AD683" s="4">
        <v>0.0019195493590666</v>
      </c>
      <c r="AE683" s="4">
        <v>-0.0046481272967621</v>
      </c>
      <c r="AF683" s="4">
        <v>-0.0124166584249434</v>
      </c>
      <c r="AG683" s="4">
        <v>-0.0011278755857523</v>
      </c>
      <c r="AH683" s="4">
        <v>-0.0203580513176537</v>
      </c>
      <c r="AI683" s="4">
        <v>-5.130730424601E-4</v>
      </c>
      <c r="AJ683" s="4">
        <v>-0.011318</v>
      </c>
      <c r="AK683" s="4">
        <f>Weights!E739</f>
        <v>-0.007219343404</v>
      </c>
      <c r="AL683" s="5">
        <v>0.00392547989888947</v>
      </c>
      <c r="AM683" s="5">
        <v>0.00389344896886423</v>
      </c>
      <c r="AN683" s="5">
        <v>-0.0173826547229616</v>
      </c>
      <c r="AO683" s="5">
        <v>-0.0167694735053225</v>
      </c>
      <c r="AP683" s="6">
        <f t="shared" si="3"/>
        <v>1.466515934</v>
      </c>
      <c r="AQ683" s="4">
        <f t="shared" si="4"/>
        <v>1.207543284</v>
      </c>
      <c r="AR683" s="7">
        <f t="shared" si="5"/>
        <v>1.165779089</v>
      </c>
      <c r="AS683" s="7">
        <f t="shared" ref="AS683:AU683" si="685">AS682*(1+AM683)</f>
        <v>1.263564757</v>
      </c>
      <c r="AT683" s="5">
        <f t="shared" si="685"/>
        <v>1.263059513</v>
      </c>
      <c r="AU683" s="5">
        <f t="shared" si="685"/>
        <v>1.241674148</v>
      </c>
    </row>
    <row r="684" ht="15.75" customHeight="1">
      <c r="A684" s="3">
        <v>44820.0</v>
      </c>
      <c r="B684" s="4">
        <v>0.002311</v>
      </c>
      <c r="C684" s="4">
        <v>0.005362</v>
      </c>
      <c r="D684" s="4">
        <v>0.011207</v>
      </c>
      <c r="E684" s="4">
        <v>0.006571</v>
      </c>
      <c r="F684" s="4">
        <v>1.68E-4</v>
      </c>
      <c r="G684" s="4">
        <v>0.015265</v>
      </c>
      <c r="H684" s="4">
        <v>0.006112</v>
      </c>
      <c r="I684" s="4">
        <v>-0.021017</v>
      </c>
      <c r="J684" s="4">
        <v>0.002105</v>
      </c>
      <c r="K684" s="4">
        <v>-0.004511</v>
      </c>
      <c r="L684" s="4">
        <v>-0.014068</v>
      </c>
      <c r="M684" s="4">
        <v>-0.006944</v>
      </c>
      <c r="N684" s="4">
        <v>-0.011591</v>
      </c>
      <c r="O684" s="4">
        <v>-0.012746</v>
      </c>
      <c r="P684" s="4">
        <v>0.030896</v>
      </c>
      <c r="Q684" s="4">
        <v>-0.00133</v>
      </c>
      <c r="R684" s="4">
        <v>-0.015111</v>
      </c>
      <c r="S684" s="4">
        <v>0.013258</v>
      </c>
      <c r="T684" s="4">
        <v>-0.00162</v>
      </c>
      <c r="U684" s="4">
        <v>-0.006994</v>
      </c>
      <c r="V684" s="4">
        <v>4.10443298828333E-4</v>
      </c>
      <c r="W684" s="4">
        <v>0.0349878762558359</v>
      </c>
      <c r="X684" s="4">
        <v>0.0</v>
      </c>
      <c r="Y684" s="4">
        <v>0.0038942906423007</v>
      </c>
      <c r="Z684" s="4">
        <v>0.0139235873692278</v>
      </c>
      <c r="AA684" s="4">
        <v>0.0051921044033966</v>
      </c>
      <c r="AB684" s="4">
        <v>0.0120370591153138</v>
      </c>
      <c r="AC684" s="4">
        <v>0.0165746494724969</v>
      </c>
      <c r="AD684" s="4">
        <v>0.0019157677721384</v>
      </c>
      <c r="AE684" s="4">
        <v>0.0197519118315003</v>
      </c>
      <c r="AF684" s="4">
        <v>0.0042930898974493</v>
      </c>
      <c r="AG684" s="4">
        <v>0.0015056370532087</v>
      </c>
      <c r="AH684" s="4">
        <v>0.0118237168321813</v>
      </c>
      <c r="AI684" s="4">
        <v>-0.0041066913723178</v>
      </c>
      <c r="AJ684" s="4">
        <v>-0.007182</v>
      </c>
      <c r="AK684" s="4">
        <f>Weights!E740</f>
        <v>0.002637448496</v>
      </c>
      <c r="AL684" s="5">
        <v>-0.0101845383846729</v>
      </c>
      <c r="AM684" s="5">
        <v>-0.0106778785486463</v>
      </c>
      <c r="AN684" s="5">
        <v>0.00400538608796074</v>
      </c>
      <c r="AO684" s="5">
        <v>0.00376225464308843</v>
      </c>
      <c r="AP684" s="6">
        <f t="shared" si="3"/>
        <v>1.470383794</v>
      </c>
      <c r="AQ684" s="4">
        <f t="shared" si="4"/>
        <v>1.198870708</v>
      </c>
      <c r="AR684" s="7">
        <f t="shared" si="5"/>
        <v>1.153906167</v>
      </c>
      <c r="AS684" s="7">
        <f t="shared" ref="AS684:AU684" si="686">AS683*(1+AM684)</f>
        <v>1.250072566</v>
      </c>
      <c r="AT684" s="5">
        <f t="shared" si="686"/>
        <v>1.268118554</v>
      </c>
      <c r="AU684" s="5">
        <f t="shared" si="686"/>
        <v>1.246345643</v>
      </c>
    </row>
    <row r="685" ht="15.75" customHeight="1">
      <c r="A685" s="3">
        <v>44823.0</v>
      </c>
      <c r="B685" s="4">
        <v>0.001844</v>
      </c>
      <c r="C685" s="4">
        <v>-2.42E-4</v>
      </c>
      <c r="D685" s="4">
        <v>-0.008724</v>
      </c>
      <c r="E685" s="4">
        <v>0.010541</v>
      </c>
      <c r="F685" s="4">
        <v>0.007558</v>
      </c>
      <c r="G685" s="4">
        <v>-0.007876</v>
      </c>
      <c r="H685" s="4">
        <v>-0.002097</v>
      </c>
      <c r="I685" s="4">
        <v>0.008783</v>
      </c>
      <c r="J685" s="4">
        <v>0.009102</v>
      </c>
      <c r="K685" s="4">
        <v>0.006948</v>
      </c>
      <c r="L685" s="4">
        <v>0.009968</v>
      </c>
      <c r="M685" s="4">
        <v>0.016317</v>
      </c>
      <c r="N685" s="4">
        <v>0.009887</v>
      </c>
      <c r="O685" s="4">
        <v>0.005335</v>
      </c>
      <c r="P685" s="4">
        <v>0.012812</v>
      </c>
      <c r="Q685" s="4">
        <v>0.035952</v>
      </c>
      <c r="R685" s="4">
        <v>0.03955</v>
      </c>
      <c r="S685" s="4">
        <v>0.010592</v>
      </c>
      <c r="T685" s="4">
        <v>0.014862</v>
      </c>
      <c r="U685" s="4">
        <v>0.006008</v>
      </c>
      <c r="V685" s="4">
        <v>-0.00492410114845887</v>
      </c>
      <c r="W685" s="4">
        <v>-0.011990090661945</v>
      </c>
      <c r="X685" s="4">
        <v>0.0159092474716981</v>
      </c>
      <c r="Y685" s="4">
        <v>0.0015154193503135</v>
      </c>
      <c r="Z685" s="4">
        <v>0.0094706269523698</v>
      </c>
      <c r="AA685" s="4">
        <v>0.0079095072977524</v>
      </c>
      <c r="AB685" s="4">
        <v>0.0</v>
      </c>
      <c r="AC685" s="4">
        <v>0.0054347008019266</v>
      </c>
      <c r="AD685" s="4">
        <v>0.001912000845996</v>
      </c>
      <c r="AE685" s="4">
        <v>0.0063813398735221</v>
      </c>
      <c r="AF685" s="4">
        <v>-0.0262594781517075</v>
      </c>
      <c r="AG685" s="4">
        <v>-0.0141877144850195</v>
      </c>
      <c r="AH685" s="4">
        <v>0.0244334308114151</v>
      </c>
      <c r="AI685" s="4">
        <v>-0.0030927193732054</v>
      </c>
      <c r="AJ685" s="4">
        <v>0.006857</v>
      </c>
      <c r="AK685" s="4">
        <f>Weights!E741</f>
        <v>0.005972329095</v>
      </c>
      <c r="AL685" s="5">
        <v>-0.00771701608905783</v>
      </c>
      <c r="AM685" s="5">
        <v>-0.00911308323769166</v>
      </c>
      <c r="AN685" s="5">
        <v>-0.00698139356621296</v>
      </c>
      <c r="AO685" s="5">
        <v>-0.00799609458097194</v>
      </c>
      <c r="AP685" s="6">
        <f t="shared" si="3"/>
        <v>1.47916541</v>
      </c>
      <c r="AQ685" s="4">
        <f t="shared" si="4"/>
        <v>1.207091365</v>
      </c>
      <c r="AR685" s="7">
        <f t="shared" si="5"/>
        <v>1.145001454</v>
      </c>
      <c r="AS685" s="7">
        <f t="shared" ref="AS685:AU685" si="687">AS684*(1+AM685)</f>
        <v>1.23868055</v>
      </c>
      <c r="AT685" s="5">
        <f t="shared" si="687"/>
        <v>1.25926532</v>
      </c>
      <c r="AU685" s="5">
        <f t="shared" si="687"/>
        <v>1.236379745</v>
      </c>
    </row>
    <row r="686" ht="15.75" customHeight="1">
      <c r="A686" s="3">
        <v>44824.0</v>
      </c>
      <c r="B686" s="4">
        <v>-0.017487</v>
      </c>
      <c r="C686" s="4">
        <v>-0.015761</v>
      </c>
      <c r="D686" s="4">
        <v>-0.023787</v>
      </c>
      <c r="E686" s="4">
        <v>0.001126</v>
      </c>
      <c r="F686" s="4">
        <v>-0.0015</v>
      </c>
      <c r="G686" s="4">
        <v>-0.007878</v>
      </c>
      <c r="H686" s="4">
        <v>-0.003551</v>
      </c>
      <c r="I686" s="4">
        <v>-0.015478</v>
      </c>
      <c r="J686" s="4">
        <v>-0.03099</v>
      </c>
      <c r="K686" s="4">
        <v>-0.014549</v>
      </c>
      <c r="L686" s="4">
        <v>-0.010596</v>
      </c>
      <c r="M686" s="4">
        <v>-0.027523</v>
      </c>
      <c r="N686" s="4">
        <v>-0.023224</v>
      </c>
      <c r="O686" s="4">
        <v>-0.018104</v>
      </c>
      <c r="P686" s="4">
        <v>-0.033205</v>
      </c>
      <c r="Q686" s="4">
        <v>-0.044987</v>
      </c>
      <c r="R686" s="4">
        <v>-0.025254</v>
      </c>
      <c r="S686" s="4">
        <v>-0.022195</v>
      </c>
      <c r="T686" s="4">
        <v>-0.044605</v>
      </c>
      <c r="U686" s="4">
        <v>-0.011463</v>
      </c>
      <c r="V686" s="4">
        <v>-0.0544329453875592</v>
      </c>
      <c r="W686" s="4">
        <v>-0.0197004699415374</v>
      </c>
      <c r="X686" s="4">
        <v>0.0167784075874015</v>
      </c>
      <c r="Y686" s="4">
        <v>-0.003146982382056</v>
      </c>
      <c r="Z686" s="4">
        <v>-0.0058167548398432</v>
      </c>
      <c r="AA686" s="4">
        <v>8.009491592559E-4</v>
      </c>
      <c r="AB686" s="4">
        <v>0.0064045257170586</v>
      </c>
      <c r="AC686" s="4">
        <v>0.0072072011516124</v>
      </c>
      <c r="AD686" s="4">
        <v>0.0076337190399031</v>
      </c>
      <c r="AE686" s="4">
        <v>0.0046997244318378</v>
      </c>
      <c r="AF686" s="4">
        <v>-0.0047036669162584</v>
      </c>
      <c r="AG686" s="4">
        <v>-0.0121998403599852</v>
      </c>
      <c r="AH686" s="4">
        <v>-0.0044935269724111</v>
      </c>
      <c r="AI686" s="4">
        <v>0.0</v>
      </c>
      <c r="AJ686" s="4">
        <v>-0.011272</v>
      </c>
      <c r="AK686" s="4">
        <f>Weights!E742</f>
        <v>-0.0125204879</v>
      </c>
      <c r="AL686" s="5">
        <v>0.00583277367508783</v>
      </c>
      <c r="AM686" s="5">
        <v>0.00709035985196626</v>
      </c>
      <c r="AN686" s="5">
        <v>-0.00836958147530786</v>
      </c>
      <c r="AO686" s="5">
        <v>-0.00906797222224831</v>
      </c>
      <c r="AP686" s="6">
        <f t="shared" si="3"/>
        <v>1.460645538</v>
      </c>
      <c r="AQ686" s="4">
        <f t="shared" si="4"/>
        <v>1.193485031</v>
      </c>
      <c r="AR686" s="7">
        <f t="shared" si="5"/>
        <v>1.151679989</v>
      </c>
      <c r="AS686" s="7">
        <f t="shared" ref="AS686:AU686" si="688">AS685*(1+AM686)</f>
        <v>1.247463241</v>
      </c>
      <c r="AT686" s="5">
        <f t="shared" si="688"/>
        <v>1.248725796</v>
      </c>
      <c r="AU686" s="5">
        <f t="shared" si="688"/>
        <v>1.225168288</v>
      </c>
    </row>
    <row r="687" ht="15.75" customHeight="1">
      <c r="A687" s="3">
        <v>44825.0</v>
      </c>
      <c r="B687" s="4">
        <v>-0.008431</v>
      </c>
      <c r="C687" s="4">
        <v>-0.027347</v>
      </c>
      <c r="D687" s="4">
        <v>-0.001949</v>
      </c>
      <c r="E687" s="4">
        <v>-0.002842</v>
      </c>
      <c r="F687" s="4">
        <v>-0.008347</v>
      </c>
      <c r="G687" s="4">
        <v>-0.010244</v>
      </c>
      <c r="H687" s="4">
        <v>-0.012873</v>
      </c>
      <c r="I687" s="4">
        <v>-0.014001</v>
      </c>
      <c r="J687" s="4">
        <v>-0.003341</v>
      </c>
      <c r="K687" s="4">
        <v>-0.026332</v>
      </c>
      <c r="L687" s="4">
        <v>-0.019425</v>
      </c>
      <c r="M687" s="4">
        <v>-0.012972</v>
      </c>
      <c r="N687" s="4">
        <v>-0.010723</v>
      </c>
      <c r="O687" s="4">
        <v>-0.011853</v>
      </c>
      <c r="P687" s="4">
        <v>-0.009346</v>
      </c>
      <c r="Q687" s="4">
        <v>0.012113</v>
      </c>
      <c r="R687" s="4">
        <v>-0.054509</v>
      </c>
      <c r="S687" s="4">
        <v>-0.001261</v>
      </c>
      <c r="T687" s="4">
        <v>-0.026603</v>
      </c>
      <c r="U687" s="4">
        <v>-0.00868</v>
      </c>
      <c r="V687" s="4">
        <v>0.0218055214334857</v>
      </c>
      <c r="W687" s="4">
        <v>-0.0221878072325042</v>
      </c>
      <c r="X687" s="4">
        <v>0.0</v>
      </c>
      <c r="Y687" s="4">
        <v>1.212088431306E-4</v>
      </c>
      <c r="Z687" s="4">
        <v>0.0016041665811383</v>
      </c>
      <c r="AA687" s="4">
        <v>0.0054408728370123</v>
      </c>
      <c r="AB687" s="4">
        <v>0.0081817811918414</v>
      </c>
      <c r="AC687" s="4">
        <v>0.0</v>
      </c>
      <c r="AD687" s="4">
        <v>0.0</v>
      </c>
      <c r="AE687" s="4">
        <v>-0.0046777403412701</v>
      </c>
      <c r="AF687" s="4">
        <v>-0.0179584200265756</v>
      </c>
      <c r="AG687" s="4">
        <v>0.0039562428953103</v>
      </c>
      <c r="AH687" s="4">
        <v>0.037847209459654</v>
      </c>
      <c r="AI687" s="4">
        <v>-0.0031026423858981</v>
      </c>
      <c r="AJ687" s="4">
        <v>-0.017116</v>
      </c>
      <c r="AK687" s="4">
        <f>Weights!E743</f>
        <v>-0.004551050118</v>
      </c>
      <c r="AL687" s="5">
        <v>-0.0122423490070205</v>
      </c>
      <c r="AM687" s="5">
        <v>-0.0116321593178768</v>
      </c>
      <c r="AN687" s="5">
        <v>0.0094530632592209</v>
      </c>
      <c r="AO687" s="5">
        <v>0.00991354099720931</v>
      </c>
      <c r="AP687" s="6">
        <f t="shared" si="3"/>
        <v>1.453998067</v>
      </c>
      <c r="AQ687" s="4">
        <f t="shared" si="4"/>
        <v>1.173057341</v>
      </c>
      <c r="AR687" s="7">
        <f t="shared" si="5"/>
        <v>1.13758072</v>
      </c>
      <c r="AS687" s="7">
        <f t="shared" ref="AS687:AU687" si="689">AS686*(1+AM687)</f>
        <v>1.23295255</v>
      </c>
      <c r="AT687" s="5">
        <f t="shared" si="689"/>
        <v>1.26053008</v>
      </c>
      <c r="AU687" s="5">
        <f t="shared" si="689"/>
        <v>1.237314044</v>
      </c>
    </row>
    <row r="688" ht="15.75" customHeight="1">
      <c r="A688" s="3">
        <v>44826.0</v>
      </c>
      <c r="B688" s="4">
        <v>0.008975</v>
      </c>
      <c r="C688" s="4">
        <v>0.011398</v>
      </c>
      <c r="D688" s="4">
        <v>0.011719</v>
      </c>
      <c r="E688" s="4">
        <v>9.5E-4</v>
      </c>
      <c r="F688" s="4">
        <v>-0.002357</v>
      </c>
      <c r="G688" s="4">
        <v>0.017761</v>
      </c>
      <c r="H688" s="4">
        <v>0.003537</v>
      </c>
      <c r="I688" s="4">
        <v>-0.001744</v>
      </c>
      <c r="J688" s="4">
        <v>-0.001197</v>
      </c>
      <c r="K688" s="4">
        <v>-0.001407</v>
      </c>
      <c r="L688" s="4">
        <v>-0.007603</v>
      </c>
      <c r="M688" s="4">
        <v>-0.020908</v>
      </c>
      <c r="N688" s="4">
        <v>-0.017436</v>
      </c>
      <c r="O688" s="4">
        <v>-0.017924</v>
      </c>
      <c r="P688" s="4">
        <v>0.002358</v>
      </c>
      <c r="Q688" s="4">
        <v>0.019947</v>
      </c>
      <c r="R688" s="4">
        <v>0.008897</v>
      </c>
      <c r="S688" s="4">
        <v>-0.008207</v>
      </c>
      <c r="T688" s="4">
        <v>-0.014932</v>
      </c>
      <c r="U688" s="4">
        <v>-0.011908</v>
      </c>
      <c r="V688" s="4">
        <v>-0.0708493641430858</v>
      </c>
      <c r="W688" s="4">
        <v>0.004045705557039</v>
      </c>
      <c r="X688" s="4">
        <v>0.0087912432406052</v>
      </c>
      <c r="Y688" s="4">
        <v>-0.0113516890712559</v>
      </c>
      <c r="Z688" s="4">
        <v>-0.007725537067954</v>
      </c>
      <c r="AA688" s="4">
        <v>-0.0042973161657491</v>
      </c>
      <c r="AB688" s="4">
        <v>-0.0189360460704818</v>
      </c>
      <c r="AC688" s="4">
        <v>-0.0107720590893506</v>
      </c>
      <c r="AD688" s="4">
        <v>0.001893689025876</v>
      </c>
      <c r="AE688" s="4">
        <v>-0.0114137130384027</v>
      </c>
      <c r="AF688" s="4">
        <v>-0.0298363533053407</v>
      </c>
      <c r="AG688" s="4">
        <v>-0.0164345978831768</v>
      </c>
      <c r="AH688" s="4">
        <v>0.0160588349077015</v>
      </c>
      <c r="AI688" s="4">
        <v>-0.0046680637473807</v>
      </c>
      <c r="AJ688" s="4">
        <v>-0.008428</v>
      </c>
      <c r="AK688" s="4">
        <f>Weights!E744</f>
        <v>-0.00659241443</v>
      </c>
      <c r="AL688" s="5">
        <v>-0.0160283685738827</v>
      </c>
      <c r="AM688" s="5">
        <v>-0.0170856063833386</v>
      </c>
      <c r="AN688" s="5">
        <v>-0.00869565877863187</v>
      </c>
      <c r="AO688" s="5">
        <v>-0.00981622742420151</v>
      </c>
      <c r="AP688" s="6">
        <f t="shared" si="3"/>
        <v>1.444412709</v>
      </c>
      <c r="AQ688" s="4">
        <f t="shared" si="4"/>
        <v>1.163170814</v>
      </c>
      <c r="AR688" s="7">
        <f t="shared" si="5"/>
        <v>1.119347157</v>
      </c>
      <c r="AS688" s="7">
        <f t="shared" ref="AS688:AU688" si="690">AS687*(1+AM688)</f>
        <v>1.211886808</v>
      </c>
      <c r="AT688" s="5">
        <f t="shared" si="690"/>
        <v>1.249568941</v>
      </c>
      <c r="AU688" s="5">
        <f t="shared" si="690"/>
        <v>1.225168288</v>
      </c>
    </row>
    <row r="689" ht="15.75" customHeight="1">
      <c r="A689" s="3">
        <v>44827.0</v>
      </c>
      <c r="B689" s="4">
        <v>-0.022004</v>
      </c>
      <c r="C689" s="4">
        <v>-0.010268</v>
      </c>
      <c r="D689" s="4">
        <v>-0.017857</v>
      </c>
      <c r="E689" s="4">
        <v>-4.75E-4</v>
      </c>
      <c r="F689" s="4">
        <v>-0.011137</v>
      </c>
      <c r="G689" s="4">
        <v>0.00325</v>
      </c>
      <c r="H689" s="4">
        <v>-0.004625</v>
      </c>
      <c r="I689" s="4">
        <v>-0.050911</v>
      </c>
      <c r="J689" s="4">
        <v>-0.008631</v>
      </c>
      <c r="K689" s="4">
        <v>-0.028178</v>
      </c>
      <c r="L689" s="4">
        <v>-0.020501</v>
      </c>
      <c r="M689" s="4">
        <v>-0.034777</v>
      </c>
      <c r="N689" s="4">
        <v>-0.02494</v>
      </c>
      <c r="O689" s="4">
        <v>0.003837</v>
      </c>
      <c r="P689" s="4">
        <v>-0.029412</v>
      </c>
      <c r="Q689" s="4">
        <v>-0.067797</v>
      </c>
      <c r="R689" s="4">
        <v>-0.058907</v>
      </c>
      <c r="S689" s="4">
        <v>-0.043921</v>
      </c>
      <c r="T689" s="4">
        <v>-0.027377</v>
      </c>
      <c r="U689" s="4">
        <v>-0.009499</v>
      </c>
      <c r="V689" s="4">
        <v>-0.0303169238890274</v>
      </c>
      <c r="W689" s="4">
        <v>0.0313594105753571</v>
      </c>
      <c r="X689" s="4">
        <v>-0.0098040479350601</v>
      </c>
      <c r="Y689" s="4">
        <v>-0.0092105767781442</v>
      </c>
      <c r="Z689" s="4">
        <v>-0.0130079835161889</v>
      </c>
      <c r="AA689" s="4">
        <v>-0.0095909639884437</v>
      </c>
      <c r="AB689" s="4">
        <v>0.0055147926563841</v>
      </c>
      <c r="AC689" s="4">
        <v>-0.0145190439736717</v>
      </c>
      <c r="AD689" s="4">
        <v>-0.02646512746493</v>
      </c>
      <c r="AE689" s="4">
        <v>-0.0115454139773858</v>
      </c>
      <c r="AF689" s="4">
        <v>-0.0135581359113952</v>
      </c>
      <c r="AG689" s="4">
        <v>-0.0118232857350686</v>
      </c>
      <c r="AH689" s="4">
        <v>0.0055976161595829</v>
      </c>
      <c r="AI689" s="4">
        <v>-0.0010421880963054</v>
      </c>
      <c r="AJ689" s="4">
        <v>-0.017233</v>
      </c>
      <c r="AK689" s="4">
        <f>Weights!E745</f>
        <v>-0.01651622247</v>
      </c>
      <c r="AL689" s="5">
        <v>-0.00833403844136149</v>
      </c>
      <c r="AM689" s="5">
        <v>-0.0111857580183744</v>
      </c>
      <c r="AN689" s="5">
        <v>-0.0107962510269763</v>
      </c>
      <c r="AO689" s="5">
        <v>-0.00940521917845493</v>
      </c>
      <c r="AP689" s="6">
        <f t="shared" si="3"/>
        <v>1.420556467</v>
      </c>
      <c r="AQ689" s="4">
        <f t="shared" si="4"/>
        <v>1.143125891</v>
      </c>
      <c r="AR689" s="7">
        <f t="shared" si="5"/>
        <v>1.110018475</v>
      </c>
      <c r="AS689" s="7">
        <f t="shared" ref="AS689:AU689" si="691">AS688*(1+AM689)</f>
        <v>1.198330935</v>
      </c>
      <c r="AT689" s="5">
        <f t="shared" si="691"/>
        <v>1.236078281</v>
      </c>
      <c r="AU689" s="5">
        <f t="shared" si="691"/>
        <v>1.213645312</v>
      </c>
    </row>
    <row r="690" ht="15.75" customHeight="1">
      <c r="A690" s="3">
        <v>44830.0</v>
      </c>
      <c r="B690" s="4">
        <v>-0.024892</v>
      </c>
      <c r="C690" s="4">
        <v>-0.014929</v>
      </c>
      <c r="D690" s="4">
        <v>-0.02457</v>
      </c>
      <c r="E690" s="4">
        <v>-4.15E-4</v>
      </c>
      <c r="F690" s="4">
        <v>-0.012457</v>
      </c>
      <c r="G690" s="4">
        <v>-0.006118</v>
      </c>
      <c r="H690" s="4">
        <v>9.59E-4</v>
      </c>
      <c r="I690" s="4">
        <v>-0.021562</v>
      </c>
      <c r="J690" s="4">
        <v>-0.022733</v>
      </c>
      <c r="K690" s="4">
        <v>-0.003866</v>
      </c>
      <c r="L690" s="4">
        <v>-0.006389</v>
      </c>
      <c r="M690" s="4">
        <v>-0.006953</v>
      </c>
      <c r="N690" s="4">
        <v>-0.012543</v>
      </c>
      <c r="O690" s="4">
        <v>0.002751</v>
      </c>
      <c r="P690" s="4">
        <v>-0.016</v>
      </c>
      <c r="Q690" s="4">
        <v>0.0</v>
      </c>
      <c r="R690" s="4">
        <v>-0.006747</v>
      </c>
      <c r="S690" s="4">
        <v>-0.031957</v>
      </c>
      <c r="T690" s="4">
        <v>-0.023425</v>
      </c>
      <c r="U690" s="4">
        <v>-0.002076</v>
      </c>
      <c r="V690" s="4">
        <v>-0.0137375652446939</v>
      </c>
      <c r="W690" s="4">
        <v>-0.0219126759904043</v>
      </c>
      <c r="X690" s="4">
        <v>-0.0033003432742165</v>
      </c>
      <c r="Y690" s="4">
        <v>0.0040903360646915</v>
      </c>
      <c r="Z690" s="4">
        <v>0.0047137263055345</v>
      </c>
      <c r="AA690" s="4">
        <v>-0.0054871994499967</v>
      </c>
      <c r="AB690" s="4">
        <v>-0.0039610503238458</v>
      </c>
      <c r="AC690" s="4">
        <v>0.0036831600181062</v>
      </c>
      <c r="AD690" s="4">
        <v>0.0077672309484422</v>
      </c>
      <c r="AE690" s="4">
        <v>0.0099243806571454</v>
      </c>
      <c r="AF690" s="4">
        <v>0.0016762186812364</v>
      </c>
      <c r="AG690" s="4">
        <v>0.0014832148241135</v>
      </c>
      <c r="AH690" s="4">
        <v>0.0170268655746981</v>
      </c>
      <c r="AI690" s="4">
        <v>-0.001042944046709</v>
      </c>
      <c r="AJ690" s="4">
        <v>-0.010341</v>
      </c>
      <c r="AK690" s="4">
        <f>Weights!E746</f>
        <v>-0.005992497593</v>
      </c>
      <c r="AL690" s="5">
        <v>-0.0221564961527951</v>
      </c>
      <c r="AM690" s="5">
        <v>-0.0172487252494183</v>
      </c>
      <c r="AN690" s="5">
        <v>-0.00682119575094664</v>
      </c>
      <c r="AO690" s="5">
        <v>-0.00898126264239329</v>
      </c>
      <c r="AP690" s="6">
        <f t="shared" si="3"/>
        <v>1.412043786</v>
      </c>
      <c r="AQ690" s="4">
        <f t="shared" si="4"/>
        <v>1.131304827</v>
      </c>
      <c r="AR690" s="7">
        <f t="shared" si="5"/>
        <v>1.085424355</v>
      </c>
      <c r="AS690" s="7">
        <f t="shared" ref="AS690:AU690" si="692">AS689*(1+AM690)</f>
        <v>1.177661254</v>
      </c>
      <c r="AT690" s="5">
        <f t="shared" si="692"/>
        <v>1.227646749</v>
      </c>
      <c r="AU690" s="5">
        <f t="shared" si="692"/>
        <v>1.202745244</v>
      </c>
    </row>
    <row r="691" ht="15.75" customHeight="1">
      <c r="A691" s="3">
        <v>44831.0</v>
      </c>
      <c r="B691" s="4">
        <v>0.002455</v>
      </c>
      <c r="C691" s="4">
        <v>-0.001028</v>
      </c>
      <c r="D691" s="4">
        <v>-0.010579</v>
      </c>
      <c r="E691" s="4">
        <v>-0.014485</v>
      </c>
      <c r="F691" s="4">
        <v>-0.025747</v>
      </c>
      <c r="G691" s="4">
        <v>-0.004587</v>
      </c>
      <c r="H691" s="4">
        <v>-0.027485</v>
      </c>
      <c r="I691" s="4">
        <v>0.008062</v>
      </c>
      <c r="J691" s="4">
        <v>-0.015095</v>
      </c>
      <c r="K691" s="4">
        <v>-0.006145</v>
      </c>
      <c r="L691" s="4">
        <v>-0.006984</v>
      </c>
      <c r="M691" s="4">
        <v>-0.004456</v>
      </c>
      <c r="N691" s="4">
        <v>-0.008468</v>
      </c>
      <c r="O691" s="4">
        <v>-0.012924</v>
      </c>
      <c r="P691" s="4">
        <v>-0.007884</v>
      </c>
      <c r="Q691" s="4">
        <v>0.01958</v>
      </c>
      <c r="R691" s="4">
        <v>0.013962</v>
      </c>
      <c r="S691" s="4">
        <v>0.015131</v>
      </c>
      <c r="T691" s="4">
        <v>0.018377</v>
      </c>
      <c r="U691" s="4">
        <v>-0.012551</v>
      </c>
      <c r="V691" s="4">
        <v>-0.0187320412460588</v>
      </c>
      <c r="W691" s="4">
        <v>0.0140674332174555</v>
      </c>
      <c r="X691" s="4">
        <v>0.0154525113808468</v>
      </c>
      <c r="Y691" s="4">
        <v>0.006974403744014</v>
      </c>
      <c r="Z691" s="4">
        <v>0.0069896997734713</v>
      </c>
      <c r="AA691" s="4">
        <v>-0.0027589176807675</v>
      </c>
      <c r="AB691" s="4">
        <v>0.0085652674417584</v>
      </c>
      <c r="AC691" s="4">
        <v>0.0183486873654084</v>
      </c>
      <c r="AD691" s="4">
        <v>0.0077071569011619</v>
      </c>
      <c r="AE691" s="4">
        <v>0.003099416326185</v>
      </c>
      <c r="AF691" s="4">
        <v>-0.0140563151808563</v>
      </c>
      <c r="AG691" s="4">
        <v>0.0085900373692335</v>
      </c>
      <c r="AH691" s="4">
        <v>-0.0257565760082433</v>
      </c>
      <c r="AI691" s="4">
        <v>0.0039799954315959</v>
      </c>
      <c r="AJ691" s="4">
        <v>-0.00212</v>
      </c>
      <c r="AK691" s="4">
        <f>Weights!E747</f>
        <v>-0.001620944753</v>
      </c>
      <c r="AL691" s="5">
        <v>-0.0121104704739269</v>
      </c>
      <c r="AM691" s="5">
        <v>-0.0109626165645223</v>
      </c>
      <c r="AN691" s="5">
        <v>-0.0254122095503891</v>
      </c>
      <c r="AO691" s="5">
        <v>-0.0269287486602498</v>
      </c>
      <c r="AP691" s="6">
        <f t="shared" si="3"/>
        <v>1.409754941</v>
      </c>
      <c r="AQ691" s="4">
        <f t="shared" si="4"/>
        <v>1.12890646</v>
      </c>
      <c r="AR691" s="7">
        <f t="shared" si="5"/>
        <v>1.072279355</v>
      </c>
      <c r="AS691" s="7">
        <f t="shared" ref="AS691:AU691" si="693">AS690*(1+AM691)</f>
        <v>1.164751006</v>
      </c>
      <c r="AT691" s="5">
        <f t="shared" si="693"/>
        <v>1.196449532</v>
      </c>
      <c r="AU691" s="5">
        <f t="shared" si="693"/>
        <v>1.17035682</v>
      </c>
    </row>
    <row r="692" ht="15.75" customHeight="1">
      <c r="A692" s="3">
        <v>44832.0</v>
      </c>
      <c r="B692" s="4">
        <v>0.019099</v>
      </c>
      <c r="C692" s="4">
        <v>0.012857</v>
      </c>
      <c r="D692" s="4">
        <v>0.00942</v>
      </c>
      <c r="E692" s="4">
        <v>0.016023</v>
      </c>
      <c r="F692" s="4">
        <v>0.010642</v>
      </c>
      <c r="G692" s="4">
        <v>0.008609</v>
      </c>
      <c r="H692" s="4">
        <v>0.0</v>
      </c>
      <c r="I692" s="4">
        <v>0.02586</v>
      </c>
      <c r="J692" s="4">
        <v>0.008794</v>
      </c>
      <c r="K692" s="4">
        <v>0.020013</v>
      </c>
      <c r="L692" s="4">
        <v>0.021994</v>
      </c>
      <c r="M692" s="4">
        <v>0.026215</v>
      </c>
      <c r="N692" s="4">
        <v>0.020849</v>
      </c>
      <c r="O692" s="4">
        <v>0.030284</v>
      </c>
      <c r="P692" s="4">
        <v>0.047678</v>
      </c>
      <c r="Q692" s="4">
        <v>0.090535</v>
      </c>
      <c r="R692" s="4">
        <v>0.036844</v>
      </c>
      <c r="S692" s="4">
        <v>0.061992</v>
      </c>
      <c r="T692" s="4">
        <v>0.015481</v>
      </c>
      <c r="U692" s="4">
        <v>0.010023</v>
      </c>
      <c r="V692" s="4">
        <v>-0.015173727885429</v>
      </c>
      <c r="W692" s="4">
        <v>0.001027555027417</v>
      </c>
      <c r="X692" s="4">
        <v>0.0</v>
      </c>
      <c r="Y692" s="4">
        <v>-0.0132393682931398</v>
      </c>
      <c r="Z692" s="4">
        <v>-0.0152133847943711</v>
      </c>
      <c r="AA692" s="4">
        <v>-0.001627416584238</v>
      </c>
      <c r="AB692" s="4">
        <v>-0.0051561627683015</v>
      </c>
      <c r="AC692" s="4">
        <v>0.0</v>
      </c>
      <c r="AD692" s="4">
        <v>0.0</v>
      </c>
      <c r="AE692" s="4">
        <v>-0.0077618877496091</v>
      </c>
      <c r="AF692" s="4">
        <v>-0.0088255441490289</v>
      </c>
      <c r="AG692" s="4">
        <v>-0.0204601131726349</v>
      </c>
      <c r="AH692" s="4">
        <v>0.0029742441752906</v>
      </c>
      <c r="AI692" s="4">
        <v>-0.0015649619435965</v>
      </c>
      <c r="AJ692" s="4">
        <v>0.019672</v>
      </c>
      <c r="AK692" s="4">
        <f>Weights!E748</f>
        <v>0.009284786385</v>
      </c>
      <c r="AL692" s="5">
        <v>-0.0026693614401283</v>
      </c>
      <c r="AM692" s="5">
        <v>-0.00148158656059738</v>
      </c>
      <c r="AN692" s="5">
        <v>-0.00704719984164314</v>
      </c>
      <c r="AO692" s="5">
        <v>-0.00665281587958621</v>
      </c>
      <c r="AP692" s="6">
        <f t="shared" si="3"/>
        <v>1.422844215</v>
      </c>
      <c r="AQ692" s="4">
        <f t="shared" si="4"/>
        <v>1.151114308</v>
      </c>
      <c r="AR692" s="7">
        <f t="shared" si="5"/>
        <v>1.069417054</v>
      </c>
      <c r="AS692" s="7">
        <f t="shared" ref="AS692:AU692" si="694">AS691*(1+AM692)</f>
        <v>1.163025326</v>
      </c>
      <c r="AT692" s="5">
        <f t="shared" si="694"/>
        <v>1.188017913</v>
      </c>
      <c r="AU692" s="5">
        <f t="shared" si="694"/>
        <v>1.162570651</v>
      </c>
    </row>
    <row r="693" ht="15.75" customHeight="1">
      <c r="A693" s="3">
        <v>44833.0</v>
      </c>
      <c r="B693" s="4">
        <v>-0.028352</v>
      </c>
      <c r="C693" s="4">
        <v>-0.01904</v>
      </c>
      <c r="D693" s="4">
        <v>-0.021942</v>
      </c>
      <c r="E693" s="4">
        <v>-0.012213</v>
      </c>
      <c r="F693" s="4">
        <v>-0.007196</v>
      </c>
      <c r="G693" s="4">
        <v>-0.011</v>
      </c>
      <c r="H693" s="4">
        <v>-0.024852</v>
      </c>
      <c r="I693" s="4">
        <v>-0.02027</v>
      </c>
      <c r="J693" s="4">
        <v>-0.035866</v>
      </c>
      <c r="K693" s="4">
        <v>-0.011485</v>
      </c>
      <c r="L693" s="4">
        <v>-0.007647</v>
      </c>
      <c r="M693" s="4">
        <v>-0.019938</v>
      </c>
      <c r="N693" s="4">
        <v>-0.011565</v>
      </c>
      <c r="O693" s="4">
        <v>-0.001326</v>
      </c>
      <c r="P693" s="4">
        <v>-0.010192</v>
      </c>
      <c r="Q693" s="4">
        <v>0.018868</v>
      </c>
      <c r="R693" s="4">
        <v>0.011127</v>
      </c>
      <c r="S693" s="4">
        <v>0.012121</v>
      </c>
      <c r="T693" s="4">
        <v>-0.010569</v>
      </c>
      <c r="U693" s="4">
        <v>-0.014598</v>
      </c>
      <c r="V693" s="4">
        <v>-0.0524850560164034</v>
      </c>
      <c r="W693" s="4">
        <v>0.0</v>
      </c>
      <c r="X693" s="4">
        <v>0.0044101610625559</v>
      </c>
      <c r="Y693" s="4">
        <v>-0.0075782220626682</v>
      </c>
      <c r="Z693" s="4">
        <v>-0.0145793570933246</v>
      </c>
      <c r="AA693" s="4">
        <v>0.0037490727052649</v>
      </c>
      <c r="AB693" s="4">
        <v>-0.0283536724940632</v>
      </c>
      <c r="AC693" s="4">
        <v>0.0142095797047996</v>
      </c>
      <c r="AD693" s="4">
        <v>-0.0075610545872559</v>
      </c>
      <c r="AE693" s="4">
        <v>0.00296193012206</v>
      </c>
      <c r="AF693" s="4">
        <v>0.0</v>
      </c>
      <c r="AG693" s="4">
        <v>0.002698470053783</v>
      </c>
      <c r="AH693" s="4">
        <v>0.0247116333259045</v>
      </c>
      <c r="AI693" s="4">
        <v>-0.0036573014059085</v>
      </c>
      <c r="AJ693" s="4">
        <v>-0.021126</v>
      </c>
      <c r="AK693" s="4">
        <f>Weights!E749</f>
        <v>-0.008331260094</v>
      </c>
      <c r="AL693" s="5">
        <v>0.0205194857336066</v>
      </c>
      <c r="AM693" s="5">
        <v>0.021047286645309</v>
      </c>
      <c r="AN693" s="5">
        <v>-0.00141948702559557</v>
      </c>
      <c r="AO693" s="5">
        <v>-0.00241083618183657</v>
      </c>
      <c r="AP693" s="6">
        <f t="shared" si="3"/>
        <v>1.410990129</v>
      </c>
      <c r="AQ693" s="4">
        <f t="shared" si="4"/>
        <v>1.126795867</v>
      </c>
      <c r="AR693" s="7">
        <f t="shared" si="5"/>
        <v>1.091360942</v>
      </c>
      <c r="AS693" s="7">
        <f t="shared" ref="AS693:AU693" si="695">AS692*(1+AM693)</f>
        <v>1.187503854</v>
      </c>
      <c r="AT693" s="5">
        <f t="shared" si="695"/>
        <v>1.186331537</v>
      </c>
      <c r="AU693" s="5">
        <f t="shared" si="695"/>
        <v>1.159767884</v>
      </c>
    </row>
    <row r="694" ht="15.75" customHeight="1">
      <c r="A694" s="3">
        <v>44834.0</v>
      </c>
      <c r="B694" s="4">
        <v>-0.017804</v>
      </c>
      <c r="C694" s="4">
        <v>-0.017339</v>
      </c>
      <c r="D694" s="4">
        <v>-0.006189</v>
      </c>
      <c r="E694" s="4">
        <v>-0.020107</v>
      </c>
      <c r="F694" s="4">
        <v>-0.009722</v>
      </c>
      <c r="G694" s="4">
        <v>-0.007111</v>
      </c>
      <c r="H694" s="4">
        <v>-0.019036</v>
      </c>
      <c r="I694" s="4">
        <v>-0.015915</v>
      </c>
      <c r="J694" s="4">
        <v>-0.0186</v>
      </c>
      <c r="K694" s="4">
        <v>-0.010328</v>
      </c>
      <c r="L694" s="4">
        <v>-0.008807</v>
      </c>
      <c r="M694" s="4">
        <v>-0.003814</v>
      </c>
      <c r="N694" s="4">
        <v>-0.010207</v>
      </c>
      <c r="O694" s="4">
        <v>-7.32E-4</v>
      </c>
      <c r="P694" s="4">
        <v>0.006466</v>
      </c>
      <c r="Q694" s="4">
        <v>-0.001235</v>
      </c>
      <c r="R694" s="4">
        <v>-0.029819</v>
      </c>
      <c r="S694" s="4">
        <v>0.019855</v>
      </c>
      <c r="T694" s="4">
        <v>0.016146</v>
      </c>
      <c r="U694" s="4">
        <v>-0.013866</v>
      </c>
      <c r="V694" s="4">
        <v>0.0310532315197116</v>
      </c>
      <c r="W694" s="4">
        <v>-0.046535597212641</v>
      </c>
      <c r="X694" s="4">
        <v>-0.0054884961760673</v>
      </c>
      <c r="Y694" s="4">
        <v>-0.0237839764237121</v>
      </c>
      <c r="Z694" s="4">
        <v>-0.0347836022063987</v>
      </c>
      <c r="AA694" s="4">
        <v>-0.0081196162892345</v>
      </c>
      <c r="AB694" s="4">
        <v>-0.0100407891910215</v>
      </c>
      <c r="AC694" s="4">
        <v>-0.0087565602743417</v>
      </c>
      <c r="AD694" s="4">
        <v>-0.0095240999790133</v>
      </c>
      <c r="AE694" s="4">
        <v>-0.0072694439099538</v>
      </c>
      <c r="AF694" s="4">
        <v>-0.0082192078750749</v>
      </c>
      <c r="AG694" s="4">
        <v>-0.0152496226776366</v>
      </c>
      <c r="AH694" s="4">
        <v>0.0</v>
      </c>
      <c r="AI694" s="4">
        <v>5.243894797972E-4</v>
      </c>
      <c r="AJ694" s="4">
        <v>-0.015067</v>
      </c>
      <c r="AK694" s="4">
        <f>Weights!E750</f>
        <v>-0.008615533177</v>
      </c>
      <c r="AL694" s="5">
        <v>-0.0172899736481353</v>
      </c>
      <c r="AM694" s="5">
        <v>-0.0207749911652831</v>
      </c>
      <c r="AN694" s="5">
        <v>0.0170576177912096</v>
      </c>
      <c r="AO694" s="5">
        <v>0.0206764337318472</v>
      </c>
      <c r="AP694" s="6">
        <f t="shared" si="3"/>
        <v>1.398833697</v>
      </c>
      <c r="AQ694" s="4">
        <f t="shared" si="4"/>
        <v>1.109818434</v>
      </c>
      <c r="AR694" s="7">
        <f t="shared" si="5"/>
        <v>1.07249134</v>
      </c>
      <c r="AS694" s="7">
        <f t="shared" ref="AS694:AU694" si="696">AS693*(1+AM694)</f>
        <v>1.162833471</v>
      </c>
      <c r="AT694" s="5">
        <f t="shared" si="696"/>
        <v>1.206567527</v>
      </c>
      <c r="AU694" s="5">
        <f t="shared" si="696"/>
        <v>1.183747748</v>
      </c>
    </row>
    <row r="695" ht="15.75" customHeight="1">
      <c r="A695" s="3">
        <v>44837.0</v>
      </c>
      <c r="B695" s="4">
        <v>0.041793</v>
      </c>
      <c r="C695" s="4">
        <v>0.03134</v>
      </c>
      <c r="D695" s="4">
        <v>0.033731</v>
      </c>
      <c r="E695" s="4">
        <v>0.012189</v>
      </c>
      <c r="F695" s="4">
        <v>0.011246</v>
      </c>
      <c r="G695" s="4">
        <v>-9.79E-4</v>
      </c>
      <c r="H695" s="4">
        <v>0.017901</v>
      </c>
      <c r="I695" s="4">
        <v>0.036388</v>
      </c>
      <c r="J695" s="4">
        <v>0.023954</v>
      </c>
      <c r="K695" s="4">
        <v>0.033263</v>
      </c>
      <c r="L695" s="4">
        <v>0.021879</v>
      </c>
      <c r="M695" s="4">
        <v>0.029355</v>
      </c>
      <c r="N695" s="4">
        <v>0.036469</v>
      </c>
      <c r="O695" s="4">
        <v>0.027256</v>
      </c>
      <c r="P695" s="4">
        <v>0.039971</v>
      </c>
      <c r="Q695" s="4">
        <v>0.034611</v>
      </c>
      <c r="R695" s="4">
        <v>0.073546</v>
      </c>
      <c r="S695" s="4">
        <v>0.039246</v>
      </c>
      <c r="T695" s="4">
        <v>0.068605</v>
      </c>
      <c r="U695" s="4">
        <v>0.021387</v>
      </c>
      <c r="V695" s="4">
        <v>0.0172974838723554</v>
      </c>
      <c r="W695" s="4">
        <v>-0.001255902386118</v>
      </c>
      <c r="X695" s="4">
        <v>-0.0044149393568653</v>
      </c>
      <c r="Y695" s="4">
        <v>0.0014103905322748</v>
      </c>
      <c r="Z695" s="4">
        <v>-0.0019287156718853</v>
      </c>
      <c r="AA695" s="4">
        <v>-0.0050751598241191</v>
      </c>
      <c r="AB695" s="4">
        <v>-0.0067610860144867</v>
      </c>
      <c r="AC695" s="4">
        <v>-0.0176679048653006</v>
      </c>
      <c r="AD695" s="4">
        <v>0.0048077881533767</v>
      </c>
      <c r="AE695" s="4">
        <v>0.0061020505580702</v>
      </c>
      <c r="AF695" s="4">
        <v>0.0065607482594665</v>
      </c>
      <c r="AG695" s="4">
        <v>-0.0065790915428348</v>
      </c>
      <c r="AH695" s="4">
        <v>0.0073954992550377</v>
      </c>
      <c r="AI695" s="4">
        <v>-0.0015722332760461</v>
      </c>
      <c r="AJ695" s="4">
        <v>0.025884</v>
      </c>
      <c r="AK695" s="4">
        <f>Weights!E751</f>
        <v>0.01615802797</v>
      </c>
      <c r="AL695" s="5">
        <v>-0.012058930840004</v>
      </c>
      <c r="AM695" s="5">
        <v>-0.0135758464563381</v>
      </c>
      <c r="AN695" s="5">
        <v>-0.0108315895295596</v>
      </c>
      <c r="AO695" s="5">
        <v>-0.0119130833801227</v>
      </c>
      <c r="AP695" s="6">
        <f t="shared" si="3"/>
        <v>1.421436091</v>
      </c>
      <c r="AQ695" s="4">
        <f t="shared" si="4"/>
        <v>1.138544974</v>
      </c>
      <c r="AR695" s="7">
        <f t="shared" si="5"/>
        <v>1.059558241</v>
      </c>
      <c r="AS695" s="7">
        <f t="shared" ref="AS695:AU695" si="697">AS694*(1+AM695)</f>
        <v>1.147047023</v>
      </c>
      <c r="AT695" s="5">
        <f t="shared" si="697"/>
        <v>1.193498483</v>
      </c>
      <c r="AU695" s="5">
        <f t="shared" si="697"/>
        <v>1.169645662</v>
      </c>
    </row>
    <row r="696" ht="15.75" customHeight="1">
      <c r="A696" s="3">
        <v>44838.0</v>
      </c>
      <c r="B696" s="4">
        <v>0.02175</v>
      </c>
      <c r="C696" s="4">
        <v>0.016599</v>
      </c>
      <c r="D696" s="4">
        <v>0.017068</v>
      </c>
      <c r="E696" s="4">
        <v>0.011256</v>
      </c>
      <c r="F696" s="4">
        <v>0.002295</v>
      </c>
      <c r="G696" s="4">
        <v>0.014828</v>
      </c>
      <c r="H696" s="4">
        <v>0.012373</v>
      </c>
      <c r="I696" s="4">
        <v>0.025228</v>
      </c>
      <c r="J696" s="4">
        <v>0.021594</v>
      </c>
      <c r="K696" s="4">
        <v>0.027458</v>
      </c>
      <c r="L696" s="4">
        <v>0.034779</v>
      </c>
      <c r="M696" s="4">
        <v>0.046497</v>
      </c>
      <c r="N696" s="4">
        <v>0.04198</v>
      </c>
      <c r="O696" s="4">
        <v>0.019978</v>
      </c>
      <c r="P696" s="4">
        <v>0.01876</v>
      </c>
      <c r="Q696" s="4">
        <v>0.037037</v>
      </c>
      <c r="R696" s="4">
        <v>0.04908</v>
      </c>
      <c r="S696" s="4">
        <v>0.03479</v>
      </c>
      <c r="T696" s="4">
        <v>0.043558</v>
      </c>
      <c r="U696" s="4">
        <v>0.033691</v>
      </c>
      <c r="V696" s="4">
        <v>0.0837168632870075</v>
      </c>
      <c r="W696" s="4">
        <v>-0.0377290148091202</v>
      </c>
      <c r="X696" s="4">
        <v>-0.0144124738291139</v>
      </c>
      <c r="Y696" s="4">
        <v>-0.0115883864007886</v>
      </c>
      <c r="Z696" s="4">
        <v>-0.0109845115384781</v>
      </c>
      <c r="AA696" s="4">
        <v>0.0113542695990507</v>
      </c>
      <c r="AB696" s="4">
        <v>-0.0064830010811485</v>
      </c>
      <c r="AC696" s="4">
        <v>-0.0143884019923306</v>
      </c>
      <c r="AD696" s="4">
        <v>-0.0311003683791244</v>
      </c>
      <c r="AE696" s="4">
        <v>-0.0124335599719023</v>
      </c>
      <c r="AF696" s="4">
        <v>-0.0432247332018401</v>
      </c>
      <c r="AG696" s="4">
        <v>0.0181354968023312</v>
      </c>
      <c r="AH696" s="4">
        <v>0.0421322094607357</v>
      </c>
      <c r="AI696" s="4">
        <v>-0.0015748199030373</v>
      </c>
      <c r="AJ696" s="4">
        <v>0.030584</v>
      </c>
      <c r="AK696" s="4">
        <f>Weights!E752</f>
        <v>0.01637886223</v>
      </c>
      <c r="AL696" s="5">
        <v>0.0245122818447993</v>
      </c>
      <c r="AM696" s="5">
        <v>0.0254080163873828</v>
      </c>
      <c r="AN696" s="5">
        <v>-0.00105970830199886</v>
      </c>
      <c r="AO696" s="5">
        <v>-8.05526450530336E-4</v>
      </c>
      <c r="AP696" s="6">
        <f t="shared" si="3"/>
        <v>1.444717597</v>
      </c>
      <c r="AQ696" s="4">
        <f t="shared" si="4"/>
        <v>1.173366234</v>
      </c>
      <c r="AR696" s="7">
        <f t="shared" si="5"/>
        <v>1.085530432</v>
      </c>
      <c r="AS696" s="7">
        <f t="shared" ref="AS696:AU696" si="698">AS695*(1+AM696)</f>
        <v>1.176191212</v>
      </c>
      <c r="AT696" s="5">
        <f t="shared" si="698"/>
        <v>1.192233723</v>
      </c>
      <c r="AU696" s="5">
        <f t="shared" si="698"/>
        <v>1.168703482</v>
      </c>
    </row>
    <row r="697" ht="15.75" customHeight="1">
      <c r="A697" s="3">
        <v>44839.0</v>
      </c>
      <c r="B697" s="4">
        <v>-0.016556</v>
      </c>
      <c r="C697" s="4">
        <v>-0.010299</v>
      </c>
      <c r="D697" s="4">
        <v>-0.03307</v>
      </c>
      <c r="E697" s="4">
        <v>-0.006642</v>
      </c>
      <c r="F697" s="4">
        <v>-0.00951</v>
      </c>
      <c r="G697" s="4">
        <v>-0.003079</v>
      </c>
      <c r="H697" s="4">
        <v>-0.006918</v>
      </c>
      <c r="I697" s="4">
        <v>-0.01243</v>
      </c>
      <c r="J697" s="4">
        <v>-0.028183</v>
      </c>
      <c r="K697" s="4">
        <v>-0.013055</v>
      </c>
      <c r="L697" s="4">
        <v>-0.011028</v>
      </c>
      <c r="M697" s="4">
        <v>-0.024882</v>
      </c>
      <c r="N697" s="4">
        <v>-0.024918</v>
      </c>
      <c r="O697" s="4">
        <v>0.013247</v>
      </c>
      <c r="P697" s="4">
        <v>-0.014148</v>
      </c>
      <c r="Q697" s="4">
        <v>0.004608</v>
      </c>
      <c r="R697" s="4">
        <v>-0.008772</v>
      </c>
      <c r="S697" s="4">
        <v>-0.01954</v>
      </c>
      <c r="T697" s="4">
        <v>-0.012237</v>
      </c>
      <c r="U697" s="4">
        <v>-0.006028</v>
      </c>
      <c r="V697" s="4">
        <v>-0.0106138564460379</v>
      </c>
      <c r="W697" s="4">
        <v>0.0274456861622247</v>
      </c>
      <c r="X697" s="4">
        <v>0.0</v>
      </c>
      <c r="Y697" s="4">
        <v>-0.0040161112802379</v>
      </c>
      <c r="Z697" s="4">
        <v>8.225624994908E-4</v>
      </c>
      <c r="AA697" s="4">
        <v>-0.0024406552895658</v>
      </c>
      <c r="AB697" s="4">
        <v>0.0120717297006212</v>
      </c>
      <c r="AC697" s="4">
        <v>0.0</v>
      </c>
      <c r="AD697" s="4">
        <v>0.0</v>
      </c>
      <c r="AE697" s="4">
        <v>0.0102872193306544</v>
      </c>
      <c r="AF697" s="4">
        <v>0.0423091555386783</v>
      </c>
      <c r="AG697" s="4">
        <v>-0.0049032845054436</v>
      </c>
      <c r="AH697" s="4">
        <v>-0.0220520748513096</v>
      </c>
      <c r="AI697" s="4">
        <v>0.0052576795752301</v>
      </c>
      <c r="AJ697" s="4">
        <v>-0.002018</v>
      </c>
      <c r="AK697" s="4">
        <f>Weights!E753</f>
        <v>-0.006355771594</v>
      </c>
      <c r="AL697" s="5">
        <v>0.0340821145832532</v>
      </c>
      <c r="AM697" s="5">
        <v>0.0321145831262115</v>
      </c>
      <c r="AN697" s="5">
        <v>0.0222771899554474</v>
      </c>
      <c r="AO697" s="5">
        <v>0.0239181716037935</v>
      </c>
      <c r="AP697" s="6">
        <f t="shared" si="3"/>
        <v>1.435535302</v>
      </c>
      <c r="AQ697" s="4">
        <f t="shared" si="4"/>
        <v>1.170998381</v>
      </c>
      <c r="AR697" s="7">
        <f t="shared" si="5"/>
        <v>1.122527604</v>
      </c>
      <c r="AS697" s="7">
        <f t="shared" ref="AS697:AU697" si="699">AS696*(1+AM697)</f>
        <v>1.213964103</v>
      </c>
      <c r="AT697" s="5">
        <f t="shared" si="699"/>
        <v>1.21879334</v>
      </c>
      <c r="AU697" s="5">
        <f t="shared" si="699"/>
        <v>1.196656732</v>
      </c>
    </row>
    <row r="698" ht="15.75" customHeight="1">
      <c r="A698" s="3">
        <v>44840.0</v>
      </c>
      <c r="B698" s="4">
        <v>-0.036556</v>
      </c>
      <c r="C698" s="4">
        <v>-0.039594</v>
      </c>
      <c r="D698" s="4">
        <v>-0.039816</v>
      </c>
      <c r="E698" s="4">
        <v>-0.019277</v>
      </c>
      <c r="F698" s="4">
        <v>-0.021515</v>
      </c>
      <c r="G698" s="4">
        <v>-0.019381</v>
      </c>
      <c r="H698" s="4">
        <v>-0.021053</v>
      </c>
      <c r="I698" s="4">
        <v>-0.044696</v>
      </c>
      <c r="J698" s="4">
        <v>-0.039876</v>
      </c>
      <c r="K698" s="4">
        <v>-0.04552</v>
      </c>
      <c r="L698" s="4">
        <v>-0.037914</v>
      </c>
      <c r="M698" s="4">
        <v>-0.014581</v>
      </c>
      <c r="N698" s="4">
        <v>-0.023406</v>
      </c>
      <c r="O698" s="4">
        <v>-0.008241</v>
      </c>
      <c r="P698" s="4">
        <v>0.022551</v>
      </c>
      <c r="Q698" s="4">
        <v>0.001147</v>
      </c>
      <c r="R698" s="4">
        <v>-0.022616</v>
      </c>
      <c r="S698" s="4">
        <v>0.009672</v>
      </c>
      <c r="T698" s="4">
        <v>-3.39E-4</v>
      </c>
      <c r="U698" s="4">
        <v>-0.049996</v>
      </c>
      <c r="V698" s="4">
        <v>0.00886200388759972</v>
      </c>
      <c r="W698" s="4">
        <v>0.0063601882705941</v>
      </c>
      <c r="X698" s="4">
        <v>-0.0079095448147252</v>
      </c>
      <c r="Y698" s="4">
        <v>0.0</v>
      </c>
      <c r="Z698" s="4">
        <v>0.0</v>
      </c>
      <c r="AA698" s="4">
        <v>0.0</v>
      </c>
      <c r="AB698" s="4">
        <v>0.0</v>
      </c>
      <c r="AC698" s="4">
        <v>0.003696854484448</v>
      </c>
      <c r="AD698" s="4">
        <v>-0.0110023991742228</v>
      </c>
      <c r="AE698" s="4">
        <v>0.0</v>
      </c>
      <c r="AF698" s="4">
        <v>-0.0037839904811655</v>
      </c>
      <c r="AG698" s="4">
        <v>0.0</v>
      </c>
      <c r="AH698" s="4">
        <v>0.0</v>
      </c>
      <c r="AI698" s="4">
        <v>0.0</v>
      </c>
      <c r="AJ698" s="4">
        <v>-0.010245</v>
      </c>
      <c r="AK698" s="4">
        <f>Weights!E754</f>
        <v>-0.01304319954</v>
      </c>
      <c r="AL698" s="5">
        <v>-0.00377759576492886</v>
      </c>
      <c r="AM698" s="5">
        <v>-0.0018953934940975</v>
      </c>
      <c r="AN698" s="5">
        <v>0.0259425918096849</v>
      </c>
      <c r="AO698" s="5">
        <v>0.0267716401103621</v>
      </c>
      <c r="AP698" s="6">
        <f t="shared" si="3"/>
        <v>1.416811328</v>
      </c>
      <c r="AQ698" s="4">
        <f t="shared" si="4"/>
        <v>1.159001502</v>
      </c>
      <c r="AR698" s="7">
        <f t="shared" si="5"/>
        <v>1.118287149</v>
      </c>
      <c r="AS698" s="7">
        <f t="shared" ref="AS698:AU698" si="700">AS697*(1+AM698)</f>
        <v>1.211663163</v>
      </c>
      <c r="AT698" s="5">
        <f t="shared" si="700"/>
        <v>1.250411998</v>
      </c>
      <c r="AU698" s="5">
        <f t="shared" si="700"/>
        <v>1.228693195</v>
      </c>
    </row>
    <row r="699" ht="15.75" customHeight="1">
      <c r="A699" s="3">
        <v>44841.0</v>
      </c>
      <c r="B699" s="4">
        <v>0.0</v>
      </c>
      <c r="C699" s="4">
        <v>-0.026163</v>
      </c>
      <c r="D699" s="4">
        <v>0.001595</v>
      </c>
      <c r="E699" s="4">
        <v>-0.00731</v>
      </c>
      <c r="F699" s="4">
        <v>-0.009449</v>
      </c>
      <c r="G699" s="4">
        <v>-0.010561</v>
      </c>
      <c r="H699" s="4">
        <v>-0.017473</v>
      </c>
      <c r="I699" s="4">
        <v>-0.003764</v>
      </c>
      <c r="J699" s="4">
        <v>-0.002967</v>
      </c>
      <c r="K699" s="4">
        <v>-0.014173</v>
      </c>
      <c r="L699" s="4">
        <v>-0.027928</v>
      </c>
      <c r="M699" s="4">
        <v>-0.018496</v>
      </c>
      <c r="N699" s="4">
        <v>-0.012717</v>
      </c>
      <c r="O699" s="4">
        <v>-0.032369</v>
      </c>
      <c r="P699" s="4">
        <v>-0.051014</v>
      </c>
      <c r="Q699" s="4">
        <v>-0.018328</v>
      </c>
      <c r="R699" s="4">
        <v>-0.029175</v>
      </c>
      <c r="S699" s="4">
        <v>-0.06328</v>
      </c>
      <c r="T699" s="4">
        <v>-0.023767</v>
      </c>
      <c r="U699" s="4">
        <v>-0.035258</v>
      </c>
      <c r="V699" s="4">
        <v>-0.0217291036976357</v>
      </c>
      <c r="W699" s="4">
        <v>0.0135428650635973</v>
      </c>
      <c r="X699" s="4">
        <v>-0.0159453935852711</v>
      </c>
      <c r="Y699" s="4">
        <v>-0.0048775823297354</v>
      </c>
      <c r="Z699" s="4">
        <v>-0.0068843367250251</v>
      </c>
      <c r="AA699" s="4">
        <v>0.0021201682745917</v>
      </c>
      <c r="AB699" s="4">
        <v>-0.0125726128010702</v>
      </c>
      <c r="AC699" s="4">
        <v>0.0055248571338006</v>
      </c>
      <c r="AD699" s="4">
        <v>-0.0098887337650418</v>
      </c>
      <c r="AE699" s="4">
        <v>2.278972383122E-4</v>
      </c>
      <c r="AF699" s="4">
        <v>0.0158839656685634</v>
      </c>
      <c r="AG699" s="4">
        <v>-0.0071400162636879</v>
      </c>
      <c r="AH699" s="4">
        <v>0.0460381560813574</v>
      </c>
      <c r="AI699" s="4">
        <v>-0.0062762171515486</v>
      </c>
      <c r="AJ699" s="4">
        <v>-0.028004</v>
      </c>
      <c r="AK699" s="4">
        <f>Weights!E755</f>
        <v>-0.00941833852</v>
      </c>
      <c r="AL699" s="5">
        <v>-0.0123233451105768</v>
      </c>
      <c r="AM699" s="5">
        <v>-0.00954743776342814</v>
      </c>
      <c r="AN699" s="5">
        <v>-0.00809158973757129</v>
      </c>
      <c r="AO699" s="5">
        <v>-0.00766867697997242</v>
      </c>
      <c r="AP699" s="6">
        <f t="shared" si="3"/>
        <v>1.40346732</v>
      </c>
      <c r="AQ699" s="4">
        <f t="shared" si="4"/>
        <v>1.126544824</v>
      </c>
      <c r="AR699" s="7">
        <f t="shared" si="5"/>
        <v>1.10450611</v>
      </c>
      <c r="AS699" s="7">
        <f t="shared" ref="AS699:AU699" si="701">AS698*(1+AM699)</f>
        <v>1.200094885</v>
      </c>
      <c r="AT699" s="5">
        <f t="shared" si="701"/>
        <v>1.240294177</v>
      </c>
      <c r="AU699" s="5">
        <f t="shared" si="701"/>
        <v>1.219270744</v>
      </c>
    </row>
    <row r="700" ht="15.75" customHeight="1">
      <c r="A700" s="3">
        <v>44844.0</v>
      </c>
      <c r="B700" s="4">
        <v>-0.014478</v>
      </c>
      <c r="C700" s="4">
        <v>-0.006242</v>
      </c>
      <c r="D700" s="4">
        <v>-0.007696</v>
      </c>
      <c r="E700" s="4">
        <v>0.001299</v>
      </c>
      <c r="F700" s="4">
        <v>-0.002201</v>
      </c>
      <c r="G700" s="4">
        <v>0.001311</v>
      </c>
      <c r="H700" s="4">
        <v>-0.004104</v>
      </c>
      <c r="I700" s="4">
        <v>-0.017274</v>
      </c>
      <c r="J700" s="4">
        <v>-0.009197</v>
      </c>
      <c r="K700" s="4">
        <v>-0.01237</v>
      </c>
      <c r="L700" s="4">
        <v>-0.003861</v>
      </c>
      <c r="M700" s="4">
        <v>-0.008794</v>
      </c>
      <c r="N700" s="4">
        <v>-0.009165</v>
      </c>
      <c r="O700" s="4">
        <v>-0.014523</v>
      </c>
      <c r="P700" s="4">
        <v>-0.007512</v>
      </c>
      <c r="Q700" s="4">
        <v>-0.030338</v>
      </c>
      <c r="R700" s="4">
        <v>0.010708</v>
      </c>
      <c r="S700" s="4">
        <v>-0.013015</v>
      </c>
      <c r="T700" s="4">
        <v>0.026606</v>
      </c>
      <c r="U700" s="4">
        <v>-0.006155</v>
      </c>
      <c r="V700" s="4">
        <v>-0.00330806096876135</v>
      </c>
      <c r="W700" s="4">
        <v>-0.0222698152588514</v>
      </c>
      <c r="X700" s="4">
        <v>-0.0081018845302528</v>
      </c>
      <c r="Y700" s="4">
        <v>0.0213620738884627</v>
      </c>
      <c r="Z700" s="4">
        <v>0.0207966603424345</v>
      </c>
      <c r="AA700" s="4">
        <v>0.0120444403251545</v>
      </c>
      <c r="AB700" s="4">
        <v>0.0104473618774532</v>
      </c>
      <c r="AC700" s="4">
        <v>-0.0073260010691321</v>
      </c>
      <c r="AD700" s="4">
        <v>-0.0049936403182573</v>
      </c>
      <c r="AE700" s="4">
        <v>0.0083566991416985</v>
      </c>
      <c r="AF700" s="4">
        <v>-0.0071379652660258</v>
      </c>
      <c r="AG700" s="4">
        <v>0.019750761180155</v>
      </c>
      <c r="AH700" s="4">
        <v>-0.0224550332911579</v>
      </c>
      <c r="AI700" s="4">
        <v>0.0010526428067629</v>
      </c>
      <c r="AJ700" s="4">
        <v>-0.007492</v>
      </c>
      <c r="AK700" s="4">
        <f>Weights!E756</f>
        <v>-0.002733516017</v>
      </c>
      <c r="AL700" s="5">
        <v>-0.0253383690751588</v>
      </c>
      <c r="AM700" s="5">
        <v>-0.0285988462635169</v>
      </c>
      <c r="AN700" s="5">
        <v>-0.0139362322811111</v>
      </c>
      <c r="AO700" s="5">
        <v>-0.0131375510807035</v>
      </c>
      <c r="AP700" s="6">
        <f t="shared" si="3"/>
        <v>1.399630919</v>
      </c>
      <c r="AQ700" s="4">
        <f t="shared" si="4"/>
        <v>1.11810475</v>
      </c>
      <c r="AR700" s="7">
        <f t="shared" si="5"/>
        <v>1.076519727</v>
      </c>
      <c r="AS700" s="7">
        <f t="shared" ref="AS700:AU700" si="702">AS699*(1+AM700)</f>
        <v>1.165773555</v>
      </c>
      <c r="AT700" s="5">
        <f t="shared" si="702"/>
        <v>1.223009149</v>
      </c>
      <c r="AU700" s="5">
        <f t="shared" si="702"/>
        <v>1.203252513</v>
      </c>
    </row>
    <row r="701" ht="15.75" customHeight="1">
      <c r="A701" s="3">
        <v>44845.0</v>
      </c>
      <c r="B701" s="4">
        <v>-0.010638</v>
      </c>
      <c r="C701" s="4">
        <v>-0.018569</v>
      </c>
      <c r="D701" s="4">
        <v>0.001872</v>
      </c>
      <c r="E701" s="4">
        <v>0.004758</v>
      </c>
      <c r="F701" s="4">
        <v>0.001655</v>
      </c>
      <c r="G701" s="4">
        <v>0.014463</v>
      </c>
      <c r="H701" s="4">
        <v>0.003798</v>
      </c>
      <c r="I701" s="4">
        <v>-0.010437</v>
      </c>
      <c r="J701" s="4">
        <v>-0.00546</v>
      </c>
      <c r="K701" s="4">
        <v>-0.008294</v>
      </c>
      <c r="L701" s="4">
        <v>-0.025194</v>
      </c>
      <c r="M701" s="4">
        <v>-0.023447</v>
      </c>
      <c r="N701" s="4">
        <v>-0.01525</v>
      </c>
      <c r="O701" s="4">
        <v>-0.019071</v>
      </c>
      <c r="P701" s="4">
        <v>-0.01088</v>
      </c>
      <c r="Q701" s="4">
        <v>0.0</v>
      </c>
      <c r="R701" s="4">
        <v>-0.002734</v>
      </c>
      <c r="S701" s="4">
        <v>-0.004082</v>
      </c>
      <c r="T701" s="4">
        <v>0.006691</v>
      </c>
      <c r="U701" s="4">
        <v>0.002323</v>
      </c>
      <c r="V701" s="4">
        <v>-0.0346136378833001</v>
      </c>
      <c r="W701" s="4">
        <v>0.0184037772706673</v>
      </c>
      <c r="X701" s="4">
        <v>0.0</v>
      </c>
      <c r="Y701" s="4">
        <v>0.0049510942349939</v>
      </c>
      <c r="Z701" s="4">
        <v>0.0120615589198163</v>
      </c>
      <c r="AA701" s="4">
        <v>0.0</v>
      </c>
      <c r="AB701" s="4">
        <v>0.018739903472053</v>
      </c>
      <c r="AC701" s="4">
        <v>0.012915118039547</v>
      </c>
      <c r="AD701" s="4">
        <v>-0.0012547844377092</v>
      </c>
      <c r="AE701" s="4">
        <v>-0.007684815465748</v>
      </c>
      <c r="AF701" s="4">
        <v>0.0201986424360891</v>
      </c>
      <c r="AG701" s="4">
        <v>0.0156933911712509</v>
      </c>
      <c r="AH701" s="4">
        <v>0.0082695098136078</v>
      </c>
      <c r="AI701" s="4">
        <v>-0.001577081889053</v>
      </c>
      <c r="AJ701" s="4">
        <v>-0.006519</v>
      </c>
      <c r="AK701" s="4">
        <f>Weights!E757</f>
        <v>-0.00183838315</v>
      </c>
      <c r="AL701" s="5">
        <v>-0.00630227818269035</v>
      </c>
      <c r="AM701" s="5">
        <v>-0.00794960580248183</v>
      </c>
      <c r="AN701" s="5">
        <v>-0.0193036723393026</v>
      </c>
      <c r="AO701" s="5">
        <v>-0.0206212788850332</v>
      </c>
      <c r="AP701" s="6">
        <f t="shared" si="3"/>
        <v>1.397057861</v>
      </c>
      <c r="AQ701" s="4">
        <f t="shared" si="4"/>
        <v>1.110815826</v>
      </c>
      <c r="AR701" s="7">
        <f t="shared" si="5"/>
        <v>1.0697352</v>
      </c>
      <c r="AS701" s="7">
        <f t="shared" ref="AS701:AU701" si="703">AS700*(1+AM701)</f>
        <v>1.156506115</v>
      </c>
      <c r="AT701" s="5">
        <f t="shared" si="703"/>
        <v>1.199400581</v>
      </c>
      <c r="AU701" s="5">
        <f t="shared" si="703"/>
        <v>1.178439907</v>
      </c>
    </row>
    <row r="702" ht="15.75" customHeight="1">
      <c r="A702" s="3">
        <v>44846.0</v>
      </c>
      <c r="B702" s="4">
        <v>-0.013825</v>
      </c>
      <c r="C702" s="4">
        <v>-0.007234</v>
      </c>
      <c r="D702" s="4">
        <v>-0.010945</v>
      </c>
      <c r="E702" s="4">
        <v>0.041823</v>
      </c>
      <c r="F702" s="4">
        <v>0.012115</v>
      </c>
      <c r="G702" s="4">
        <v>-2.46E-4</v>
      </c>
      <c r="H702" s="4">
        <v>0.00161</v>
      </c>
      <c r="I702" s="4">
        <v>-0.011379</v>
      </c>
      <c r="J702" s="4">
        <v>-0.027175</v>
      </c>
      <c r="K702" s="4">
        <v>-0.001024</v>
      </c>
      <c r="L702" s="4">
        <v>0.003742</v>
      </c>
      <c r="M702" s="4">
        <v>-0.003245</v>
      </c>
      <c r="N702" s="4">
        <v>-0.008885</v>
      </c>
      <c r="O702" s="4">
        <v>-0.022651</v>
      </c>
      <c r="P702" s="4">
        <v>0.002152</v>
      </c>
      <c r="Q702" s="4">
        <v>-0.012034</v>
      </c>
      <c r="R702" s="4">
        <v>-0.011652</v>
      </c>
      <c r="S702" s="4">
        <v>0.009458</v>
      </c>
      <c r="T702" s="4">
        <v>0.003786</v>
      </c>
      <c r="U702" s="4">
        <v>-0.01622</v>
      </c>
      <c r="V702" s="4">
        <v>-0.0412573653824489</v>
      </c>
      <c r="W702" s="4">
        <v>0.0472355961528541</v>
      </c>
      <c r="X702" s="4">
        <v>0.0</v>
      </c>
      <c r="Y702" s="4">
        <v>0.0165068449933583</v>
      </c>
      <c r="Z702" s="4">
        <v>0.0215322602668477</v>
      </c>
      <c r="AA702" s="4">
        <v>0.004824645998797</v>
      </c>
      <c r="AB702" s="4">
        <v>0.0206153483828352</v>
      </c>
      <c r="AC702" s="4">
        <v>0.0</v>
      </c>
      <c r="AD702" s="4">
        <v>0.0</v>
      </c>
      <c r="AE702" s="4">
        <v>0.0045555911838659</v>
      </c>
      <c r="AF702" s="4">
        <v>0.0164428406620316</v>
      </c>
      <c r="AG702" s="4">
        <v>-0.0010758186460788</v>
      </c>
      <c r="AH702" s="4">
        <v>0.0088092476858296</v>
      </c>
      <c r="AI702" s="4">
        <v>0.0031593683442185</v>
      </c>
      <c r="AJ702" s="4">
        <v>-0.003291</v>
      </c>
      <c r="AK702" s="4">
        <f>Weights!E758</f>
        <v>0.0002816066437</v>
      </c>
      <c r="AL702" s="5">
        <v>-0.00852262308509932</v>
      </c>
      <c r="AM702" s="5">
        <v>-0.00641050668985243</v>
      </c>
      <c r="AN702" s="5">
        <v>-0.019683638854189</v>
      </c>
      <c r="AO702" s="5">
        <v>-0.0197227616646755</v>
      </c>
      <c r="AP702" s="6">
        <f t="shared" si="3"/>
        <v>1.397451282</v>
      </c>
      <c r="AQ702" s="4">
        <f t="shared" si="4"/>
        <v>1.107160131</v>
      </c>
      <c r="AR702" s="7">
        <f t="shared" si="5"/>
        <v>1.06061825</v>
      </c>
      <c r="AS702" s="7">
        <f t="shared" ref="AS702:AU702" si="704">AS701*(1+AM702)</f>
        <v>1.149092325</v>
      </c>
      <c r="AT702" s="5">
        <f t="shared" si="704"/>
        <v>1.175792014</v>
      </c>
      <c r="AU702" s="5">
        <f t="shared" si="704"/>
        <v>1.155197818</v>
      </c>
    </row>
    <row r="703" ht="15.75" customHeight="1">
      <c r="A703" s="3">
        <v>44847.0</v>
      </c>
      <c r="B703" s="4">
        <v>0.035826</v>
      </c>
      <c r="C703" s="4">
        <v>0.020179</v>
      </c>
      <c r="D703" s="4">
        <v>0.023212</v>
      </c>
      <c r="E703" s="4">
        <v>0.030816</v>
      </c>
      <c r="F703" s="4">
        <v>0.013239</v>
      </c>
      <c r="G703" s="4">
        <v>0.015121</v>
      </c>
      <c r="H703" s="4">
        <v>0.015109</v>
      </c>
      <c r="I703" s="4">
        <v>0.042392</v>
      </c>
      <c r="J703" s="4">
        <v>0.045429</v>
      </c>
      <c r="K703" s="4">
        <v>0.047155</v>
      </c>
      <c r="L703" s="4">
        <v>0.033788</v>
      </c>
      <c r="M703" s="4">
        <v>0.035156</v>
      </c>
      <c r="N703" s="4">
        <v>0.03125</v>
      </c>
      <c r="O703" s="4">
        <v>0.022129</v>
      </c>
      <c r="P703" s="4">
        <v>-0.00692</v>
      </c>
      <c r="Q703" s="4">
        <v>-0.017052</v>
      </c>
      <c r="R703" s="4">
        <v>0.018031</v>
      </c>
      <c r="S703" s="4">
        <v>-0.002498</v>
      </c>
      <c r="T703" s="4">
        <v>0.039309</v>
      </c>
      <c r="U703" s="4">
        <v>0.011149</v>
      </c>
      <c r="V703" s="4">
        <v>0.0135246288286314</v>
      </c>
      <c r="W703" s="4">
        <v>0.0218692435326159</v>
      </c>
      <c r="X703" s="4">
        <v>0.0207134535560018</v>
      </c>
      <c r="Y703" s="4">
        <v>0.0130915032355969</v>
      </c>
      <c r="Z703" s="4">
        <v>0.0163724989908373</v>
      </c>
      <c r="AA703" s="4">
        <v>-6.402637608009E-4</v>
      </c>
      <c r="AB703" s="4">
        <v>0.0127406968692287</v>
      </c>
      <c r="AC703" s="4">
        <v>0.0053571383961863</v>
      </c>
      <c r="AD703" s="4">
        <v>-0.0012515349372254</v>
      </c>
      <c r="AE703" s="4">
        <v>0.0163251917258322</v>
      </c>
      <c r="AF703" s="4">
        <v>0.0231100353497595</v>
      </c>
      <c r="AG703" s="4">
        <v>0.0087126316095287</v>
      </c>
      <c r="AH703" s="4">
        <v>0.0123456453325239</v>
      </c>
      <c r="AI703" s="4">
        <v>-5.248291507131E-4</v>
      </c>
      <c r="AJ703" s="4">
        <v>0.025966</v>
      </c>
      <c r="AK703" s="4">
        <f>Weights!E759</f>
        <v>0.01870949745</v>
      </c>
      <c r="AL703" s="5">
        <v>-0.00309836905009197</v>
      </c>
      <c r="AM703" s="5">
        <v>-0.00272539990241316</v>
      </c>
      <c r="AN703" s="5">
        <v>-0.0014340988177216</v>
      </c>
      <c r="AO703" s="5">
        <v>-2.71792440948881E-4</v>
      </c>
      <c r="AP703" s="6">
        <f t="shared" si="3"/>
        <v>1.423596893</v>
      </c>
      <c r="AQ703" s="4">
        <f t="shared" si="4"/>
        <v>1.135908651</v>
      </c>
      <c r="AR703" s="7">
        <f t="shared" si="5"/>
        <v>1.057332063</v>
      </c>
      <c r="AS703" s="7">
        <f t="shared" ref="AS703:AU703" si="705">AS702*(1+AM703)</f>
        <v>1.145960589</v>
      </c>
      <c r="AT703" s="5">
        <f t="shared" si="705"/>
        <v>1.174105812</v>
      </c>
      <c r="AU703" s="5">
        <f t="shared" si="705"/>
        <v>1.154883843</v>
      </c>
    </row>
    <row r="704" ht="15.75" customHeight="1">
      <c r="A704" s="3">
        <v>44848.0</v>
      </c>
      <c r="B704" s="4">
        <v>-0.023058</v>
      </c>
      <c r="C704" s="4">
        <v>-5.49E-4</v>
      </c>
      <c r="D704" s="4">
        <v>-0.02163</v>
      </c>
      <c r="E704" s="4">
        <v>-0.025314</v>
      </c>
      <c r="F704" s="4">
        <v>-0.01593</v>
      </c>
      <c r="G704" s="4">
        <v>-0.004178</v>
      </c>
      <c r="H704" s="4">
        <v>-0.009738</v>
      </c>
      <c r="I704" s="4">
        <v>-0.030972</v>
      </c>
      <c r="J704" s="4">
        <v>-0.022402</v>
      </c>
      <c r="K704" s="4">
        <v>-0.002611</v>
      </c>
      <c r="L704" s="4">
        <v>-0.010369</v>
      </c>
      <c r="M704" s="4">
        <v>-0.016352</v>
      </c>
      <c r="N704" s="4">
        <v>-0.019622</v>
      </c>
      <c r="O704" s="4">
        <v>-0.014107</v>
      </c>
      <c r="P704" s="4">
        <v>-0.021144</v>
      </c>
      <c r="Q704" s="4">
        <v>-0.057001</v>
      </c>
      <c r="R704" s="4">
        <v>-0.058583</v>
      </c>
      <c r="S704" s="4">
        <v>-0.038823</v>
      </c>
      <c r="T704" s="4">
        <v>-0.042661</v>
      </c>
      <c r="U704" s="4">
        <v>-0.032999</v>
      </c>
      <c r="V704" s="4">
        <v>-0.00808734553063794</v>
      </c>
      <c r="W704" s="4">
        <v>-0.0234074514149247</v>
      </c>
      <c r="X704" s="4">
        <v>0.0202931131002921</v>
      </c>
      <c r="Y704" s="4">
        <v>-0.0141650983217544</v>
      </c>
      <c r="Z704" s="4">
        <v>-0.0145653701636291</v>
      </c>
      <c r="AA704" s="4">
        <v>-0.0060856912449477</v>
      </c>
      <c r="AB704" s="4">
        <v>-0.0119668054680677</v>
      </c>
      <c r="AC704" s="4">
        <v>-0.0035523949262</v>
      </c>
      <c r="AD704" s="4">
        <v>0.0075186194382592</v>
      </c>
      <c r="AE704" s="4">
        <v>-0.0112292261450069</v>
      </c>
      <c r="AF704" s="4">
        <v>-0.0061310647101296</v>
      </c>
      <c r="AG704" s="4">
        <v>-0.025135795930633</v>
      </c>
      <c r="AH704" s="4">
        <v>0.0178465029695948</v>
      </c>
      <c r="AI704" s="4">
        <v>-0.004726718794991</v>
      </c>
      <c r="AJ704" s="4">
        <v>-0.023663</v>
      </c>
      <c r="AK704" s="4">
        <f>Weights!E760</f>
        <v>-0.01441407086</v>
      </c>
      <c r="AL704" s="5">
        <v>0.0257669134683424</v>
      </c>
      <c r="AM704" s="5">
        <v>0.0248185323723617</v>
      </c>
      <c r="AN704" s="5">
        <v>0.0240573028169623</v>
      </c>
      <c r="AO704" s="5">
        <v>0.0220290044456299</v>
      </c>
      <c r="AP704" s="6">
        <f t="shared" si="3"/>
        <v>1.403077067</v>
      </c>
      <c r="AQ704" s="4">
        <f t="shared" si="4"/>
        <v>1.109029644</v>
      </c>
      <c r="AR704" s="7">
        <f t="shared" si="5"/>
        <v>1.084576247</v>
      </c>
      <c r="AS704" s="7">
        <f t="shared" ref="AS704:AU704" si="706">AS703*(1+AM704)</f>
        <v>1.174401649</v>
      </c>
      <c r="AT704" s="5">
        <f t="shared" si="706"/>
        <v>1.202351631</v>
      </c>
      <c r="AU704" s="5">
        <f t="shared" si="706"/>
        <v>1.180324785</v>
      </c>
    </row>
    <row r="705" ht="15.75" customHeight="1">
      <c r="A705" s="3">
        <v>44851.0</v>
      </c>
      <c r="B705" s="4">
        <v>0.029246</v>
      </c>
      <c r="C705" s="4">
        <v>0.02199</v>
      </c>
      <c r="D705" s="4">
        <v>0.026692</v>
      </c>
      <c r="E705" s="4">
        <v>0.014924</v>
      </c>
      <c r="F705" s="4">
        <v>0.012914</v>
      </c>
      <c r="G705" s="4">
        <v>0.012951</v>
      </c>
      <c r="H705" s="4">
        <v>0.018068</v>
      </c>
      <c r="I705" s="4">
        <v>0.029461</v>
      </c>
      <c r="J705" s="4">
        <v>0.034511</v>
      </c>
      <c r="K705" s="4">
        <v>0.017831</v>
      </c>
      <c r="L705" s="4">
        <v>0.024826</v>
      </c>
      <c r="M705" s="4">
        <v>0.024936</v>
      </c>
      <c r="N705" s="4">
        <v>0.034963</v>
      </c>
      <c r="O705" s="4">
        <v>0.015348</v>
      </c>
      <c r="P705" s="4">
        <v>0.013991</v>
      </c>
      <c r="Q705" s="4">
        <v>0.030223</v>
      </c>
      <c r="R705" s="4">
        <v>0.042692</v>
      </c>
      <c r="S705" s="4">
        <v>0.021173</v>
      </c>
      <c r="T705" s="4">
        <v>0.028473</v>
      </c>
      <c r="U705" s="4">
        <v>0.028826</v>
      </c>
      <c r="V705" s="4">
        <v>0.0420912902779064</v>
      </c>
      <c r="W705" s="4">
        <v>-0.0236261753357797</v>
      </c>
      <c r="X705" s="4">
        <v>-0.022099447019052</v>
      </c>
      <c r="Y705" s="4">
        <v>-0.0049786273807399</v>
      </c>
      <c r="Z705" s="4">
        <v>-0.0053836050534529</v>
      </c>
      <c r="AA705" s="4">
        <v>0.0024170589824663</v>
      </c>
      <c r="AB705" s="4">
        <v>-0.0121118774271644</v>
      </c>
      <c r="AC705" s="4">
        <v>-0.0053475891378205</v>
      </c>
      <c r="AD705" s="4">
        <v>-0.0099501235489065</v>
      </c>
      <c r="AE705" s="4">
        <v>-0.0044374221185243</v>
      </c>
      <c r="AF705" s="4">
        <v>-0.0285715056094376</v>
      </c>
      <c r="AG705" s="4">
        <v>0.0059731884779228</v>
      </c>
      <c r="AH705" s="4">
        <v>-0.0029222649514648</v>
      </c>
      <c r="AI705" s="4">
        <v>0.0052767653218028</v>
      </c>
      <c r="AJ705" s="4">
        <v>0.02648</v>
      </c>
      <c r="AK705" s="4">
        <f>Weights!E761</f>
        <v>0.01183261573</v>
      </c>
      <c r="AL705" s="5">
        <v>-0.0229692740385469</v>
      </c>
      <c r="AM705" s="5">
        <v>-0.0235644658768482</v>
      </c>
      <c r="AN705" s="5">
        <v>-0.0147264593351416</v>
      </c>
      <c r="AO705" s="5">
        <v>-0.015167951890266</v>
      </c>
      <c r="AP705" s="6">
        <f t="shared" si="3"/>
        <v>1.419679139</v>
      </c>
      <c r="AQ705" s="4">
        <f t="shared" si="4"/>
        <v>1.138396749</v>
      </c>
      <c r="AR705" s="7">
        <f t="shared" si="5"/>
        <v>1.059664318</v>
      </c>
      <c r="AS705" s="7">
        <f t="shared" ref="AS705:AU705" si="707">AS704*(1+AM705)</f>
        <v>1.146727501</v>
      </c>
      <c r="AT705" s="5">
        <f t="shared" si="707"/>
        <v>1.184645248</v>
      </c>
      <c r="AU705" s="5">
        <f t="shared" si="707"/>
        <v>1.162421675</v>
      </c>
    </row>
    <row r="706" ht="15.75" customHeight="1">
      <c r="A706" s="3">
        <v>44852.0</v>
      </c>
      <c r="B706" s="4">
        <v>0.015454</v>
      </c>
      <c r="C706" s="4">
        <v>-0.002959</v>
      </c>
      <c r="D706" s="4">
        <v>0.00604</v>
      </c>
      <c r="E706" s="4">
        <v>0.013489</v>
      </c>
      <c r="F706" s="4">
        <v>0.013467</v>
      </c>
      <c r="G706" s="4">
        <v>-0.003482</v>
      </c>
      <c r="H706" s="4">
        <v>0.008089</v>
      </c>
      <c r="I706" s="4">
        <v>0.008099</v>
      </c>
      <c r="J706" s="4">
        <v>0.007739</v>
      </c>
      <c r="K706" s="4">
        <v>0.0135</v>
      </c>
      <c r="L706" s="4">
        <v>0.003889</v>
      </c>
      <c r="M706" s="4">
        <v>0.003119</v>
      </c>
      <c r="N706" s="4">
        <v>0.002448</v>
      </c>
      <c r="O706" s="4">
        <v>0.01814</v>
      </c>
      <c r="P706" s="4">
        <v>0.009441</v>
      </c>
      <c r="Q706" s="4">
        <v>0.002551</v>
      </c>
      <c r="R706" s="4">
        <v>-0.01145</v>
      </c>
      <c r="S706" s="4">
        <v>0.015949</v>
      </c>
      <c r="T706" s="4">
        <v>0.019412</v>
      </c>
      <c r="U706" s="4">
        <v>0.018341</v>
      </c>
      <c r="V706" s="4">
        <v>-0.012224894022176</v>
      </c>
      <c r="W706" s="4">
        <v>-0.0126248833151478</v>
      </c>
      <c r="X706" s="4">
        <v>-0.010169440926171</v>
      </c>
      <c r="Y706" s="4">
        <v>-0.0064601948882425</v>
      </c>
      <c r="Z706" s="4">
        <v>-0.013089414732979</v>
      </c>
      <c r="AA706" s="4">
        <v>-0.0326315154375542</v>
      </c>
      <c r="AB706" s="4">
        <v>-0.01005954501707</v>
      </c>
      <c r="AC706" s="4">
        <v>-0.0501791695349417</v>
      </c>
      <c r="AD706" s="4">
        <v>-0.0037688645054698</v>
      </c>
      <c r="AE706" s="4">
        <v>-0.0113318491716295</v>
      </c>
      <c r="AF706" s="4">
        <v>-0.0030078896590639</v>
      </c>
      <c r="AG706" s="4">
        <v>0.0124688508299526</v>
      </c>
      <c r="AH706" s="4">
        <v>0.0137749620658005</v>
      </c>
      <c r="AI706" s="4">
        <v>-0.0015748199030373</v>
      </c>
      <c r="AJ706" s="4">
        <v>0.011428</v>
      </c>
      <c r="AK706" s="4">
        <f>Weights!E762</f>
        <v>-0.0001106868091</v>
      </c>
      <c r="AL706" s="5">
        <v>0.0257102021067918</v>
      </c>
      <c r="AM706" s="5">
        <v>0.0266972179314135</v>
      </c>
      <c r="AN706" s="5">
        <v>0.0156583702581263</v>
      </c>
      <c r="AO706" s="5">
        <v>0.0164820867543187</v>
      </c>
      <c r="AP706" s="6">
        <f t="shared" si="3"/>
        <v>1.419521999</v>
      </c>
      <c r="AQ706" s="4">
        <f t="shared" si="4"/>
        <v>1.151406347</v>
      </c>
      <c r="AR706" s="7">
        <f t="shared" si="5"/>
        <v>1.086908502</v>
      </c>
      <c r="AS706" s="7">
        <f t="shared" ref="AS706:AU706" si="708">AS705*(1+AM706)</f>
        <v>1.177341935</v>
      </c>
      <c r="AT706" s="5">
        <f t="shared" si="708"/>
        <v>1.203194862</v>
      </c>
      <c r="AU706" s="5">
        <f t="shared" si="708"/>
        <v>1.18158081</v>
      </c>
    </row>
    <row r="707" ht="15.75" customHeight="1">
      <c r="A707" s="3">
        <v>44853.0</v>
      </c>
      <c r="B707" s="4">
        <v>-0.004909</v>
      </c>
      <c r="C707" s="4">
        <v>-0.013488</v>
      </c>
      <c r="D707" s="4">
        <v>0.001827</v>
      </c>
      <c r="E707" s="4">
        <v>-0.009711</v>
      </c>
      <c r="F707" s="4">
        <v>-0.008505</v>
      </c>
      <c r="G707" s="4">
        <v>-0.007951</v>
      </c>
      <c r="H707" s="4">
        <v>0.00927</v>
      </c>
      <c r="I707" s="4">
        <v>-0.001339</v>
      </c>
      <c r="J707" s="4">
        <v>-0.010858</v>
      </c>
      <c r="K707" s="4">
        <v>-0.013003</v>
      </c>
      <c r="L707" s="4">
        <v>-0.008191</v>
      </c>
      <c r="M707" s="4">
        <v>-0.008706</v>
      </c>
      <c r="N707" s="4">
        <v>-0.002442</v>
      </c>
      <c r="O707" s="4">
        <v>-0.016446</v>
      </c>
      <c r="P707" s="4">
        <v>-0.031895</v>
      </c>
      <c r="Q707" s="4">
        <v>-0.044529</v>
      </c>
      <c r="R707" s="4">
        <v>-0.004563</v>
      </c>
      <c r="S707" s="4">
        <v>-0.024176</v>
      </c>
      <c r="T707" s="4">
        <v>-0.020649</v>
      </c>
      <c r="U707" s="4">
        <v>0.012646</v>
      </c>
      <c r="V707" s="4">
        <v>-0.0188119540816199</v>
      </c>
      <c r="W707" s="4">
        <v>0.0010655112853168</v>
      </c>
      <c r="X707" s="4">
        <v>0.0</v>
      </c>
      <c r="Y707" s="4">
        <v>-0.0144067397461127</v>
      </c>
      <c r="Z707" s="4">
        <v>-0.0292181842422745</v>
      </c>
      <c r="AA707" s="4">
        <v>0.0142905952423042</v>
      </c>
      <c r="AB707" s="4">
        <v>-0.0022230567898311</v>
      </c>
      <c r="AC707" s="4">
        <v>0.0</v>
      </c>
      <c r="AD707" s="4">
        <v>0.0</v>
      </c>
      <c r="AE707" s="4">
        <v>-0.003056502838258</v>
      </c>
      <c r="AF707" s="4">
        <v>-0.0181026049556822</v>
      </c>
      <c r="AG707" s="4">
        <v>-0.0024435138129003</v>
      </c>
      <c r="AH707" s="4">
        <v>-0.0031801549727606</v>
      </c>
      <c r="AI707" s="4">
        <v>-5.25656965765E-4</v>
      </c>
      <c r="AJ707" s="4">
        <v>-0.006672</v>
      </c>
      <c r="AK707" s="4">
        <f>Weights!E763</f>
        <v>-0.007109933086</v>
      </c>
      <c r="AL707" s="5">
        <v>0.0107286909080825</v>
      </c>
      <c r="AM707" s="5">
        <v>0.0122142007475671</v>
      </c>
      <c r="AN707" s="5">
        <v>0.0101611967360035</v>
      </c>
      <c r="AO707" s="5">
        <v>0.00956933404061777</v>
      </c>
      <c r="AP707" s="6">
        <f t="shared" si="3"/>
        <v>1.409429293</v>
      </c>
      <c r="AQ707" s="4">
        <f t="shared" si="4"/>
        <v>1.143724164</v>
      </c>
      <c r="AR707" s="7">
        <f t="shared" si="5"/>
        <v>1.098569607</v>
      </c>
      <c r="AS707" s="7">
        <f t="shared" ref="AS707:AU707" si="709">AS706*(1+AM707)</f>
        <v>1.191722226</v>
      </c>
      <c r="AT707" s="5">
        <f t="shared" si="709"/>
        <v>1.215420762</v>
      </c>
      <c r="AU707" s="5">
        <f t="shared" si="709"/>
        <v>1.192887752</v>
      </c>
    </row>
    <row r="708" ht="15.75" customHeight="1">
      <c r="A708" s="3">
        <v>44854.0</v>
      </c>
      <c r="B708" s="4">
        <v>-0.010854</v>
      </c>
      <c r="C708" s="4">
        <v>0.011758</v>
      </c>
      <c r="D708" s="4">
        <v>-0.005732</v>
      </c>
      <c r="E708" s="4">
        <v>-0.01096</v>
      </c>
      <c r="F708" s="4">
        <v>-0.015725</v>
      </c>
      <c r="G708" s="4">
        <v>0.00255</v>
      </c>
      <c r="H708" s="4">
        <v>-0.012787</v>
      </c>
      <c r="I708" s="4">
        <v>-0.003218</v>
      </c>
      <c r="J708" s="4">
        <v>-0.020884</v>
      </c>
      <c r="K708" s="4">
        <v>-0.009801</v>
      </c>
      <c r="L708" s="4">
        <v>-0.013728</v>
      </c>
      <c r="M708" s="4">
        <v>-0.012547</v>
      </c>
      <c r="N708" s="4">
        <v>-0.013709</v>
      </c>
      <c r="O708" s="4">
        <v>0.009847</v>
      </c>
      <c r="P708" s="4">
        <v>0.019074</v>
      </c>
      <c r="Q708" s="4">
        <v>0.019973</v>
      </c>
      <c r="R708" s="4">
        <v>0.026798</v>
      </c>
      <c r="S708" s="4">
        <v>0.0074</v>
      </c>
      <c r="T708" s="4">
        <v>0.024858</v>
      </c>
      <c r="U708" s="4">
        <v>-0.018542</v>
      </c>
      <c r="V708" s="4">
        <v>0.00343090832414683</v>
      </c>
      <c r="W708" s="4">
        <v>0.0</v>
      </c>
      <c r="X708" s="4">
        <v>-0.0128354302055514</v>
      </c>
      <c r="Y708" s="4">
        <v>0.0100252071612274</v>
      </c>
      <c r="Z708" s="4">
        <v>0.0101694658267323</v>
      </c>
      <c r="AA708" s="4">
        <v>0.0054062416723632</v>
      </c>
      <c r="AB708" s="4">
        <v>0.0117759607461156</v>
      </c>
      <c r="AC708" s="4">
        <v>0.0056285133469504</v>
      </c>
      <c r="AD708" s="4">
        <v>-0.0063615042043954</v>
      </c>
      <c r="AE708" s="4">
        <v>0.0085077763403009</v>
      </c>
      <c r="AF708" s="4">
        <v>0.0</v>
      </c>
      <c r="AG708" s="4">
        <v>4.900636583107E-4</v>
      </c>
      <c r="AH708" s="4">
        <v>0.0121809906817609</v>
      </c>
      <c r="AI708" s="4">
        <v>0.0</v>
      </c>
      <c r="AJ708" s="4">
        <v>-0.007951</v>
      </c>
      <c r="AK708" s="4">
        <f>Weights!E764</f>
        <v>-0.0001568500273</v>
      </c>
      <c r="AL708" s="5">
        <v>-0.00849189231234337</v>
      </c>
      <c r="AM708" s="5">
        <v>-0.00852725618579486</v>
      </c>
      <c r="AN708" s="5">
        <v>-0.0052028296495622</v>
      </c>
      <c r="AO708" s="5">
        <v>-0.00658239990329656</v>
      </c>
      <c r="AP708" s="6">
        <f t="shared" si="3"/>
        <v>1.409208224</v>
      </c>
      <c r="AQ708" s="4">
        <f t="shared" si="4"/>
        <v>1.134630413</v>
      </c>
      <c r="AR708" s="7">
        <f t="shared" si="5"/>
        <v>1.089240672</v>
      </c>
      <c r="AS708" s="7">
        <f t="shared" ref="AS708:AU708" si="710">AS707*(1+AM708)</f>
        <v>1.181560105</v>
      </c>
      <c r="AT708" s="5">
        <f t="shared" si="710"/>
        <v>1.209097135</v>
      </c>
      <c r="AU708" s="5">
        <f t="shared" si="710"/>
        <v>1.185035687</v>
      </c>
    </row>
    <row r="709" ht="15.75" customHeight="1">
      <c r="A709" s="3">
        <v>44855.0</v>
      </c>
      <c r="B709" s="4">
        <v>0.019451</v>
      </c>
      <c r="C709" s="4">
        <v>-0.044595</v>
      </c>
      <c r="D709" s="4">
        <v>0.014413</v>
      </c>
      <c r="E709" s="4">
        <v>0.009332</v>
      </c>
      <c r="F709" s="4">
        <v>0.015977</v>
      </c>
      <c r="G709" s="4">
        <v>0.021804</v>
      </c>
      <c r="H709" s="4">
        <v>0.012521</v>
      </c>
      <c r="I709" s="4">
        <v>0.019102</v>
      </c>
      <c r="J709" s="4">
        <v>0.027345</v>
      </c>
      <c r="K709" s="4">
        <v>0.025475</v>
      </c>
      <c r="L709" s="4">
        <v>0.026593</v>
      </c>
      <c r="M709" s="4">
        <v>0.027954</v>
      </c>
      <c r="N709" s="4">
        <v>0.024324</v>
      </c>
      <c r="O709" s="4">
        <v>0.022353</v>
      </c>
      <c r="P709" s="4">
        <v>0.029898</v>
      </c>
      <c r="Q709" s="4">
        <v>0.049608</v>
      </c>
      <c r="R709" s="4">
        <v>0.099931</v>
      </c>
      <c r="S709" s="4">
        <v>0.044075</v>
      </c>
      <c r="T709" s="4">
        <v>0.085175</v>
      </c>
      <c r="U709" s="4">
        <v>0.007403</v>
      </c>
      <c r="V709" s="4">
        <v>8.04548482340905E-4</v>
      </c>
      <c r="W709" s="4">
        <v>-0.0143693086289878</v>
      </c>
      <c r="X709" s="4">
        <v>0.004728055614311</v>
      </c>
      <c r="Y709" s="4">
        <v>1.281584869974E-4</v>
      </c>
      <c r="Z709" s="4">
        <v>-0.0075248596307244</v>
      </c>
      <c r="AA709" s="4">
        <v>-0.0130357249098991</v>
      </c>
      <c r="AB709" s="4">
        <v>-0.0191884410135531</v>
      </c>
      <c r="AC709" s="4">
        <v>0.013059770254215</v>
      </c>
      <c r="AD709" s="4">
        <v>-0.0140843989821008</v>
      </c>
      <c r="AE709" s="4">
        <v>-0.0100319869768946</v>
      </c>
      <c r="AF709" s="4">
        <v>0.013656475943389</v>
      </c>
      <c r="AG709" s="4">
        <v>-0.0075408930672398</v>
      </c>
      <c r="AH709" s="4">
        <v>0.0232091946773769</v>
      </c>
      <c r="AI709" s="4">
        <v>0.0021040668557332</v>
      </c>
      <c r="AJ709" s="4">
        <v>0.023725</v>
      </c>
      <c r="AK709" s="4">
        <f>Weights!E765</f>
        <v>0.01340869076</v>
      </c>
      <c r="AL709" s="5">
        <v>-0.00652052399154623</v>
      </c>
      <c r="AM709" s="5">
        <v>-0.00865483458544114</v>
      </c>
      <c r="AN709" s="5">
        <v>-0.00523018463332813</v>
      </c>
      <c r="AO709" s="5">
        <v>-0.00424049258273606</v>
      </c>
      <c r="AP709" s="6">
        <f t="shared" si="3"/>
        <v>1.428103861</v>
      </c>
      <c r="AQ709" s="4">
        <f t="shared" si="4"/>
        <v>1.16154952</v>
      </c>
      <c r="AR709" s="7">
        <f t="shared" si="5"/>
        <v>1.082138252</v>
      </c>
      <c r="AS709" s="7">
        <f t="shared" ref="AS709:AU709" si="711">AS708*(1+AM709)</f>
        <v>1.171333898</v>
      </c>
      <c r="AT709" s="5">
        <f t="shared" si="711"/>
        <v>1.202773333</v>
      </c>
      <c r="AU709" s="5">
        <f t="shared" si="711"/>
        <v>1.180010552</v>
      </c>
    </row>
    <row r="710" ht="15.75" customHeight="1">
      <c r="A710" s="3">
        <v>44858.0</v>
      </c>
      <c r="B710" s="4">
        <v>9.78E-4</v>
      </c>
      <c r="C710" s="4">
        <v>0.017539</v>
      </c>
      <c r="D710" s="4">
        <v>0.001808</v>
      </c>
      <c r="E710" s="4">
        <v>0.026696</v>
      </c>
      <c r="F710" s="4">
        <v>0.028771</v>
      </c>
      <c r="G710" s="4">
        <v>0.013455</v>
      </c>
      <c r="H710" s="4">
        <v>0.006144</v>
      </c>
      <c r="I710" s="4">
        <v>-0.005016</v>
      </c>
      <c r="J710" s="4">
        <v>0.002129</v>
      </c>
      <c r="K710" s="4">
        <v>-0.001741</v>
      </c>
      <c r="L710" s="4">
        <v>9.92E-4</v>
      </c>
      <c r="M710" s="4">
        <v>-0.004944</v>
      </c>
      <c r="N710" s="4">
        <v>0.001696</v>
      </c>
      <c r="O710" s="4">
        <v>0.015071</v>
      </c>
      <c r="P710" s="4">
        <v>-0.006844</v>
      </c>
      <c r="Q710" s="4">
        <v>-0.026119</v>
      </c>
      <c r="R710" s="4">
        <v>-0.030596</v>
      </c>
      <c r="S710" s="4">
        <v>-6.12E-4</v>
      </c>
      <c r="T710" s="4">
        <v>-0.005975</v>
      </c>
      <c r="U710" s="4">
        <v>0.009721</v>
      </c>
      <c r="V710" s="4">
        <v>0.022909909288773</v>
      </c>
      <c r="W710" s="4">
        <v>0.0131389364899074</v>
      </c>
      <c r="X710" s="4">
        <v>-0.0058822817120381</v>
      </c>
      <c r="Y710" s="4">
        <v>-0.0147908440746584</v>
      </c>
      <c r="Z710" s="4">
        <v>-0.0104508194927119</v>
      </c>
      <c r="AA710" s="4">
        <v>-0.006934029877497</v>
      </c>
      <c r="AB710" s="4">
        <v>9.621718657593E-4</v>
      </c>
      <c r="AC710" s="4">
        <v>-0.0165745714014028</v>
      </c>
      <c r="AD710" s="4">
        <v>-0.0116883745233179</v>
      </c>
      <c r="AE710" s="4">
        <v>0.0020729478870902</v>
      </c>
      <c r="AF710" s="4">
        <v>0.0111149146680098</v>
      </c>
      <c r="AG710" s="4">
        <v>-0.0154924416530858</v>
      </c>
      <c r="AH710" s="4">
        <v>-0.0170820798164758</v>
      </c>
      <c r="AI710" s="4">
        <v>0.0015747090860713</v>
      </c>
      <c r="AJ710" s="4">
        <v>0.011882</v>
      </c>
      <c r="AK710" s="4">
        <f>Weights!E766</f>
        <v>-0.001348970342</v>
      </c>
      <c r="AL710" s="5">
        <v>0.0215516584123367</v>
      </c>
      <c r="AM710" s="5">
        <v>0.0230263328487292</v>
      </c>
      <c r="AN710" s="5">
        <v>0.0157727604027666</v>
      </c>
      <c r="AO710" s="5">
        <v>0.0143729926492583</v>
      </c>
      <c r="AP710" s="6">
        <f t="shared" si="3"/>
        <v>1.426177391</v>
      </c>
      <c r="AQ710" s="4">
        <f t="shared" si="4"/>
        <v>1.175351051</v>
      </c>
      <c r="AR710" s="7">
        <f t="shared" si="5"/>
        <v>1.105460126</v>
      </c>
      <c r="AS710" s="7">
        <f t="shared" ref="AS710:AU710" si="712">AS709*(1+AM710)</f>
        <v>1.198305422</v>
      </c>
      <c r="AT710" s="5">
        <f t="shared" si="712"/>
        <v>1.221744389</v>
      </c>
      <c r="AU710" s="5">
        <f t="shared" si="712"/>
        <v>1.196970835</v>
      </c>
    </row>
    <row r="711" ht="15.75" customHeight="1">
      <c r="A711" s="3">
        <v>44859.0</v>
      </c>
      <c r="B711" s="4">
        <v>0.019062</v>
      </c>
      <c r="C711" s="4">
        <v>0.012788</v>
      </c>
      <c r="D711" s="4">
        <v>0.015988</v>
      </c>
      <c r="E711" s="4">
        <v>0.003321</v>
      </c>
      <c r="F711" s="4">
        <v>0.023971</v>
      </c>
      <c r="G711" s="4">
        <v>-0.001579</v>
      </c>
      <c r="H711" s="4">
        <v>0.011517</v>
      </c>
      <c r="I711" s="4">
        <v>0.011674</v>
      </c>
      <c r="J711" s="4">
        <v>0.012218</v>
      </c>
      <c r="K711" s="4">
        <v>0.016643</v>
      </c>
      <c r="L711" s="4">
        <v>0.012595</v>
      </c>
      <c r="M711" s="4">
        <v>0.017391</v>
      </c>
      <c r="N711" s="4">
        <v>0.012095</v>
      </c>
      <c r="O711" s="4">
        <v>0.019279</v>
      </c>
      <c r="P711" s="4">
        <v>0.015209</v>
      </c>
      <c r="Q711" s="4">
        <v>0.021711</v>
      </c>
      <c r="R711" s="4">
        <v>0.019968</v>
      </c>
      <c r="S711" s="4">
        <v>0.010713</v>
      </c>
      <c r="T711" s="4">
        <v>0.013061</v>
      </c>
      <c r="U711" s="4">
        <v>0.005079</v>
      </c>
      <c r="V711" s="4">
        <v>0.0358546994670678</v>
      </c>
      <c r="W711" s="4">
        <v>0.0085272056689125</v>
      </c>
      <c r="X711" s="4">
        <v>0.0</v>
      </c>
      <c r="Y711" s="4">
        <v>-0.0023395150798616</v>
      </c>
      <c r="Z711" s="4">
        <v>-0.0063160270604367</v>
      </c>
      <c r="AA711" s="4">
        <v>0.0041562514838613</v>
      </c>
      <c r="AB711" s="4">
        <v>-0.0099327024144646</v>
      </c>
      <c r="AC711" s="4">
        <v>0.0</v>
      </c>
      <c r="AD711" s="4">
        <v>0.0</v>
      </c>
      <c r="AE711" s="4">
        <v>-0.0177736899748561</v>
      </c>
      <c r="AF711" s="4">
        <v>-0.0223184871046444</v>
      </c>
      <c r="AG711" s="4">
        <v>6.013564664675E-4</v>
      </c>
      <c r="AH711" s="4">
        <v>0.0564102435218241</v>
      </c>
      <c r="AI711" s="4">
        <v>-0.0010481186364521</v>
      </c>
      <c r="AJ711" s="4">
        <v>0.016267</v>
      </c>
      <c r="AK711" s="4">
        <f>Weights!E767</f>
        <v>0.009555451354</v>
      </c>
      <c r="AL711" s="5">
        <v>0.00757572872865663</v>
      </c>
      <c r="AM711" s="5">
        <v>0.0107736702944452</v>
      </c>
      <c r="AN711" s="5">
        <v>0.0020704171218695</v>
      </c>
      <c r="AO711" s="5">
        <v>0.00288624245300161</v>
      </c>
      <c r="AP711" s="6">
        <f t="shared" si="3"/>
        <v>1.43980516</v>
      </c>
      <c r="AQ711" s="4">
        <f t="shared" si="4"/>
        <v>1.194470487</v>
      </c>
      <c r="AR711" s="7">
        <f t="shared" si="5"/>
        <v>1.113834792</v>
      </c>
      <c r="AS711" s="7">
        <f t="shared" ref="AS711:AU711" si="713">AS710*(1+AM711)</f>
        <v>1.21121557</v>
      </c>
      <c r="AT711" s="5">
        <f t="shared" si="713"/>
        <v>1.22427391</v>
      </c>
      <c r="AU711" s="5">
        <f t="shared" si="713"/>
        <v>1.200425583</v>
      </c>
    </row>
    <row r="712" ht="15.75" customHeight="1">
      <c r="A712" s="3">
        <v>44860.0</v>
      </c>
      <c r="B712" s="4">
        <v>0.004317</v>
      </c>
      <c r="C712" s="4">
        <v>0.0</v>
      </c>
      <c r="D712" s="4">
        <v>0.059645</v>
      </c>
      <c r="E712" s="4">
        <v>0.004488</v>
      </c>
      <c r="F712" s="4">
        <v>0.007464</v>
      </c>
      <c r="G712" s="4">
        <v>0.008787</v>
      </c>
      <c r="H712" s="4">
        <v>0.00703</v>
      </c>
      <c r="I712" s="4">
        <v>0.013113</v>
      </c>
      <c r="J712" s="4">
        <v>0.00105</v>
      </c>
      <c r="K712" s="4">
        <v>0.001403</v>
      </c>
      <c r="L712" s="4">
        <v>0.006812</v>
      </c>
      <c r="M712" s="4">
        <v>-0.003052</v>
      </c>
      <c r="N712" s="4">
        <v>0.002868</v>
      </c>
      <c r="O712" s="4">
        <v>0.017349</v>
      </c>
      <c r="P712" s="4">
        <v>0.024579</v>
      </c>
      <c r="Q712" s="4">
        <v>0.03125</v>
      </c>
      <c r="R712" s="4">
        <v>0.052731</v>
      </c>
      <c r="S712" s="4">
        <v>0.023622</v>
      </c>
      <c r="T712" s="4">
        <v>0.003736</v>
      </c>
      <c r="U712" s="4">
        <v>-0.003093</v>
      </c>
      <c r="V712" s="4">
        <v>0.0142246747448027</v>
      </c>
      <c r="W712" s="4">
        <v>-0.059362284212207</v>
      </c>
      <c r="X712" s="4">
        <v>0.0</v>
      </c>
      <c r="Y712" s="4">
        <v>-0.0165462166242508</v>
      </c>
      <c r="Z712" s="4">
        <v>-0.008127573207373</v>
      </c>
      <c r="AA712" s="4">
        <v>0.0013244778883896</v>
      </c>
      <c r="AB712" s="4">
        <v>-0.0177993364830133</v>
      </c>
      <c r="AC712" s="4">
        <v>0.0</v>
      </c>
      <c r="AD712" s="4">
        <v>0.0</v>
      </c>
      <c r="AE712" s="4">
        <v>-0.0140396233768201</v>
      </c>
      <c r="AF712" s="4">
        <v>-0.0160136936379726</v>
      </c>
      <c r="AG712" s="4">
        <v>-0.0148251587566496</v>
      </c>
      <c r="AH712" s="4">
        <v>-0.0029665367173941</v>
      </c>
      <c r="AI712" s="4">
        <v>-2.104417660007E-4</v>
      </c>
      <c r="AJ712" s="4">
        <v>-0.007388</v>
      </c>
      <c r="AK712" s="4">
        <f>Weights!E768</f>
        <v>0.00178458023</v>
      </c>
      <c r="AL712" s="5">
        <v>0.0189397747211375</v>
      </c>
      <c r="AM712" s="5">
        <v>0.0180994661930928</v>
      </c>
      <c r="AN712" s="5">
        <v>0.00895324682544895</v>
      </c>
      <c r="AO712" s="5">
        <v>0.00994243051589527</v>
      </c>
      <c r="AP712" s="6">
        <f t="shared" si="3"/>
        <v>1.442374608</v>
      </c>
      <c r="AQ712" s="4">
        <f t="shared" si="4"/>
        <v>1.185645739</v>
      </c>
      <c r="AR712" s="7">
        <f t="shared" si="5"/>
        <v>1.134930572</v>
      </c>
      <c r="AS712" s="7">
        <f t="shared" ref="AS712:AU712" si="714">AS711*(1+AM712)</f>
        <v>1.233137925</v>
      </c>
      <c r="AT712" s="5">
        <f t="shared" si="714"/>
        <v>1.235235136</v>
      </c>
      <c r="AU712" s="5">
        <f t="shared" si="714"/>
        <v>1.212360731</v>
      </c>
    </row>
    <row r="713" ht="15.75" customHeight="1">
      <c r="A713" s="3">
        <v>44861.0</v>
      </c>
      <c r="B713" s="4">
        <v>0.001433</v>
      </c>
      <c r="C713" s="4">
        <v>-0.006862</v>
      </c>
      <c r="D713" s="4">
        <v>0.012934</v>
      </c>
      <c r="E713" s="4">
        <v>-0.001061</v>
      </c>
      <c r="F713" s="4">
        <v>0.002357</v>
      </c>
      <c r="G713" s="4">
        <v>5.81E-4</v>
      </c>
      <c r="H713" s="4">
        <v>7.59E-4</v>
      </c>
      <c r="I713" s="4">
        <v>0.010872</v>
      </c>
      <c r="J713" s="4">
        <v>0.008388</v>
      </c>
      <c r="K713" s="4">
        <v>0.00218</v>
      </c>
      <c r="L713" s="4">
        <v>0.003383</v>
      </c>
      <c r="M713" s="4">
        <v>0.005511</v>
      </c>
      <c r="N713" s="4">
        <v>0.007626</v>
      </c>
      <c r="O713" s="4">
        <v>-0.00718</v>
      </c>
      <c r="P713" s="4">
        <v>-0.016221</v>
      </c>
      <c r="Q713" s="4">
        <v>0.003636</v>
      </c>
      <c r="R713" s="4">
        <v>-0.017996</v>
      </c>
      <c r="S713" s="4">
        <v>-0.002367</v>
      </c>
      <c r="T713" s="4">
        <v>-0.011093</v>
      </c>
      <c r="U713" s="4">
        <v>0.01029</v>
      </c>
      <c r="V713" s="4">
        <v>0.0144927188487269</v>
      </c>
      <c r="W713" s="4">
        <v>-0.0209693862004705</v>
      </c>
      <c r="X713" s="4">
        <v>-0.039167643677072</v>
      </c>
      <c r="Y713" s="4">
        <v>-0.004570382647994</v>
      </c>
      <c r="Z713" s="4">
        <v>-0.0098750528335729</v>
      </c>
      <c r="AA713" s="4">
        <v>-0.0297619218113986</v>
      </c>
      <c r="AB713" s="4">
        <v>-0.0085667752167071</v>
      </c>
      <c r="AC713" s="4">
        <v>-0.0172743767452877</v>
      </c>
      <c r="AD713" s="4">
        <v>0.0039578052545805</v>
      </c>
      <c r="AE713" s="4">
        <v>-0.0044300954041454</v>
      </c>
      <c r="AF713" s="4">
        <v>0.028393386181565</v>
      </c>
      <c r="AG713" s="4">
        <v>-0.0062024737815837</v>
      </c>
      <c r="AH713" s="4">
        <v>0.0489586131919443</v>
      </c>
      <c r="AI713" s="4">
        <v>-0.0063160219995599</v>
      </c>
      <c r="AJ713" s="4">
        <v>-0.006083</v>
      </c>
      <c r="AK713" s="4">
        <f>Weights!E769</f>
        <v>-0.0003914716004</v>
      </c>
      <c r="AL713" s="5">
        <v>-0.00242854020988747</v>
      </c>
      <c r="AM713" s="5">
        <v>-0.00616763416525489</v>
      </c>
      <c r="AN713" s="5">
        <v>0.0092149808952815</v>
      </c>
      <c r="AO713" s="5">
        <v>0.00958568091553946</v>
      </c>
      <c r="AP713" s="6">
        <f t="shared" si="3"/>
        <v>1.441809959</v>
      </c>
      <c r="AQ713" s="4">
        <f t="shared" si="4"/>
        <v>1.178433456</v>
      </c>
      <c r="AR713" s="7">
        <f t="shared" si="5"/>
        <v>1.132174348</v>
      </c>
      <c r="AS713" s="7">
        <f t="shared" ref="AS713:AU713" si="715">AS712*(1+AM713)</f>
        <v>1.225532381</v>
      </c>
      <c r="AT713" s="5">
        <f t="shared" si="715"/>
        <v>1.246617804</v>
      </c>
      <c r="AU713" s="5">
        <f t="shared" si="715"/>
        <v>1.223982034</v>
      </c>
    </row>
    <row r="714" ht="15.75" customHeight="1">
      <c r="A714" s="3">
        <v>44862.0</v>
      </c>
      <c r="B714" s="4">
        <v>0.009537</v>
      </c>
      <c r="C714" s="4">
        <v>0.041183</v>
      </c>
      <c r="D714" s="4">
        <v>-0.009695</v>
      </c>
      <c r="E714" s="4">
        <v>0.018728</v>
      </c>
      <c r="F714" s="4">
        <v>0.020662</v>
      </c>
      <c r="G714" s="4">
        <v>0.014857</v>
      </c>
      <c r="H714" s="4">
        <v>0.025326</v>
      </c>
      <c r="I714" s="4">
        <v>0.0</v>
      </c>
      <c r="J714" s="4">
        <v>0.012217</v>
      </c>
      <c r="K714" s="4">
        <v>0.001243</v>
      </c>
      <c r="L714" s="4">
        <v>0.003263</v>
      </c>
      <c r="M714" s="4">
        <v>0.014007</v>
      </c>
      <c r="N714" s="4">
        <v>0.011116</v>
      </c>
      <c r="O714" s="4">
        <v>-0.058375</v>
      </c>
      <c r="P714" s="4">
        <v>-0.004645</v>
      </c>
      <c r="Q714" s="4">
        <v>-0.013285</v>
      </c>
      <c r="R714" s="4">
        <v>-0.016494</v>
      </c>
      <c r="S714" s="4">
        <v>-0.009787</v>
      </c>
      <c r="T714" s="4">
        <v>-0.01107</v>
      </c>
      <c r="U714" s="4">
        <v>-0.005242</v>
      </c>
      <c r="V714" s="4">
        <v>-0.0345620866389733</v>
      </c>
      <c r="W714" s="4">
        <v>0.0108983368037969</v>
      </c>
      <c r="X714" s="4">
        <v>0.0152865809346756</v>
      </c>
      <c r="Y714" s="4">
        <v>-0.0069202902229578</v>
      </c>
      <c r="Z714" s="4">
        <v>-0.0062598401150536</v>
      </c>
      <c r="AA714" s="4">
        <v>-0.0238582870043332</v>
      </c>
      <c r="AB714" s="4">
        <v>-0.0023262758525133</v>
      </c>
      <c r="AC714" s="4">
        <v>0.0019531232211356</v>
      </c>
      <c r="AD714" s="4">
        <v>0.0170827265765245</v>
      </c>
      <c r="AE714" s="4">
        <v>-0.0067539493100217</v>
      </c>
      <c r="AF714" s="4">
        <v>-0.0326598808508622</v>
      </c>
      <c r="AG714" s="4">
        <v>-0.0054224091634421</v>
      </c>
      <c r="AH714" s="4">
        <v>0.0221763706040345</v>
      </c>
      <c r="AI714" s="4">
        <v>-0.0084742956658702</v>
      </c>
      <c r="AJ714" s="4">
        <v>0.024626</v>
      </c>
      <c r="AK714" s="4">
        <f>Weights!E770</f>
        <v>-0.0002543945432</v>
      </c>
      <c r="AL714" s="5">
        <v>-0.00514976020209101</v>
      </c>
      <c r="AM714" s="5">
        <v>-0.00469371403164975</v>
      </c>
      <c r="AN714" s="5">
        <v>0.00541083475376158</v>
      </c>
      <c r="AO714" s="5">
        <v>0.0030793831859619</v>
      </c>
      <c r="AP714" s="6">
        <f t="shared" si="3"/>
        <v>1.44144317</v>
      </c>
      <c r="AQ714" s="4">
        <f t="shared" si="4"/>
        <v>1.207453558</v>
      </c>
      <c r="AR714" s="7">
        <f t="shared" si="5"/>
        <v>1.126343921</v>
      </c>
      <c r="AS714" s="7">
        <f t="shared" ref="AS714:AU714" si="716">AS713*(1+AM714)</f>
        <v>1.219780083</v>
      </c>
      <c r="AT714" s="5">
        <f t="shared" si="716"/>
        <v>1.253363047</v>
      </c>
      <c r="AU714" s="5">
        <f t="shared" si="716"/>
        <v>1.227751144</v>
      </c>
    </row>
    <row r="715" ht="15.75" customHeight="1">
      <c r="A715" s="3">
        <v>44865.0</v>
      </c>
      <c r="B715" s="4">
        <v>-0.013226</v>
      </c>
      <c r="C715" s="4">
        <v>-0.007964</v>
      </c>
      <c r="D715" s="4">
        <v>-0.005731</v>
      </c>
      <c r="E715" s="4">
        <v>-0.003567</v>
      </c>
      <c r="F715" s="4">
        <v>-0.014977</v>
      </c>
      <c r="G715" s="4">
        <v>-0.005147</v>
      </c>
      <c r="H715" s="4">
        <v>-0.004067</v>
      </c>
      <c r="I715" s="4">
        <v>-0.002561</v>
      </c>
      <c r="J715" s="4">
        <v>0.001541</v>
      </c>
      <c r="K715" s="4">
        <v>-0.007137</v>
      </c>
      <c r="L715" s="4">
        <v>0.002385</v>
      </c>
      <c r="M715" s="4">
        <v>-0.006006</v>
      </c>
      <c r="N715" s="4">
        <v>-0.007018</v>
      </c>
      <c r="O715" s="4">
        <v>0.022676</v>
      </c>
      <c r="P715" s="4">
        <v>-0.012599</v>
      </c>
      <c r="Q715" s="4">
        <v>-0.035496</v>
      </c>
      <c r="R715" s="4">
        <v>-0.015839</v>
      </c>
      <c r="S715" s="4">
        <v>-0.020964</v>
      </c>
      <c r="T715" s="4">
        <v>-0.019552</v>
      </c>
      <c r="U715" s="4">
        <v>-0.006926</v>
      </c>
      <c r="V715" s="4">
        <v>0.0138424814320268</v>
      </c>
      <c r="W715" s="4">
        <v>0.0325449170224994</v>
      </c>
      <c r="X715" s="4">
        <v>0.0025094202403381</v>
      </c>
      <c r="Y715" s="4">
        <v>0.0208387078651504</v>
      </c>
      <c r="Z715" s="4">
        <v>0.0054562176296022</v>
      </c>
      <c r="AA715" s="4">
        <v>0.0022697230315975</v>
      </c>
      <c r="AB715" s="4">
        <v>0.0039974039568961</v>
      </c>
      <c r="AC715" s="4">
        <v>0.0019492333302042</v>
      </c>
      <c r="AD715" s="4">
        <v>0.002584030933423</v>
      </c>
      <c r="AE715" s="4">
        <v>0.0137599457479034</v>
      </c>
      <c r="AF715" s="4">
        <v>0.021232145967879</v>
      </c>
      <c r="AG715" s="4">
        <v>0.0097724091072131</v>
      </c>
      <c r="AH715" s="4">
        <v>-0.0653380584800358</v>
      </c>
      <c r="AI715" s="4">
        <v>0.012286448577482</v>
      </c>
      <c r="AJ715" s="4">
        <v>-0.007454</v>
      </c>
      <c r="AK715" s="4">
        <f>Weights!E771</f>
        <v>-0.002703374432</v>
      </c>
      <c r="AL715" s="5">
        <v>0.0191057679888637</v>
      </c>
      <c r="AM715" s="5">
        <v>0.023264256858511</v>
      </c>
      <c r="AN715" s="5">
        <v>0.00639087792436354</v>
      </c>
      <c r="AO715" s="5">
        <v>0.00690715764774618</v>
      </c>
      <c r="AP715" s="6">
        <f t="shared" si="3"/>
        <v>1.43754641</v>
      </c>
      <c r="AQ715" s="4">
        <f t="shared" si="4"/>
        <v>1.198453199</v>
      </c>
      <c r="AR715" s="7">
        <f t="shared" si="5"/>
        <v>1.147863587</v>
      </c>
      <c r="AS715" s="7">
        <f t="shared" ref="AS715:AU715" si="717">AS714*(1+AM715)</f>
        <v>1.24815736</v>
      </c>
      <c r="AT715" s="5">
        <f t="shared" si="717"/>
        <v>1.261373137</v>
      </c>
      <c r="AU715" s="5">
        <f t="shared" si="717"/>
        <v>1.236231415</v>
      </c>
    </row>
    <row r="716" ht="15.75" customHeight="1">
      <c r="A716" s="3">
        <v>44866.0</v>
      </c>
      <c r="B716" s="4">
        <v>-0.004787</v>
      </c>
      <c r="C716" s="4">
        <v>0.0</v>
      </c>
      <c r="D716" s="4">
        <v>0.011768</v>
      </c>
      <c r="E716" s="4">
        <v>-0.004516</v>
      </c>
      <c r="F716" s="4">
        <v>-0.003509</v>
      </c>
      <c r="G716" s="4">
        <v>-0.005058</v>
      </c>
      <c r="H716" s="4">
        <v>0.001559</v>
      </c>
      <c r="I716" s="4">
        <v>-7.7E-4</v>
      </c>
      <c r="J716" s="4">
        <v>-0.007436</v>
      </c>
      <c r="K716" s="4">
        <v>0.005938</v>
      </c>
      <c r="L716" s="4">
        <v>0.0</v>
      </c>
      <c r="M716" s="4">
        <v>0.005438</v>
      </c>
      <c r="N716" s="4">
        <v>-0.003769</v>
      </c>
      <c r="O716" s="4">
        <v>-0.012607</v>
      </c>
      <c r="P716" s="4">
        <v>-0.014414</v>
      </c>
      <c r="Q716" s="4">
        <v>0.021574</v>
      </c>
      <c r="R716" s="4">
        <v>0.038182</v>
      </c>
      <c r="S716" s="4">
        <v>0.009483</v>
      </c>
      <c r="T716" s="4">
        <v>0.023748</v>
      </c>
      <c r="U716" s="4">
        <v>-0.007657</v>
      </c>
      <c r="V716" s="4">
        <v>0.0357814512933172</v>
      </c>
      <c r="W716" s="4">
        <v>0.0115448245281943</v>
      </c>
      <c r="X716" s="4">
        <v>0.0175219716919525</v>
      </c>
      <c r="Y716" s="4">
        <v>-0.0114209293915845</v>
      </c>
      <c r="Z716" s="4">
        <v>-2.127548118348E-4</v>
      </c>
      <c r="AA716" s="4">
        <v>-0.0247344710795436</v>
      </c>
      <c r="AB716" s="4">
        <v>-0.0099537208491319</v>
      </c>
      <c r="AC716" s="4">
        <v>0.0155641894979166</v>
      </c>
      <c r="AD716" s="4">
        <v>0.0141753722365525</v>
      </c>
      <c r="AE716" s="4">
        <v>-0.0130996734317395</v>
      </c>
      <c r="AF716" s="4">
        <v>-0.0426039899943364</v>
      </c>
      <c r="AG716" s="4">
        <v>-0.0120209424369135</v>
      </c>
      <c r="AH716" s="4">
        <v>0.0113360475514121</v>
      </c>
      <c r="AI716" s="4">
        <v>-0.0058050823877845</v>
      </c>
      <c r="AJ716" s="4">
        <v>-0.004101</v>
      </c>
      <c r="AK716" s="4">
        <f>Weights!E772</f>
        <v>0.0004179470368</v>
      </c>
      <c r="AL716" s="5">
        <v>-0.00794231775299814</v>
      </c>
      <c r="AM716" s="5">
        <v>-0.0064517772237177</v>
      </c>
      <c r="AN716" s="5">
        <v>-0.00200530151458533</v>
      </c>
      <c r="AO716" s="5">
        <v>-0.00177856885670224</v>
      </c>
      <c r="AP716" s="6">
        <f t="shared" si="3"/>
        <v>1.438147228</v>
      </c>
      <c r="AQ716" s="4">
        <f t="shared" si="4"/>
        <v>1.193538343</v>
      </c>
      <c r="AR716" s="7">
        <f t="shared" si="5"/>
        <v>1.13874689</v>
      </c>
      <c r="AS716" s="7">
        <f t="shared" ref="AS716:AU716" si="718">AS715*(1+AM716)</f>
        <v>1.240104527</v>
      </c>
      <c r="AT716" s="5">
        <f t="shared" si="718"/>
        <v>1.258843704</v>
      </c>
      <c r="AU716" s="5">
        <f t="shared" si="718"/>
        <v>1.234032692</v>
      </c>
    </row>
    <row r="717" ht="15.75" customHeight="1">
      <c r="A717" s="3">
        <v>44867.0</v>
      </c>
      <c r="B717" s="4">
        <v>-0.008177</v>
      </c>
      <c r="C717" s="4">
        <v>0.009098</v>
      </c>
      <c r="D717" s="4">
        <v>-0.011631</v>
      </c>
      <c r="E717" s="4">
        <v>-0.013941</v>
      </c>
      <c r="F717" s="4">
        <v>-0.013917</v>
      </c>
      <c r="G717" s="4">
        <v>-0.015368</v>
      </c>
      <c r="H717" s="4">
        <v>-0.014383</v>
      </c>
      <c r="I717" s="4">
        <v>-0.005653</v>
      </c>
      <c r="J717" s="4">
        <v>7.75E-4</v>
      </c>
      <c r="K717" s="4">
        <v>-0.01336</v>
      </c>
      <c r="L717" s="4">
        <v>-0.008111</v>
      </c>
      <c r="M717" s="4">
        <v>-0.014423</v>
      </c>
      <c r="N717" s="4">
        <v>-0.014424</v>
      </c>
      <c r="O717" s="4">
        <v>-0.012994</v>
      </c>
      <c r="P717" s="4">
        <v>-0.052266</v>
      </c>
      <c r="Q717" s="4">
        <v>-0.068323</v>
      </c>
      <c r="R717" s="4">
        <v>-0.057447</v>
      </c>
      <c r="S717" s="4">
        <v>-0.050303</v>
      </c>
      <c r="T717" s="4">
        <v>-0.042974</v>
      </c>
      <c r="U717" s="4">
        <v>-0.007181</v>
      </c>
      <c r="V717" s="4">
        <v>-0.00954548176271419</v>
      </c>
      <c r="W717" s="4">
        <v>-0.0088767872191259</v>
      </c>
      <c r="X717" s="4">
        <v>0.0</v>
      </c>
      <c r="Y717" s="4">
        <v>-0.0094948159825509</v>
      </c>
      <c r="Z717" s="4">
        <v>-0.0186248345209102</v>
      </c>
      <c r="AA717" s="4">
        <v>-0.0017859593700589</v>
      </c>
      <c r="AB717" s="4">
        <v>-6.70228967734E-4</v>
      </c>
      <c r="AC717" s="4">
        <v>0.0</v>
      </c>
      <c r="AD717" s="4">
        <v>0.0</v>
      </c>
      <c r="AE717" s="4">
        <v>0.0159923426610866</v>
      </c>
      <c r="AF717" s="4">
        <v>0.0014240574847232</v>
      </c>
      <c r="AG717" s="4">
        <v>-0.0166012409339243</v>
      </c>
      <c r="AH717" s="4">
        <v>0.0152121489505923</v>
      </c>
      <c r="AI717" s="4">
        <v>-0.0015922759200107</v>
      </c>
      <c r="AJ717" s="4">
        <v>-0.025002</v>
      </c>
      <c r="AK717" s="4">
        <f>Weights!E773</f>
        <v>-0.01053118386</v>
      </c>
      <c r="AL717" s="5">
        <v>1.86156285964633E-4</v>
      </c>
      <c r="AM717" s="5">
        <v>-0.00309245458715046</v>
      </c>
      <c r="AN717" s="5">
        <v>0.0040186616574791</v>
      </c>
      <c r="AO717" s="5">
        <v>0.00483583134710974</v>
      </c>
      <c r="AP717" s="6">
        <f t="shared" si="3"/>
        <v>1.423001835</v>
      </c>
      <c r="AQ717" s="4">
        <f t="shared" si="4"/>
        <v>1.163697497</v>
      </c>
      <c r="AR717" s="7">
        <f t="shared" si="5"/>
        <v>1.138958875</v>
      </c>
      <c r="AS717" s="7">
        <f t="shared" ref="AS717:AU717" si="719">AS716*(1+AM717)</f>
        <v>1.23626956</v>
      </c>
      <c r="AT717" s="5">
        <f t="shared" si="719"/>
        <v>1.263902571</v>
      </c>
      <c r="AU717" s="5">
        <f t="shared" si="719"/>
        <v>1.240000266</v>
      </c>
    </row>
    <row r="718" ht="15.75" customHeight="1">
      <c r="A718" s="3">
        <v>44868.0</v>
      </c>
      <c r="B718" s="4">
        <v>-0.011154</v>
      </c>
      <c r="C718" s="4">
        <v>-0.01485</v>
      </c>
      <c r="D718" s="4">
        <v>-0.007205</v>
      </c>
      <c r="E718" s="4">
        <v>-0.002581</v>
      </c>
      <c r="F718" s="4">
        <v>-5.1E-4</v>
      </c>
      <c r="G718" s="4">
        <v>0.001702</v>
      </c>
      <c r="H718" s="4">
        <v>-0.006845</v>
      </c>
      <c r="I718" s="4">
        <v>0.00801</v>
      </c>
      <c r="J718" s="4">
        <v>0.002581</v>
      </c>
      <c r="K718" s="4">
        <v>-0.005983</v>
      </c>
      <c r="L718" s="4">
        <v>-0.005015</v>
      </c>
      <c r="M718" s="4">
        <v>-0.020732</v>
      </c>
      <c r="N718" s="4">
        <v>0.027351</v>
      </c>
      <c r="O718" s="4">
        <v>-0.04156</v>
      </c>
      <c r="P718" s="4">
        <v>-0.044017</v>
      </c>
      <c r="Q718" s="4">
        <v>-0.026667</v>
      </c>
      <c r="R718" s="4">
        <v>0.017736</v>
      </c>
      <c r="S718" s="4">
        <v>-0.021378</v>
      </c>
      <c r="T718" s="4">
        <v>3.88E-4</v>
      </c>
      <c r="U718" s="4">
        <v>0.065712</v>
      </c>
      <c r="V718" s="4">
        <v>-0.00550701704720069</v>
      </c>
      <c r="W718" s="4">
        <v>0.0217510672882839</v>
      </c>
      <c r="X718" s="4">
        <v>0.0060606298752361</v>
      </c>
      <c r="Y718" s="4">
        <v>0.0305672944097452</v>
      </c>
      <c r="Z718" s="4">
        <v>0.0373060044301005</v>
      </c>
      <c r="AA718" s="4">
        <v>0.015566170670038</v>
      </c>
      <c r="AB718" s="4">
        <v>0.0214622141470985</v>
      </c>
      <c r="AC718" s="4">
        <v>0.00945178750936</v>
      </c>
      <c r="AD718" s="4">
        <v>-0.0025379012838062</v>
      </c>
      <c r="AE718" s="4">
        <v>0.022823723005519</v>
      </c>
      <c r="AF718" s="4">
        <v>0.0319942969353408</v>
      </c>
      <c r="AG718" s="4">
        <v>0.0250600656536659</v>
      </c>
      <c r="AH718" s="4">
        <v>-0.0402207891479681</v>
      </c>
      <c r="AI718" s="4">
        <v>0.0</v>
      </c>
      <c r="AJ718" s="4">
        <v>-0.010586</v>
      </c>
      <c r="AK718" s="4">
        <f>Weights!E774</f>
        <v>0.004092218686</v>
      </c>
      <c r="AL718" s="5">
        <v>-0.0229894963975706</v>
      </c>
      <c r="AM718" s="5">
        <v>-0.0263144597802942</v>
      </c>
      <c r="AN718" s="5">
        <v>-0.0103400929926604</v>
      </c>
      <c r="AO718" s="5">
        <v>-0.0121581031687696</v>
      </c>
      <c r="AP718" s="6">
        <f t="shared" si="3"/>
        <v>1.42882507</v>
      </c>
      <c r="AQ718" s="4">
        <f t="shared" si="4"/>
        <v>1.151378595</v>
      </c>
      <c r="AR718" s="7">
        <f t="shared" si="5"/>
        <v>1.112774784</v>
      </c>
      <c r="AS718" s="7">
        <f t="shared" ref="AS718:AU718" si="720">AS717*(1+AM718)</f>
        <v>1.203737794</v>
      </c>
      <c r="AT718" s="5">
        <f t="shared" si="720"/>
        <v>1.250833701</v>
      </c>
      <c r="AU718" s="5">
        <f t="shared" si="720"/>
        <v>1.224924215</v>
      </c>
    </row>
    <row r="719" ht="15.75" customHeight="1">
      <c r="A719" s="3">
        <v>44869.0</v>
      </c>
      <c r="B719" s="4">
        <v>0.04463</v>
      </c>
      <c r="C719" s="4">
        <v>0.002423</v>
      </c>
      <c r="D719" s="4">
        <v>0.017658</v>
      </c>
      <c r="E719" s="4">
        <v>0.005625</v>
      </c>
      <c r="F719" s="4">
        <v>0.008166</v>
      </c>
      <c r="G719" s="4">
        <v>0.004452</v>
      </c>
      <c r="H719" s="4">
        <v>0.018253</v>
      </c>
      <c r="I719" s="4">
        <v>0.030505</v>
      </c>
      <c r="J719" s="4">
        <v>0.02034</v>
      </c>
      <c r="K719" s="4">
        <v>0.03374</v>
      </c>
      <c r="L719" s="4">
        <v>0.034955</v>
      </c>
      <c r="M719" s="4">
        <v>0.044209</v>
      </c>
      <c r="N719" s="4">
        <v>0.038767</v>
      </c>
      <c r="O719" s="4">
        <v>0.009333</v>
      </c>
      <c r="P719" s="4">
        <v>0.084679</v>
      </c>
      <c r="Q719" s="4">
        <v>0.165753</v>
      </c>
      <c r="R719" s="4">
        <v>0.115019</v>
      </c>
      <c r="S719" s="4">
        <v>0.118357</v>
      </c>
      <c r="T719" s="4">
        <v>0.037198</v>
      </c>
      <c r="U719" s="4">
        <v>-0.014801</v>
      </c>
      <c r="V719" s="4">
        <v>0.0355329433988182</v>
      </c>
      <c r="W719" s="4">
        <v>0.0436492986360828</v>
      </c>
      <c r="X719" s="4">
        <v>0.0</v>
      </c>
      <c r="Y719" s="4">
        <v>0.016586339356384</v>
      </c>
      <c r="Z719" s="4">
        <v>0.0226869019324182</v>
      </c>
      <c r="AA719" s="4">
        <v>0.0068711590763086</v>
      </c>
      <c r="AB719" s="4">
        <v>0.0331581544618211</v>
      </c>
      <c r="AC719" s="4">
        <v>0.0</v>
      </c>
      <c r="AD719" s="4">
        <v>0.0</v>
      </c>
      <c r="AE719" s="4">
        <v>0.0408587023715643</v>
      </c>
      <c r="AF719" s="4">
        <v>0.0465035955581623</v>
      </c>
      <c r="AG719" s="4">
        <v>0.0282325219141998</v>
      </c>
      <c r="AH719" s="4">
        <v>-0.0093124951186556</v>
      </c>
      <c r="AI719" s="4">
        <v>0.0037212730144313</v>
      </c>
      <c r="AJ719" s="4">
        <v>0.013619</v>
      </c>
      <c r="AK719" s="4">
        <f>Weights!E775</f>
        <v>0.029460479</v>
      </c>
      <c r="AL719" s="5">
        <v>-0.00981232306485657</v>
      </c>
      <c r="AM719" s="5">
        <v>-0.0095571422587829</v>
      </c>
      <c r="AN719" s="5">
        <v>-0.00202219804389336</v>
      </c>
      <c r="AO719" s="5">
        <v>-0.00256416125535363</v>
      </c>
      <c r="AP719" s="6">
        <f t="shared" si="3"/>
        <v>1.470918941</v>
      </c>
      <c r="AQ719" s="4">
        <f t="shared" si="4"/>
        <v>1.16705922</v>
      </c>
      <c r="AR719" s="7">
        <f t="shared" si="5"/>
        <v>1.101855878</v>
      </c>
      <c r="AS719" s="7">
        <f t="shared" ref="AS719:AU719" si="721">AS718*(1+AM719)</f>
        <v>1.192233501</v>
      </c>
      <c r="AT719" s="5">
        <f t="shared" si="721"/>
        <v>1.248304267</v>
      </c>
      <c r="AU719" s="5">
        <f t="shared" si="721"/>
        <v>1.221783312</v>
      </c>
    </row>
    <row r="720" ht="15.75" customHeight="1">
      <c r="A720" s="3">
        <v>44872.0</v>
      </c>
      <c r="B720" s="4">
        <v>-0.005634</v>
      </c>
      <c r="C720" s="4">
        <v>-0.001343</v>
      </c>
      <c r="D720" s="4">
        <v>0.014024</v>
      </c>
      <c r="E720" s="4">
        <v>0.007999</v>
      </c>
      <c r="F720" s="4">
        <v>0.003881</v>
      </c>
      <c r="G720" s="4">
        <v>0.008747</v>
      </c>
      <c r="H720" s="4">
        <v>0.015323</v>
      </c>
      <c r="I720" s="4">
        <v>-0.006716</v>
      </c>
      <c r="J720" s="4">
        <v>-0.015897</v>
      </c>
      <c r="K720" s="4">
        <v>0.003371</v>
      </c>
      <c r="L720" s="4">
        <v>0.006247</v>
      </c>
      <c r="M720" s="4">
        <v>-0.008348</v>
      </c>
      <c r="N720" s="4">
        <v>-0.004721</v>
      </c>
      <c r="O720" s="4">
        <v>0.008298</v>
      </c>
      <c r="P720" s="4">
        <v>0.008051</v>
      </c>
      <c r="Q720" s="4">
        <v>0.022327</v>
      </c>
      <c r="R720" s="4">
        <v>-0.021029</v>
      </c>
      <c r="S720" s="4">
        <v>-0.002332</v>
      </c>
      <c r="T720" s="4">
        <v>0.00569</v>
      </c>
      <c r="U720" s="4">
        <v>0.021546</v>
      </c>
      <c r="V720" s="4">
        <v>0.0102495470869472</v>
      </c>
      <c r="W720" s="4">
        <v>-0.0161124945684456</v>
      </c>
      <c r="X720" s="4">
        <v>0.0216866364036703</v>
      </c>
      <c r="Y720" s="4">
        <v>-0.0095334934290166</v>
      </c>
      <c r="Z720" s="4">
        <v>-0.0125740703093824</v>
      </c>
      <c r="AA720" s="4">
        <v>-0.0209974381595847</v>
      </c>
      <c r="AB720" s="4">
        <v>-0.0082618206831515</v>
      </c>
      <c r="AC720" s="4">
        <v>-0.0037453150814388</v>
      </c>
      <c r="AD720" s="4">
        <v>0.0012722345498907</v>
      </c>
      <c r="AE720" s="4">
        <v>0.0059882187068143</v>
      </c>
      <c r="AF720" s="4">
        <v>-0.0078999628551076</v>
      </c>
      <c r="AG720" s="4">
        <v>-6.964171690201E-4</v>
      </c>
      <c r="AH720" s="4">
        <v>0.0392590422731882</v>
      </c>
      <c r="AI720" s="4">
        <v>-0.0068856160726659</v>
      </c>
      <c r="AJ720" s="4">
        <v>0.009614</v>
      </c>
      <c r="AK720" s="4">
        <f>Weights!E776</f>
        <v>0.001236713524</v>
      </c>
      <c r="AL720" s="5">
        <v>0.0209735278005083</v>
      </c>
      <c r="AM720" s="5">
        <v>0.0128659866231441</v>
      </c>
      <c r="AN720" s="5">
        <v>0.00979393645278681</v>
      </c>
      <c r="AO720" s="5">
        <v>0.00976873480327378</v>
      </c>
      <c r="AP720" s="6">
        <f t="shared" si="3"/>
        <v>1.472738046</v>
      </c>
      <c r="AQ720" s="4">
        <f t="shared" si="4"/>
        <v>1.178279328</v>
      </c>
      <c r="AR720" s="7">
        <f t="shared" si="5"/>
        <v>1.124965683</v>
      </c>
      <c r="AS720" s="7">
        <f t="shared" ref="AS720:AU720" si="722">AS719*(1+AM720)</f>
        <v>1.207572761</v>
      </c>
      <c r="AT720" s="5">
        <f t="shared" si="722"/>
        <v>1.26053008</v>
      </c>
      <c r="AU720" s="5">
        <f t="shared" si="722"/>
        <v>1.233718589</v>
      </c>
    </row>
    <row r="721" ht="15.75" customHeight="1">
      <c r="A721" s="3">
        <v>44873.0</v>
      </c>
      <c r="B721" s="4">
        <v>0.002361</v>
      </c>
      <c r="C721" s="4">
        <v>0.018284</v>
      </c>
      <c r="D721" s="4">
        <v>-0.007267</v>
      </c>
      <c r="E721" s="4">
        <v>0.002775</v>
      </c>
      <c r="F721" s="4">
        <v>0.001849</v>
      </c>
      <c r="G721" s="4">
        <v>0.004972</v>
      </c>
      <c r="H721" s="4">
        <v>0.002271</v>
      </c>
      <c r="I721" s="4">
        <v>0.005259</v>
      </c>
      <c r="J721" s="4">
        <v>0.004103</v>
      </c>
      <c r="K721" s="4">
        <v>0.005803</v>
      </c>
      <c r="L721" s="4">
        <v>0.008102</v>
      </c>
      <c r="M721" s="4">
        <v>0.007216</v>
      </c>
      <c r="N721" s="4">
        <v>0.009035</v>
      </c>
      <c r="O721" s="4">
        <v>0.004091</v>
      </c>
      <c r="P721" s="4">
        <v>0.058809</v>
      </c>
      <c r="Q721" s="4">
        <v>0.132184</v>
      </c>
      <c r="R721" s="4">
        <v>0.029318</v>
      </c>
      <c r="S721" s="4">
        <v>0.045295</v>
      </c>
      <c r="T721" s="4">
        <v>0.001266</v>
      </c>
      <c r="U721" s="4">
        <v>-2.87E-4</v>
      </c>
      <c r="V721" s="4">
        <v>0.0180854832509</v>
      </c>
      <c r="W721" s="4">
        <v>-0.0311845876737245</v>
      </c>
      <c r="X721" s="4">
        <v>-0.0070755000989158</v>
      </c>
      <c r="Y721" s="4">
        <v>-0.003165600467997</v>
      </c>
      <c r="Z721" s="4">
        <v>-0.0075576801057263</v>
      </c>
      <c r="AA721" s="4">
        <v>-0.042180504343249</v>
      </c>
      <c r="AB721" s="4">
        <v>-0.0137775530467199</v>
      </c>
      <c r="AC721" s="4">
        <v>-0.0131579628887816</v>
      </c>
      <c r="AD721" s="4">
        <v>-0.0012706180257388</v>
      </c>
      <c r="AE721" s="4">
        <v>-0.0331424703190686</v>
      </c>
      <c r="AF721" s="4">
        <v>0.0057303678375872</v>
      </c>
      <c r="AG721" s="4">
        <v>-0.0186163014933054</v>
      </c>
      <c r="AH721" s="4">
        <v>0.0178238656930258</v>
      </c>
      <c r="AI721" s="4">
        <v>-0.0031997257281725</v>
      </c>
      <c r="AJ721" s="4">
        <v>0.005598</v>
      </c>
      <c r="AK721" s="4">
        <f>Weights!E777</f>
        <v>0.003289100602</v>
      </c>
      <c r="AL721" s="5">
        <v>0.00763281143534255</v>
      </c>
      <c r="AM721" s="5">
        <v>0.00910348428646656</v>
      </c>
      <c r="AN721" s="5">
        <v>0.00334447352265332</v>
      </c>
      <c r="AO721" s="5">
        <v>0.00572810589298233</v>
      </c>
      <c r="AP721" s="6">
        <f t="shared" si="3"/>
        <v>1.47758203</v>
      </c>
      <c r="AQ721" s="4">
        <f t="shared" si="4"/>
        <v>1.184875335</v>
      </c>
      <c r="AR721" s="7">
        <f t="shared" si="5"/>
        <v>1.133552334</v>
      </c>
      <c r="AS721" s="7">
        <f t="shared" ref="AS721:AU721" si="723">AS720*(1+AM721)</f>
        <v>1.218565881</v>
      </c>
      <c r="AT721" s="5">
        <f t="shared" si="723"/>
        <v>1.264745889</v>
      </c>
      <c r="AU721" s="5">
        <f t="shared" si="723"/>
        <v>1.24078546</v>
      </c>
    </row>
    <row r="722" ht="15.75" customHeight="1">
      <c r="A722" s="3">
        <v>44874.0</v>
      </c>
      <c r="B722" s="4">
        <v>-0.006594</v>
      </c>
      <c r="C722" s="4">
        <v>-0.006602</v>
      </c>
      <c r="D722" s="4">
        <v>0.004723</v>
      </c>
      <c r="E722" s="4">
        <v>-0.011953</v>
      </c>
      <c r="F722" s="4">
        <v>-0.013926</v>
      </c>
      <c r="G722" s="4">
        <v>-0.007996</v>
      </c>
      <c r="H722" s="4">
        <v>-0.002412</v>
      </c>
      <c r="I722" s="4">
        <v>-0.021674</v>
      </c>
      <c r="J722" s="4">
        <v>-0.00715</v>
      </c>
      <c r="K722" s="4">
        <v>-0.017461</v>
      </c>
      <c r="L722" s="4">
        <v>-0.01503</v>
      </c>
      <c r="M722" s="4">
        <v>-0.01791</v>
      </c>
      <c r="N722" s="4">
        <v>-0.024401</v>
      </c>
      <c r="O722" s="4">
        <v>-0.005199</v>
      </c>
      <c r="P722" s="4">
        <v>-0.0096</v>
      </c>
      <c r="Q722" s="4">
        <v>0.108629</v>
      </c>
      <c r="R722" s="4">
        <v>-0.040327</v>
      </c>
      <c r="S722" s="4">
        <v>-0.002237</v>
      </c>
      <c r="T722" s="4">
        <v>-0.025429</v>
      </c>
      <c r="U722" s="4">
        <v>-0.012056</v>
      </c>
      <c r="V722" s="4">
        <v>-0.0147311299291504</v>
      </c>
      <c r="W722" s="4">
        <v>-0.0023377994564172</v>
      </c>
      <c r="X722" s="4">
        <v>0.0</v>
      </c>
      <c r="Y722" s="4">
        <v>-0.022422242084729</v>
      </c>
      <c r="Z722" s="4">
        <v>-0.0150220467151449</v>
      </c>
      <c r="AA722" s="4">
        <v>-0.0014930358699942</v>
      </c>
      <c r="AB722" s="4">
        <v>-0.0263158242760702</v>
      </c>
      <c r="AC722" s="4">
        <v>0.0</v>
      </c>
      <c r="AD722" s="4">
        <v>0.0</v>
      </c>
      <c r="AE722" s="4">
        <v>-0.0248535833597517</v>
      </c>
      <c r="AF722" s="4">
        <v>-0.033322261823953</v>
      </c>
      <c r="AG722" s="4">
        <v>-0.104787991927637</v>
      </c>
      <c r="AH722" s="4">
        <v>0.0148980455222453</v>
      </c>
      <c r="AI722" s="4">
        <v>-0.001070224185107</v>
      </c>
      <c r="AJ722" s="4">
        <v>-0.020778</v>
      </c>
      <c r="AK722" s="4">
        <f>Weights!E778</f>
        <v>-0.01360114903</v>
      </c>
      <c r="AL722" s="5">
        <v>0.00720104850011149</v>
      </c>
      <c r="AM722" s="5">
        <v>0.00524488698709202</v>
      </c>
      <c r="AN722" s="5">
        <v>0.0063333593699193</v>
      </c>
      <c r="AO722" s="5">
        <v>0.00544243699216018</v>
      </c>
      <c r="AP722" s="6">
        <f t="shared" si="3"/>
        <v>1.457485216</v>
      </c>
      <c r="AQ722" s="4">
        <f t="shared" si="4"/>
        <v>1.160255996</v>
      </c>
      <c r="AR722" s="7">
        <f t="shared" si="5"/>
        <v>1.141715099</v>
      </c>
      <c r="AS722" s="7">
        <f t="shared" ref="AS722:AU722" si="724">AS721*(1+AM722)</f>
        <v>1.224957121</v>
      </c>
      <c r="AT722" s="5">
        <f t="shared" si="724"/>
        <v>1.27275598</v>
      </c>
      <c r="AU722" s="5">
        <f t="shared" si="724"/>
        <v>1.247538356</v>
      </c>
    </row>
    <row r="723" ht="15.75" customHeight="1">
      <c r="A723" s="3">
        <v>44875.0</v>
      </c>
      <c r="B723" s="4">
        <v>0.029398</v>
      </c>
      <c r="C723" s="4">
        <v>0.023923</v>
      </c>
      <c r="D723" s="4">
        <v>0.014101</v>
      </c>
      <c r="E723" s="4">
        <v>0.017642</v>
      </c>
      <c r="F723" s="4">
        <v>0.035903</v>
      </c>
      <c r="G723" s="4">
        <v>0.011714</v>
      </c>
      <c r="H723" s="4">
        <v>0.034437</v>
      </c>
      <c r="I723" s="4">
        <v>0.041762</v>
      </c>
      <c r="J723" s="4">
        <v>0.03858</v>
      </c>
      <c r="K723" s="4">
        <v>0.034925</v>
      </c>
      <c r="L723" s="4">
        <v>0.040373</v>
      </c>
      <c r="M723" s="4">
        <v>0.050456</v>
      </c>
      <c r="N723" s="4">
        <v>0.05117</v>
      </c>
      <c r="O723" s="4">
        <v>0.06237</v>
      </c>
      <c r="P723" s="4">
        <v>0.071082</v>
      </c>
      <c r="Q723" s="4">
        <v>0.097985</v>
      </c>
      <c r="R723" s="4">
        <v>0.07993</v>
      </c>
      <c r="S723" s="4">
        <v>0.063323</v>
      </c>
      <c r="T723" s="4">
        <v>0.060731</v>
      </c>
      <c r="U723" s="4">
        <v>0.014092</v>
      </c>
      <c r="V723" s="4">
        <v>0.0822337758647095</v>
      </c>
      <c r="W723" s="4">
        <v>-0.0077504482489358</v>
      </c>
      <c r="X723" s="4">
        <v>0.0012135970075033</v>
      </c>
      <c r="Y723" s="4">
        <v>0.0</v>
      </c>
      <c r="Z723" s="4">
        <v>0.0</v>
      </c>
      <c r="AA723" s="4">
        <v>0.0</v>
      </c>
      <c r="AB723" s="4">
        <v>0.0</v>
      </c>
      <c r="AC723" s="4">
        <v>0.0134356896434864</v>
      </c>
      <c r="AD723" s="4">
        <v>-0.0217951367147662</v>
      </c>
      <c r="AE723" s="4">
        <v>0.0</v>
      </c>
      <c r="AF723" s="4">
        <v>0.0037543673486739</v>
      </c>
      <c r="AG723" s="4">
        <v>0.0</v>
      </c>
      <c r="AH723" s="4">
        <v>0.0012876936836327</v>
      </c>
      <c r="AI723" s="4">
        <v>0.0</v>
      </c>
      <c r="AJ723" s="4">
        <v>0.055434</v>
      </c>
      <c r="AK723" s="4">
        <f>Weights!E779</f>
        <v>0.02545932607</v>
      </c>
      <c r="AL723" s="5">
        <v>-0.0189414524589637</v>
      </c>
      <c r="AM723" s="5">
        <v>-0.0215487248735064</v>
      </c>
      <c r="AN723" s="5">
        <v>-0.0145743679213593</v>
      </c>
      <c r="AO723" s="5">
        <v>-0.0148539949240392</v>
      </c>
      <c r="AP723" s="6">
        <f t="shared" si="3"/>
        <v>1.494591808</v>
      </c>
      <c r="AQ723" s="4">
        <f t="shared" si="4"/>
        <v>1.224573627</v>
      </c>
      <c r="AR723" s="7">
        <f t="shared" si="5"/>
        <v>1.120089357</v>
      </c>
      <c r="AS723" s="7">
        <f t="shared" ref="AS723:AU723" si="725">AS722*(1+AM723)</f>
        <v>1.198560857</v>
      </c>
      <c r="AT723" s="5">
        <f t="shared" si="725"/>
        <v>1.254206366</v>
      </c>
      <c r="AU723" s="5">
        <f t="shared" si="725"/>
        <v>1.229007428</v>
      </c>
    </row>
    <row r="724" ht="15.75" customHeight="1">
      <c r="A724" s="3">
        <v>44876.0</v>
      </c>
      <c r="B724" s="4">
        <v>0.008291</v>
      </c>
      <c r="C724" s="4">
        <v>-0.005711</v>
      </c>
      <c r="D724" s="4">
        <v>0.00394</v>
      </c>
      <c r="E724" s="4">
        <v>-0.020088</v>
      </c>
      <c r="F724" s="4">
        <v>0.007227</v>
      </c>
      <c r="G724" s="4">
        <v>-0.029919</v>
      </c>
      <c r="H724" s="4">
        <v>-0.001487</v>
      </c>
      <c r="I724" s="4">
        <v>0.022244</v>
      </c>
      <c r="J724" s="4">
        <v>-0.001981</v>
      </c>
      <c r="K724" s="4">
        <v>-0.004629</v>
      </c>
      <c r="L724" s="4">
        <v>0.011204</v>
      </c>
      <c r="M724" s="4">
        <v>0.026042</v>
      </c>
      <c r="N724" s="4">
        <v>0.012006</v>
      </c>
      <c r="O724" s="4">
        <v>-0.009548</v>
      </c>
      <c r="P724" s="4">
        <v>0.002586</v>
      </c>
      <c r="Q724" s="4">
        <v>-0.050876</v>
      </c>
      <c r="R724" s="4">
        <v>0.035102</v>
      </c>
      <c r="S724" s="4">
        <v>0.001054</v>
      </c>
      <c r="T724" s="4">
        <v>-0.001942</v>
      </c>
      <c r="U724" s="4">
        <v>-0.024067</v>
      </c>
      <c r="V724" s="4">
        <v>0.0479479596085747</v>
      </c>
      <c r="W724" s="4">
        <v>-0.0161671451783754</v>
      </c>
      <c r="X724" s="4">
        <v>-0.0072728540856327</v>
      </c>
      <c r="Y724" s="4">
        <v>-0.0125290907129805</v>
      </c>
      <c r="Z724" s="4">
        <v>-0.00794313804574</v>
      </c>
      <c r="AA724" s="4">
        <v>-0.0078488099654452</v>
      </c>
      <c r="AB724" s="4">
        <v>-0.0313647618129875</v>
      </c>
      <c r="AC724" s="4">
        <v>-0.0056818136199418</v>
      </c>
      <c r="AD724" s="4">
        <v>-0.009174097869943</v>
      </c>
      <c r="AE724" s="4">
        <v>-0.015588562209591</v>
      </c>
      <c r="AF724" s="4">
        <v>-0.0176810899758216</v>
      </c>
      <c r="AG724" s="4">
        <v>0.0028329092242331</v>
      </c>
      <c r="AH724" s="4">
        <v>0.0131172530058953</v>
      </c>
      <c r="AI724" s="4">
        <v>-0.0069630645962291</v>
      </c>
      <c r="AJ724" s="4">
        <v>0.009241</v>
      </c>
      <c r="AK724" s="4">
        <f>Weights!E780</f>
        <v>-0.001020319173</v>
      </c>
      <c r="AL724" s="5">
        <v>0.0551769452652308</v>
      </c>
      <c r="AM724" s="5">
        <v>0.0565776531975144</v>
      </c>
      <c r="AN724" s="5">
        <v>0.0332771329402428</v>
      </c>
      <c r="AO724" s="5">
        <v>0.0327113577262996</v>
      </c>
      <c r="AP724" s="6">
        <f t="shared" si="3"/>
        <v>1.493066847</v>
      </c>
      <c r="AQ724" s="4">
        <f t="shared" si="4"/>
        <v>1.235889911</v>
      </c>
      <c r="AR724" s="7">
        <f t="shared" si="5"/>
        <v>1.181892466</v>
      </c>
      <c r="AS724" s="7">
        <f t="shared" ref="AS724:AU724" si="726">AS723*(1+AM724)</f>
        <v>1.266372618</v>
      </c>
      <c r="AT724" s="5">
        <f t="shared" si="726"/>
        <v>1.295942758</v>
      </c>
      <c r="AU724" s="5">
        <f t="shared" si="726"/>
        <v>1.26920993</v>
      </c>
    </row>
    <row r="725" ht="15.75" customHeight="1">
      <c r="A725" s="3">
        <v>44879.0</v>
      </c>
      <c r="B725" s="4">
        <v>-4.57E-4</v>
      </c>
      <c r="C725" s="4">
        <v>2.61E-4</v>
      </c>
      <c r="D725" s="4">
        <v>0.012235</v>
      </c>
      <c r="E725" s="4">
        <v>-0.007414</v>
      </c>
      <c r="F725" s="4">
        <v>-0.009622</v>
      </c>
      <c r="G725" s="4">
        <v>0.015716</v>
      </c>
      <c r="H725" s="4">
        <v>7.1E-5</v>
      </c>
      <c r="I725" s="4">
        <v>-0.024184</v>
      </c>
      <c r="J725" s="4">
        <v>-0.014392</v>
      </c>
      <c r="K725" s="4">
        <v>-0.010051</v>
      </c>
      <c r="L725" s="4">
        <v>-0.004029</v>
      </c>
      <c r="M725" s="4">
        <v>-0.009588</v>
      </c>
      <c r="N725" s="4">
        <v>-0.011217</v>
      </c>
      <c r="O725" s="4">
        <v>-0.00964</v>
      </c>
      <c r="P725" s="4">
        <v>-0.005158</v>
      </c>
      <c r="Q725" s="4">
        <v>-0.013181</v>
      </c>
      <c r="R725" s="4">
        <v>-0.003943</v>
      </c>
      <c r="S725" s="4">
        <v>-0.006317</v>
      </c>
      <c r="T725" s="4">
        <v>0.024791</v>
      </c>
      <c r="U725" s="4">
        <v>-0.008147</v>
      </c>
      <c r="V725" s="4">
        <v>-0.0364481825802677</v>
      </c>
      <c r="W725" s="4">
        <v>-0.0208641433989772</v>
      </c>
      <c r="X725" s="4">
        <v>0.0048841236542114</v>
      </c>
      <c r="Y725" s="4">
        <v>-0.0076530559981574</v>
      </c>
      <c r="Z725" s="4">
        <v>-0.0099286944633364</v>
      </c>
      <c r="AA725" s="4">
        <v>-0.0291956695530456</v>
      </c>
      <c r="AB725" s="4">
        <v>-0.0127454593733639</v>
      </c>
      <c r="AC725" s="4">
        <v>0.0057142811001247</v>
      </c>
      <c r="AD725" s="4">
        <v>0.0</v>
      </c>
      <c r="AE725" s="4">
        <v>7.9312975857837E-5</v>
      </c>
      <c r="AF725" s="4">
        <v>-0.0193839218505575</v>
      </c>
      <c r="AG725" s="4">
        <v>-0.0074575794085794</v>
      </c>
      <c r="AH725" s="4">
        <v>-0.0093932322654007</v>
      </c>
      <c r="AI725" s="4">
        <v>0.0010789966557234</v>
      </c>
      <c r="AJ725" s="4">
        <v>-0.008936</v>
      </c>
      <c r="AK725" s="4">
        <f>Weights!E781</f>
        <v>-0.008161400611</v>
      </c>
      <c r="AL725" s="5">
        <v>0.0137232195918144</v>
      </c>
      <c r="AM725" s="5">
        <v>0.0101949081342209</v>
      </c>
      <c r="AN725" s="5">
        <v>0.00422915578074389</v>
      </c>
      <c r="AO725" s="5">
        <v>0.00593909707400208</v>
      </c>
      <c r="AP725" s="6">
        <f t="shared" si="3"/>
        <v>1.48088133</v>
      </c>
      <c r="AQ725" s="4">
        <f t="shared" si="4"/>
        <v>1.224845999</v>
      </c>
      <c r="AR725" s="7">
        <f t="shared" si="5"/>
        <v>1.198111836</v>
      </c>
      <c r="AS725" s="7">
        <f t="shared" ref="AS725:AU725" si="727">AS724*(1+AM725)</f>
        <v>1.27928317</v>
      </c>
      <c r="AT725" s="5">
        <f t="shared" si="727"/>
        <v>1.301423502</v>
      </c>
      <c r="AU725" s="5">
        <f t="shared" si="727"/>
        <v>1.276747891</v>
      </c>
    </row>
    <row r="726" ht="15.75" customHeight="1">
      <c r="A726" s="3">
        <v>44880.0</v>
      </c>
      <c r="B726" s="4">
        <v>-0.005027</v>
      </c>
      <c r="C726" s="4">
        <v>-0.015923</v>
      </c>
      <c r="D726" s="4">
        <v>-0.013911</v>
      </c>
      <c r="E726" s="4">
        <v>0.002603</v>
      </c>
      <c r="F726" s="4">
        <v>-0.001647</v>
      </c>
      <c r="G726" s="4">
        <v>0.002792</v>
      </c>
      <c r="H726" s="4">
        <v>-0.003476</v>
      </c>
      <c r="I726" s="4">
        <v>0.005229</v>
      </c>
      <c r="J726" s="4">
        <v>0.002266</v>
      </c>
      <c r="K726" s="4">
        <v>9.09E-4</v>
      </c>
      <c r="L726" s="4">
        <v>0.002933</v>
      </c>
      <c r="M726" s="4">
        <v>0.005695</v>
      </c>
      <c r="N726" s="4">
        <v>0.003054</v>
      </c>
      <c r="O726" s="4">
        <v>0.01245</v>
      </c>
      <c r="P726" s="4">
        <v>-0.012962</v>
      </c>
      <c r="Q726" s="4">
        <v>-0.030276</v>
      </c>
      <c r="R726" s="4">
        <v>0.005278</v>
      </c>
      <c r="S726" s="4">
        <v>-0.009007</v>
      </c>
      <c r="T726" s="4">
        <v>0.01301</v>
      </c>
      <c r="U726" s="4">
        <v>0.009065</v>
      </c>
      <c r="V726" s="4">
        <v>-0.0185111513712504</v>
      </c>
      <c r="W726" s="4">
        <v>-9.428919647416E-4</v>
      </c>
      <c r="X726" s="4">
        <v>-0.0121506176737133</v>
      </c>
      <c r="Y726" s="4">
        <v>0.0219188147295616</v>
      </c>
      <c r="Z726" s="4">
        <v>0.025555524066934</v>
      </c>
      <c r="AA726" s="4">
        <v>0.0391929271022173</v>
      </c>
      <c r="AB726" s="4">
        <v>0.0219819379110928</v>
      </c>
      <c r="AC726" s="4">
        <v>-0.0037877954576001</v>
      </c>
      <c r="AD726" s="4">
        <v>0.0039682753922931</v>
      </c>
      <c r="AE726" s="4">
        <v>0.029768063412829</v>
      </c>
      <c r="AF726" s="4">
        <v>0.0271796240107899</v>
      </c>
      <c r="AG726" s="4">
        <v>0.0257285325519303</v>
      </c>
      <c r="AH726" s="4">
        <v>0.0128139295109535</v>
      </c>
      <c r="AI726" s="4">
        <v>-5.388034299698E-4</v>
      </c>
      <c r="AJ726" s="4">
        <v>0.008713</v>
      </c>
      <c r="AK726" s="4">
        <f>Weights!E782</f>
        <v>0.00609347319</v>
      </c>
      <c r="AL726" s="5">
        <v>-0.00999816040818979</v>
      </c>
      <c r="AM726" s="5">
        <v>-0.00904286099584794</v>
      </c>
      <c r="AN726" s="5">
        <v>-0.00777449302040522</v>
      </c>
      <c r="AO726" s="5">
        <v>-0.00885594747779205</v>
      </c>
      <c r="AP726" s="6">
        <f t="shared" si="3"/>
        <v>1.489905041</v>
      </c>
      <c r="AQ726" s="4">
        <f t="shared" si="4"/>
        <v>1.235518082</v>
      </c>
      <c r="AR726" s="7">
        <f t="shared" si="5"/>
        <v>1.186132922</v>
      </c>
      <c r="AS726" s="7">
        <f t="shared" ref="AS726:AU726" si="728">AS725*(1+AM726)</f>
        <v>1.26771479</v>
      </c>
      <c r="AT726" s="5">
        <f t="shared" si="728"/>
        <v>1.291305594</v>
      </c>
      <c r="AU726" s="5">
        <f t="shared" si="728"/>
        <v>1.265441078</v>
      </c>
    </row>
    <row r="727" ht="15.75" customHeight="1">
      <c r="A727" s="3">
        <v>44881.0</v>
      </c>
      <c r="B727" s="4">
        <v>0.001378</v>
      </c>
      <c r="C727" s="4">
        <v>0.004775</v>
      </c>
      <c r="D727" s="4">
        <v>-0.0037</v>
      </c>
      <c r="E727" s="4">
        <v>0.006434</v>
      </c>
      <c r="F727" s="4">
        <v>-0.001814</v>
      </c>
      <c r="G727" s="4">
        <v>0.006207</v>
      </c>
      <c r="H727" s="4">
        <v>0.008897</v>
      </c>
      <c r="I727" s="4">
        <v>0.001486</v>
      </c>
      <c r="J727" s="4">
        <v>0.016707</v>
      </c>
      <c r="K727" s="4">
        <v>0.00106</v>
      </c>
      <c r="L727" s="4">
        <v>-0.005445</v>
      </c>
      <c r="M727" s="4">
        <v>-0.010193</v>
      </c>
      <c r="N727" s="4">
        <v>0.003045</v>
      </c>
      <c r="O727" s="4">
        <v>0.004248</v>
      </c>
      <c r="P727" s="4">
        <v>-0.004377</v>
      </c>
      <c r="Q727" s="4">
        <v>-0.00551</v>
      </c>
      <c r="R727" s="4">
        <v>-0.01864</v>
      </c>
      <c r="S727" s="4">
        <v>-0.005346</v>
      </c>
      <c r="T727" s="4">
        <v>-0.017008</v>
      </c>
      <c r="U727" s="4">
        <v>0.016751</v>
      </c>
      <c r="V727" s="4">
        <v>-0.0266501101352706</v>
      </c>
      <c r="W727" s="4">
        <v>-0.0211399571392258</v>
      </c>
      <c r="X727" s="4">
        <v>0.0</v>
      </c>
      <c r="Y727" s="4">
        <v>-0.016285161894131</v>
      </c>
      <c r="Z727" s="4">
        <v>-0.021343793549363</v>
      </c>
      <c r="AA727" s="4">
        <v>-0.0233385058642333</v>
      </c>
      <c r="AB727" s="4">
        <v>-0.0040969588980174</v>
      </c>
      <c r="AC727" s="4">
        <v>0.0</v>
      </c>
      <c r="AD727" s="4">
        <v>0.0</v>
      </c>
      <c r="AE727" s="4">
        <v>-0.0184515780078001</v>
      </c>
      <c r="AF727" s="4">
        <v>-0.0120274723734485</v>
      </c>
      <c r="AG727" s="4">
        <v>-0.0088789694505628</v>
      </c>
      <c r="AH727" s="4">
        <v>0.0146761962510728</v>
      </c>
      <c r="AI727" s="4">
        <v>-0.0021563755824393</v>
      </c>
      <c r="AJ727" s="4">
        <v>-0.008252</v>
      </c>
      <c r="AK727" s="4">
        <f>Weights!E783</f>
        <v>-0.004249581005</v>
      </c>
      <c r="AL727" s="5">
        <v>0.00866916551980145</v>
      </c>
      <c r="AM727" s="5">
        <v>0.0101335616328954</v>
      </c>
      <c r="AN727" s="5">
        <v>0.00391756987049651</v>
      </c>
      <c r="AO727" s="5">
        <v>0.0037227356327778</v>
      </c>
      <c r="AP727" s="6">
        <f t="shared" si="3"/>
        <v>1.483573569</v>
      </c>
      <c r="AQ727" s="4">
        <f t="shared" si="4"/>
        <v>1.225322587</v>
      </c>
      <c r="AR727" s="7">
        <f t="shared" si="5"/>
        <v>1.196415704</v>
      </c>
      <c r="AS727" s="7">
        <f t="shared" ref="AS727:AU727" si="729">AS726*(1+AM727)</f>
        <v>1.280561256</v>
      </c>
      <c r="AT727" s="5">
        <f t="shared" si="729"/>
        <v>1.296364374</v>
      </c>
      <c r="AU727" s="5">
        <f t="shared" si="729"/>
        <v>1.270151981</v>
      </c>
    </row>
    <row r="728" ht="15.75" customHeight="1">
      <c r="A728" s="3">
        <v>44882.0</v>
      </c>
      <c r="B728" s="4">
        <v>-0.001835</v>
      </c>
      <c r="C728" s="4">
        <v>0.007392</v>
      </c>
      <c r="D728" s="4">
        <v>0.020659</v>
      </c>
      <c r="E728" s="4">
        <v>0.009533</v>
      </c>
      <c r="F728" s="4">
        <v>0.003139</v>
      </c>
      <c r="G728" s="4">
        <v>0.008071</v>
      </c>
      <c r="H728" s="4">
        <v>-0.006138</v>
      </c>
      <c r="I728" s="4">
        <v>-0.002721</v>
      </c>
      <c r="J728" s="4">
        <v>-0.014732</v>
      </c>
      <c r="K728" s="4">
        <v>0.007108</v>
      </c>
      <c r="L728" s="4">
        <v>0.00659</v>
      </c>
      <c r="M728" s="4">
        <v>0.004577</v>
      </c>
      <c r="N728" s="4">
        <v>0.007589</v>
      </c>
      <c r="O728" s="4">
        <v>-0.024935</v>
      </c>
      <c r="P728" s="4">
        <v>-0.018026</v>
      </c>
      <c r="Q728" s="4">
        <v>-0.00831</v>
      </c>
      <c r="R728" s="4">
        <v>-0.027287</v>
      </c>
      <c r="S728" s="4">
        <v>-0.018812</v>
      </c>
      <c r="T728" s="4">
        <v>0.003531</v>
      </c>
      <c r="U728" s="4">
        <v>0.002746</v>
      </c>
      <c r="V728" s="4">
        <v>-0.0126370373878247</v>
      </c>
      <c r="W728" s="4">
        <v>0.0310449955560629</v>
      </c>
      <c r="X728" s="4">
        <v>0.0208078169032737</v>
      </c>
      <c r="Y728" s="4">
        <v>0.027254352191931</v>
      </c>
      <c r="Z728" s="4">
        <v>0.0238506248079581</v>
      </c>
      <c r="AA728" s="4">
        <v>0.0273371243253415</v>
      </c>
      <c r="AB728" s="4">
        <v>0.0239973283093954</v>
      </c>
      <c r="AC728" s="4">
        <v>0.0133334033147787</v>
      </c>
      <c r="AD728" s="4">
        <v>0.0184451168757853</v>
      </c>
      <c r="AE728" s="4">
        <v>0.0119054650387708</v>
      </c>
      <c r="AF728" s="4">
        <v>0.0434783975297627</v>
      </c>
      <c r="AG728" s="4">
        <v>0.0178051557149561</v>
      </c>
      <c r="AH728" s="4">
        <v>0.001246792348726</v>
      </c>
      <c r="AI728" s="4">
        <v>-0.0010807452229559</v>
      </c>
      <c r="AJ728" s="4">
        <v>-0.003089</v>
      </c>
      <c r="AK728" s="4">
        <f>Weights!E784</f>
        <v>0.006824315381</v>
      </c>
      <c r="AL728" s="5">
        <v>-0.00646824622512653</v>
      </c>
      <c r="AM728" s="5">
        <v>-0.0101815653588487</v>
      </c>
      <c r="AN728" s="5">
        <v>0.0</v>
      </c>
      <c r="AO728" s="5">
        <v>-0.00123627551579386</v>
      </c>
      <c r="AP728" s="6">
        <f t="shared" si="3"/>
        <v>1.493697943</v>
      </c>
      <c r="AQ728" s="4">
        <f t="shared" si="4"/>
        <v>1.221537566</v>
      </c>
      <c r="AR728" s="7">
        <f t="shared" si="5"/>
        <v>1.188676993</v>
      </c>
      <c r="AS728" s="7">
        <f t="shared" ref="AS728:AU728" si="730">AS727*(1+AM728)</f>
        <v>1.267523138</v>
      </c>
      <c r="AT728" s="5">
        <f t="shared" si="730"/>
        <v>1.296364374</v>
      </c>
      <c r="AU728" s="5">
        <f t="shared" si="730"/>
        <v>1.268581723</v>
      </c>
    </row>
    <row r="729" ht="15.75" customHeight="1">
      <c r="A729" s="3">
        <v>44883.0</v>
      </c>
      <c r="B729" s="4">
        <v>0.002298</v>
      </c>
      <c r="C729" s="4">
        <v>0.01022</v>
      </c>
      <c r="D729" s="4">
        <v>0.013873</v>
      </c>
      <c r="E729" s="4">
        <v>0.007221</v>
      </c>
      <c r="F729" s="4">
        <v>0.007083</v>
      </c>
      <c r="G729" s="4">
        <v>0.007663</v>
      </c>
      <c r="H729" s="4">
        <v>0.012068</v>
      </c>
      <c r="I729" s="4">
        <v>7.44E-4</v>
      </c>
      <c r="J729" s="4">
        <v>0.011911</v>
      </c>
      <c r="K729" s="4">
        <v>0.003004</v>
      </c>
      <c r="L729" s="4">
        <v>-0.001511</v>
      </c>
      <c r="M729" s="4">
        <v>0.002847</v>
      </c>
      <c r="N729" s="4">
        <v>-0.00581</v>
      </c>
      <c r="O729" s="4">
        <v>0.024751</v>
      </c>
      <c r="P729" s="4">
        <v>0.010298</v>
      </c>
      <c r="Q729" s="4">
        <v>-0.014898</v>
      </c>
      <c r="R729" s="4">
        <v>-5.5E-4</v>
      </c>
      <c r="S729" s="4">
        <v>0.013695</v>
      </c>
      <c r="T729" s="4">
        <v>-4.93E-4</v>
      </c>
      <c r="U729" s="4">
        <v>0.010305</v>
      </c>
      <c r="V729" s="4">
        <v>0.0328499936241239</v>
      </c>
      <c r="W729" s="4">
        <v>-0.0063585939576131</v>
      </c>
      <c r="X729" s="4">
        <v>0.0311750869840055</v>
      </c>
      <c r="Y729" s="4">
        <v>0.0224042825780992</v>
      </c>
      <c r="Z729" s="4">
        <v>0.0227702194140086</v>
      </c>
      <c r="AA729" s="4">
        <v>0.0089318060521641</v>
      </c>
      <c r="AB729" s="4">
        <v>0.0026781511310973</v>
      </c>
      <c r="AC729" s="4">
        <v>0.0018796179151463</v>
      </c>
      <c r="AD729" s="4">
        <v>0.0077621220174171</v>
      </c>
      <c r="AE729" s="4">
        <v>0.0139330483025019</v>
      </c>
      <c r="AF729" s="4">
        <v>0.0239998886293406</v>
      </c>
      <c r="AG729" s="4">
        <v>0.0115523265150552</v>
      </c>
      <c r="AH729" s="4">
        <v>-0.0042341122069722</v>
      </c>
      <c r="AI729" s="4">
        <v>0.0048677045335223</v>
      </c>
      <c r="AJ729" s="4">
        <v>0.004759</v>
      </c>
      <c r="AK729" s="4">
        <f>Weights!E785</f>
        <v>0.008195851873</v>
      </c>
      <c r="AL729" s="5">
        <v>-0.00258630904300194</v>
      </c>
      <c r="AM729" s="5">
        <v>-0.00418509533839839</v>
      </c>
      <c r="AN729" s="5">
        <v>-0.00260156636478436</v>
      </c>
      <c r="AO729" s="5">
        <v>-0.00346612101224463</v>
      </c>
      <c r="AP729" s="6">
        <f t="shared" si="3"/>
        <v>1.50594007</v>
      </c>
      <c r="AQ729" s="4">
        <f t="shared" si="4"/>
        <v>1.227350863</v>
      </c>
      <c r="AR729" s="7">
        <f t="shared" si="5"/>
        <v>1.185602707</v>
      </c>
      <c r="AS729" s="7">
        <f t="shared" ref="AS729:AU729" si="731">AS728*(1+AM729)</f>
        <v>1.262218433</v>
      </c>
      <c r="AT729" s="5">
        <f t="shared" si="731"/>
        <v>1.292991796</v>
      </c>
      <c r="AU729" s="5">
        <f t="shared" si="731"/>
        <v>1.264184665</v>
      </c>
    </row>
    <row r="730" ht="15.75" customHeight="1">
      <c r="A730" s="3">
        <v>44886.0</v>
      </c>
      <c r="B730" s="4">
        <v>-0.010546</v>
      </c>
      <c r="C730" s="4">
        <v>0.001816</v>
      </c>
      <c r="D730" s="4">
        <v>0.0</v>
      </c>
      <c r="E730" s="4">
        <v>0.019247</v>
      </c>
      <c r="F730" s="4">
        <v>0.015375</v>
      </c>
      <c r="G730" s="4">
        <v>0.005108</v>
      </c>
      <c r="H730" s="4">
        <v>0.012696</v>
      </c>
      <c r="I730" s="4">
        <v>-0.003717</v>
      </c>
      <c r="J730" s="4">
        <v>-0.009016</v>
      </c>
      <c r="K730" s="4">
        <v>-7.49E-4</v>
      </c>
      <c r="L730" s="4">
        <v>-0.003329</v>
      </c>
      <c r="M730" s="4">
        <v>-0.004178</v>
      </c>
      <c r="N730" s="4">
        <v>-0.004545</v>
      </c>
      <c r="O730" s="4">
        <v>0.00361</v>
      </c>
      <c r="P730" s="4">
        <v>-0.002881</v>
      </c>
      <c r="Q730" s="4">
        <v>0.005671</v>
      </c>
      <c r="R730" s="4">
        <v>-0.005779</v>
      </c>
      <c r="S730" s="4">
        <v>-0.001891</v>
      </c>
      <c r="T730" s="4">
        <v>0.049356</v>
      </c>
      <c r="U730" s="4">
        <v>0.002996</v>
      </c>
      <c r="V730" s="4">
        <v>-0.0309791197123168</v>
      </c>
      <c r="W730" s="4">
        <v>-0.0099755850299363</v>
      </c>
      <c r="X730" s="4">
        <v>-0.0034884801373</v>
      </c>
      <c r="Y730" s="4">
        <v>-0.0035240236071091</v>
      </c>
      <c r="Z730" s="4">
        <v>9.233149105176E-4</v>
      </c>
      <c r="AA730" s="4">
        <v>-0.0468460682045891</v>
      </c>
      <c r="AB730" s="4">
        <v>-0.0060099059903773</v>
      </c>
      <c r="AC730" s="4">
        <v>-0.0056284338111025</v>
      </c>
      <c r="AD730" s="4">
        <v>-0.0102696692542892</v>
      </c>
      <c r="AE730" s="4">
        <v>-0.0126726517665048</v>
      </c>
      <c r="AF730" s="4">
        <v>-0.0192056752587134</v>
      </c>
      <c r="AG730" s="4">
        <v>-0.0030452687768843</v>
      </c>
      <c r="AH730" s="4">
        <v>0.0322661209397652</v>
      </c>
      <c r="AI730" s="4">
        <v>-0.0102260198831156</v>
      </c>
      <c r="AJ730" s="4">
        <v>-0.003884</v>
      </c>
      <c r="AK730" s="4">
        <f>Weights!E786</f>
        <v>-0.00324332896</v>
      </c>
      <c r="AL730" s="5">
        <v>0.00375542362502079</v>
      </c>
      <c r="AM730" s="5">
        <v>0.00470904979927033</v>
      </c>
      <c r="AN730" s="5">
        <v>0.00489069396923236</v>
      </c>
      <c r="AO730" s="5">
        <v>0.00546588160094452</v>
      </c>
      <c r="AP730" s="6">
        <f t="shared" si="3"/>
        <v>1.501055811</v>
      </c>
      <c r="AQ730" s="4">
        <f t="shared" si="4"/>
        <v>1.222583832</v>
      </c>
      <c r="AR730" s="7">
        <f t="shared" si="5"/>
        <v>1.190055147</v>
      </c>
      <c r="AS730" s="7">
        <f t="shared" ref="AS730:AU730" si="732">AS729*(1+AM730)</f>
        <v>1.268162283</v>
      </c>
      <c r="AT730" s="5">
        <f t="shared" si="732"/>
        <v>1.299315423</v>
      </c>
      <c r="AU730" s="5">
        <f t="shared" si="732"/>
        <v>1.271094549</v>
      </c>
    </row>
    <row r="731" ht="15.75" customHeight="1">
      <c r="A731" s="3">
        <v>44887.0</v>
      </c>
      <c r="B731" s="4">
        <v>9.27E-4</v>
      </c>
      <c r="C731" s="4">
        <v>0.015018</v>
      </c>
      <c r="D731" s="4">
        <v>0.006729</v>
      </c>
      <c r="E731" s="4">
        <v>1.08E-4</v>
      </c>
      <c r="F731" s="4">
        <v>0.004349</v>
      </c>
      <c r="G731" s="4">
        <v>0.00483</v>
      </c>
      <c r="H731" s="4">
        <v>0.008588</v>
      </c>
      <c r="I731" s="4">
        <v>0.020149</v>
      </c>
      <c r="J731" s="4">
        <v>0.009098</v>
      </c>
      <c r="K731" s="4">
        <v>0.016032</v>
      </c>
      <c r="L731" s="4">
        <v>0.020344</v>
      </c>
      <c r="M731" s="4">
        <v>0.022556</v>
      </c>
      <c r="N731" s="4">
        <v>0.01535</v>
      </c>
      <c r="O731" s="4">
        <v>0.019759</v>
      </c>
      <c r="P731" s="4">
        <v>0.025111</v>
      </c>
      <c r="Q731" s="4">
        <v>0.015038</v>
      </c>
      <c r="R731" s="4">
        <v>0.047883</v>
      </c>
      <c r="S731" s="4">
        <v>0.034109</v>
      </c>
      <c r="T731" s="4">
        <v>0.020867</v>
      </c>
      <c r="U731" s="4">
        <v>0.008463</v>
      </c>
      <c r="V731" s="4">
        <v>-0.0136400354119409</v>
      </c>
      <c r="W731" s="4">
        <v>0.0087452785844206</v>
      </c>
      <c r="X731" s="4">
        <v>0.0233372232015192</v>
      </c>
      <c r="Y731" s="4">
        <v>-0.0282921999832274</v>
      </c>
      <c r="Z731" s="4">
        <v>-0.026650349261346</v>
      </c>
      <c r="AA731" s="4">
        <v>-0.0327013636727361</v>
      </c>
      <c r="AB731" s="4">
        <v>-0.0067183360254703</v>
      </c>
      <c r="AC731" s="4">
        <v>0.0566037237822745</v>
      </c>
      <c r="AD731" s="4">
        <v>0.011673328810682</v>
      </c>
      <c r="AE731" s="4">
        <v>-0.0171653042408481</v>
      </c>
      <c r="AF731" s="4">
        <v>-0.013275852034291</v>
      </c>
      <c r="AG731" s="4">
        <v>-0.0013171536785087</v>
      </c>
      <c r="AH731" s="4">
        <v>0.0239883645721186</v>
      </c>
      <c r="AI731" s="4">
        <v>-0.0043501595127162</v>
      </c>
      <c r="AJ731" s="4">
        <v>0.01358</v>
      </c>
      <c r="AK731" s="4">
        <f>Weights!E787</f>
        <v>0.007383111311</v>
      </c>
      <c r="AL731" s="5">
        <v>-0.00596828502320967</v>
      </c>
      <c r="AM731" s="5">
        <v>-0.00423352104984997</v>
      </c>
      <c r="AN731" s="5">
        <v>1.96275337186691E-4</v>
      </c>
      <c r="AO731" s="5">
        <v>0.0</v>
      </c>
      <c r="AP731" s="6">
        <f t="shared" si="3"/>
        <v>1.512138273</v>
      </c>
      <c r="AQ731" s="4">
        <f t="shared" si="4"/>
        <v>1.239186521</v>
      </c>
      <c r="AR731" s="7">
        <f t="shared" si="5"/>
        <v>1.182952559</v>
      </c>
      <c r="AS731" s="7">
        <f t="shared" ref="AS731:AU731" si="733">AS730*(1+AM731)</f>
        <v>1.262793491</v>
      </c>
      <c r="AT731" s="5">
        <f t="shared" si="733"/>
        <v>1.299570446</v>
      </c>
      <c r="AU731" s="5">
        <f t="shared" si="733"/>
        <v>1.271094549</v>
      </c>
    </row>
    <row r="732" ht="15.75" customHeight="1">
      <c r="A732" s="3">
        <v>44888.0</v>
      </c>
      <c r="B732" s="4">
        <v>-0.001852</v>
      </c>
      <c r="C732" s="4">
        <v>-0.007143</v>
      </c>
      <c r="D732" s="4">
        <v>0.003119</v>
      </c>
      <c r="E732" s="4">
        <v>0.001298</v>
      </c>
      <c r="F732" s="4">
        <v>0.004491</v>
      </c>
      <c r="G732" s="4">
        <v>0.001074</v>
      </c>
      <c r="H732" s="4">
        <v>0.0057</v>
      </c>
      <c r="I732" s="4">
        <v>0.010729</v>
      </c>
      <c r="J732" s="4">
        <v>0.010018</v>
      </c>
      <c r="K732" s="4">
        <v>0.004424</v>
      </c>
      <c r="L732" s="4">
        <v>7.94E-4</v>
      </c>
      <c r="M732" s="4">
        <v>0.007353</v>
      </c>
      <c r="N732" s="4">
        <v>0.004549</v>
      </c>
      <c r="O732" s="4">
        <v>-0.001393</v>
      </c>
      <c r="P732" s="4">
        <v>0.002601</v>
      </c>
      <c r="Q732" s="4">
        <v>0.024074</v>
      </c>
      <c r="R732" s="4">
        <v>0.004754</v>
      </c>
      <c r="S732" s="4">
        <v>0.010209</v>
      </c>
      <c r="T732" s="4">
        <v>-0.015905</v>
      </c>
      <c r="U732" s="4">
        <v>0.001199</v>
      </c>
      <c r="V732" s="4">
        <v>0.0388935847786</v>
      </c>
      <c r="W732" s="4">
        <v>0.0305314865077295</v>
      </c>
      <c r="X732" s="4">
        <v>0.0</v>
      </c>
      <c r="Y732" s="4">
        <v>0.0187930067460957</v>
      </c>
      <c r="Z732" s="4">
        <v>0.0179022626739624</v>
      </c>
      <c r="AA732" s="4">
        <v>0.0226045126389557</v>
      </c>
      <c r="AB732" s="4">
        <v>0.0071018430521667</v>
      </c>
      <c r="AC732" s="4">
        <v>0.0</v>
      </c>
      <c r="AD732" s="4">
        <v>0.0</v>
      </c>
      <c r="AE732" s="4">
        <v>0.0176224754360057</v>
      </c>
      <c r="AF732" s="4">
        <v>-0.0144635282264755</v>
      </c>
      <c r="AG732" s="4">
        <v>0.0190130510104464</v>
      </c>
      <c r="AH732" s="4">
        <v>-0.0030761978136349</v>
      </c>
      <c r="AI732" s="4">
        <v>-0.0016383654327425</v>
      </c>
      <c r="AJ732" s="4">
        <v>0.005915</v>
      </c>
      <c r="AK732" s="4">
        <f>Weights!E788</f>
        <v>0.007580770638</v>
      </c>
      <c r="AL732" s="5">
        <v>0.0142486634561098</v>
      </c>
      <c r="AM732" s="5">
        <v>0.0131087663216187</v>
      </c>
      <c r="AN732" s="5">
        <v>0.0117685163672558</v>
      </c>
      <c r="AO732" s="5">
        <v>0.0123549091305343</v>
      </c>
      <c r="AP732" s="6">
        <f t="shared" si="3"/>
        <v>1.523601446</v>
      </c>
      <c r="AQ732" s="4">
        <f t="shared" si="4"/>
        <v>1.246516309</v>
      </c>
      <c r="AR732" s="7">
        <f t="shared" si="5"/>
        <v>1.199808052</v>
      </c>
      <c r="AS732" s="7">
        <f t="shared" ref="AS732:AU732" si="734">AS731*(1+AM732)</f>
        <v>1.279347156</v>
      </c>
      <c r="AT732" s="5">
        <f t="shared" si="734"/>
        <v>1.314864462</v>
      </c>
      <c r="AU732" s="5">
        <f t="shared" si="734"/>
        <v>1.286798807</v>
      </c>
    </row>
    <row r="733" ht="15.75" customHeight="1">
      <c r="A733" s="3">
        <v>44890.0</v>
      </c>
      <c r="B733" s="4">
        <v>0.009276</v>
      </c>
      <c r="C733" s="4">
        <v>0.002569</v>
      </c>
      <c r="D733" s="4">
        <v>0.012661</v>
      </c>
      <c r="E733" s="4">
        <v>-0.005241</v>
      </c>
      <c r="F733" s="4">
        <v>9.58E-4</v>
      </c>
      <c r="G733" s="4">
        <v>0.001299</v>
      </c>
      <c r="H733" s="4">
        <v>0.001844</v>
      </c>
      <c r="I733" s="4">
        <v>0.006996</v>
      </c>
      <c r="J733" s="4">
        <v>0.00248</v>
      </c>
      <c r="K733" s="4">
        <v>-7.34E-4</v>
      </c>
      <c r="L733" s="4">
        <v>9.9E-5</v>
      </c>
      <c r="M733" s="4">
        <v>0.007861</v>
      </c>
      <c r="N733" s="4">
        <v>0.009705</v>
      </c>
      <c r="O733" s="4">
        <v>0.002529</v>
      </c>
      <c r="P733" s="4">
        <v>-0.008649</v>
      </c>
      <c r="Q733" s="4">
        <v>-0.013562</v>
      </c>
      <c r="R733" s="4">
        <v>-0.023396</v>
      </c>
      <c r="S733" s="4">
        <v>-0.003369</v>
      </c>
      <c r="T733" s="4">
        <v>-0.003606</v>
      </c>
      <c r="U733" s="4">
        <v>0.001338</v>
      </c>
      <c r="V733" s="4">
        <v>0.0245424644270597</v>
      </c>
      <c r="W733" s="4">
        <v>-0.0173738166259475</v>
      </c>
      <c r="X733" s="4">
        <v>0.0068570775454677</v>
      </c>
      <c r="Y733" s="4">
        <v>0.0107169594323348</v>
      </c>
      <c r="Z733" s="4">
        <v>0.0061038147398382</v>
      </c>
      <c r="AA733" s="4">
        <v>0.0050861924321174</v>
      </c>
      <c r="AB733" s="4">
        <v>0.0167897703544104</v>
      </c>
      <c r="AC733" s="4">
        <v>0.0073936306091839</v>
      </c>
      <c r="AD733" s="4">
        <v>-0.0025316959405803</v>
      </c>
      <c r="AE733" s="4">
        <v>-0.0066485624318628</v>
      </c>
      <c r="AF733" s="4">
        <v>0.0283277185924957</v>
      </c>
      <c r="AG733" s="4">
        <v>0.022432977051622</v>
      </c>
      <c r="AH733" s="4">
        <v>0.0049846632276591</v>
      </c>
      <c r="AI733" s="4">
        <v>0.0027350517498549</v>
      </c>
      <c r="AJ733" s="4">
        <v>-2.83E-4</v>
      </c>
      <c r="AK733" s="4">
        <f>Weights!E789</f>
        <v>0.004604534444</v>
      </c>
      <c r="AL733" s="5">
        <v>0.00768687455118977</v>
      </c>
      <c r="AM733" s="5">
        <v>0.00609458854602906</v>
      </c>
      <c r="AN733" s="5">
        <v>0.00323109273569111</v>
      </c>
      <c r="AO733" s="5">
        <v>0.00244086581101976</v>
      </c>
      <c r="AP733" s="6">
        <f t="shared" si="3"/>
        <v>1.530616922</v>
      </c>
      <c r="AQ733" s="4">
        <f t="shared" si="4"/>
        <v>1.246163545</v>
      </c>
      <c r="AR733" s="7">
        <f t="shared" si="5"/>
        <v>1.209030826</v>
      </c>
      <c r="AS733" s="7">
        <f t="shared" ref="AS733:AU733" si="735">AS732*(1+AM733)</f>
        <v>1.28714425</v>
      </c>
      <c r="AT733" s="5">
        <f t="shared" si="735"/>
        <v>1.319112911</v>
      </c>
      <c r="AU733" s="5">
        <f t="shared" si="735"/>
        <v>1.28993971</v>
      </c>
    </row>
    <row r="734" ht="15.75" customHeight="1">
      <c r="A734" s="3">
        <v>44893.0</v>
      </c>
      <c r="B734" s="4">
        <v>-0.015165</v>
      </c>
      <c r="C734" s="4">
        <v>-0.01999</v>
      </c>
      <c r="D734" s="4">
        <v>-0.009871</v>
      </c>
      <c r="E734" s="4">
        <v>-0.001195</v>
      </c>
      <c r="F734" s="4">
        <v>1.6E-4</v>
      </c>
      <c r="G734" s="4">
        <v>5.08E-4</v>
      </c>
      <c r="H734" s="4">
        <v>-8.18E-4</v>
      </c>
      <c r="I734" s="4">
        <v>-0.012937</v>
      </c>
      <c r="J734" s="4">
        <v>-0.011872</v>
      </c>
      <c r="K734" s="4">
        <v>-0.021305</v>
      </c>
      <c r="L734" s="4">
        <v>-0.022398</v>
      </c>
      <c r="M734" s="4">
        <v>-0.026184</v>
      </c>
      <c r="N734" s="4">
        <v>-0.019009</v>
      </c>
      <c r="O734" s="4">
        <v>-0.01905</v>
      </c>
      <c r="P734" s="4">
        <v>-0.03337</v>
      </c>
      <c r="Q734" s="4">
        <v>-0.024748</v>
      </c>
      <c r="R734" s="4">
        <v>-0.025841</v>
      </c>
      <c r="S734" s="4">
        <v>-0.028601</v>
      </c>
      <c r="T734" s="4">
        <v>-0.011127</v>
      </c>
      <c r="U734" s="4">
        <v>-1.41E-4</v>
      </c>
      <c r="V734" s="4">
        <v>4.06043136427225E-4</v>
      </c>
      <c r="W734" s="4">
        <v>-0.0104225712549764</v>
      </c>
      <c r="X734" s="4">
        <v>-0.0011350783741306</v>
      </c>
      <c r="Y734" s="4">
        <v>0.0105392247432776</v>
      </c>
      <c r="Z734" s="4">
        <v>0.00503877918763</v>
      </c>
      <c r="AA734" s="4">
        <v>0.0</v>
      </c>
      <c r="AB734" s="4">
        <v>0.0016512599542219</v>
      </c>
      <c r="AC734" s="4">
        <v>0.0</v>
      </c>
      <c r="AD734" s="4">
        <v>0.0253807761113498</v>
      </c>
      <c r="AE734" s="4">
        <v>0.0154095870574793</v>
      </c>
      <c r="AF734" s="4">
        <v>0.0192499773437173</v>
      </c>
      <c r="AG734" s="4">
        <v>-0.0272150380339636</v>
      </c>
      <c r="AH734" s="4">
        <v>-0.0297591871109368</v>
      </c>
      <c r="AI734" s="4">
        <v>0.0036663388228512</v>
      </c>
      <c r="AJ734" s="4">
        <v>-0.015444</v>
      </c>
      <c r="AK734" s="4">
        <f>Weights!E790</f>
        <v>-0.009031412919</v>
      </c>
      <c r="AL734" s="5">
        <v>0.00131514848846014</v>
      </c>
      <c r="AM734" s="5">
        <v>7.44721936654535E-4</v>
      </c>
      <c r="AN734" s="5">
        <v>0.00225436830872549</v>
      </c>
      <c r="AO734" s="5">
        <v>0.00316522895823911</v>
      </c>
      <c r="AP734" s="6">
        <f t="shared" si="3"/>
        <v>1.516793288</v>
      </c>
      <c r="AQ734" s="4">
        <f t="shared" si="4"/>
        <v>1.226917795</v>
      </c>
      <c r="AR734" s="7">
        <f t="shared" si="5"/>
        <v>1.210620881</v>
      </c>
      <c r="AS734" s="7">
        <f t="shared" ref="AS734:AU734" si="736">AS733*(1+AM734)</f>
        <v>1.288102815</v>
      </c>
      <c r="AT734" s="5">
        <f t="shared" si="736"/>
        <v>1.322086678</v>
      </c>
      <c r="AU734" s="5">
        <f t="shared" si="736"/>
        <v>1.294022664</v>
      </c>
    </row>
    <row r="735" ht="15.75" customHeight="1">
      <c r="A735" s="3">
        <v>44894.0</v>
      </c>
      <c r="B735" s="4">
        <v>-0.018665</v>
      </c>
      <c r="C735" s="4">
        <v>0.002615</v>
      </c>
      <c r="D735" s="4">
        <v>0.0</v>
      </c>
      <c r="E735" s="4">
        <v>-0.007069</v>
      </c>
      <c r="F735" s="4">
        <v>-0.003509</v>
      </c>
      <c r="G735" s="4">
        <v>-0.006993</v>
      </c>
      <c r="H735" s="4">
        <v>-0.00764</v>
      </c>
      <c r="I735" s="4">
        <v>-0.008252</v>
      </c>
      <c r="J735" s="4">
        <v>-0.014768</v>
      </c>
      <c r="K735" s="4">
        <v>-0.009908</v>
      </c>
      <c r="L735" s="4">
        <v>-0.002332</v>
      </c>
      <c r="M735" s="4">
        <v>0.007437</v>
      </c>
      <c r="N735" s="4">
        <v>0.004137</v>
      </c>
      <c r="O735" s="4">
        <v>-0.010375</v>
      </c>
      <c r="P735" s="4">
        <v>0.032491</v>
      </c>
      <c r="Q735" s="4">
        <v>0.026316</v>
      </c>
      <c r="R735" s="4">
        <v>0.036474</v>
      </c>
      <c r="S735" s="4">
        <v>0.010707</v>
      </c>
      <c r="T735" s="4">
        <v>-0.00366</v>
      </c>
      <c r="U735" s="4">
        <v>-0.009356</v>
      </c>
      <c r="V735" s="4">
        <v>-0.0239448378415881</v>
      </c>
      <c r="W735" s="4">
        <v>0.0428813964926675</v>
      </c>
      <c r="X735" s="4">
        <v>-0.0170454315215417</v>
      </c>
      <c r="Y735" s="4">
        <v>0.0300795724377</v>
      </c>
      <c r="Z735" s="4">
        <v>0.0158581978561294</v>
      </c>
      <c r="AA735" s="4">
        <v>-0.0031140789809482</v>
      </c>
      <c r="AB735" s="4">
        <v>-0.0016485377897867</v>
      </c>
      <c r="AC735" s="4">
        <v>0.0055046606588431</v>
      </c>
      <c r="AD735" s="4">
        <v>0.0049504860044329</v>
      </c>
      <c r="AE735" s="4">
        <v>-0.0052885781003775</v>
      </c>
      <c r="AF735" s="4">
        <v>0.0123737753709793</v>
      </c>
      <c r="AG735" s="4">
        <v>0.0055302094505444</v>
      </c>
      <c r="AH735" s="4">
        <v>-0.0226387389583405</v>
      </c>
      <c r="AI735" s="4">
        <v>0.0109051784352169</v>
      </c>
      <c r="AJ735" s="4">
        <v>-0.001592</v>
      </c>
      <c r="AK735" s="4">
        <f>Weights!E791</f>
        <v>0.0004977713132</v>
      </c>
      <c r="AL735" s="5">
        <v>-0.0147986060920849</v>
      </c>
      <c r="AM735" s="5">
        <v>-0.0162249474138755</v>
      </c>
      <c r="AN735" s="5">
        <v>0.00224936339796544</v>
      </c>
      <c r="AO735" s="5">
        <v>0.00218420621702475</v>
      </c>
      <c r="AP735" s="6">
        <f t="shared" si="3"/>
        <v>1.517548304</v>
      </c>
      <c r="AQ735" s="4">
        <f t="shared" si="4"/>
        <v>1.224964542</v>
      </c>
      <c r="AR735" s="7">
        <f t="shared" si="5"/>
        <v>1.192705379</v>
      </c>
      <c r="AS735" s="7">
        <f t="shared" ref="AS735:AU735" si="737">AS734*(1+AM735)</f>
        <v>1.267203414</v>
      </c>
      <c r="AT735" s="5">
        <f t="shared" si="737"/>
        <v>1.325060531</v>
      </c>
      <c r="AU735" s="5">
        <f t="shared" si="737"/>
        <v>1.296849077</v>
      </c>
    </row>
    <row r="736" ht="15.75" customHeight="1">
      <c r="A736" s="3">
        <v>44895.0</v>
      </c>
      <c r="B736" s="4">
        <v>0.013314</v>
      </c>
      <c r="C736" s="4">
        <v>0.016693</v>
      </c>
      <c r="D736" s="4">
        <v>0.021932</v>
      </c>
      <c r="E736" s="4">
        <v>0.015992</v>
      </c>
      <c r="F736" s="4">
        <v>0.025128</v>
      </c>
      <c r="G736" s="4">
        <v>0.010847</v>
      </c>
      <c r="H736" s="4">
        <v>0.025296</v>
      </c>
      <c r="I736" s="4">
        <v>0.010524</v>
      </c>
      <c r="J736" s="4">
        <v>0.023628</v>
      </c>
      <c r="K736" s="4">
        <v>0.011979</v>
      </c>
      <c r="L736" s="4">
        <v>0.013921</v>
      </c>
      <c r="M736" s="4">
        <v>0.02385</v>
      </c>
      <c r="N736" s="4">
        <v>0.027754</v>
      </c>
      <c r="O736" s="4">
        <v>0.031362</v>
      </c>
      <c r="P736" s="4">
        <v>0.037369</v>
      </c>
      <c r="Q736" s="4">
        <v>0.021062</v>
      </c>
      <c r="R736" s="4">
        <v>0.06105</v>
      </c>
      <c r="S736" s="4">
        <v>0.033633</v>
      </c>
      <c r="T736" s="4">
        <v>0.020137</v>
      </c>
      <c r="U736" s="4">
        <v>0.026133</v>
      </c>
      <c r="V736" s="4">
        <v>-0.00249491104607102</v>
      </c>
      <c r="W736" s="4">
        <v>-0.0203787560551189</v>
      </c>
      <c r="X736" s="4">
        <v>0.0057803701085861</v>
      </c>
      <c r="Y736" s="4">
        <v>-0.0121621064180097</v>
      </c>
      <c r="Z736" s="4">
        <v>0.0046329926326096</v>
      </c>
      <c r="AA736" s="4">
        <v>-0.0042952451378759</v>
      </c>
      <c r="AB736" s="4">
        <v>0.0217967304515174</v>
      </c>
      <c r="AC736" s="4">
        <v>-0.0164233436888356</v>
      </c>
      <c r="AD736" s="4">
        <v>-0.0147784052019165</v>
      </c>
      <c r="AE736" s="4">
        <v>0.0209585039866491</v>
      </c>
      <c r="AF736" s="4">
        <v>-0.0035382101558572</v>
      </c>
      <c r="AG736" s="4">
        <v>-3.235805736238E-4</v>
      </c>
      <c r="AH736" s="4">
        <v>-0.0194271065603413</v>
      </c>
      <c r="AI736" s="4">
        <v>0.0075511071161875</v>
      </c>
      <c r="AJ736" s="4">
        <v>0.030948</v>
      </c>
      <c r="AK736" s="4">
        <f>Weights!E792</f>
        <v>0.01110898641</v>
      </c>
      <c r="AL736" s="5">
        <v>-8.88672489177344E-4</v>
      </c>
      <c r="AM736" s="5">
        <v>-0.00156353500804418</v>
      </c>
      <c r="AN736" s="5">
        <v>-0.00673294535305846</v>
      </c>
      <c r="AO736" s="5">
        <v>-0.00678123992784662</v>
      </c>
      <c r="AP736" s="6">
        <f t="shared" si="3"/>
        <v>1.534406728</v>
      </c>
      <c r="AQ736" s="4">
        <f t="shared" si="4"/>
        <v>1.262874745</v>
      </c>
      <c r="AR736" s="7">
        <f t="shared" si="5"/>
        <v>1.191645455</v>
      </c>
      <c r="AS736" s="7">
        <f t="shared" ref="AS736:AU736" si="738">AS735*(1+AM736)</f>
        <v>1.265222097</v>
      </c>
      <c r="AT736" s="5">
        <f t="shared" si="738"/>
        <v>1.316138971</v>
      </c>
      <c r="AU736" s="5">
        <f t="shared" si="738"/>
        <v>1.288054832</v>
      </c>
    </row>
    <row r="737" ht="15.75" customHeight="1">
      <c r="A737" s="3">
        <v>44896.0</v>
      </c>
      <c r="B737" s="4">
        <v>-9.38E-4</v>
      </c>
      <c r="C737" s="4">
        <v>-0.016675</v>
      </c>
      <c r="D737" s="4">
        <v>0.014524</v>
      </c>
      <c r="E737" s="4">
        <v>0.008301</v>
      </c>
      <c r="F737" s="4">
        <v>0.00283</v>
      </c>
      <c r="G737" s="4">
        <v>0.004157</v>
      </c>
      <c r="H737" s="4">
        <v>6.03E-4</v>
      </c>
      <c r="I737" s="4">
        <v>-0.007992</v>
      </c>
      <c r="J737" s="4">
        <v>4.96E-4</v>
      </c>
      <c r="K737" s="4">
        <v>0.024423</v>
      </c>
      <c r="L737" s="4">
        <v>0.004811</v>
      </c>
      <c r="M737" s="4">
        <v>0.004992</v>
      </c>
      <c r="N737" s="4">
        <v>6.33E-4</v>
      </c>
      <c r="O737" s="4">
        <v>-0.003736</v>
      </c>
      <c r="P737" s="4">
        <v>0.023172</v>
      </c>
      <c r="Q737" s="4">
        <v>0.015247</v>
      </c>
      <c r="R737" s="4">
        <v>-0.005779</v>
      </c>
      <c r="S737" s="4">
        <v>0.027927</v>
      </c>
      <c r="T737" s="4">
        <v>-0.004668</v>
      </c>
      <c r="U737" s="4">
        <v>-0.003806</v>
      </c>
      <c r="V737" s="4">
        <v>-0.00500209864016265</v>
      </c>
      <c r="W737" s="4">
        <v>-0.0335051036342884</v>
      </c>
      <c r="X737" s="4">
        <v>0.0</v>
      </c>
      <c r="Y737" s="4">
        <v>0.0126867678515016</v>
      </c>
      <c r="Z737" s="4">
        <v>0.007819417969987</v>
      </c>
      <c r="AA737" s="4">
        <v>0.0100000052257551</v>
      </c>
      <c r="AB737" s="4">
        <v>0.0103423373991353</v>
      </c>
      <c r="AC737" s="4">
        <v>0.0</v>
      </c>
      <c r="AD737" s="4">
        <v>0.0</v>
      </c>
      <c r="AE737" s="4">
        <v>-4.526985827524E-4</v>
      </c>
      <c r="AF737" s="4">
        <v>-0.0032278612738636</v>
      </c>
      <c r="AG737" s="4">
        <v>0.0160733825348153</v>
      </c>
      <c r="AH737" s="4">
        <v>0.0185420858446161</v>
      </c>
      <c r="AI737" s="4">
        <v>-5.352503044973E-4</v>
      </c>
      <c r="AJ737" s="4">
        <v>-8.68E-4</v>
      </c>
      <c r="AK737" s="4">
        <f>Weights!E793</f>
        <v>0.004372639086</v>
      </c>
      <c r="AL737" s="5">
        <v>0.0269548243967743</v>
      </c>
      <c r="AM737" s="5">
        <v>0.0308144258365987</v>
      </c>
      <c r="AN737" s="5">
        <v>0.00225959453081303</v>
      </c>
      <c r="AO737" s="5">
        <v>0.00243848564113235</v>
      </c>
      <c r="AP737" s="6">
        <f t="shared" si="3"/>
        <v>1.541116135</v>
      </c>
      <c r="AQ737" s="4">
        <f t="shared" si="4"/>
        <v>1.261778569</v>
      </c>
      <c r="AR737" s="7">
        <f t="shared" si="5"/>
        <v>1.223766049</v>
      </c>
      <c r="AS737" s="7">
        <f t="shared" ref="AS737:AU737" si="739">AS736*(1+AM737)</f>
        <v>1.30420919</v>
      </c>
      <c r="AT737" s="5">
        <f t="shared" si="739"/>
        <v>1.319112911</v>
      </c>
      <c r="AU737" s="5">
        <f t="shared" si="739"/>
        <v>1.291195735</v>
      </c>
    </row>
    <row r="738" ht="15.75" customHeight="1">
      <c r="A738" s="3">
        <v>44897.0</v>
      </c>
      <c r="B738" s="4">
        <v>-0.003288</v>
      </c>
      <c r="C738" s="4">
        <v>-0.003913</v>
      </c>
      <c r="D738" s="4">
        <v>-0.012393</v>
      </c>
      <c r="E738" s="4">
        <v>-0.00113</v>
      </c>
      <c r="F738" s="4">
        <v>0.008779</v>
      </c>
      <c r="G738" s="4">
        <v>7.83E-4</v>
      </c>
      <c r="H738" s="4">
        <v>0.009112</v>
      </c>
      <c r="I738" s="4">
        <v>-0.008545</v>
      </c>
      <c r="J738" s="4">
        <v>-0.003225</v>
      </c>
      <c r="K738" s="4">
        <v>0.003218</v>
      </c>
      <c r="L738" s="4">
        <v>-0.006184</v>
      </c>
      <c r="M738" s="4">
        <v>5.52E-4</v>
      </c>
      <c r="N738" s="4">
        <v>-0.005271</v>
      </c>
      <c r="O738" s="4">
        <v>0.015523</v>
      </c>
      <c r="P738" s="4">
        <v>0.002059</v>
      </c>
      <c r="Q738" s="4">
        <v>-0.012367</v>
      </c>
      <c r="R738" s="4">
        <v>0.016427</v>
      </c>
      <c r="S738" s="4">
        <v>-0.011715</v>
      </c>
      <c r="T738" s="4">
        <v>0.033166</v>
      </c>
      <c r="U738" s="4">
        <v>0.01042</v>
      </c>
      <c r="V738" s="4">
        <v>0.0624214940850516</v>
      </c>
      <c r="W738" s="4">
        <v>-0.0062858358117757</v>
      </c>
      <c r="X738" s="4">
        <v>0.0</v>
      </c>
      <c r="Y738" s="4">
        <v>-0.0039497764714173</v>
      </c>
      <c r="Z738" s="4">
        <v>0.0102457965473465</v>
      </c>
      <c r="AA738" s="4">
        <v>-0.0064934751358394</v>
      </c>
      <c r="AB738" s="4">
        <v>0.0089573124896167</v>
      </c>
      <c r="AC738" s="4">
        <v>0.0</v>
      </c>
      <c r="AD738" s="4">
        <v>0.0</v>
      </c>
      <c r="AE738" s="4">
        <v>-0.0110239232383873</v>
      </c>
      <c r="AF738" s="4">
        <v>-0.0139248139139942</v>
      </c>
      <c r="AG738" s="4">
        <v>0.0054146328122726</v>
      </c>
      <c r="AH738" s="4">
        <v>0.0167082065929571</v>
      </c>
      <c r="AI738" s="4">
        <v>-0.0037487586556932</v>
      </c>
      <c r="AJ738" s="4">
        <v>-0.001195</v>
      </c>
      <c r="AK738" s="4">
        <f>Weights!E794</f>
        <v>0.002799041596</v>
      </c>
      <c r="AL738" s="5">
        <v>0.00329165698963906</v>
      </c>
      <c r="AM738" s="5">
        <v>5.88028667853013E-4</v>
      </c>
      <c r="AN738" s="5">
        <v>0.00676336885737249</v>
      </c>
      <c r="AO738" s="5">
        <v>0.00827042306063896</v>
      </c>
      <c r="AP738" s="6">
        <f t="shared" si="3"/>
        <v>1.545429783</v>
      </c>
      <c r="AQ738" s="4">
        <f t="shared" si="4"/>
        <v>1.260270744</v>
      </c>
      <c r="AR738" s="7">
        <f t="shared" si="5"/>
        <v>1.227794267</v>
      </c>
      <c r="AS738" s="7">
        <f t="shared" ref="AS738:AU738" si="740">AS737*(1+AM738)</f>
        <v>1.304976102</v>
      </c>
      <c r="AT738" s="5">
        <f t="shared" si="740"/>
        <v>1.328034559</v>
      </c>
      <c r="AU738" s="5">
        <f t="shared" si="740"/>
        <v>1.30187447</v>
      </c>
    </row>
    <row r="739" ht="15.75" customHeight="1">
      <c r="A739" s="3">
        <v>44900.0</v>
      </c>
      <c r="B739" s="4">
        <v>0.006126</v>
      </c>
      <c r="C739" s="4">
        <v>-0.029073</v>
      </c>
      <c r="D739" s="4">
        <v>0.005193</v>
      </c>
      <c r="E739" s="4">
        <v>-0.01384</v>
      </c>
      <c r="F739" s="4">
        <v>-0.013675</v>
      </c>
      <c r="G739" s="4">
        <v>-5.59E-4</v>
      </c>
      <c r="H739" s="4">
        <v>-0.010092</v>
      </c>
      <c r="I739" s="4">
        <v>-0.016991</v>
      </c>
      <c r="J739" s="4">
        <v>-0.007218</v>
      </c>
      <c r="K739" s="4">
        <v>-0.020848</v>
      </c>
      <c r="L739" s="4">
        <v>-0.01385</v>
      </c>
      <c r="M739" s="4">
        <v>-0.01765</v>
      </c>
      <c r="N739" s="4">
        <v>-0.010174</v>
      </c>
      <c r="O739" s="4">
        <v>-0.058179</v>
      </c>
      <c r="P739" s="4">
        <v>-0.024656</v>
      </c>
      <c r="Q739" s="4">
        <v>-0.022361</v>
      </c>
      <c r="R739" s="4">
        <v>-0.033814</v>
      </c>
      <c r="S739" s="4">
        <v>-0.01942</v>
      </c>
      <c r="T739" s="4">
        <v>-0.020687</v>
      </c>
      <c r="U739" s="4">
        <v>-0.0165</v>
      </c>
      <c r="V739" s="4">
        <v>-0.0197162089453248</v>
      </c>
      <c r="W739" s="4">
        <v>0.0605712697220079</v>
      </c>
      <c r="X739" s="4">
        <v>-0.0104773416907267</v>
      </c>
      <c r="Y739" s="4">
        <v>-0.0039651405194688</v>
      </c>
      <c r="Z739" s="4">
        <v>-0.0022647194166309</v>
      </c>
      <c r="AA739" s="4">
        <v>0.0011883404627106</v>
      </c>
      <c r="AB739" s="4">
        <v>0.0057069332361154</v>
      </c>
      <c r="AC739" s="4">
        <v>-0.0183823371837611</v>
      </c>
      <c r="AD739" s="4">
        <v>-0.0012422069448807</v>
      </c>
      <c r="AE739" s="4">
        <v>-0.0131318016408178</v>
      </c>
      <c r="AF739" s="4">
        <v>0.0456485617550064</v>
      </c>
      <c r="AG739" s="4">
        <v>-8.445511664633E-4</v>
      </c>
      <c r="AH739" s="4">
        <v>-0.0061319829536277</v>
      </c>
      <c r="AI739" s="4">
        <v>0.0053757466643848</v>
      </c>
      <c r="AJ739" s="4">
        <v>-0.017894</v>
      </c>
      <c r="AK739" s="4">
        <f>Weights!E795</f>
        <v>-0.00770620336</v>
      </c>
      <c r="AL739" s="5">
        <v>-0.00112232645218124</v>
      </c>
      <c r="AM739" s="5">
        <v>-9.30517626613669E-4</v>
      </c>
      <c r="AN739" s="5">
        <v>0.00287895497480095</v>
      </c>
      <c r="AO739" s="5">
        <v>0.00434266134794203</v>
      </c>
      <c r="AP739" s="6">
        <f t="shared" si="3"/>
        <v>1.533520387</v>
      </c>
      <c r="AQ739" s="4">
        <f t="shared" si="4"/>
        <v>1.237719459</v>
      </c>
      <c r="AR739" s="7">
        <f t="shared" si="5"/>
        <v>1.226416281</v>
      </c>
      <c r="AS739" s="7">
        <f t="shared" ref="AS739:AU739" si="741">AS738*(1+AM739)</f>
        <v>1.303761799</v>
      </c>
      <c r="AT739" s="5">
        <f t="shared" si="741"/>
        <v>1.33185791</v>
      </c>
      <c r="AU739" s="5">
        <f t="shared" si="741"/>
        <v>1.30752807</v>
      </c>
    </row>
    <row r="740" ht="15.75" customHeight="1">
      <c r="A740" s="3">
        <v>44901.0</v>
      </c>
      <c r="B740" s="4">
        <v>-0.01733</v>
      </c>
      <c r="C740" s="4">
        <v>-0.004856</v>
      </c>
      <c r="D740" s="4">
        <v>-0.01399</v>
      </c>
      <c r="E740" s="4">
        <v>-0.008137</v>
      </c>
      <c r="F740" s="4">
        <v>-4.73E-4</v>
      </c>
      <c r="G740" s="4">
        <v>-0.01499</v>
      </c>
      <c r="H740" s="4">
        <v>0.001274</v>
      </c>
      <c r="I740" s="4">
        <v>-0.013277</v>
      </c>
      <c r="J740" s="4">
        <v>0.001755</v>
      </c>
      <c r="K740" s="4">
        <v>-0.016826</v>
      </c>
      <c r="L740" s="4">
        <v>-0.01435</v>
      </c>
      <c r="M740" s="4">
        <v>-0.006738</v>
      </c>
      <c r="N740" s="4">
        <v>-0.008137</v>
      </c>
      <c r="O740" s="4">
        <v>-0.007386</v>
      </c>
      <c r="P740" s="4">
        <v>-0.007373</v>
      </c>
      <c r="Q740" s="4">
        <v>0.013724</v>
      </c>
      <c r="R740" s="4">
        <v>-0.010293</v>
      </c>
      <c r="S740" s="4">
        <v>-0.0018</v>
      </c>
      <c r="T740" s="4">
        <v>0.013046</v>
      </c>
      <c r="U740" s="4">
        <v>-0.01489</v>
      </c>
      <c r="V740" s="4">
        <v>-0.00643589717625692</v>
      </c>
      <c r="W740" s="4">
        <v>-0.0347008040988091</v>
      </c>
      <c r="X740" s="4">
        <v>0.0082353278813802</v>
      </c>
      <c r="Y740" s="4">
        <v>-0.010574970166039</v>
      </c>
      <c r="Z740" s="4">
        <v>-0.0053290868555236</v>
      </c>
      <c r="AA740" s="4">
        <v>-0.0033629538440198</v>
      </c>
      <c r="AB740" s="4">
        <v>0.0</v>
      </c>
      <c r="AC740" s="4">
        <v>-0.0018727369276174</v>
      </c>
      <c r="AD740" s="4">
        <v>-0.0087062635952672</v>
      </c>
      <c r="AE740" s="4">
        <v>-0.0030170765426328</v>
      </c>
      <c r="AF740" s="4">
        <v>0.017901947750202</v>
      </c>
      <c r="AG740" s="4">
        <v>0.0230394220196239</v>
      </c>
      <c r="AH740" s="4">
        <v>0.0017275344035887</v>
      </c>
      <c r="AI740" s="4">
        <v>-0.0053470025333517</v>
      </c>
      <c r="AJ740" s="4">
        <v>-0.014399</v>
      </c>
      <c r="AK740" s="4">
        <f>Weights!E796</f>
        <v>-0.003730345308</v>
      </c>
      <c r="AL740" s="5">
        <v>-0.0178062668284134</v>
      </c>
      <c r="AM740" s="5">
        <v>-0.0196577686877514</v>
      </c>
      <c r="AN740" s="5">
        <v>-0.00223292619854775</v>
      </c>
      <c r="AO740" s="5">
        <v>-0.00216194209161324</v>
      </c>
      <c r="AP740" s="6">
        <f t="shared" si="3"/>
        <v>1.527799826</v>
      </c>
      <c r="AQ740" s="4">
        <f t="shared" si="4"/>
        <v>1.219897537</v>
      </c>
      <c r="AR740" s="7">
        <f t="shared" si="5"/>
        <v>1.204578385</v>
      </c>
      <c r="AS740" s="7">
        <f t="shared" ref="AS740:AU740" si="742">AS739*(1+AM740)</f>
        <v>1.278132751</v>
      </c>
      <c r="AT740" s="5">
        <f t="shared" si="742"/>
        <v>1.32888397</v>
      </c>
      <c r="AU740" s="5">
        <f t="shared" si="742"/>
        <v>1.30470127</v>
      </c>
    </row>
    <row r="741" ht="15.75" customHeight="1">
      <c r="A741" s="3">
        <v>44902.0</v>
      </c>
      <c r="B741" s="4">
        <v>-0.004766</v>
      </c>
      <c r="C741" s="4">
        <v>0.00759</v>
      </c>
      <c r="D741" s="4">
        <v>-0.008295</v>
      </c>
      <c r="E741" s="4">
        <v>0.003028</v>
      </c>
      <c r="F741" s="4">
        <v>0.001576</v>
      </c>
      <c r="G741" s="4">
        <v>0.006076</v>
      </c>
      <c r="H741" s="4">
        <v>0.006431</v>
      </c>
      <c r="I741" s="4">
        <v>-0.0033</v>
      </c>
      <c r="J741" s="4">
        <v>-0.001501</v>
      </c>
      <c r="K741" s="4">
        <v>-0.009844</v>
      </c>
      <c r="L741" s="4">
        <v>-0.002272</v>
      </c>
      <c r="M741" s="4">
        <v>5.65E-4</v>
      </c>
      <c r="N741" s="4">
        <v>-0.004318</v>
      </c>
      <c r="O741" s="4">
        <v>0.020438</v>
      </c>
      <c r="P741" s="4">
        <v>0.013158</v>
      </c>
      <c r="Q741" s="4">
        <v>0.00722</v>
      </c>
      <c r="R741" s="4">
        <v>0.00234</v>
      </c>
      <c r="S741" s="4">
        <v>0.015718</v>
      </c>
      <c r="T741" s="4">
        <v>-0.020787</v>
      </c>
      <c r="U741" s="4">
        <v>-0.003974</v>
      </c>
      <c r="V741" s="4">
        <v>-0.0251011538444793</v>
      </c>
      <c r="W741" s="4">
        <v>-0.0054298274103316</v>
      </c>
      <c r="X741" s="4">
        <v>-0.0163361224381719</v>
      </c>
      <c r="Y741" s="4">
        <v>5.659966195712E-4</v>
      </c>
      <c r="Z741" s="4">
        <v>0.0071435944874578</v>
      </c>
      <c r="AA741" s="4">
        <v>-0.0160778405792827</v>
      </c>
      <c r="AB741" s="4">
        <v>-0.0636820626166536</v>
      </c>
      <c r="AC741" s="4">
        <v>0.0018762506514979</v>
      </c>
      <c r="AD741" s="4">
        <v>-0.0050696952342598</v>
      </c>
      <c r="AE741" s="4">
        <v>0.0048109790599797</v>
      </c>
      <c r="AF741" s="4">
        <v>-0.0030854410347983</v>
      </c>
      <c r="AG741" s="4">
        <v>0.0103305689349841</v>
      </c>
      <c r="AH741" s="4">
        <v>0.0160138105385827</v>
      </c>
      <c r="AI741" s="4">
        <v>-0.0053766491652937</v>
      </c>
      <c r="AJ741" s="4">
        <v>-0.001862</v>
      </c>
      <c r="AK741" s="4">
        <f>Weights!E797</f>
        <v>-0.003515446795</v>
      </c>
      <c r="AL741" s="5">
        <v>-0.0116166717767796</v>
      </c>
      <c r="AM741" s="5">
        <v>-0.0150016701703146</v>
      </c>
      <c r="AN741" s="5">
        <v>-0.0102301416727023</v>
      </c>
      <c r="AO741" s="5">
        <v>-0.0115550757115933</v>
      </c>
      <c r="AP741" s="6">
        <f t="shared" si="3"/>
        <v>1.522428927</v>
      </c>
      <c r="AQ741" s="4">
        <f t="shared" si="4"/>
        <v>1.217626088</v>
      </c>
      <c r="AR741" s="7">
        <f t="shared" si="5"/>
        <v>1.190585194</v>
      </c>
      <c r="AS741" s="7">
        <f t="shared" ref="AS741:AU741" si="743">AS740*(1+AM741)</f>
        <v>1.258958625</v>
      </c>
      <c r="AT741" s="5">
        <f t="shared" si="743"/>
        <v>1.315289299</v>
      </c>
      <c r="AU741" s="5">
        <f t="shared" si="743"/>
        <v>1.289625348</v>
      </c>
    </row>
    <row r="742" ht="15.75" customHeight="1">
      <c r="A742" s="3">
        <v>44903.0</v>
      </c>
      <c r="B742" s="4">
        <v>0.004105</v>
      </c>
      <c r="C742" s="4">
        <v>-0.001883</v>
      </c>
      <c r="D742" s="4">
        <v>-0.011006</v>
      </c>
      <c r="E742" s="4">
        <v>0.008783</v>
      </c>
      <c r="F742" s="4">
        <v>0.004249</v>
      </c>
      <c r="G742" s="4">
        <v>1.69E-4</v>
      </c>
      <c r="H742" s="4">
        <v>0.007189</v>
      </c>
      <c r="I742" s="4">
        <v>-7.64E-4</v>
      </c>
      <c r="J742" s="4">
        <v>0.007268</v>
      </c>
      <c r="K742" s="4">
        <v>0.012542</v>
      </c>
      <c r="L742" s="4">
        <v>1.04E-4</v>
      </c>
      <c r="M742" s="4">
        <v>0.00113</v>
      </c>
      <c r="N742" s="4">
        <v>8.67E-4</v>
      </c>
      <c r="O742" s="4">
        <v>0.00144</v>
      </c>
      <c r="P742" s="4">
        <v>-0.001483</v>
      </c>
      <c r="Q742" s="4">
        <v>-0.015233</v>
      </c>
      <c r="R742" s="4">
        <v>0.033982</v>
      </c>
      <c r="S742" s="4">
        <v>0.002537</v>
      </c>
      <c r="T742" s="4">
        <v>0.007009</v>
      </c>
      <c r="U742" s="4">
        <v>0.001211</v>
      </c>
      <c r="V742" s="4">
        <v>0.0103820209392222</v>
      </c>
      <c r="W742" s="4">
        <v>0.111257553099708</v>
      </c>
      <c r="X742" s="4">
        <v>0.0</v>
      </c>
      <c r="Y742" s="4">
        <v>0.0095507984010885</v>
      </c>
      <c r="Z742" s="4">
        <v>0.0075854717419066</v>
      </c>
      <c r="AA742" s="4">
        <v>0.005043241296353</v>
      </c>
      <c r="AB742" s="4">
        <v>0.0131311778948046</v>
      </c>
      <c r="AC742" s="4">
        <v>0.0</v>
      </c>
      <c r="AD742" s="4">
        <v>0.0</v>
      </c>
      <c r="AE742" s="4">
        <v>0.0223956499780439</v>
      </c>
      <c r="AF742" s="4">
        <v>0.0405447981422799</v>
      </c>
      <c r="AG742" s="4">
        <v>0.0179958561228732</v>
      </c>
      <c r="AH742" s="4">
        <v>0.0077594724266374</v>
      </c>
      <c r="AI742" s="4">
        <v>-0.0048650289902101</v>
      </c>
      <c r="AJ742" s="4">
        <v>0.007522</v>
      </c>
      <c r="AK742" s="4">
        <f>Weights!E798</f>
        <v>0.008597314579</v>
      </c>
      <c r="AL742" s="5">
        <v>-0.00124656917702326</v>
      </c>
      <c r="AM742" s="5">
        <v>-0.00162427675334109</v>
      </c>
      <c r="AN742" s="5">
        <v>-0.0119508706428566</v>
      </c>
      <c r="AO742" s="5">
        <v>-0.0121770792182422</v>
      </c>
      <c r="AP742" s="6">
        <f t="shared" si="3"/>
        <v>1.535517728</v>
      </c>
      <c r="AQ742" s="4">
        <f t="shared" si="4"/>
        <v>1.226785071</v>
      </c>
      <c r="AR742" s="7">
        <f t="shared" si="5"/>
        <v>1.189101047</v>
      </c>
      <c r="AS742" s="7">
        <f t="shared" ref="AS742:AU742" si="744">AS741*(1+AM742)</f>
        <v>1.256913728</v>
      </c>
      <c r="AT742" s="5">
        <f t="shared" si="744"/>
        <v>1.299570446</v>
      </c>
      <c r="AU742" s="5">
        <f t="shared" si="744"/>
        <v>1.273921478</v>
      </c>
    </row>
    <row r="743" ht="15.75" customHeight="1">
      <c r="A743" s="3">
        <v>44904.0</v>
      </c>
      <c r="B743" s="4">
        <v>-0.005794</v>
      </c>
      <c r="C743" s="4">
        <v>0.008086</v>
      </c>
      <c r="D743" s="4">
        <v>-0.00779</v>
      </c>
      <c r="E743" s="4">
        <v>-0.0037</v>
      </c>
      <c r="F743" s="4">
        <v>-0.0105</v>
      </c>
      <c r="G743" s="4">
        <v>-0.008239</v>
      </c>
      <c r="H743" s="4">
        <v>-0.002643</v>
      </c>
      <c r="I743" s="4">
        <v>-0.002549</v>
      </c>
      <c r="J743" s="4">
        <v>0.001991</v>
      </c>
      <c r="K743" s="4">
        <v>0.002266</v>
      </c>
      <c r="L743" s="4">
        <v>-0.007347</v>
      </c>
      <c r="M743" s="4">
        <v>5.64E-4</v>
      </c>
      <c r="N743" s="4">
        <v>0.004333</v>
      </c>
      <c r="O743" s="4">
        <v>-0.012674</v>
      </c>
      <c r="P743" s="4">
        <v>-0.01528</v>
      </c>
      <c r="Q743" s="4">
        <v>-0.013649</v>
      </c>
      <c r="R743" s="4">
        <v>-0.031862</v>
      </c>
      <c r="S743" s="4">
        <v>-0.013411</v>
      </c>
      <c r="T743" s="4">
        <v>-0.025058</v>
      </c>
      <c r="U743" s="4">
        <v>-0.004198</v>
      </c>
      <c r="V743" s="4">
        <v>-0.0487129227663253</v>
      </c>
      <c r="W743" s="4">
        <v>0.0089785345255597</v>
      </c>
      <c r="X743" s="4">
        <v>0.0094451383113973</v>
      </c>
      <c r="Y743" s="4">
        <v>0.0086511965010933</v>
      </c>
      <c r="Z743" s="4">
        <v>0.0162300488042264</v>
      </c>
      <c r="AA743" s="4">
        <v>-0.0168605946593412</v>
      </c>
      <c r="AB743" s="4">
        <v>0.004984988713945</v>
      </c>
      <c r="AC743" s="4">
        <v>0.0056390928014731</v>
      </c>
      <c r="AD743" s="4">
        <v>0.0012705354622604</v>
      </c>
      <c r="AE743" s="4">
        <v>0.0085354913415063</v>
      </c>
      <c r="AF743" s="4">
        <v>0.0422366305541421</v>
      </c>
      <c r="AG743" s="4">
        <v>0.0162715575790894</v>
      </c>
      <c r="AH743" s="4">
        <v>0.013955747310276</v>
      </c>
      <c r="AI743" s="4">
        <v>-0.0021726285728354</v>
      </c>
      <c r="AJ743" s="4">
        <v>-0.00735</v>
      </c>
      <c r="AK743" s="4">
        <f>Weights!E799</f>
        <v>-0.001199735246</v>
      </c>
      <c r="AL743" s="5">
        <v>0.00722119885423699</v>
      </c>
      <c r="AM743" s="5">
        <v>0.0086441466386089</v>
      </c>
      <c r="AN743" s="5">
        <v>-0.00163445848918142</v>
      </c>
      <c r="AO743" s="5">
        <v>2.4625977749193E-4</v>
      </c>
      <c r="AP743" s="6">
        <f t="shared" si="3"/>
        <v>1.533675513</v>
      </c>
      <c r="AQ743" s="4">
        <f t="shared" si="4"/>
        <v>1.217768201</v>
      </c>
      <c r="AR743" s="7">
        <f t="shared" si="5"/>
        <v>1.197687782</v>
      </c>
      <c r="AS743" s="7">
        <f t="shared" ref="AS743:AU743" si="745">AS742*(1+AM743)</f>
        <v>1.267778674</v>
      </c>
      <c r="AT743" s="5">
        <f t="shared" si="745"/>
        <v>1.297446352</v>
      </c>
      <c r="AU743" s="5">
        <f t="shared" si="745"/>
        <v>1.274235194</v>
      </c>
    </row>
    <row r="744" ht="15.75" customHeight="1">
      <c r="A744" s="3">
        <v>44907.0</v>
      </c>
      <c r="B744" s="4">
        <v>-0.001457</v>
      </c>
      <c r="C744" s="4">
        <v>0.014706</v>
      </c>
      <c r="D744" s="4">
        <v>0.004486</v>
      </c>
      <c r="E744" s="4">
        <v>0.004751</v>
      </c>
      <c r="F744" s="4">
        <v>0.013145</v>
      </c>
      <c r="G744" s="4">
        <v>0.011949</v>
      </c>
      <c r="H744" s="4">
        <v>0.01027</v>
      </c>
      <c r="I744" s="4">
        <v>0.005622</v>
      </c>
      <c r="J744" s="4">
        <v>0.011423</v>
      </c>
      <c r="K744" s="4">
        <v>0.008591</v>
      </c>
      <c r="L744" s="4">
        <v>0.010946</v>
      </c>
      <c r="M744" s="4">
        <v>0.006768</v>
      </c>
      <c r="N744" s="4">
        <v>0.003667</v>
      </c>
      <c r="O744" s="4">
        <v>0.005554</v>
      </c>
      <c r="P744" s="4">
        <v>0.0</v>
      </c>
      <c r="Q744" s="4">
        <v>-0.004613</v>
      </c>
      <c r="R744" s="4">
        <v>0.007515</v>
      </c>
      <c r="S744" s="4">
        <v>0.002821</v>
      </c>
      <c r="T744" s="4">
        <v>0.006731</v>
      </c>
      <c r="U744" s="4">
        <v>0.004145</v>
      </c>
      <c r="V744" s="4">
        <v>0.0181503601877919</v>
      </c>
      <c r="W744" s="4">
        <v>0.0288785068120722</v>
      </c>
      <c r="X744" s="4">
        <v>-0.001169595299552</v>
      </c>
      <c r="Y744" s="4">
        <v>0.007404805551503</v>
      </c>
      <c r="Z744" s="4">
        <v>-7.699181449163E-4</v>
      </c>
      <c r="AA744" s="4">
        <v>0.0210290332936431</v>
      </c>
      <c r="AB744" s="4">
        <v>-0.00264545410169</v>
      </c>
      <c r="AC744" s="4">
        <v>-0.0037383937371148</v>
      </c>
      <c r="AD744" s="4">
        <v>-0.0152284972821957</v>
      </c>
      <c r="AE744" s="4">
        <v>0.0035948260924838</v>
      </c>
      <c r="AF744" s="4">
        <v>-0.0045660735071687</v>
      </c>
      <c r="AG744" s="4">
        <v>0.0046452092306965</v>
      </c>
      <c r="AH744" s="4">
        <v>-0.0208828412070112</v>
      </c>
      <c r="AI744" s="4">
        <v>0.0016328480365044</v>
      </c>
      <c r="AJ744" s="4">
        <v>0.014279</v>
      </c>
      <c r="AK744" s="4">
        <f>Weights!E800</f>
        <v>0.004574685747</v>
      </c>
      <c r="AL744" s="5">
        <v>-0.00513363166640901</v>
      </c>
      <c r="AM744" s="5">
        <v>-0.00836858342122393</v>
      </c>
      <c r="AN744" s="5">
        <v>0.0</v>
      </c>
      <c r="AO744" s="5">
        <v>-7.3951004544237E-4</v>
      </c>
      <c r="AP744" s="6">
        <f t="shared" si="3"/>
        <v>1.540691596</v>
      </c>
      <c r="AQ744" s="4">
        <f t="shared" si="4"/>
        <v>1.235156713</v>
      </c>
      <c r="AR744" s="7">
        <f t="shared" si="5"/>
        <v>1.191539294</v>
      </c>
      <c r="AS744" s="7">
        <f t="shared" ref="AS744:AU744" si="746">AS743*(1+AM744)</f>
        <v>1.257169163</v>
      </c>
      <c r="AT744" s="5">
        <f t="shared" si="746"/>
        <v>1.297446352</v>
      </c>
      <c r="AU744" s="5">
        <f t="shared" si="746"/>
        <v>1.273292884</v>
      </c>
    </row>
    <row r="745" ht="15.75" customHeight="1">
      <c r="A745" s="3">
        <v>44908.0</v>
      </c>
      <c r="B745" s="4">
        <v>0.003405</v>
      </c>
      <c r="C745" s="4">
        <v>-0.002372</v>
      </c>
      <c r="D745" s="4">
        <v>-0.005806</v>
      </c>
      <c r="E745" s="4">
        <v>-5.44E-4</v>
      </c>
      <c r="F745" s="4">
        <v>3.13E-4</v>
      </c>
      <c r="G745" s="4">
        <v>0.007704</v>
      </c>
      <c r="H745" s="4">
        <v>-0.001508</v>
      </c>
      <c r="I745" s="4">
        <v>0.01169</v>
      </c>
      <c r="J745" s="4">
        <v>0.006384</v>
      </c>
      <c r="K745" s="4">
        <v>-0.022714</v>
      </c>
      <c r="L745" s="4">
        <v>-0.010415</v>
      </c>
      <c r="M745" s="4">
        <v>0.008964</v>
      </c>
      <c r="N745" s="4">
        <v>0.009886</v>
      </c>
      <c r="O745" s="4">
        <v>0.012675</v>
      </c>
      <c r="P745" s="4">
        <v>0.016164</v>
      </c>
      <c r="Q745" s="4">
        <v>0.0</v>
      </c>
      <c r="R745" s="4">
        <v>0.009774</v>
      </c>
      <c r="S745" s="4">
        <v>0.018926</v>
      </c>
      <c r="T745" s="4">
        <v>0.009388</v>
      </c>
      <c r="U745" s="4">
        <v>0.001494</v>
      </c>
      <c r="V745" s="4">
        <v>-0.00764005602604034</v>
      </c>
      <c r="W745" s="4">
        <v>-0.0021214919751532</v>
      </c>
      <c r="X745" s="4">
        <v>-0.0011709648545418</v>
      </c>
      <c r="Y745" s="4">
        <v>-0.0121893365613393</v>
      </c>
      <c r="Z745" s="4">
        <v>-0.0195454744288311</v>
      </c>
      <c r="AA745" s="4">
        <v>-0.0081983388803302</v>
      </c>
      <c r="AB745" s="4">
        <v>-0.0056365365887929</v>
      </c>
      <c r="AC745" s="4">
        <v>-0.0037523422313002</v>
      </c>
      <c r="AD745" s="4">
        <v>0.0</v>
      </c>
      <c r="AE745" s="4">
        <v>-0.0084103239126467</v>
      </c>
      <c r="AF745" s="4">
        <v>0.0017201405661395</v>
      </c>
      <c r="AG745" s="4">
        <v>-0.0205607334534566</v>
      </c>
      <c r="AH745" s="4">
        <v>0.0060591603990778</v>
      </c>
      <c r="AI745" s="4">
        <v>0.0048915849207264</v>
      </c>
      <c r="AJ745" s="4">
        <v>0.00729</v>
      </c>
      <c r="AK745" s="4">
        <f>Weights!E801</f>
        <v>-0.0009889691877</v>
      </c>
      <c r="AL745" s="5">
        <v>0.0101423352269724</v>
      </c>
      <c r="AM745" s="5">
        <v>0.0143873942028756</v>
      </c>
      <c r="AN745" s="5">
        <v>-6.54947645445491E-4</v>
      </c>
      <c r="AO745" s="5">
        <v>-7.39955850247997E-4</v>
      </c>
      <c r="AP745" s="6">
        <f t="shared" si="3"/>
        <v>1.5391679</v>
      </c>
      <c r="AQ745" s="4">
        <f t="shared" si="4"/>
        <v>1.244161005</v>
      </c>
      <c r="AR745" s="7">
        <f t="shared" si="5"/>
        <v>1.203624285</v>
      </c>
      <c r="AS745" s="7">
        <f t="shared" ref="AS745:AU745" si="747">AS744*(1+AM745)</f>
        <v>1.275256551</v>
      </c>
      <c r="AT745" s="5">
        <f t="shared" si="747"/>
        <v>1.296596593</v>
      </c>
      <c r="AU745" s="5">
        <f t="shared" si="747"/>
        <v>1.272350704</v>
      </c>
    </row>
    <row r="746" ht="15.75" customHeight="1">
      <c r="A746" s="3">
        <v>44909.0</v>
      </c>
      <c r="B746" s="4">
        <v>-0.009695</v>
      </c>
      <c r="C746" s="4">
        <v>-0.010829</v>
      </c>
      <c r="D746" s="4">
        <v>0.016622</v>
      </c>
      <c r="E746" s="4">
        <v>-0.002774</v>
      </c>
      <c r="F746" s="4">
        <v>0.0</v>
      </c>
      <c r="G746" s="4">
        <v>0.003069</v>
      </c>
      <c r="H746" s="4">
        <v>0.003941</v>
      </c>
      <c r="I746" s="4">
        <v>-0.002512</v>
      </c>
      <c r="J746" s="4">
        <v>0.004147</v>
      </c>
      <c r="K746" s="4">
        <v>-0.012691</v>
      </c>
      <c r="L746" s="4">
        <v>-0.005106</v>
      </c>
      <c r="M746" s="4">
        <v>-0.009439</v>
      </c>
      <c r="N746" s="4">
        <v>-0.009364</v>
      </c>
      <c r="O746" s="4">
        <v>-0.012696</v>
      </c>
      <c r="P746" s="4">
        <v>-8.48E-4</v>
      </c>
      <c r="Q746" s="4">
        <v>-0.00278</v>
      </c>
      <c r="R746" s="4">
        <v>0.00433</v>
      </c>
      <c r="S746" s="4">
        <v>-0.004518</v>
      </c>
      <c r="T746" s="4">
        <v>-0.010171</v>
      </c>
      <c r="U746" s="4">
        <v>-0.001776</v>
      </c>
      <c r="V746" s="4">
        <v>0.0564584230394595</v>
      </c>
      <c r="W746" s="4">
        <v>0.024366242606217</v>
      </c>
      <c r="X746" s="4">
        <v>-0.0140680514483201</v>
      </c>
      <c r="Y746" s="4">
        <v>0.0191605400499319</v>
      </c>
      <c r="Z746" s="4">
        <v>0.0214082633463223</v>
      </c>
      <c r="AA746" s="4">
        <v>0.0300402261030723</v>
      </c>
      <c r="AB746" s="4">
        <v>0.0263421633707052</v>
      </c>
      <c r="AC746" s="4">
        <v>-0.0018831578324651</v>
      </c>
      <c r="AD746" s="4">
        <v>-0.0128868988863178</v>
      </c>
      <c r="AE746" s="4">
        <v>0.0255965088382232</v>
      </c>
      <c r="AF746" s="4">
        <v>0.0266170938441936</v>
      </c>
      <c r="AG746" s="4">
        <v>0.003515515097118</v>
      </c>
      <c r="AH746" s="4">
        <v>-0.0775716754823911</v>
      </c>
      <c r="AI746" s="4">
        <v>0.0210924381096277</v>
      </c>
      <c r="AJ746" s="4">
        <v>-0.006053</v>
      </c>
      <c r="AK746" s="4">
        <f>Weights!E802</f>
        <v>0.002428106953</v>
      </c>
      <c r="AL746" s="5">
        <v>0.0101941708186168</v>
      </c>
      <c r="AM746" s="5">
        <v>0.0074675779363249</v>
      </c>
      <c r="AN746" s="5">
        <v>0.00229358414024183</v>
      </c>
      <c r="AO746" s="5">
        <v>0.00394959049896681</v>
      </c>
      <c r="AP746" s="6">
        <f t="shared" si="3"/>
        <v>1.542905164</v>
      </c>
      <c r="AQ746" s="4">
        <f t="shared" si="4"/>
        <v>1.236630099</v>
      </c>
      <c r="AR746" s="7">
        <f t="shared" si="5"/>
        <v>1.215894237</v>
      </c>
      <c r="AS746" s="7">
        <f t="shared" ref="AS746:AU746" si="748">AS745*(1+AM746)</f>
        <v>1.284779629</v>
      </c>
      <c r="AT746" s="5">
        <f t="shared" si="748"/>
        <v>1.299570446</v>
      </c>
      <c r="AU746" s="5">
        <f t="shared" si="748"/>
        <v>1.277375968</v>
      </c>
    </row>
    <row r="747" ht="15.75" customHeight="1">
      <c r="A747" s="3">
        <v>44910.0</v>
      </c>
      <c r="B747" s="4">
        <v>-0.019579</v>
      </c>
      <c r="C747" s="4">
        <v>0.008545</v>
      </c>
      <c r="D747" s="4">
        <v>-0.010605</v>
      </c>
      <c r="E747" s="4">
        <v>-0.016961</v>
      </c>
      <c r="F747" s="4">
        <v>-0.013752</v>
      </c>
      <c r="G747" s="4">
        <v>-0.012628</v>
      </c>
      <c r="H747" s="4">
        <v>-0.011319</v>
      </c>
      <c r="I747" s="4">
        <v>-0.019642</v>
      </c>
      <c r="J747" s="4">
        <v>-0.009475</v>
      </c>
      <c r="K747" s="4">
        <v>-0.014868</v>
      </c>
      <c r="L747" s="4">
        <v>-0.0177</v>
      </c>
      <c r="M747" s="4">
        <v>-0.018498</v>
      </c>
      <c r="N747" s="4">
        <v>-0.01783</v>
      </c>
      <c r="O747" s="4">
        <v>-0.026352</v>
      </c>
      <c r="P747" s="4">
        <v>-0.032689</v>
      </c>
      <c r="Q747" s="4">
        <v>-0.042751</v>
      </c>
      <c r="R747" s="4">
        <v>-0.032463</v>
      </c>
      <c r="S747" s="4">
        <v>-0.031014</v>
      </c>
      <c r="T747" s="4">
        <v>-0.09349</v>
      </c>
      <c r="U747" s="4">
        <v>-0.022423</v>
      </c>
      <c r="V747" s="4">
        <v>-0.00769224681431157</v>
      </c>
      <c r="W747" s="4">
        <v>0.0699235485062952</v>
      </c>
      <c r="X747" s="4">
        <v>0.0</v>
      </c>
      <c r="Y747" s="4">
        <v>-0.0145414869352262</v>
      </c>
      <c r="Z747" s="4">
        <v>-0.0210556374955305</v>
      </c>
      <c r="AA747" s="4">
        <v>0.017028706418414</v>
      </c>
      <c r="AB747" s="4">
        <v>0.0123456592480277</v>
      </c>
      <c r="AC747" s="4">
        <v>0.0</v>
      </c>
      <c r="AD747" s="4">
        <v>0.0</v>
      </c>
      <c r="AE747" s="4">
        <v>-0.0103375055795845</v>
      </c>
      <c r="AF747" s="4">
        <v>-0.0192361272821606</v>
      </c>
      <c r="AG747" s="4">
        <v>-0.0236211677387266</v>
      </c>
      <c r="AH747" s="4">
        <v>-0.0041786451921826</v>
      </c>
      <c r="AI747" s="4">
        <v>-0.0015891849622803</v>
      </c>
      <c r="AJ747" s="4">
        <v>-0.024922</v>
      </c>
      <c r="AK747" s="4">
        <f>Weights!E803</f>
        <v>-0.0120573572</v>
      </c>
      <c r="AL747" s="5">
        <v>-0.00465482732694111</v>
      </c>
      <c r="AM747" s="5">
        <v>-0.00557173875664163</v>
      </c>
      <c r="AN747" s="5">
        <v>-0.00163445848918142</v>
      </c>
      <c r="AO747" s="5">
        <v>-2.45694952066166E-4</v>
      </c>
      <c r="AP747" s="6">
        <f t="shared" si="3"/>
        <v>1.524301805</v>
      </c>
      <c r="AQ747" s="4">
        <f t="shared" si="4"/>
        <v>1.205810803</v>
      </c>
      <c r="AR747" s="7">
        <f t="shared" si="5"/>
        <v>1.210234459</v>
      </c>
      <c r="AS747" s="7">
        <f t="shared" ref="AS747:AU747" si="749">AS746*(1+AM747)</f>
        <v>1.277621172</v>
      </c>
      <c r="AT747" s="5">
        <f t="shared" si="749"/>
        <v>1.297446352</v>
      </c>
      <c r="AU747" s="5">
        <f t="shared" si="749"/>
        <v>1.277062123</v>
      </c>
    </row>
    <row r="748" ht="15.75" customHeight="1">
      <c r="A748" s="3">
        <v>44911.0</v>
      </c>
      <c r="B748" s="4">
        <v>-0.014978</v>
      </c>
      <c r="C748" s="4">
        <v>-0.017209</v>
      </c>
      <c r="D748" s="4">
        <v>-0.006029</v>
      </c>
      <c r="E748" s="4">
        <v>4.99E-4</v>
      </c>
      <c r="F748" s="4">
        <v>-0.005704</v>
      </c>
      <c r="G748" s="4">
        <v>-0.010254</v>
      </c>
      <c r="H748" s="4">
        <v>-0.004434</v>
      </c>
      <c r="I748" s="4">
        <v>-0.014385</v>
      </c>
      <c r="J748" s="4">
        <v>-0.013736</v>
      </c>
      <c r="K748" s="4">
        <v>-0.005659</v>
      </c>
      <c r="L748" s="4">
        <v>-0.003625</v>
      </c>
      <c r="M748" s="4">
        <v>-0.001142</v>
      </c>
      <c r="N748" s="4">
        <v>-0.001531</v>
      </c>
      <c r="O748" s="4">
        <v>-0.024368</v>
      </c>
      <c r="P748" s="4">
        <v>0.012508</v>
      </c>
      <c r="Q748" s="4">
        <v>-0.01068</v>
      </c>
      <c r="R748" s="4">
        <v>0.005505</v>
      </c>
      <c r="S748" s="4">
        <v>0.014052</v>
      </c>
      <c r="T748" s="4">
        <v>-0.003729</v>
      </c>
      <c r="U748" s="4">
        <v>-0.020607</v>
      </c>
      <c r="V748" s="4">
        <v>-0.0232558278642248</v>
      </c>
      <c r="W748" s="4">
        <v>-0.0095494377833119</v>
      </c>
      <c r="X748" s="4">
        <v>0.0</v>
      </c>
      <c r="Y748" s="4">
        <v>-0.0028397295176476</v>
      </c>
      <c r="Z748" s="4">
        <v>-0.00451772047149</v>
      </c>
      <c r="AA748" s="4">
        <v>-0.0250191012707668</v>
      </c>
      <c r="AB748" s="4">
        <v>0.0115531972575457</v>
      </c>
      <c r="AC748" s="4">
        <v>-0.0057034169969355</v>
      </c>
      <c r="AD748" s="4">
        <v>0.0013068491752881</v>
      </c>
      <c r="AE748" s="4">
        <v>-0.0078341143858635</v>
      </c>
      <c r="AF748" s="4">
        <v>-0.0028425689575501</v>
      </c>
      <c r="AG748" s="4">
        <v>-0.0038956285362775</v>
      </c>
      <c r="AH748" s="4">
        <v>0.0136375678653521</v>
      </c>
      <c r="AI748" s="4">
        <v>-0.0031827610830872</v>
      </c>
      <c r="AJ748" s="4">
        <v>-0.011138</v>
      </c>
      <c r="AK748" s="4">
        <f>Weights!E804</f>
        <v>-0.00521201304</v>
      </c>
      <c r="AL748" s="5">
        <v>-0.0255888996023975</v>
      </c>
      <c r="AM748" s="5">
        <v>-0.0249123413713227</v>
      </c>
      <c r="AN748" s="5">
        <v>-0.00654887269241311</v>
      </c>
      <c r="AO748" s="5">
        <v>-0.006148638572114</v>
      </c>
      <c r="AP748" s="6">
        <f t="shared" si="3"/>
        <v>1.516357125</v>
      </c>
      <c r="AQ748" s="4">
        <f t="shared" si="4"/>
        <v>1.192380483</v>
      </c>
      <c r="AR748" s="7">
        <f t="shared" si="5"/>
        <v>1.179265891</v>
      </c>
      <c r="AS748" s="7">
        <f t="shared" ref="AS748:AU748" si="750">AS747*(1+AM748)</f>
        <v>1.245792638</v>
      </c>
      <c r="AT748" s="5">
        <f t="shared" si="750"/>
        <v>1.288949541</v>
      </c>
      <c r="AU748" s="5">
        <f t="shared" si="750"/>
        <v>1.26920993</v>
      </c>
    </row>
    <row r="749" ht="15.75" customHeight="1">
      <c r="A749" s="3">
        <v>44914.0</v>
      </c>
      <c r="B749" s="4">
        <v>-0.00963</v>
      </c>
      <c r="C749" s="4">
        <v>-0.002425</v>
      </c>
      <c r="D749" s="4">
        <v>-0.018647</v>
      </c>
      <c r="E749" s="4">
        <v>0.005545</v>
      </c>
      <c r="F749" s="4">
        <v>0.001434</v>
      </c>
      <c r="G749" s="4">
        <v>-0.001082</v>
      </c>
      <c r="H749" s="4">
        <v>-2.66E-4</v>
      </c>
      <c r="I749" s="4">
        <v>-0.012249</v>
      </c>
      <c r="J749" s="4">
        <v>-0.010196</v>
      </c>
      <c r="K749" s="4">
        <v>0.002688</v>
      </c>
      <c r="L749" s="4">
        <v>-0.006849</v>
      </c>
      <c r="M749" s="4">
        <v>0.001144</v>
      </c>
      <c r="N749" s="4">
        <v>-0.006791</v>
      </c>
      <c r="O749" s="4">
        <v>-0.003098</v>
      </c>
      <c r="P749" s="4">
        <v>-0.011704</v>
      </c>
      <c r="Q749" s="4">
        <v>-0.001963</v>
      </c>
      <c r="R749" s="4">
        <v>-0.026069</v>
      </c>
      <c r="S749" s="4">
        <v>-0.016936</v>
      </c>
      <c r="T749" s="4">
        <v>-0.013773</v>
      </c>
      <c r="U749" s="4">
        <v>-0.008848</v>
      </c>
      <c r="V749" s="4">
        <v>-0.0446950536159371</v>
      </c>
      <c r="W749" s="4">
        <v>0.0076829381312657</v>
      </c>
      <c r="X749" s="4">
        <v>0.0047619235987006</v>
      </c>
      <c r="Y749" s="4">
        <v>-0.0014861632374888</v>
      </c>
      <c r="Z749" s="4">
        <v>-0.0115432038329977</v>
      </c>
      <c r="AA749" s="4">
        <v>-0.0039477846739345</v>
      </c>
      <c r="AB749" s="4">
        <v>0.0164976338394904</v>
      </c>
      <c r="AC749" s="4">
        <v>0.0019120441842779</v>
      </c>
      <c r="AD749" s="4">
        <v>-0.0130545779854415</v>
      </c>
      <c r="AE749" s="4">
        <v>0.0140621379150529</v>
      </c>
      <c r="AF749" s="4">
        <v>-0.0068414740116097</v>
      </c>
      <c r="AG749" s="4">
        <v>0.0057631216993294</v>
      </c>
      <c r="AH749" s="4">
        <v>-0.0170763220125119</v>
      </c>
      <c r="AI749" s="4">
        <v>0.0021286900448842</v>
      </c>
      <c r="AJ749" s="4">
        <v>-0.009007</v>
      </c>
      <c r="AK749" s="4">
        <f>Weights!E805</f>
        <v>-0.005063772595</v>
      </c>
      <c r="AL749" s="5">
        <v>-0.010504468943275</v>
      </c>
      <c r="AM749" s="5">
        <v>-0.0114406069258349</v>
      </c>
      <c r="AN749" s="5">
        <v>-0.014172680049327</v>
      </c>
      <c r="AO749" s="5">
        <v>-0.014352783995019</v>
      </c>
      <c r="AP749" s="6">
        <f t="shared" si="3"/>
        <v>1.508678637</v>
      </c>
      <c r="AQ749" s="4">
        <f t="shared" si="4"/>
        <v>1.181640712</v>
      </c>
      <c r="AR749" s="7">
        <f t="shared" si="5"/>
        <v>1.166878329</v>
      </c>
      <c r="AS749" s="7">
        <f t="shared" ref="AS749:AU749" si="751">AS748*(1+AM749)</f>
        <v>1.231540014</v>
      </c>
      <c r="AT749" s="5">
        <f t="shared" si="751"/>
        <v>1.270681672</v>
      </c>
      <c r="AU749" s="5">
        <f t="shared" si="751"/>
        <v>1.250993234</v>
      </c>
    </row>
    <row r="750" ht="15.75" customHeight="1">
      <c r="A750" s="3">
        <v>44915.0</v>
      </c>
      <c r="B750" s="4">
        <v>0.006141</v>
      </c>
      <c r="C750" s="4">
        <v>-0.00108</v>
      </c>
      <c r="D750" s="4">
        <v>0.012134</v>
      </c>
      <c r="E750" s="4">
        <v>-6.07E-4</v>
      </c>
      <c r="F750" s="4">
        <v>-7.96E-4</v>
      </c>
      <c r="G750" s="4">
        <v>0.001083</v>
      </c>
      <c r="H750" s="4">
        <v>3.99E-4</v>
      </c>
      <c r="I750" s="4">
        <v>0.015567</v>
      </c>
      <c r="J750" s="4">
        <v>0.003518</v>
      </c>
      <c r="K750" s="4">
        <v>0.014191</v>
      </c>
      <c r="L750" s="4">
        <v>0.009266</v>
      </c>
      <c r="M750" s="4">
        <v>0.004569</v>
      </c>
      <c r="N750" s="4">
        <v>0.011689</v>
      </c>
      <c r="O750" s="4">
        <v>-0.001147</v>
      </c>
      <c r="P750" s="4">
        <v>0.044298</v>
      </c>
      <c r="Q750" s="4">
        <v>0.023599</v>
      </c>
      <c r="R750" s="4">
        <v>0.011777</v>
      </c>
      <c r="S750" s="4">
        <v>0.044375</v>
      </c>
      <c r="T750" s="4">
        <v>0.016773</v>
      </c>
      <c r="U750" s="4">
        <v>-0.004876</v>
      </c>
      <c r="V750" s="4">
        <v>-0.00174890662618609</v>
      </c>
      <c r="W750" s="4">
        <v>-0.0309462609389434</v>
      </c>
      <c r="X750" s="4">
        <v>0.00236958155189</v>
      </c>
      <c r="Y750" s="4">
        <v>0.0147576624581358</v>
      </c>
      <c r="Z750" s="4">
        <v>0.0323388062424874</v>
      </c>
      <c r="AA750" s="4">
        <v>0.0229883540113067</v>
      </c>
      <c r="AB750" s="4">
        <v>-0.0190388492156576</v>
      </c>
      <c r="AC750" s="4">
        <v>0.0</v>
      </c>
      <c r="AD750" s="4">
        <v>0.005291333804801</v>
      </c>
      <c r="AE750" s="4">
        <v>0.0106786023811726</v>
      </c>
      <c r="AF750" s="4">
        <v>0.0057404083683625</v>
      </c>
      <c r="AG750" s="4">
        <v>-0.0166786141142222</v>
      </c>
      <c r="AH750" s="4">
        <v>-0.0281653360977084</v>
      </c>
      <c r="AI750" s="4">
        <v>0.004779545937007</v>
      </c>
      <c r="AJ750" s="4">
        <v>0.001037</v>
      </c>
      <c r="AK750" s="4">
        <f>Weights!E806</f>
        <v>0.005039625177</v>
      </c>
      <c r="AL750" s="5">
        <v>-0.00713831182604851</v>
      </c>
      <c r="AM750" s="5">
        <v>-0.0100680255555376</v>
      </c>
      <c r="AN750" s="5">
        <v>-0.00902703686107409</v>
      </c>
      <c r="AO750" s="5">
        <v>-0.00828522542840604</v>
      </c>
      <c r="AP750" s="6">
        <f t="shared" si="3"/>
        <v>1.516281812</v>
      </c>
      <c r="AQ750" s="4">
        <f t="shared" si="4"/>
        <v>1.182866073</v>
      </c>
      <c r="AR750" s="7">
        <f t="shared" si="5"/>
        <v>1.158548787</v>
      </c>
      <c r="AS750" s="7">
        <f t="shared" ref="AS750:AU750" si="752">AS749*(1+AM750)</f>
        <v>1.219140837</v>
      </c>
      <c r="AT750" s="5">
        <f t="shared" si="752"/>
        <v>1.259211182</v>
      </c>
      <c r="AU750" s="5">
        <f t="shared" si="752"/>
        <v>1.240628473</v>
      </c>
    </row>
    <row r="751" ht="15.75" customHeight="1">
      <c r="A751" s="3">
        <v>44916.0</v>
      </c>
      <c r="B751" s="4">
        <v>0.003052</v>
      </c>
      <c r="C751" s="4">
        <v>0.021357</v>
      </c>
      <c r="D751" s="4">
        <v>0.014929</v>
      </c>
      <c r="E751" s="4">
        <v>0.007008</v>
      </c>
      <c r="F751" s="4">
        <v>0.016085</v>
      </c>
      <c r="G751" s="4">
        <v>0.011442</v>
      </c>
      <c r="H751" s="4">
        <v>0.009172</v>
      </c>
      <c r="I751" s="4">
        <v>0.020785</v>
      </c>
      <c r="J751" s="4">
        <v>0.011267</v>
      </c>
      <c r="K751" s="4">
        <v>0.006841</v>
      </c>
      <c r="L751" s="4">
        <v>0.009608</v>
      </c>
      <c r="M751" s="4">
        <v>0.021035</v>
      </c>
      <c r="N751" s="4">
        <v>0.017005</v>
      </c>
      <c r="O751" s="4">
        <v>0.005888</v>
      </c>
      <c r="P751" s="4">
        <v>-0.0063</v>
      </c>
      <c r="Q751" s="4">
        <v>0.024976</v>
      </c>
      <c r="R751" s="4">
        <v>0.017196</v>
      </c>
      <c r="S751" s="4">
        <v>7.5E-4</v>
      </c>
      <c r="T751" s="4">
        <v>0.025976</v>
      </c>
      <c r="U751" s="4">
        <v>0.0098</v>
      </c>
      <c r="V751" s="4">
        <v>-0.0328517242445917</v>
      </c>
      <c r="W751" s="4">
        <v>-0.030546116597253</v>
      </c>
      <c r="X751" s="4">
        <v>-0.0011820378528007</v>
      </c>
      <c r="Y751" s="4">
        <v>0.0062942569542803</v>
      </c>
      <c r="Z751" s="4">
        <v>0.0013534382172992</v>
      </c>
      <c r="AA751" s="4">
        <v>-0.0071677811256494</v>
      </c>
      <c r="AB751" s="4">
        <v>-0.0028634193222555</v>
      </c>
      <c r="AC751" s="4">
        <v>0.0171754763322664</v>
      </c>
      <c r="AD751" s="4">
        <v>-0.0092107275463488</v>
      </c>
      <c r="AE751" s="4">
        <v>-9.537577961734E-4</v>
      </c>
      <c r="AF751" s="4">
        <v>0.0014269981668513</v>
      </c>
      <c r="AG751" s="4">
        <v>-0.0121747662875825</v>
      </c>
      <c r="AH751" s="4">
        <v>0.0224810902161203</v>
      </c>
      <c r="AI751" s="4">
        <v>-0.0036998894059016</v>
      </c>
      <c r="AJ751" s="4">
        <v>0.014868</v>
      </c>
      <c r="AK751" s="4">
        <f>Weights!E807</f>
        <v>0.005120214744</v>
      </c>
      <c r="AL751" s="5">
        <v>0.00248875847655916</v>
      </c>
      <c r="AM751" s="5">
        <v>0.0020968657296736</v>
      </c>
      <c r="AN751" s="5">
        <v>-0.0101215531967867</v>
      </c>
      <c r="AO751" s="5">
        <v>-0.0111392237901167</v>
      </c>
      <c r="AP751" s="6">
        <f t="shared" si="3"/>
        <v>1.5240455</v>
      </c>
      <c r="AQ751" s="4">
        <f t="shared" si="4"/>
        <v>1.200452926</v>
      </c>
      <c r="AR751" s="7">
        <f t="shared" si="5"/>
        <v>1.161432136</v>
      </c>
      <c r="AS751" s="7">
        <f t="shared" ref="AS751:AU751" si="753">AS750*(1+AM751)</f>
        <v>1.221697212</v>
      </c>
      <c r="AT751" s="5">
        <f t="shared" si="753"/>
        <v>1.246466009</v>
      </c>
      <c r="AU751" s="5">
        <f t="shared" si="753"/>
        <v>1.226808834</v>
      </c>
    </row>
    <row r="752" ht="15.75" customHeight="1">
      <c r="A752" s="3">
        <v>44917.0</v>
      </c>
      <c r="B752" s="4">
        <v>-0.007099</v>
      </c>
      <c r="C752" s="4">
        <v>0.014029</v>
      </c>
      <c r="D752" s="4">
        <v>4.46E-4</v>
      </c>
      <c r="E752" s="4">
        <v>-0.007726</v>
      </c>
      <c r="F752" s="4">
        <v>-0.00721</v>
      </c>
      <c r="G752" s="4">
        <v>-0.003658</v>
      </c>
      <c r="H752" s="4">
        <v>0.002305</v>
      </c>
      <c r="I752" s="4">
        <v>-0.011708</v>
      </c>
      <c r="J752" s="4">
        <v>-0.009408</v>
      </c>
      <c r="K752" s="4">
        <v>-0.005559</v>
      </c>
      <c r="L752" s="4">
        <v>-0.009622</v>
      </c>
      <c r="M752" s="4">
        <v>-0.013363</v>
      </c>
      <c r="N752" s="4">
        <v>-0.010504</v>
      </c>
      <c r="O752" s="4">
        <v>-0.004759</v>
      </c>
      <c r="P752" s="4">
        <v>0.003804</v>
      </c>
      <c r="Q752" s="4">
        <v>-0.00656</v>
      </c>
      <c r="R752" s="4">
        <v>-0.020286</v>
      </c>
      <c r="S752" s="4">
        <v>-0.005994</v>
      </c>
      <c r="T752" s="4">
        <v>-0.003929</v>
      </c>
      <c r="U752" s="4">
        <v>-0.013512</v>
      </c>
      <c r="V752" s="4">
        <v>0.0412138748217874</v>
      </c>
      <c r="W752" s="4">
        <v>0.0058879043963759</v>
      </c>
      <c r="X752" s="4">
        <v>0.0</v>
      </c>
      <c r="Y752" s="4">
        <v>0.0109908695034313</v>
      </c>
      <c r="Z752" s="4">
        <v>0.0146761401056105</v>
      </c>
      <c r="AA752" s="4">
        <v>0.0013658522403208</v>
      </c>
      <c r="AB752" s="4">
        <v>0.001595273135152</v>
      </c>
      <c r="AC752" s="4">
        <v>0.0</v>
      </c>
      <c r="AD752" s="4">
        <v>0.0</v>
      </c>
      <c r="AE752" s="4">
        <v>-0.0037457063990774</v>
      </c>
      <c r="AF752" s="4">
        <v>0.0119692027206366</v>
      </c>
      <c r="AG752" s="4">
        <v>0.025492403625756</v>
      </c>
      <c r="AH752" s="4">
        <v>0.0113907236417372</v>
      </c>
      <c r="AI752" s="4">
        <v>-0.0015914918580336</v>
      </c>
      <c r="AJ752" s="4">
        <v>-0.014452</v>
      </c>
      <c r="AK752" s="4">
        <f>Weights!E808</f>
        <v>0.0007086344864</v>
      </c>
      <c r="AL752" s="5">
        <v>0.0137918771816987</v>
      </c>
      <c r="AM752" s="5">
        <v>0.015119210755387</v>
      </c>
      <c r="AN752" s="5">
        <v>0.00545325108941074</v>
      </c>
      <c r="AO752" s="5">
        <v>0.00486441164758399</v>
      </c>
      <c r="AP752" s="6">
        <f t="shared" si="3"/>
        <v>1.525125491</v>
      </c>
      <c r="AQ752" s="4">
        <f t="shared" si="4"/>
        <v>1.18310398</v>
      </c>
      <c r="AR752" s="7">
        <f t="shared" si="5"/>
        <v>1.177450465</v>
      </c>
      <c r="AS752" s="7">
        <f t="shared" ref="AS752:AU752" si="754">AS751*(1+AM752)</f>
        <v>1.24016831</v>
      </c>
      <c r="AT752" s="5">
        <f t="shared" si="754"/>
        <v>1.253263301</v>
      </c>
      <c r="AU752" s="5">
        <f t="shared" si="754"/>
        <v>1.232776538</v>
      </c>
    </row>
    <row r="753" ht="15.75" customHeight="1">
      <c r="A753" s="3">
        <v>44918.0</v>
      </c>
      <c r="B753" s="4">
        <v>0.004597</v>
      </c>
      <c r="C753" s="4">
        <v>0.00261</v>
      </c>
      <c r="D753" s="4">
        <v>0.004678</v>
      </c>
      <c r="E753" s="4">
        <v>0.006461</v>
      </c>
      <c r="F753" s="4">
        <v>0.007578</v>
      </c>
      <c r="G753" s="4">
        <v>0.002542</v>
      </c>
      <c r="H753" s="4">
        <v>0.002825</v>
      </c>
      <c r="I753" s="4">
        <v>0.016997</v>
      </c>
      <c r="J753" s="4">
        <v>0.012747</v>
      </c>
      <c r="K753" s="4">
        <v>0.009006</v>
      </c>
      <c r="L753" s="4">
        <v>0.007581</v>
      </c>
      <c r="M753" s="4">
        <v>0.009594</v>
      </c>
      <c r="N753" s="4">
        <v>0.006499</v>
      </c>
      <c r="O753" s="4">
        <v>-0.003921</v>
      </c>
      <c r="P753" s="4">
        <v>0.007368</v>
      </c>
      <c r="Q753" s="4">
        <v>-0.011321</v>
      </c>
      <c r="R753" s="4">
        <v>0.011415</v>
      </c>
      <c r="S753" s="4">
        <v>0.009548</v>
      </c>
      <c r="T753" s="4">
        <v>-0.006062</v>
      </c>
      <c r="U753" s="4">
        <v>0.009232</v>
      </c>
      <c r="V753" s="4">
        <v>-0.0126142137806483</v>
      </c>
      <c r="W753" s="4">
        <v>-0.0232557528304007</v>
      </c>
      <c r="X753" s="4">
        <v>-0.0035927319583776</v>
      </c>
      <c r="Y753" s="4">
        <v>0.0031232544206871</v>
      </c>
      <c r="Z753" s="4">
        <v>0.0130363436946399</v>
      </c>
      <c r="AA753" s="4">
        <v>0.0027279784651437</v>
      </c>
      <c r="AB753" s="4">
        <v>0.0031858740971604</v>
      </c>
      <c r="AC753" s="4">
        <v>0.0</v>
      </c>
      <c r="AD753" s="4">
        <v>0.0039684719245223</v>
      </c>
      <c r="AE753" s="4">
        <v>0.0056763785648854</v>
      </c>
      <c r="AF753" s="4">
        <v>-0.0039425451184541</v>
      </c>
      <c r="AG753" s="4">
        <v>0.0055470966748489</v>
      </c>
      <c r="AH753" s="4">
        <v>0.001833412608446</v>
      </c>
      <c r="AI753" s="4">
        <v>0.0062357441071554</v>
      </c>
      <c r="AJ753" s="4">
        <v>0.005868</v>
      </c>
      <c r="AK753" s="4">
        <f>Weights!E809</f>
        <v>0.003959318922</v>
      </c>
      <c r="AL753" s="5">
        <v>-0.0124252127020181</v>
      </c>
      <c r="AM753" s="5">
        <v>-0.014183708756195</v>
      </c>
      <c r="AN753" s="5">
        <v>0.0128813917164563</v>
      </c>
      <c r="AO753" s="5">
        <v>0.0135031033219976</v>
      </c>
      <c r="AP753" s="6">
        <f t="shared" si="3"/>
        <v>1.53116395</v>
      </c>
      <c r="AQ753" s="4">
        <f t="shared" si="4"/>
        <v>1.190046434</v>
      </c>
      <c r="AR753" s="7">
        <f t="shared" si="5"/>
        <v>1.162820392</v>
      </c>
      <c r="AS753" s="7">
        <f t="shared" ref="AS753:AU753" si="755">AS752*(1+AM753)</f>
        <v>1.222578124</v>
      </c>
      <c r="AT753" s="5">
        <f t="shared" si="755"/>
        <v>1.269407076</v>
      </c>
      <c r="AU753" s="5">
        <f t="shared" si="755"/>
        <v>1.249422847</v>
      </c>
    </row>
    <row r="754" ht="15.75" customHeight="1">
      <c r="A754" s="3">
        <v>44922.0</v>
      </c>
      <c r="B754" s="4">
        <v>0.004067</v>
      </c>
      <c r="C754" s="4">
        <v>0.021869</v>
      </c>
      <c r="D754" s="4">
        <v>0.005987</v>
      </c>
      <c r="E754" s="4">
        <v>0.004444</v>
      </c>
      <c r="F754" s="4">
        <v>0.006111</v>
      </c>
      <c r="G754" s="4">
        <v>-2.82E-4</v>
      </c>
      <c r="H754" s="4">
        <v>0.008714</v>
      </c>
      <c r="I754" s="4">
        <v>0.004305</v>
      </c>
      <c r="J754" s="4">
        <v>0.004689</v>
      </c>
      <c r="K754" s="4">
        <v>0.006002</v>
      </c>
      <c r="L754" s="4">
        <v>0.005086</v>
      </c>
      <c r="M754" s="4">
        <v>0.003354</v>
      </c>
      <c r="N754" s="4">
        <v>4.3E-4</v>
      </c>
      <c r="O754" s="4">
        <v>-0.006864</v>
      </c>
      <c r="P754" s="4">
        <v>0.018809</v>
      </c>
      <c r="Q754" s="4">
        <v>0.017176</v>
      </c>
      <c r="R754" s="4">
        <v>0.020473</v>
      </c>
      <c r="S754" s="4">
        <v>0.02439</v>
      </c>
      <c r="T754" s="4">
        <v>0.00338</v>
      </c>
      <c r="U754" s="4">
        <v>0.003824</v>
      </c>
      <c r="V754" s="4">
        <v>0.0</v>
      </c>
      <c r="W754" s="4">
        <v>0.0166829253313371</v>
      </c>
      <c r="X754" s="4">
        <v>-0.0036056862225011</v>
      </c>
      <c r="Y754" s="4">
        <v>0.0038320444122839</v>
      </c>
      <c r="Z754" s="4">
        <v>0.0100508620299164</v>
      </c>
      <c r="AA754" s="4">
        <v>-0.0029149796605461</v>
      </c>
      <c r="AB754" s="4">
        <v>0.0142901560255894</v>
      </c>
      <c r="AC754" s="4">
        <v>-0.0112149434958097</v>
      </c>
      <c r="AD754" s="4">
        <v>0.0276679121108391</v>
      </c>
      <c r="AE754" s="4">
        <v>0.0038119091449146</v>
      </c>
      <c r="AF754" s="4">
        <v>0.0169636591367072</v>
      </c>
      <c r="AG754" s="4">
        <v>0.0165489790955126</v>
      </c>
      <c r="AH754" s="4">
        <v>-0.0175163790445218</v>
      </c>
      <c r="AI754" s="4">
        <v>0.0010594982153515</v>
      </c>
      <c r="AJ754" s="4">
        <v>-0.00405</v>
      </c>
      <c r="AK754" s="4">
        <f>Weights!E810</f>
        <v>0.005520596328</v>
      </c>
      <c r="AL754" s="5">
        <v>0.00505096248473901</v>
      </c>
      <c r="AM754" s="5">
        <v>0.00551560720993093</v>
      </c>
      <c r="AN754" s="5">
        <v>-0.0110442069972356</v>
      </c>
      <c r="AO754" s="5">
        <v>-0.0118149101852138</v>
      </c>
      <c r="AP754" s="6">
        <f t="shared" si="3"/>
        <v>1.539616888</v>
      </c>
      <c r="AQ754" s="4">
        <f t="shared" si="4"/>
        <v>1.185226746</v>
      </c>
      <c r="AR754" s="7">
        <f t="shared" si="5"/>
        <v>1.168693755</v>
      </c>
      <c r="AS754" s="7">
        <f t="shared" ref="AS754:AU754" si="756">AS753*(1+AM754)</f>
        <v>1.229321384</v>
      </c>
      <c r="AT754" s="5">
        <f t="shared" si="756"/>
        <v>1.255387482</v>
      </c>
      <c r="AU754" s="5">
        <f t="shared" si="756"/>
        <v>1.234661028</v>
      </c>
    </row>
    <row r="755" ht="15.75" customHeight="1">
      <c r="A755" s="3">
        <v>44923.0</v>
      </c>
      <c r="B755" s="4">
        <v>-0.027848</v>
      </c>
      <c r="C755" s="4">
        <v>-0.01121</v>
      </c>
      <c r="D755" s="4">
        <v>-0.021821</v>
      </c>
      <c r="E755" s="4">
        <v>-0.00721</v>
      </c>
      <c r="F755" s="4">
        <v>-0.009967</v>
      </c>
      <c r="G755" s="4">
        <v>-0.00434</v>
      </c>
      <c r="H755" s="4">
        <v>-0.012926</v>
      </c>
      <c r="I755" s="4">
        <v>-0.021432</v>
      </c>
      <c r="J755" s="4">
        <v>-0.014493</v>
      </c>
      <c r="K755" s="4">
        <v>-0.016062</v>
      </c>
      <c r="L755" s="4">
        <v>-0.011703</v>
      </c>
      <c r="M755" s="4">
        <v>-0.019499</v>
      </c>
      <c r="N755" s="4">
        <v>-0.00753</v>
      </c>
      <c r="O755" s="4">
        <v>-0.005413</v>
      </c>
      <c r="P755" s="4">
        <v>-0.028308</v>
      </c>
      <c r="Q755" s="4">
        <v>-0.015947</v>
      </c>
      <c r="R755" s="4">
        <v>-0.02572</v>
      </c>
      <c r="S755" s="4">
        <v>-0.033771</v>
      </c>
      <c r="T755" s="4">
        <v>-0.017211</v>
      </c>
      <c r="U755" s="4">
        <v>-0.010606</v>
      </c>
      <c r="V755" s="4">
        <v>0.00660797337865526</v>
      </c>
      <c r="W755" s="4">
        <v>0.0167276345489233</v>
      </c>
      <c r="X755" s="4">
        <v>0.0</v>
      </c>
      <c r="Y755" s="4">
        <v>0.0062036720963807</v>
      </c>
      <c r="Z755" s="4">
        <v>0.0015809312879979</v>
      </c>
      <c r="AA755" s="4">
        <v>0.0072112584150281</v>
      </c>
      <c r="AB755" s="4">
        <v>0.0021915353022181</v>
      </c>
      <c r="AC755" s="4">
        <v>0.0</v>
      </c>
      <c r="AD755" s="4">
        <v>0.0</v>
      </c>
      <c r="AE755" s="4">
        <v>-0.0022638476642767</v>
      </c>
      <c r="AF755" s="4">
        <v>0.0119542888104953</v>
      </c>
      <c r="AG755" s="4">
        <v>0.0055271455579084</v>
      </c>
      <c r="AH755" s="4">
        <v>-0.0138370965361801</v>
      </c>
      <c r="AI755" s="4">
        <v>0.0084655760212224</v>
      </c>
      <c r="AJ755" s="4">
        <v>-0.012021</v>
      </c>
      <c r="AK755" s="4">
        <f>Weights!E811</f>
        <v>-0.006880255567</v>
      </c>
      <c r="AL755" s="5">
        <v>-0.00237566906862884</v>
      </c>
      <c r="AM755" s="5">
        <v>-0.00417934338510428</v>
      </c>
      <c r="AN755" s="5">
        <v>0.00812198859970814</v>
      </c>
      <c r="AO755" s="5">
        <v>0.00890342269720823</v>
      </c>
      <c r="AP755" s="6">
        <f t="shared" si="3"/>
        <v>1.52902393</v>
      </c>
      <c r="AQ755" s="4">
        <f t="shared" si="4"/>
        <v>1.170979136</v>
      </c>
      <c r="AR755" s="7">
        <f t="shared" si="5"/>
        <v>1.165917325</v>
      </c>
      <c r="AS755" s="7">
        <f t="shared" ref="AS755:AU755" si="757">AS754*(1+AM755)</f>
        <v>1.224183628</v>
      </c>
      <c r="AT755" s="5">
        <f t="shared" si="757"/>
        <v>1.265583725</v>
      </c>
      <c r="AU755" s="5">
        <f t="shared" si="757"/>
        <v>1.245653737</v>
      </c>
    </row>
    <row r="756" ht="15.75" customHeight="1">
      <c r="A756" s="3">
        <v>44924.0</v>
      </c>
      <c r="B756" s="4">
        <v>0.015104</v>
      </c>
      <c r="C756" s="4">
        <v>0.011595</v>
      </c>
      <c r="D756" s="4">
        <v>0.015097</v>
      </c>
      <c r="E756" s="4">
        <v>0.001265</v>
      </c>
      <c r="F756" s="4">
        <v>0.005978</v>
      </c>
      <c r="G756" s="4">
        <v>0.005094</v>
      </c>
      <c r="H756" s="4">
        <v>0.004146</v>
      </c>
      <c r="I756" s="4">
        <v>0.011853</v>
      </c>
      <c r="J756" s="4">
        <v>0.00673</v>
      </c>
      <c r="K756" s="4">
        <v>0.016636</v>
      </c>
      <c r="L756" s="4">
        <v>0.013761</v>
      </c>
      <c r="M756" s="4">
        <v>0.020454</v>
      </c>
      <c r="N756" s="4">
        <v>0.014958</v>
      </c>
      <c r="O756" s="4">
        <v>0.017495</v>
      </c>
      <c r="P756" s="4">
        <v>-2.11E-4</v>
      </c>
      <c r="Q756" s="4">
        <v>-9.53E-4</v>
      </c>
      <c r="R756" s="4">
        <v>0.011352</v>
      </c>
      <c r="S756" s="4">
        <v>-0.002263</v>
      </c>
      <c r="T756" s="4">
        <v>-8.94E-4</v>
      </c>
      <c r="U756" s="4">
        <v>0.007927</v>
      </c>
      <c r="V756" s="4">
        <v>0.0205688424282328</v>
      </c>
      <c r="W756" s="4">
        <v>0.0117518629709088</v>
      </c>
      <c r="X756" s="4">
        <v>-0.0012061795733323</v>
      </c>
      <c r="Y756" s="4">
        <v>0.0026674751136426</v>
      </c>
      <c r="Z756" s="4">
        <v>-0.0025070546229376</v>
      </c>
      <c r="AA756" s="4">
        <v>-0.001161062088584</v>
      </c>
      <c r="AB756" s="4">
        <v>0.0062481334844883</v>
      </c>
      <c r="AC756" s="4">
        <v>-0.0018904376391181</v>
      </c>
      <c r="AD756" s="4">
        <v>0.002564096064106</v>
      </c>
      <c r="AE756" s="4">
        <v>0.0048305895844211</v>
      </c>
      <c r="AF756" s="4">
        <v>-0.006043917555213</v>
      </c>
      <c r="AG756" s="4">
        <v>0.0</v>
      </c>
      <c r="AH756" s="4">
        <v>0.0</v>
      </c>
      <c r="AI756" s="4">
        <v>0.0015740189518862</v>
      </c>
      <c r="AJ756" s="4">
        <v>0.017461</v>
      </c>
      <c r="AK756" s="4">
        <f>Weights!E812</f>
        <v>0.00613365015</v>
      </c>
      <c r="AL756" s="5">
        <v>-0.0119985515204883</v>
      </c>
      <c r="AM756" s="5">
        <v>-0.012590485404278</v>
      </c>
      <c r="AN756" s="5">
        <v>-0.0110775717496164</v>
      </c>
      <c r="AO756" s="5">
        <v>-0.0110941817781622</v>
      </c>
      <c r="AP756" s="6">
        <f t="shared" si="3"/>
        <v>1.538402428</v>
      </c>
      <c r="AQ756" s="4">
        <f t="shared" si="4"/>
        <v>1.191425602</v>
      </c>
      <c r="AR756" s="7">
        <f t="shared" si="5"/>
        <v>1.151928006</v>
      </c>
      <c r="AS756" s="7">
        <f t="shared" ref="AS756:AU756" si="758">AS755*(1+AM756)</f>
        <v>1.208770562</v>
      </c>
      <c r="AT756" s="5">
        <f t="shared" si="758"/>
        <v>1.25156413</v>
      </c>
      <c r="AU756" s="5">
        <f t="shared" si="758"/>
        <v>1.231834228</v>
      </c>
    </row>
    <row r="757" ht="15.75" customHeight="1">
      <c r="A757" s="3">
        <v>44925.0</v>
      </c>
      <c r="B757" s="4">
        <v>-0.009236</v>
      </c>
      <c r="C757" s="4">
        <v>0.003566</v>
      </c>
      <c r="D757" s="4">
        <v>0.039734</v>
      </c>
      <c r="E757" s="4">
        <v>-0.007254</v>
      </c>
      <c r="F757" s="4">
        <v>-0.005317</v>
      </c>
      <c r="G757" s="4">
        <v>-0.005125</v>
      </c>
      <c r="H757" s="4">
        <v>-0.00675</v>
      </c>
      <c r="I757" s="4">
        <v>-0.004329</v>
      </c>
      <c r="J757" s="4">
        <v>-0.008665</v>
      </c>
      <c r="K757" s="4">
        <v>-0.009634</v>
      </c>
      <c r="L757" s="4">
        <v>-0.010628</v>
      </c>
      <c r="M757" s="4">
        <v>-0.006681</v>
      </c>
      <c r="N757" s="4">
        <v>-0.008543</v>
      </c>
      <c r="O757" s="4">
        <v>-0.005922</v>
      </c>
      <c r="P757" s="4">
        <v>-0.003378</v>
      </c>
      <c r="Q757" s="4">
        <v>-0.012405</v>
      </c>
      <c r="R757" s="4">
        <v>-0.008092</v>
      </c>
      <c r="S757" s="4">
        <v>-0.015121</v>
      </c>
      <c r="T757" s="4">
        <v>-0.013103</v>
      </c>
      <c r="U757" s="4">
        <v>-0.007116</v>
      </c>
      <c r="V757" s="4">
        <v>-0.0154374749311694</v>
      </c>
      <c r="W757" s="4">
        <v>-0.0075886428860937</v>
      </c>
      <c r="X757" s="4">
        <v>0.0</v>
      </c>
      <c r="Y757" s="4">
        <v>1.772952662257E-4</v>
      </c>
      <c r="Z757" s="4">
        <v>0.0099598947027563</v>
      </c>
      <c r="AA757" s="4">
        <v>0.0215032584798029</v>
      </c>
      <c r="AB757" s="4">
        <v>3.104236015056E-4</v>
      </c>
      <c r="AC757" s="4">
        <v>0.0</v>
      </c>
      <c r="AD757" s="4">
        <v>0.0</v>
      </c>
      <c r="AE757" s="4">
        <v>0.0037876071575158</v>
      </c>
      <c r="AF757" s="4">
        <v>0.0022111338131201</v>
      </c>
      <c r="AG757" s="4">
        <v>0.0119929776948801</v>
      </c>
      <c r="AH757" s="4">
        <v>-0.004047518764526</v>
      </c>
      <c r="AI757" s="4">
        <v>0.0031432002036511</v>
      </c>
      <c r="AJ757" s="4">
        <v>-0.002541</v>
      </c>
      <c r="AK757" s="4">
        <f>Weights!E813</f>
        <v>-0.001940520676</v>
      </c>
      <c r="AL757" s="5">
        <v>0.0173355861799713</v>
      </c>
      <c r="AM757" s="5">
        <v>0.0183827396997759</v>
      </c>
      <c r="AN757" s="5">
        <v>0.0112016589301298</v>
      </c>
      <c r="AO757" s="5">
        <v>0.011692118115252</v>
      </c>
      <c r="AP757" s="6">
        <f t="shared" si="3"/>
        <v>1.535417126</v>
      </c>
      <c r="AQ757" s="4">
        <f t="shared" si="4"/>
        <v>1.18839819</v>
      </c>
      <c r="AR757" s="7">
        <f t="shared" si="5"/>
        <v>1.171897353</v>
      </c>
      <c r="AS757" s="7">
        <f t="shared" ref="AS757:AU757" si="759">AS756*(1+AM757)</f>
        <v>1.230991077</v>
      </c>
      <c r="AT757" s="5">
        <f t="shared" si="759"/>
        <v>1.265583725</v>
      </c>
      <c r="AU757" s="5">
        <f t="shared" si="759"/>
        <v>1.246236979</v>
      </c>
    </row>
    <row r="758" ht="15.75" customHeight="1">
      <c r="A758" s="3">
        <v>44929.0</v>
      </c>
      <c r="B758" s="4">
        <v>-0.002071</v>
      </c>
      <c r="C758" s="4">
        <v>0.018274</v>
      </c>
      <c r="D758" s="4">
        <v>4.27E-4</v>
      </c>
      <c r="E758" s="4">
        <v>-0.006919</v>
      </c>
      <c r="F758" s="4">
        <v>-0.010376</v>
      </c>
      <c r="G758" s="4">
        <v>0.008718</v>
      </c>
      <c r="H758" s="4">
        <v>6.6E-5</v>
      </c>
      <c r="I758" s="4">
        <v>-0.00179</v>
      </c>
      <c r="J758" s="4">
        <v>0.011488</v>
      </c>
      <c r="K758" s="4">
        <v>-0.009419</v>
      </c>
      <c r="L758" s="4">
        <v>-0.003723</v>
      </c>
      <c r="M758" s="4">
        <v>-0.001121</v>
      </c>
      <c r="N758" s="4">
        <v>-4.31E-4</v>
      </c>
      <c r="O758" s="4">
        <v>0.004709</v>
      </c>
      <c r="P758" s="4">
        <v>0.050424</v>
      </c>
      <c r="Q758" s="4">
        <v>0.045411</v>
      </c>
      <c r="R758" s="4">
        <v>-0.002105</v>
      </c>
      <c r="S758" s="4">
        <v>0.038127</v>
      </c>
      <c r="T758" s="4">
        <v>-0.00569</v>
      </c>
      <c r="U758" s="4">
        <v>-0.006412</v>
      </c>
      <c r="V758" s="4">
        <v>0.0191639494005837</v>
      </c>
      <c r="W758" s="4">
        <v>-0.0095193730401021</v>
      </c>
      <c r="X758" s="4">
        <v>0.0</v>
      </c>
      <c r="Y758" s="4">
        <v>0.0056751013048119</v>
      </c>
      <c r="Z758" s="4">
        <v>0.001106197772956</v>
      </c>
      <c r="AA758" s="4">
        <v>-0.0159301111305496</v>
      </c>
      <c r="AB758" s="4">
        <v>-0.0136560621670565</v>
      </c>
      <c r="AC758" s="4">
        <v>-0.0056603723782275</v>
      </c>
      <c r="AD758" s="4">
        <v>-0.0268883190854338</v>
      </c>
      <c r="AE758" s="4">
        <v>-0.003338069610128</v>
      </c>
      <c r="AF758" s="4">
        <v>-0.0049641590411481</v>
      </c>
      <c r="AG758" s="4">
        <v>-0.0083941918809589</v>
      </c>
      <c r="AH758" s="4">
        <v>0.0032511742002028</v>
      </c>
      <c r="AI758" s="4">
        <v>0.0010441227620947</v>
      </c>
      <c r="AJ758" s="4">
        <v>-0.004001</v>
      </c>
      <c r="AK758" s="4">
        <f>Weights!E814</f>
        <v>0.00102716852</v>
      </c>
      <c r="AL758" s="5">
        <v>-0.00446507433852372</v>
      </c>
      <c r="AM758" s="5">
        <v>-0.00255624924437636</v>
      </c>
      <c r="AN758" s="5">
        <v>-0.00671367984825244</v>
      </c>
      <c r="AO758" s="5">
        <v>-0.00635017697324991</v>
      </c>
      <c r="AP758" s="6">
        <f t="shared" si="3"/>
        <v>1.536994258</v>
      </c>
      <c r="AQ758" s="4">
        <f t="shared" si="4"/>
        <v>1.183643409</v>
      </c>
      <c r="AR758" s="7">
        <f t="shared" si="5"/>
        <v>1.166664744</v>
      </c>
      <c r="AS758" s="7">
        <f t="shared" ref="AS758:AU758" si="760">AS757*(1+AM758)</f>
        <v>1.227844357</v>
      </c>
      <c r="AT758" s="5">
        <f t="shared" si="760"/>
        <v>1.257087001</v>
      </c>
      <c r="AU758" s="5">
        <f t="shared" si="760"/>
        <v>1.238323154</v>
      </c>
    </row>
    <row r="759" ht="15.75" customHeight="1">
      <c r="A759" s="3">
        <v>44930.0</v>
      </c>
      <c r="B759" s="4">
        <v>0.025947</v>
      </c>
      <c r="C759" s="4">
        <v>0.025175</v>
      </c>
      <c r="D759" s="4">
        <v>0.018779</v>
      </c>
      <c r="E759" s="4">
        <v>-0.002452</v>
      </c>
      <c r="F759" s="4">
        <v>-4.77E-4</v>
      </c>
      <c r="G759" s="4">
        <v>0.010887</v>
      </c>
      <c r="H759" s="4">
        <v>0.004354</v>
      </c>
      <c r="I759" s="4">
        <v>0.01896</v>
      </c>
      <c r="J759" s="4">
        <v>0.011111</v>
      </c>
      <c r="K759" s="4">
        <v>0.026656</v>
      </c>
      <c r="L759" s="4">
        <v>0.022846</v>
      </c>
      <c r="M759" s="4">
        <v>0.025253</v>
      </c>
      <c r="N759" s="4">
        <v>0.024353</v>
      </c>
      <c r="O759" s="4">
        <v>0.00856</v>
      </c>
      <c r="P759" s="4">
        <v>0.038927</v>
      </c>
      <c r="Q759" s="4">
        <v>0.069316</v>
      </c>
      <c r="R759" s="4">
        <v>0.028481</v>
      </c>
      <c r="S759" s="4">
        <v>0.034015</v>
      </c>
      <c r="T759" s="4">
        <v>0.045323</v>
      </c>
      <c r="U759" s="4">
        <v>0.005466</v>
      </c>
      <c r="V759" s="4">
        <v>0.0337606830913077</v>
      </c>
      <c r="W759" s="4">
        <v>0.0365526721283142</v>
      </c>
      <c r="X759" s="4">
        <v>-0.0183374809848392</v>
      </c>
      <c r="Y759" s="4">
        <v>-8.231610460442E-4</v>
      </c>
      <c r="Z759" s="4">
        <v>0.0027617605547249</v>
      </c>
      <c r="AA759" s="4">
        <v>-0.0059741211782878</v>
      </c>
      <c r="AB759" s="4">
        <v>0.0081813646043449</v>
      </c>
      <c r="AC759" s="4">
        <v>-0.0037951434969504</v>
      </c>
      <c r="AD759" s="4">
        <v>0.0</v>
      </c>
      <c r="AE759" s="4">
        <v>0.0061886598273828</v>
      </c>
      <c r="AF759" s="4">
        <v>0.0074834549787101</v>
      </c>
      <c r="AG759" s="4">
        <v>0.0046805822661222</v>
      </c>
      <c r="AH759" s="4">
        <v>0.0121522649313898</v>
      </c>
      <c r="AI759" s="4">
        <v>-0.0052164780555878</v>
      </c>
      <c r="AJ759" s="4">
        <v>0.007539</v>
      </c>
      <c r="AK759" s="4">
        <f>Weights!E815</f>
        <v>0.01377469131</v>
      </c>
      <c r="AL759" s="5">
        <v>-0.00137293697745899</v>
      </c>
      <c r="AM759" s="5">
        <v>-0.00407973482960444</v>
      </c>
      <c r="AN759" s="5">
        <v>0.00473120212290645</v>
      </c>
      <c r="AO759" s="5">
        <v>0.00434568302108706</v>
      </c>
      <c r="AP759" s="6">
        <f t="shared" si="3"/>
        <v>1.55816588</v>
      </c>
      <c r="AQ759" s="4">
        <f t="shared" si="4"/>
        <v>1.192566896</v>
      </c>
      <c r="AR759" s="7">
        <f t="shared" si="5"/>
        <v>1.165062987</v>
      </c>
      <c r="AS759" s="7">
        <f t="shared" ref="AS759:AU759" si="761">AS758*(1+AM759)</f>
        <v>1.222835077</v>
      </c>
      <c r="AT759" s="5">
        <f t="shared" si="761"/>
        <v>1.263034533</v>
      </c>
      <c r="AU759" s="5">
        <f t="shared" si="761"/>
        <v>1.243704514</v>
      </c>
    </row>
    <row r="760" ht="15.75" customHeight="1">
      <c r="A760" s="3">
        <v>44931.0</v>
      </c>
      <c r="B760" s="4">
        <v>-0.009105</v>
      </c>
      <c r="C760" s="4">
        <v>0.013858</v>
      </c>
      <c r="D760" s="4">
        <v>-0.015291</v>
      </c>
      <c r="E760" s="4">
        <v>-0.010449</v>
      </c>
      <c r="F760" s="4">
        <v>-0.011443</v>
      </c>
      <c r="G760" s="4">
        <v>-0.007384</v>
      </c>
      <c r="H760" s="4">
        <v>-0.012415</v>
      </c>
      <c r="I760" s="4">
        <v>-0.004023</v>
      </c>
      <c r="J760" s="4">
        <v>-0.021734</v>
      </c>
      <c r="K760" s="4">
        <v>-0.023415</v>
      </c>
      <c r="L760" s="4">
        <v>-0.010542</v>
      </c>
      <c r="M760" s="4">
        <v>-0.015873</v>
      </c>
      <c r="N760" s="4">
        <v>-0.019356</v>
      </c>
      <c r="O760" s="4">
        <v>-0.027643</v>
      </c>
      <c r="P760" s="4">
        <v>-0.005824</v>
      </c>
      <c r="Q760" s="4">
        <v>-0.00605</v>
      </c>
      <c r="R760" s="4">
        <v>0.021538</v>
      </c>
      <c r="S760" s="4">
        <v>4.77E-4</v>
      </c>
      <c r="T760" s="4">
        <v>3.65E-4</v>
      </c>
      <c r="U760" s="4">
        <v>-0.028845</v>
      </c>
      <c r="V760" s="4">
        <v>-0.0115751138940256</v>
      </c>
      <c r="W760" s="4">
        <v>0.0358717487112638</v>
      </c>
      <c r="X760" s="4">
        <v>0.0</v>
      </c>
      <c r="Y760" s="4">
        <v>0.0158834005330623</v>
      </c>
      <c r="Z760" s="4">
        <v>0.0111090793275145</v>
      </c>
      <c r="AA760" s="4">
        <v>0.0153158502758705</v>
      </c>
      <c r="AB760" s="4">
        <v>0.0012484162432393</v>
      </c>
      <c r="AC760" s="4">
        <v>-0.009523721085719</v>
      </c>
      <c r="AD760" s="4">
        <v>0.0</v>
      </c>
      <c r="AE760" s="4">
        <v>0.0205498404089887</v>
      </c>
      <c r="AF760" s="4">
        <v>-0.0253094866969113</v>
      </c>
      <c r="AG760" s="4">
        <v>0.0099128424376573</v>
      </c>
      <c r="AH760" s="4">
        <v>-0.0120063604582395</v>
      </c>
      <c r="AI760" s="4">
        <v>0.0031464968935432</v>
      </c>
      <c r="AJ760" s="4">
        <v>-0.011646</v>
      </c>
      <c r="AK760" s="4">
        <f>Weights!E816</f>
        <v>-0.00386179754</v>
      </c>
      <c r="AL760" s="5">
        <v>0.00980738510413115</v>
      </c>
      <c r="AM760" s="5">
        <v>0.00887560810649135</v>
      </c>
      <c r="AN760" s="5">
        <v>0.00672729902675683</v>
      </c>
      <c r="AO760" s="5">
        <v>0.00738101340346819</v>
      </c>
      <c r="AP760" s="6">
        <f t="shared" si="3"/>
        <v>1.552148559</v>
      </c>
      <c r="AQ760" s="4">
        <f t="shared" si="4"/>
        <v>1.178678262</v>
      </c>
      <c r="AR760" s="7">
        <f t="shared" si="5"/>
        <v>1.176489209</v>
      </c>
      <c r="AS760" s="7">
        <f t="shared" ref="AS760:AU760" si="762">AS759*(1+AM760)</f>
        <v>1.233688482</v>
      </c>
      <c r="AT760" s="5">
        <f t="shared" si="762"/>
        <v>1.271531344</v>
      </c>
      <c r="AU760" s="5">
        <f t="shared" si="762"/>
        <v>1.252884313</v>
      </c>
    </row>
    <row r="761" ht="15.75" customHeight="1">
      <c r="A761" s="3">
        <v>44932.0</v>
      </c>
      <c r="B761" s="4">
        <v>0.026544</v>
      </c>
      <c r="C761" s="4">
        <v>0.011751</v>
      </c>
      <c r="D761" s="4">
        <v>0.011912</v>
      </c>
      <c r="E761" s="4">
        <v>0.022586</v>
      </c>
      <c r="F761" s="4">
        <v>0.019293</v>
      </c>
      <c r="G761" s="4">
        <v>0.00811</v>
      </c>
      <c r="H761" s="4">
        <v>0.023813</v>
      </c>
      <c r="I761" s="4">
        <v>0.022974</v>
      </c>
      <c r="J761" s="4">
        <v>0.024463</v>
      </c>
      <c r="K761" s="4">
        <v>0.009904</v>
      </c>
      <c r="L761" s="4">
        <v>0.022996</v>
      </c>
      <c r="M761" s="4">
        <v>0.020022</v>
      </c>
      <c r="N761" s="4">
        <v>0.017378</v>
      </c>
      <c r="O761" s="4">
        <v>0.018628</v>
      </c>
      <c r="P761" s="4">
        <v>0.028901</v>
      </c>
      <c r="Q761" s="4">
        <v>0.03913</v>
      </c>
      <c r="R761" s="4">
        <v>0.061245</v>
      </c>
      <c r="S761" s="4">
        <v>0.031689</v>
      </c>
      <c r="T761" s="4">
        <v>0.050201</v>
      </c>
      <c r="U761" s="4">
        <v>0.032657</v>
      </c>
      <c r="V761" s="4">
        <v>0.00501881314011321</v>
      </c>
      <c r="W761" s="4">
        <v>-0.0311078741282085</v>
      </c>
      <c r="X761" s="4">
        <v>0.0</v>
      </c>
      <c r="Y761" s="4">
        <v>-1.159840751167E-4</v>
      </c>
      <c r="Z761" s="4">
        <v>0.0063561991773337</v>
      </c>
      <c r="AA761" s="4">
        <v>0.0064923316946856</v>
      </c>
      <c r="AB761" s="4">
        <v>-0.0025325876484895</v>
      </c>
      <c r="AC761" s="4">
        <v>0.0</v>
      </c>
      <c r="AD761" s="4">
        <v>0.0</v>
      </c>
      <c r="AE761" s="4">
        <v>0.0098553848823328</v>
      </c>
      <c r="AF761" s="4">
        <v>-8.467878553084E-4</v>
      </c>
      <c r="AG761" s="4">
        <v>-0.0022575462310056</v>
      </c>
      <c r="AH761" s="4">
        <v>-0.0469889337210527</v>
      </c>
      <c r="AI761" s="4">
        <v>0.0088861817468028</v>
      </c>
      <c r="AJ761" s="4">
        <v>0.022841</v>
      </c>
      <c r="AK761" s="4">
        <f>Weights!E817</f>
        <v>0.01084970137</v>
      </c>
      <c r="AL761" s="5">
        <v>-0.0117091175548745</v>
      </c>
      <c r="AM761" s="5">
        <v>-0.0117127172658788</v>
      </c>
      <c r="AN761" s="5">
        <v>-0.00334113822126591</v>
      </c>
      <c r="AO761" s="5">
        <v>-0.00378984993848419</v>
      </c>
      <c r="AP761" s="6">
        <f t="shared" si="3"/>
        <v>1.568988907</v>
      </c>
      <c r="AQ761" s="4">
        <f t="shared" si="4"/>
        <v>1.205600452</v>
      </c>
      <c r="AR761" s="7">
        <f t="shared" si="5"/>
        <v>1.162713558</v>
      </c>
      <c r="AS761" s="7">
        <f t="shared" ref="AS761:AU761" si="763">AS760*(1+AM761)</f>
        <v>1.219238638</v>
      </c>
      <c r="AT761" s="5">
        <f t="shared" si="763"/>
        <v>1.267282982</v>
      </c>
      <c r="AU761" s="5">
        <f t="shared" si="763"/>
        <v>1.24813607</v>
      </c>
    </row>
    <row r="762" ht="15.75" customHeight="1">
      <c r="A762" s="3">
        <v>44935.0</v>
      </c>
      <c r="B762" s="4">
        <v>9.94E-4</v>
      </c>
      <c r="C762" s="4">
        <v>-0.019436</v>
      </c>
      <c r="D762" s="4">
        <v>0.002733</v>
      </c>
      <c r="E762" s="4">
        <v>-0.009774</v>
      </c>
      <c r="F762" s="4">
        <v>-0.012461</v>
      </c>
      <c r="G762" s="4">
        <v>-0.025908</v>
      </c>
      <c r="H762" s="4">
        <v>-0.012214</v>
      </c>
      <c r="I762" s="4">
        <v>0.011846</v>
      </c>
      <c r="J762" s="4">
        <v>0.002437</v>
      </c>
      <c r="K762" s="4">
        <v>3.11E-4</v>
      </c>
      <c r="L762" s="4">
        <v>0.012167</v>
      </c>
      <c r="M762" s="4">
        <v>0.002181</v>
      </c>
      <c r="N762" s="4">
        <v>-0.006537</v>
      </c>
      <c r="O762" s="4">
        <v>0.00383</v>
      </c>
      <c r="P762" s="4">
        <v>-0.00892</v>
      </c>
      <c r="Q762" s="4">
        <v>-0.006695</v>
      </c>
      <c r="R762" s="4">
        <v>0.013009</v>
      </c>
      <c r="S762" s="4">
        <v>-0.0097</v>
      </c>
      <c r="T762" s="4">
        <v>-0.019871</v>
      </c>
      <c r="U762" s="4">
        <v>-0.004668</v>
      </c>
      <c r="V762" s="4">
        <v>0.0399500035183011</v>
      </c>
      <c r="W762" s="4">
        <v>-0.001665917033602</v>
      </c>
      <c r="X762" s="4">
        <v>0.0</v>
      </c>
      <c r="Y762" s="4">
        <v>-0.0036485734396913</v>
      </c>
      <c r="Z762" s="4">
        <v>3.608173863891E-4</v>
      </c>
      <c r="AA762" s="4">
        <v>-0.0072091197622284</v>
      </c>
      <c r="AB762" s="4">
        <v>0.0133290741857627</v>
      </c>
      <c r="AC762" s="4">
        <v>0.0</v>
      </c>
      <c r="AD762" s="4">
        <v>0.0</v>
      </c>
      <c r="AE762" s="4">
        <v>-0.0186054849722741</v>
      </c>
      <c r="AF762" s="4">
        <v>-0.0059322626182525</v>
      </c>
      <c r="AG762" s="4">
        <v>0.0091489578416636</v>
      </c>
      <c r="AH762" s="4">
        <v>-0.0065174274926141</v>
      </c>
      <c r="AI762" s="4">
        <v>0.002590562656118</v>
      </c>
      <c r="AJ762" s="4">
        <v>-7.68E-4</v>
      </c>
      <c r="AK762" s="4">
        <f>Weights!E818</f>
        <v>-0.0003669289014</v>
      </c>
      <c r="AL762" s="5">
        <v>0.0236040243430031</v>
      </c>
      <c r="AM762" s="5">
        <v>0.0220701288443467</v>
      </c>
      <c r="AN762" s="5">
        <v>0.016091089111087</v>
      </c>
      <c r="AO762" s="5">
        <v>0.0159777373381473</v>
      </c>
      <c r="AP762" s="6">
        <f t="shared" si="3"/>
        <v>1.5684132</v>
      </c>
      <c r="AQ762" s="4">
        <f t="shared" si="4"/>
        <v>1.204674551</v>
      </c>
      <c r="AR762" s="7">
        <f t="shared" si="5"/>
        <v>1.190158277</v>
      </c>
      <c r="AS762" s="7">
        <f t="shared" ref="AS762:AU762" si="764">AS761*(1+AM762)</f>
        <v>1.246147392</v>
      </c>
      <c r="AT762" s="5">
        <f t="shared" si="764"/>
        <v>1.287674946</v>
      </c>
      <c r="AU762" s="5">
        <f t="shared" si="764"/>
        <v>1.26807846</v>
      </c>
    </row>
    <row r="763" ht="15.75" customHeight="1">
      <c r="A763" s="3">
        <v>44936.0</v>
      </c>
      <c r="B763" s="4">
        <v>-0.00149</v>
      </c>
      <c r="C763" s="4">
        <v>0.01402</v>
      </c>
      <c r="D763" s="4">
        <v>-0.011111</v>
      </c>
      <c r="E763" s="4">
        <v>-0.008253</v>
      </c>
      <c r="F763" s="4">
        <v>-0.007666</v>
      </c>
      <c r="G763" s="4">
        <v>-0.002392</v>
      </c>
      <c r="H763" s="4">
        <v>-9.87E-4</v>
      </c>
      <c r="I763" s="4">
        <v>-4.88E-4</v>
      </c>
      <c r="J763" s="4">
        <v>7.29E-4</v>
      </c>
      <c r="K763" s="4">
        <v>-0.003268</v>
      </c>
      <c r="L763" s="4">
        <v>0.008252</v>
      </c>
      <c r="M763" s="4">
        <v>0.00272</v>
      </c>
      <c r="N763" s="4">
        <v>-0.00467</v>
      </c>
      <c r="O763" s="4">
        <v>0.014259</v>
      </c>
      <c r="P763" s="4">
        <v>0.017809</v>
      </c>
      <c r="Q763" s="4">
        <v>0.012637</v>
      </c>
      <c r="R763" s="4">
        <v>0.043894</v>
      </c>
      <c r="S763" s="4">
        <v>0.013526</v>
      </c>
      <c r="T763" s="4">
        <v>0.071525</v>
      </c>
      <c r="U763" s="4">
        <v>-0.007489</v>
      </c>
      <c r="V763" s="4">
        <v>-0.0256101100089056</v>
      </c>
      <c r="W763" s="4">
        <v>0.0124393233119601</v>
      </c>
      <c r="X763" s="4">
        <v>-0.0374999493473917</v>
      </c>
      <c r="Y763" s="4">
        <v>0.0018019782642264</v>
      </c>
      <c r="Z763" s="4">
        <v>-0.0163253284260846</v>
      </c>
      <c r="AA763" s="4">
        <v>0.0059237216263698</v>
      </c>
      <c r="AB763" s="4">
        <v>-0.0147196770351722</v>
      </c>
      <c r="AC763" s="4">
        <v>-0.0232108946865171</v>
      </c>
      <c r="AD763" s="4">
        <v>-0.0187917832063331</v>
      </c>
      <c r="AE763" s="4">
        <v>-0.0205324318483925</v>
      </c>
      <c r="AF763" s="4">
        <v>0.0144928099513634</v>
      </c>
      <c r="AG763" s="4">
        <v>-0.0055565469683545</v>
      </c>
      <c r="AH763" s="4">
        <v>0.0265259366905517</v>
      </c>
      <c r="AI763" s="4">
        <v>-0.0031004265546052</v>
      </c>
      <c r="AJ763" s="4">
        <v>0.006978</v>
      </c>
      <c r="AK763" s="6">
        <f>Weights!E819</f>
        <v>-0.00004207923409</v>
      </c>
      <c r="AL763" s="5">
        <v>0.00116651802539502</v>
      </c>
      <c r="AM763" s="5">
        <v>4.12153097367529E-4</v>
      </c>
      <c r="AN763" s="5">
        <v>0.00164969275266702</v>
      </c>
      <c r="AO763" s="5">
        <v>0.00199698704490436</v>
      </c>
      <c r="AP763" s="6">
        <f t="shared" si="3"/>
        <v>1.568347202</v>
      </c>
      <c r="AQ763" s="4">
        <f t="shared" si="4"/>
        <v>1.21308077</v>
      </c>
      <c r="AR763" s="7">
        <f t="shared" si="5"/>
        <v>1.191546618</v>
      </c>
      <c r="AS763" s="7">
        <f t="shared" ref="AS763:AU763" si="765">AS762*(1+AM763)</f>
        <v>1.246660995</v>
      </c>
      <c r="AT763" s="5">
        <f t="shared" si="765"/>
        <v>1.289799214</v>
      </c>
      <c r="AU763" s="5">
        <f t="shared" si="765"/>
        <v>1.270610796</v>
      </c>
    </row>
    <row r="764" ht="15.75" customHeight="1">
      <c r="A764" s="3">
        <v>44937.0</v>
      </c>
      <c r="B764" s="4">
        <v>0.00796</v>
      </c>
      <c r="C764" s="4">
        <v>-0.018355</v>
      </c>
      <c r="D764" s="4">
        <v>0.011448</v>
      </c>
      <c r="E764" s="4">
        <v>0.001125</v>
      </c>
      <c r="F764" s="4">
        <v>-0.001931</v>
      </c>
      <c r="G764" s="4">
        <v>-0.001599</v>
      </c>
      <c r="H764" s="4">
        <v>-0.008098</v>
      </c>
      <c r="I764" s="4">
        <v>0.008053</v>
      </c>
      <c r="J764" s="4">
        <v>0.012388</v>
      </c>
      <c r="K764" s="4">
        <v>0.005308</v>
      </c>
      <c r="L764" s="4">
        <v>-3.03E-4</v>
      </c>
      <c r="M764" s="4">
        <v>0.01682</v>
      </c>
      <c r="N764" s="4">
        <v>0.016208</v>
      </c>
      <c r="O764" s="4">
        <v>0.008699</v>
      </c>
      <c r="P764" s="4">
        <v>-0.012982</v>
      </c>
      <c r="Q764" s="4">
        <v>0.020799</v>
      </c>
      <c r="R764" s="4">
        <v>0.013643</v>
      </c>
      <c r="S764" s="4">
        <v>-0.004602</v>
      </c>
      <c r="T764" s="4">
        <v>0.022096</v>
      </c>
      <c r="U764" s="4">
        <v>0.008003</v>
      </c>
      <c r="V764" s="4">
        <v>0.0418889515399156</v>
      </c>
      <c r="W764" s="4">
        <v>-0.0037459232590908</v>
      </c>
      <c r="X764" s="4">
        <v>0.0103896519437127</v>
      </c>
      <c r="Y764" s="4">
        <v>-0.0060921835693983</v>
      </c>
      <c r="Z764" s="4">
        <v>-0.0121034180805058</v>
      </c>
      <c r="AA764" s="4">
        <v>0.0062691334154976</v>
      </c>
      <c r="AB764" s="4">
        <v>-0.0076286903510435</v>
      </c>
      <c r="AC764" s="4">
        <v>0.0039604769932375</v>
      </c>
      <c r="AD764" s="4">
        <v>0.0027357355008781</v>
      </c>
      <c r="AE764" s="4">
        <v>-0.005477907791317</v>
      </c>
      <c r="AF764" s="4">
        <v>-0.0168067830533673</v>
      </c>
      <c r="AG764" s="4">
        <v>-0.008038332716155</v>
      </c>
      <c r="AH764" s="4">
        <v>-0.0238955171477214</v>
      </c>
      <c r="AI764" s="4">
        <v>0.002073415546246</v>
      </c>
      <c r="AJ764" s="4">
        <v>0.012849</v>
      </c>
      <c r="AK764" s="4">
        <f>Weights!E820</f>
        <v>0.00265947649</v>
      </c>
      <c r="AL764" s="5">
        <v>0.00546687076317509</v>
      </c>
      <c r="AM764" s="5">
        <v>0.00788176915844141</v>
      </c>
      <c r="AN764" s="5">
        <v>6.58763306519372E-4</v>
      </c>
      <c r="AO764" s="5">
        <v>0.00224204393706495</v>
      </c>
      <c r="AP764" s="6">
        <f t="shared" si="3"/>
        <v>1.572518184</v>
      </c>
      <c r="AQ764" s="4">
        <f t="shared" si="4"/>
        <v>1.228667645</v>
      </c>
      <c r="AR764" s="7">
        <f t="shared" si="5"/>
        <v>1.19806065</v>
      </c>
      <c r="AS764" s="7">
        <f t="shared" ref="AS764:AU764" si="766">AS763*(1+AM764)</f>
        <v>1.256486889</v>
      </c>
      <c r="AT764" s="5">
        <f t="shared" si="766"/>
        <v>1.290648886</v>
      </c>
      <c r="AU764" s="5">
        <f t="shared" si="766"/>
        <v>1.273459562</v>
      </c>
    </row>
    <row r="765" ht="15.75" customHeight="1">
      <c r="A765" s="3">
        <v>44938.0</v>
      </c>
      <c r="B765" s="4">
        <v>0.027147</v>
      </c>
      <c r="C765" s="4">
        <v>0.015299</v>
      </c>
      <c r="D765" s="4">
        <v>0.006078</v>
      </c>
      <c r="E765" s="4">
        <v>-0.012749</v>
      </c>
      <c r="F765" s="4">
        <v>-0.012901</v>
      </c>
      <c r="G765" s="4">
        <v>-0.005032</v>
      </c>
      <c r="H765" s="4">
        <v>-0.005642</v>
      </c>
      <c r="I765" s="4">
        <v>0.014766</v>
      </c>
      <c r="J765" s="4">
        <v>7.2E-4</v>
      </c>
      <c r="K765" s="4">
        <v>0.025004</v>
      </c>
      <c r="L765" s="4">
        <v>0.009501</v>
      </c>
      <c r="M765" s="4">
        <v>0.010672</v>
      </c>
      <c r="N765" s="4">
        <v>0.01532</v>
      </c>
      <c r="O765" s="4">
        <v>-0.002471</v>
      </c>
      <c r="P765" s="4">
        <v>0.017918</v>
      </c>
      <c r="Q765" s="4">
        <v>0.004075</v>
      </c>
      <c r="R765" s="4">
        <v>-0.004854</v>
      </c>
      <c r="S765" s="4">
        <v>0.018262</v>
      </c>
      <c r="T765" s="4">
        <v>0.007832</v>
      </c>
      <c r="U765" s="4">
        <v>-0.032212</v>
      </c>
      <c r="V765" s="4">
        <v>0.0299566961808634</v>
      </c>
      <c r="W765" s="4">
        <v>-0.0163934112996307</v>
      </c>
      <c r="X765" s="4">
        <v>-0.048843276834369</v>
      </c>
      <c r="Y765" s="4">
        <v>-0.0011550936639469</v>
      </c>
      <c r="Z765" s="4">
        <v>6.496478783291E-4</v>
      </c>
      <c r="AA765" s="4">
        <v>0.0030205151629298</v>
      </c>
      <c r="AB765" s="4">
        <v>-0.0112107949075284</v>
      </c>
      <c r="AC765" s="4">
        <v>-0.0019723849385681</v>
      </c>
      <c r="AD765" s="4">
        <v>-0.0177354078456517</v>
      </c>
      <c r="AE765" s="4">
        <v>0.0186543159392207</v>
      </c>
      <c r="AF765" s="4">
        <v>-0.041025596064758</v>
      </c>
      <c r="AG765" s="4">
        <v>0.0107716441495426</v>
      </c>
      <c r="AH765" s="4">
        <v>-0.0298889891065853</v>
      </c>
      <c r="AI765" s="4">
        <v>0.0056910417768742</v>
      </c>
      <c r="AJ765" s="4">
        <v>0.003416</v>
      </c>
      <c r="AK765" s="4">
        <f>Weights!E821</f>
        <v>0.0003755232938</v>
      </c>
      <c r="AL765" s="5">
        <v>0.0108744337110817</v>
      </c>
      <c r="AM765" s="5">
        <v>0.0131867292462068</v>
      </c>
      <c r="AN765" s="5">
        <v>0.00559580179652097</v>
      </c>
      <c r="AO765" s="5">
        <v>0.00621432858911763</v>
      </c>
      <c r="AP765" s="6">
        <f t="shared" si="3"/>
        <v>1.573108702</v>
      </c>
      <c r="AQ765" s="4">
        <f t="shared" si="4"/>
        <v>1.232864774</v>
      </c>
      <c r="AR765" s="7">
        <f t="shared" si="5"/>
        <v>1.211088881</v>
      </c>
      <c r="AS765" s="7">
        <f t="shared" ref="AS765:AU765" si="767">AS764*(1+AM765)</f>
        <v>1.273055842</v>
      </c>
      <c r="AT765" s="5">
        <f t="shared" si="767"/>
        <v>1.297871102</v>
      </c>
      <c r="AU765" s="5">
        <f t="shared" si="767"/>
        <v>1.281373258</v>
      </c>
    </row>
    <row r="766" ht="15.75" customHeight="1">
      <c r="A766" s="3">
        <v>44939.0</v>
      </c>
      <c r="B766" s="4">
        <v>0.010091</v>
      </c>
      <c r="C766" s="4">
        <v>0.001196</v>
      </c>
      <c r="D766" s="4">
        <v>0.006875</v>
      </c>
      <c r="E766" s="4">
        <v>-0.003072</v>
      </c>
      <c r="F766" s="4">
        <v>0.003594</v>
      </c>
      <c r="G766" s="4">
        <v>-0.003276</v>
      </c>
      <c r="H766" s="4">
        <v>0.007142</v>
      </c>
      <c r="I766" s="4">
        <v>-0.003817</v>
      </c>
      <c r="J766" s="4">
        <v>0.002637</v>
      </c>
      <c r="K766" s="4">
        <v>0.005303</v>
      </c>
      <c r="L766" s="4">
        <v>0.003905</v>
      </c>
      <c r="M766" s="4">
        <v>5.28E-4</v>
      </c>
      <c r="N766" s="4">
        <v>-0.001033</v>
      </c>
      <c r="O766" s="4">
        <v>0.019159</v>
      </c>
      <c r="P766" s="4">
        <v>0.01779</v>
      </c>
      <c r="Q766" s="4">
        <v>0.030032</v>
      </c>
      <c r="R766" s="4">
        <v>-0.001109</v>
      </c>
      <c r="S766" s="4">
        <v>0.010897</v>
      </c>
      <c r="T766" s="4">
        <v>0.011881</v>
      </c>
      <c r="U766" s="4">
        <v>0.020314</v>
      </c>
      <c r="V766" s="4">
        <v>0.00535781848745209</v>
      </c>
      <c r="W766" s="4">
        <v>0.0090214344428931</v>
      </c>
      <c r="X766" s="4">
        <v>0.01351356827309</v>
      </c>
      <c r="Y766" s="4">
        <v>0.0046370765042993</v>
      </c>
      <c r="Z766" s="4">
        <v>0.0114090630037695</v>
      </c>
      <c r="AA766" s="4">
        <v>-0.0062113148656496</v>
      </c>
      <c r="AB766" s="4">
        <v>-0.0213799750511488</v>
      </c>
      <c r="AC766" s="4">
        <v>0.0</v>
      </c>
      <c r="AD766" s="4">
        <v>0.0152780995001826</v>
      </c>
      <c r="AE766" s="4">
        <v>2.165510813847E-4</v>
      </c>
      <c r="AF766" s="4">
        <v>-0.0011883003676786</v>
      </c>
      <c r="AG766" s="4">
        <v>0.0024443499501249</v>
      </c>
      <c r="AH766" s="4">
        <v>0.0243544439180456</v>
      </c>
      <c r="AI766" s="4">
        <v>-0.0025724432518264</v>
      </c>
      <c r="AJ766" s="4">
        <v>0.003997</v>
      </c>
      <c r="AK766" s="4">
        <f>Weights!E822</f>
        <v>0.004613952545</v>
      </c>
      <c r="AL766" s="5">
        <v>0.00775937707543161</v>
      </c>
      <c r="AM766" s="5">
        <v>0.00484304711628436</v>
      </c>
      <c r="AN766" s="5">
        <v>0.00851059406501653</v>
      </c>
      <c r="AO766" s="5">
        <v>0.0086463087288926</v>
      </c>
      <c r="AP766" s="6">
        <f t="shared" si="3"/>
        <v>1.580366951</v>
      </c>
      <c r="AQ766" s="4">
        <f t="shared" si="4"/>
        <v>1.237792534</v>
      </c>
      <c r="AR766" s="7">
        <f t="shared" si="5"/>
        <v>1.220486176</v>
      </c>
      <c r="AS766" s="7">
        <f t="shared" ref="AS766:AU766" si="768">AS765*(1+AM766)</f>
        <v>1.279221311</v>
      </c>
      <c r="AT766" s="5">
        <f t="shared" si="768"/>
        <v>1.308916756</v>
      </c>
      <c r="AU766" s="5">
        <f t="shared" si="768"/>
        <v>1.292452407</v>
      </c>
    </row>
    <row r="767" ht="15.75" customHeight="1">
      <c r="A767" s="3">
        <v>44943.0</v>
      </c>
      <c r="B767" s="4">
        <v>0.014748</v>
      </c>
      <c r="C767" s="4">
        <v>-0.024128</v>
      </c>
      <c r="D767" s="4">
        <v>0.009518</v>
      </c>
      <c r="E767" s="4">
        <v>0.004679</v>
      </c>
      <c r="F767" s="4">
        <v>0.00407</v>
      </c>
      <c r="G767" s="4">
        <v>-0.00617</v>
      </c>
      <c r="H767" s="4">
        <v>-0.002916</v>
      </c>
      <c r="I767" s="4">
        <v>-0.001916</v>
      </c>
      <c r="J767" s="4">
        <v>0.006935</v>
      </c>
      <c r="K767" s="4">
        <v>0.012509</v>
      </c>
      <c r="L767" s="4">
        <v>0.007978</v>
      </c>
      <c r="M767" s="4">
        <v>0.003694</v>
      </c>
      <c r="N767" s="4">
        <v>0.004345</v>
      </c>
      <c r="O767" s="4">
        <v>0.033379</v>
      </c>
      <c r="P767" s="4">
        <v>-0.034591</v>
      </c>
      <c r="Q767" s="4">
        <v>-0.042553</v>
      </c>
      <c r="R767" s="4">
        <v>-0.019978</v>
      </c>
      <c r="S767" s="4">
        <v>-0.01033</v>
      </c>
      <c r="T767" s="4">
        <v>-0.015423</v>
      </c>
      <c r="U767" s="4">
        <v>0.008117</v>
      </c>
      <c r="V767" s="4">
        <v>0.0201751221024475</v>
      </c>
      <c r="W767" s="4">
        <v>-0.0331868898042309</v>
      </c>
      <c r="X767" s="4">
        <v>0.0</v>
      </c>
      <c r="Y767" s="4">
        <v>-0.0065437215836197</v>
      </c>
      <c r="Z767" s="4">
        <v>-0.0116471762577945</v>
      </c>
      <c r="AA767" s="4">
        <v>0.0106062166708982</v>
      </c>
      <c r="AB767" s="4">
        <v>0.0079444824113248</v>
      </c>
      <c r="AC767" s="4">
        <v>0.0</v>
      </c>
      <c r="AD767" s="4">
        <v>0.0</v>
      </c>
      <c r="AE767" s="4">
        <v>-0.0049738990559636</v>
      </c>
      <c r="AF767" s="4">
        <v>0.0130874363226538</v>
      </c>
      <c r="AG767" s="4">
        <v>-0.0085828690624375</v>
      </c>
      <c r="AH767" s="4">
        <v>0.0217702596891269</v>
      </c>
      <c r="AI767" s="4">
        <v>-0.0015469072266719</v>
      </c>
      <c r="AJ767" s="4">
        <v>-0.00203</v>
      </c>
      <c r="AK767" s="4">
        <f>Weights!E823</f>
        <v>0.0002200222873</v>
      </c>
      <c r="AL767" s="5">
        <v>0.00446238355929096</v>
      </c>
      <c r="AM767" s="5">
        <v>0.00426720151057202</v>
      </c>
      <c r="AN767" s="5">
        <v>0.00876347889923878</v>
      </c>
      <c r="AO767" s="5">
        <v>0.00759227774030546</v>
      </c>
      <c r="AP767" s="6">
        <f t="shared" si="3"/>
        <v>1.580714666</v>
      </c>
      <c r="AQ767" s="4">
        <f t="shared" si="4"/>
        <v>1.235279815</v>
      </c>
      <c r="AR767" s="7">
        <f t="shared" si="5"/>
        <v>1.225932454</v>
      </c>
      <c r="AS767" s="7">
        <f t="shared" ref="AS767:AU767" si="769">AS766*(1+AM767)</f>
        <v>1.284680006</v>
      </c>
      <c r="AT767" s="5">
        <f t="shared" si="769"/>
        <v>1.32038742</v>
      </c>
      <c r="AU767" s="5">
        <f t="shared" si="769"/>
        <v>1.302265064</v>
      </c>
    </row>
    <row r="768" ht="15.75" customHeight="1">
      <c r="A768" s="3">
        <v>44944.0</v>
      </c>
      <c r="B768" s="4">
        <v>-0.014533</v>
      </c>
      <c r="C768" s="4">
        <v>-0.021542</v>
      </c>
      <c r="D768" s="4">
        <v>-0.012913</v>
      </c>
      <c r="E768" s="4">
        <v>-0.025219</v>
      </c>
      <c r="F768" s="4">
        <v>-0.030318</v>
      </c>
      <c r="G768" s="4">
        <v>-0.015085</v>
      </c>
      <c r="H768" s="4">
        <v>-0.026788</v>
      </c>
      <c r="I768" s="4">
        <v>-0.011756</v>
      </c>
      <c r="J768" s="4">
        <v>-0.017573</v>
      </c>
      <c r="K768" s="4">
        <v>-0.018309</v>
      </c>
      <c r="L768" s="4">
        <v>-0.013951</v>
      </c>
      <c r="M768" s="4">
        <v>-0.01735</v>
      </c>
      <c r="N768" s="4">
        <v>-0.013185</v>
      </c>
      <c r="O768" s="4">
        <v>0.002618</v>
      </c>
      <c r="P768" s="4">
        <v>-0.017915</v>
      </c>
      <c r="Q768" s="4">
        <v>-0.007407</v>
      </c>
      <c r="R768" s="4">
        <v>-0.00521</v>
      </c>
      <c r="S768" s="4">
        <v>-0.001588</v>
      </c>
      <c r="T768" s="4">
        <v>-0.01792</v>
      </c>
      <c r="U768" s="4">
        <v>-0.02613</v>
      </c>
      <c r="V768" s="4">
        <v>-0.00298507027223771</v>
      </c>
      <c r="W768" s="4">
        <v>-0.0109717467392719</v>
      </c>
      <c r="X768" s="4">
        <v>-0.0296098067145798</v>
      </c>
      <c r="Y768" s="4">
        <v>0.0175253290002439</v>
      </c>
      <c r="Z768" s="4">
        <v>0.0033404246196644</v>
      </c>
      <c r="AA768" s="4">
        <v>0.0039354458109117</v>
      </c>
      <c r="AB768" s="4">
        <v>3.283388734311E-4</v>
      </c>
      <c r="AC768" s="4">
        <v>-0.0179999862647949</v>
      </c>
      <c r="AD768" s="4">
        <v>-0.0122617830358952</v>
      </c>
      <c r="AE768" s="4">
        <v>0.0032599552867818</v>
      </c>
      <c r="AF768" s="4">
        <v>-0.0258367360080173</v>
      </c>
      <c r="AG768" s="4">
        <v>0.0210526006014235</v>
      </c>
      <c r="AH768" s="4">
        <v>0.012335337778377</v>
      </c>
      <c r="AI768" s="4">
        <v>-0.0025828574466482</v>
      </c>
      <c r="AJ768" s="4">
        <v>-0.015563</v>
      </c>
      <c r="AK768" s="4">
        <f>Weights!E824</f>
        <v>-0.008599139623</v>
      </c>
      <c r="AL768" s="7">
        <v>-8.71453590769455E-5</v>
      </c>
      <c r="AM768" s="5">
        <v>-0.00134973792529513</v>
      </c>
      <c r="AN768" s="5">
        <v>0.00160868993154172</v>
      </c>
      <c r="AO768" s="5">
        <v>0.00194486049629372</v>
      </c>
      <c r="AP768" s="6">
        <f t="shared" si="3"/>
        <v>1.56712188</v>
      </c>
      <c r="AQ768" s="4">
        <f t="shared" si="4"/>
        <v>1.216055156</v>
      </c>
      <c r="AR768" s="7">
        <f t="shared" si="5"/>
        <v>1.225825619</v>
      </c>
      <c r="AS768" s="7">
        <f t="shared" ref="AS768:AU768" si="770">AS767*(1+AM768)</f>
        <v>1.282946025</v>
      </c>
      <c r="AT768" s="5">
        <f t="shared" si="770"/>
        <v>1.322511514</v>
      </c>
      <c r="AU768" s="5">
        <f t="shared" si="770"/>
        <v>1.304797788</v>
      </c>
    </row>
    <row r="769" ht="15.75" customHeight="1">
      <c r="A769" s="3">
        <v>44945.0</v>
      </c>
      <c r="B769" s="4">
        <v>-0.002379</v>
      </c>
      <c r="C769" s="4">
        <v>0.002252</v>
      </c>
      <c r="D769" s="4">
        <v>-8.31E-4</v>
      </c>
      <c r="E769" s="4">
        <v>-0.011595</v>
      </c>
      <c r="F769" s="4">
        <v>-0.001505</v>
      </c>
      <c r="G769" s="4">
        <v>-0.001355</v>
      </c>
      <c r="H769" s="4">
        <v>-0.021014</v>
      </c>
      <c r="I769" s="4">
        <v>0.004613</v>
      </c>
      <c r="J769" s="4">
        <v>0.002901</v>
      </c>
      <c r="K769" s="4">
        <v>-0.003033</v>
      </c>
      <c r="L769" s="4">
        <v>0.002107</v>
      </c>
      <c r="M769" s="4">
        <v>-0.001605</v>
      </c>
      <c r="N769" s="4">
        <v>0.00167</v>
      </c>
      <c r="O769" s="4">
        <v>0.014736</v>
      </c>
      <c r="P769" s="4">
        <v>0.018242</v>
      </c>
      <c r="Q769" s="4">
        <v>0.014096</v>
      </c>
      <c r="R769" s="4">
        <v>0.005009</v>
      </c>
      <c r="S769" s="4">
        <v>0.021818</v>
      </c>
      <c r="T769" s="4">
        <v>-0.010174</v>
      </c>
      <c r="U769" s="4">
        <v>-0.006708</v>
      </c>
      <c r="V769" s="4">
        <v>-0.0247005626612685</v>
      </c>
      <c r="W769" s="4">
        <v>0.0158478130454744</v>
      </c>
      <c r="X769" s="4">
        <v>0.0402219643646186</v>
      </c>
      <c r="Y769" s="4">
        <v>-0.0026585478399957</v>
      </c>
      <c r="Z769" s="4">
        <v>0.0012024037750748</v>
      </c>
      <c r="AA769" s="4">
        <v>0.010640202926704</v>
      </c>
      <c r="AB769" s="4">
        <v>6.565314664817E-4</v>
      </c>
      <c r="AC769" s="4">
        <v>0.009165005498088</v>
      </c>
      <c r="AD769" s="4">
        <v>0.0096551495158432</v>
      </c>
      <c r="AE769" s="4">
        <v>0.0130695505321853</v>
      </c>
      <c r="AF769" s="4">
        <v>0.0195900182674895</v>
      </c>
      <c r="AG769" s="4">
        <v>-0.0250504502857128</v>
      </c>
      <c r="AH769" s="4">
        <v>-0.0304625122279478</v>
      </c>
      <c r="AI769" s="4">
        <v>0.0046610309042469</v>
      </c>
      <c r="AJ769" s="4">
        <v>-0.007638</v>
      </c>
      <c r="AK769" s="4">
        <f>Weights!E825</f>
        <v>0.0008416217956</v>
      </c>
      <c r="AL769" s="5">
        <v>-0.0114992450864689</v>
      </c>
      <c r="AM769" s="5">
        <v>-0.015768146519536</v>
      </c>
      <c r="AN769" s="5">
        <v>0.00353357843937329</v>
      </c>
      <c r="AO769" s="5">
        <v>0.00315364479821411</v>
      </c>
      <c r="AP769" s="6">
        <f t="shared" si="3"/>
        <v>1.568440804</v>
      </c>
      <c r="AQ769" s="4">
        <f t="shared" si="4"/>
        <v>1.206766926</v>
      </c>
      <c r="AR769" s="7">
        <f t="shared" si="5"/>
        <v>1.21172955</v>
      </c>
      <c r="AS769" s="7">
        <f t="shared" ref="AS769:AU769" si="771">AS768*(1+AM769)</f>
        <v>1.262716344</v>
      </c>
      <c r="AT769" s="5">
        <f t="shared" si="771"/>
        <v>1.327184712</v>
      </c>
      <c r="AU769" s="5">
        <f t="shared" si="771"/>
        <v>1.308912657</v>
      </c>
    </row>
    <row r="770" ht="15.75" customHeight="1">
      <c r="A770" s="3">
        <v>44946.0</v>
      </c>
      <c r="B770" s="4">
        <v>0.013829</v>
      </c>
      <c r="C770" s="4">
        <v>-0.001498</v>
      </c>
      <c r="D770" s="4">
        <v>0.01621</v>
      </c>
      <c r="E770" s="4">
        <v>0.001474</v>
      </c>
      <c r="F770" s="4">
        <v>0.006028</v>
      </c>
      <c r="G770" s="4">
        <v>-0.00466</v>
      </c>
      <c r="H770" s="4">
        <v>0.003862</v>
      </c>
      <c r="I770" s="4">
        <v>0.0116</v>
      </c>
      <c r="J770" s="4">
        <v>0.006508</v>
      </c>
      <c r="K770" s="4">
        <v>0.013688</v>
      </c>
      <c r="L770" s="4">
        <v>0.008111</v>
      </c>
      <c r="M770" s="4">
        <v>0.021436</v>
      </c>
      <c r="N770" s="4">
        <v>0.021467</v>
      </c>
      <c r="O770" s="4">
        <v>0.023681</v>
      </c>
      <c r="P770" s="4">
        <v>0.016581</v>
      </c>
      <c r="Q770" s="4">
        <v>0.006541</v>
      </c>
      <c r="R770" s="4">
        <v>0.028772</v>
      </c>
      <c r="S770" s="4">
        <v>0.005783</v>
      </c>
      <c r="T770" s="4">
        <v>0.017706</v>
      </c>
      <c r="U770" s="4">
        <v>0.009972</v>
      </c>
      <c r="V770" s="4">
        <v>-0.0387567040106906</v>
      </c>
      <c r="W770" s="4">
        <v>-0.0226208495371654</v>
      </c>
      <c r="X770" s="4">
        <v>-0.0093332625907789</v>
      </c>
      <c r="Y770" s="4">
        <v>-0.0117641596021929</v>
      </c>
      <c r="Z770" s="4">
        <v>-0.0188436813046735</v>
      </c>
      <c r="AA770" s="4">
        <v>-0.0120057607317994</v>
      </c>
      <c r="AB770" s="4">
        <v>-0.0052492210231586</v>
      </c>
      <c r="AC770" s="4">
        <v>0.0232089038332927</v>
      </c>
      <c r="AD770" s="4">
        <v>0.0040985859185656</v>
      </c>
      <c r="AE770" s="4">
        <v>-0.0073413832345243</v>
      </c>
      <c r="AF770" s="4">
        <v>2.956364066379E-4</v>
      </c>
      <c r="AG770" s="4">
        <v>-0.0050401470040822</v>
      </c>
      <c r="AH770" s="4">
        <v>5.71292059837E-4</v>
      </c>
      <c r="AI770" s="4">
        <v>0.0</v>
      </c>
      <c r="AJ770" s="4">
        <v>0.018918</v>
      </c>
      <c r="AK770" s="4">
        <f>Weights!E826</f>
        <v>0.002355202392</v>
      </c>
      <c r="AL770" s="5">
        <v>-0.00634523091921646</v>
      </c>
      <c r="AM770" s="5">
        <v>-0.00813754506125585</v>
      </c>
      <c r="AN770" s="5">
        <v>-0.0041612772337829</v>
      </c>
      <c r="AO770" s="5">
        <v>-0.00362752572203783</v>
      </c>
      <c r="AP770" s="6">
        <f t="shared" si="3"/>
        <v>1.5721348</v>
      </c>
      <c r="AQ770" s="4">
        <f t="shared" si="4"/>
        <v>1.229596543</v>
      </c>
      <c r="AR770" s="7">
        <f t="shared" si="5"/>
        <v>1.204040846</v>
      </c>
      <c r="AS770" s="7">
        <f t="shared" ref="AS770:AU770" si="772">AS769*(1+AM770)</f>
        <v>1.252440933</v>
      </c>
      <c r="AT770" s="5">
        <f t="shared" si="772"/>
        <v>1.321661929</v>
      </c>
      <c r="AU770" s="5">
        <f t="shared" si="772"/>
        <v>1.304164543</v>
      </c>
    </row>
    <row r="771" ht="15.75" customHeight="1">
      <c r="A771" s="3">
        <v>44949.0</v>
      </c>
      <c r="B771" s="4">
        <v>9.41E-4</v>
      </c>
      <c r="C771" s="4">
        <v>-0.00925</v>
      </c>
      <c r="D771" s="4">
        <v>-0.011043</v>
      </c>
      <c r="E771" s="4">
        <v>-0.004474</v>
      </c>
      <c r="F771" s="4">
        <v>0.002497</v>
      </c>
      <c r="G771" s="4">
        <v>-0.002548</v>
      </c>
      <c r="H771" s="4">
        <v>-0.013429</v>
      </c>
      <c r="I771" s="4">
        <v>4.78E-4</v>
      </c>
      <c r="J771" s="4">
        <v>-0.005508</v>
      </c>
      <c r="K771" s="4">
        <v>0.005851</v>
      </c>
      <c r="L771" s="4">
        <v>6.95E-4</v>
      </c>
      <c r="M771" s="4">
        <v>0.003148</v>
      </c>
      <c r="N771" s="4">
        <v>-4.08E-4</v>
      </c>
      <c r="O771" s="4">
        <v>0.007668</v>
      </c>
      <c r="P771" s="4">
        <v>0.005437</v>
      </c>
      <c r="Q771" s="4">
        <v>-0.007311</v>
      </c>
      <c r="R771" s="4">
        <v>-0.01013</v>
      </c>
      <c r="S771" s="4">
        <v>0.003759</v>
      </c>
      <c r="T771" s="4">
        <v>0.002476</v>
      </c>
      <c r="U771" s="4">
        <v>0.004354</v>
      </c>
      <c r="V771" s="4">
        <v>0.0199601472064026</v>
      </c>
      <c r="W771" s="4">
        <v>-0.0057462635754853</v>
      </c>
      <c r="X771" s="4">
        <v>-0.0121131027468736</v>
      </c>
      <c r="Y771" s="4">
        <v>-0.0134873029811337</v>
      </c>
      <c r="Z771" s="4">
        <v>-0.0175107085753708</v>
      </c>
      <c r="AA771" s="4">
        <v>-0.0046736487239902</v>
      </c>
      <c r="AB771" s="4">
        <v>-0.0105541894003878</v>
      </c>
      <c r="AC771" s="4">
        <v>-0.0177514644471115</v>
      </c>
      <c r="AD771" s="4">
        <v>-0.0122447494848262</v>
      </c>
      <c r="AE771" s="4">
        <v>-0.011057596428442</v>
      </c>
      <c r="AF771" s="4">
        <v>0.0017730054969233</v>
      </c>
      <c r="AG771" s="4">
        <v>-0.030591906204596</v>
      </c>
      <c r="AH771" s="4">
        <v>-0.0151298809533775</v>
      </c>
      <c r="AI771" s="4">
        <v>0.0036081996204277</v>
      </c>
      <c r="AJ771" s="4">
        <v>0.011881</v>
      </c>
      <c r="AK771" s="4">
        <f>Weights!E827</f>
        <v>-0.00488443321</v>
      </c>
      <c r="AL771" s="5">
        <v>0.016053104760477</v>
      </c>
      <c r="AM771" s="5">
        <v>0.0191773365055611</v>
      </c>
      <c r="AN771" s="5">
        <v>-9.64322694524288E-4</v>
      </c>
      <c r="AO771" s="5">
        <v>-0.00194182971679102</v>
      </c>
      <c r="AP771" s="6">
        <f t="shared" si="3"/>
        <v>1.564455812</v>
      </c>
      <c r="AQ771" s="4">
        <f t="shared" si="4"/>
        <v>1.24420538</v>
      </c>
      <c r="AR771" s="7">
        <f t="shared" si="5"/>
        <v>1.22336944</v>
      </c>
      <c r="AS771" s="7">
        <f t="shared" ref="AS771:AU771" si="773">AS770*(1+AM771)</f>
        <v>1.276459414</v>
      </c>
      <c r="AT771" s="5">
        <f t="shared" si="773"/>
        <v>1.32038742</v>
      </c>
      <c r="AU771" s="5">
        <f t="shared" si="773"/>
        <v>1.301632077</v>
      </c>
    </row>
    <row r="772" ht="15.75" customHeight="1">
      <c r="A772" s="3">
        <v>44950.0</v>
      </c>
      <c r="B772" s="4">
        <v>0.00188</v>
      </c>
      <c r="C772" s="4">
        <v>0.019934</v>
      </c>
      <c r="D772" s="4">
        <v>0.028329</v>
      </c>
      <c r="E772" s="4">
        <v>0.009283</v>
      </c>
      <c r="F772" s="4">
        <v>0.005313</v>
      </c>
      <c r="G772" s="4">
        <v>0.0</v>
      </c>
      <c r="H772" s="4">
        <v>0.005459</v>
      </c>
      <c r="I772" s="4">
        <v>-0.008357</v>
      </c>
      <c r="J772" s="4">
        <v>0.002649</v>
      </c>
      <c r="K772" s="4">
        <v>0.002387</v>
      </c>
      <c r="L772" s="4">
        <v>0.002382</v>
      </c>
      <c r="M772" s="4">
        <v>0.006276</v>
      </c>
      <c r="N772" s="4">
        <v>0.001225</v>
      </c>
      <c r="O772" s="4">
        <v>-0.012303</v>
      </c>
      <c r="P772" s="4">
        <v>-0.004475</v>
      </c>
      <c r="Q772" s="4">
        <v>-0.003273</v>
      </c>
      <c r="R772" s="4">
        <v>-0.008009</v>
      </c>
      <c r="S772" s="4">
        <v>0.00727</v>
      </c>
      <c r="T772" s="4">
        <v>0.00117</v>
      </c>
      <c r="U772" s="4">
        <v>0.003948</v>
      </c>
      <c r="V772" s="4">
        <v>0.0262230984146099</v>
      </c>
      <c r="W772" s="4">
        <v>-0.0046556001930675</v>
      </c>
      <c r="X772" s="4">
        <v>0.0</v>
      </c>
      <c r="Y772" s="4">
        <v>-0.0105213412428457</v>
      </c>
      <c r="Z772" s="4">
        <v>-0.0111154669713737</v>
      </c>
      <c r="AA772" s="4">
        <v>-0.013148240187241</v>
      </c>
      <c r="AB772" s="4">
        <v>0.004000011814381</v>
      </c>
      <c r="AC772" s="4">
        <v>0.0</v>
      </c>
      <c r="AD772" s="4">
        <v>0.0</v>
      </c>
      <c r="AE772" s="4">
        <v>-0.0092210184447246</v>
      </c>
      <c r="AF772" s="4">
        <v>-0.0297935142561653</v>
      </c>
      <c r="AG772" s="4">
        <v>-0.0220288729765268</v>
      </c>
      <c r="AH772" s="4">
        <v>0.009275380987701</v>
      </c>
      <c r="AI772" s="4">
        <v>-0.0051361004295555</v>
      </c>
      <c r="AJ772" s="4">
        <v>-7.11E-4</v>
      </c>
      <c r="AK772" s="4">
        <f>Weights!E828</f>
        <v>-0.0008023525275</v>
      </c>
      <c r="AL772" s="5">
        <v>0.00995111769087064</v>
      </c>
      <c r="AM772" s="5">
        <v>0.0126788427571751</v>
      </c>
      <c r="AN772" s="5">
        <v>0.00772196216401366</v>
      </c>
      <c r="AO772" s="5">
        <v>0.00778203396018639</v>
      </c>
      <c r="AP772" s="6">
        <f t="shared" si="3"/>
        <v>1.563200567</v>
      </c>
      <c r="AQ772" s="4">
        <f t="shared" si="4"/>
        <v>1.24332075</v>
      </c>
      <c r="AR772" s="7">
        <f t="shared" si="5"/>
        <v>1.235543333</v>
      </c>
      <c r="AS772" s="7">
        <f t="shared" ref="AS772:AU772" si="774">AS771*(1+AM772)</f>
        <v>1.292643442</v>
      </c>
      <c r="AT772" s="5">
        <f t="shared" si="774"/>
        <v>1.330583402</v>
      </c>
      <c r="AU772" s="5">
        <f t="shared" si="774"/>
        <v>1.311761422</v>
      </c>
    </row>
    <row r="773" ht="15.75" customHeight="1">
      <c r="A773" s="3">
        <v>44951.0</v>
      </c>
      <c r="B773" s="4">
        <v>-0.001876</v>
      </c>
      <c r="C773" s="4">
        <v>-0.002227</v>
      </c>
      <c r="D773" s="4">
        <v>-0.010255</v>
      </c>
      <c r="E773" s="4">
        <v>0.007265</v>
      </c>
      <c r="F773" s="4">
        <v>0.006276</v>
      </c>
      <c r="G773" s="4">
        <v>0.00713</v>
      </c>
      <c r="H773" s="4">
        <v>-7.05E-4</v>
      </c>
      <c r="I773" s="4">
        <v>-0.025524</v>
      </c>
      <c r="J773" s="4">
        <v>-0.004563</v>
      </c>
      <c r="K773" s="4">
        <v>0.001786</v>
      </c>
      <c r="L773" s="4">
        <v>-0.002698</v>
      </c>
      <c r="M773" s="4">
        <v>0.010915</v>
      </c>
      <c r="N773" s="4">
        <v>-6.12E-4</v>
      </c>
      <c r="O773" s="4">
        <v>-0.01053</v>
      </c>
      <c r="P773" s="4">
        <v>0.031841</v>
      </c>
      <c r="Q773" s="4">
        <v>0.017241</v>
      </c>
      <c r="R773" s="4">
        <v>0.045974</v>
      </c>
      <c r="S773" s="4">
        <v>0.016185</v>
      </c>
      <c r="T773" s="4">
        <v>0.01714</v>
      </c>
      <c r="U773" s="4">
        <v>0.015576</v>
      </c>
      <c r="V773" s="4">
        <v>0.00343244224528249</v>
      </c>
      <c r="W773" s="4">
        <v>0.004193474355252</v>
      </c>
      <c r="X773" s="4">
        <v>-0.006802858356078</v>
      </c>
      <c r="Y773" s="4">
        <v>-0.0170610711482619</v>
      </c>
      <c r="Z773" s="4">
        <v>-0.0153101492956667</v>
      </c>
      <c r="AA773" s="4">
        <v>-0.0163683223691536</v>
      </c>
      <c r="AB773" s="4">
        <v>0.0036519290896206</v>
      </c>
      <c r="AC773" s="4">
        <v>-0.0020060164335341</v>
      </c>
      <c r="AD773" s="4">
        <v>-0.008322052069746</v>
      </c>
      <c r="AE773" s="4">
        <v>-0.021837981338375</v>
      </c>
      <c r="AF773" s="4">
        <v>0.0191548020632086</v>
      </c>
      <c r="AG773" s="4">
        <v>-0.0041905334651131</v>
      </c>
      <c r="AH773" s="4">
        <v>0.0284319281769873</v>
      </c>
      <c r="AI773" s="4">
        <v>-0.0020652840578279</v>
      </c>
      <c r="AJ773" s="4">
        <v>-1.82E-4</v>
      </c>
      <c r="AK773" s="4">
        <f>Weights!E829</f>
        <v>0.00142328554</v>
      </c>
      <c r="AL773" s="5">
        <v>-9.5066536013777E-4</v>
      </c>
      <c r="AM773" s="5">
        <v>-0.00163951669933093</v>
      </c>
      <c r="AN773" s="5">
        <v>0.00574701102245267</v>
      </c>
      <c r="AO773" s="5">
        <v>0.00651542511900427</v>
      </c>
      <c r="AP773" s="6">
        <f t="shared" si="3"/>
        <v>1.565425448</v>
      </c>
      <c r="AQ773" s="4">
        <f t="shared" si="4"/>
        <v>1.243094465</v>
      </c>
      <c r="AR773" s="7">
        <f t="shared" si="5"/>
        <v>1.234368745</v>
      </c>
      <c r="AS773" s="7">
        <f t="shared" ref="AS773:AU773" si="775">AS772*(1+AM773)</f>
        <v>1.290524132</v>
      </c>
      <c r="AT773" s="5">
        <f t="shared" si="775"/>
        <v>1.338230279</v>
      </c>
      <c r="AU773" s="5">
        <f t="shared" si="775"/>
        <v>1.320308105</v>
      </c>
    </row>
    <row r="774" ht="15.75" customHeight="1">
      <c r="A774" s="3">
        <v>44952.0</v>
      </c>
      <c r="B774" s="4">
        <v>0.006579</v>
      </c>
      <c r="C774" s="4">
        <v>-0.001488</v>
      </c>
      <c r="D774" s="4">
        <v>-0.003251</v>
      </c>
      <c r="E774" s="4">
        <v>-0.009946</v>
      </c>
      <c r="F774" s="4">
        <v>-0.001969</v>
      </c>
      <c r="G774" s="4">
        <v>-0.003658</v>
      </c>
      <c r="H774" s="4">
        <v>-0.004022</v>
      </c>
      <c r="I774" s="4">
        <v>0.004448</v>
      </c>
      <c r="J774" s="4">
        <v>-0.004584</v>
      </c>
      <c r="K774" s="4">
        <v>0.011884</v>
      </c>
      <c r="L774" s="4">
        <v>0.020054</v>
      </c>
      <c r="M774" s="4">
        <v>0.024679</v>
      </c>
      <c r="N774" s="4">
        <v>0.01734</v>
      </c>
      <c r="O774" s="4">
        <v>0.004369</v>
      </c>
      <c r="P774" s="4">
        <v>-0.017426</v>
      </c>
      <c r="Q774" s="4">
        <v>-0.009685</v>
      </c>
      <c r="R774" s="4">
        <v>-0.025515</v>
      </c>
      <c r="S774" s="4">
        <v>-0.010547</v>
      </c>
      <c r="T774" s="4">
        <v>0.083934</v>
      </c>
      <c r="U774" s="4">
        <v>-0.007365</v>
      </c>
      <c r="V774" s="4">
        <v>-0.0140631187668239</v>
      </c>
      <c r="W774" s="4">
        <v>0.0035337422311392</v>
      </c>
      <c r="X774" s="4">
        <v>0.0369863422797593</v>
      </c>
      <c r="Y774" s="4">
        <v>-0.0046449047535497</v>
      </c>
      <c r="Z774" s="4">
        <v>0.00226330613592</v>
      </c>
      <c r="AA774" s="4">
        <v>0.0027088904776373</v>
      </c>
      <c r="AB774" s="4">
        <v>0.0089315524012323</v>
      </c>
      <c r="AC774" s="4">
        <v>0.0040201824594818</v>
      </c>
      <c r="AD774" s="4">
        <v>0.0</v>
      </c>
      <c r="AE774" s="4">
        <v>0.0056939287846264</v>
      </c>
      <c r="AF774" s="4">
        <v>-0.0089499493134455</v>
      </c>
      <c r="AG774" s="4">
        <v>-5.259335692399E-4</v>
      </c>
      <c r="AH774" s="4">
        <v>0.0287628938941475</v>
      </c>
      <c r="AI774" s="4">
        <v>-0.0072423176455411</v>
      </c>
      <c r="AJ774" s="4">
        <v>0.011008</v>
      </c>
      <c r="AK774" s="4">
        <f>Weights!E830</f>
        <v>0.005162344348</v>
      </c>
      <c r="AL774" s="5">
        <v>0.00198975793688283</v>
      </c>
      <c r="AM774" s="5">
        <v>4.97769881101728E-4</v>
      </c>
      <c r="AN774" s="5">
        <v>0.0</v>
      </c>
      <c r="AO774" s="5">
        <v>-4.79521683970585E-4</v>
      </c>
      <c r="AP774" s="6">
        <f t="shared" si="3"/>
        <v>1.573506713</v>
      </c>
      <c r="AQ774" s="4">
        <f t="shared" si="4"/>
        <v>1.256778449</v>
      </c>
      <c r="AR774" s="7">
        <f t="shared" si="5"/>
        <v>1.23682484</v>
      </c>
      <c r="AS774" s="7">
        <f t="shared" ref="AS774:AU774" si="776">AS773*(1+AM774)</f>
        <v>1.291166516</v>
      </c>
      <c r="AT774" s="5">
        <f t="shared" si="776"/>
        <v>1.338230279</v>
      </c>
      <c r="AU774" s="5">
        <f t="shared" si="776"/>
        <v>1.319674989</v>
      </c>
    </row>
    <row r="775" ht="15.75" customHeight="1">
      <c r="A775" s="3">
        <v>44953.0</v>
      </c>
      <c r="B775" s="4">
        <v>-0.003735</v>
      </c>
      <c r="C775" s="4">
        <v>0.009188</v>
      </c>
      <c r="D775" s="4">
        <v>-0.010192</v>
      </c>
      <c r="E775" s="4">
        <v>-0.003525</v>
      </c>
      <c r="F775" s="4">
        <v>-0.005262</v>
      </c>
      <c r="G775" s="4">
        <v>-0.003908</v>
      </c>
      <c r="H775" s="4">
        <v>-0.004109</v>
      </c>
      <c r="I775" s="4">
        <v>0.004674</v>
      </c>
      <c r="J775" s="4">
        <v>-0.003393</v>
      </c>
      <c r="K775" s="4">
        <v>0.008074</v>
      </c>
      <c r="L775" s="4">
        <v>-0.005898</v>
      </c>
      <c r="M775" s="4">
        <v>-0.014049</v>
      </c>
      <c r="N775" s="4">
        <v>-6.02E-4</v>
      </c>
      <c r="O775" s="4">
        <v>-0.032649</v>
      </c>
      <c r="P775" s="4">
        <v>-0.014964</v>
      </c>
      <c r="Q775" s="4">
        <v>-0.038305</v>
      </c>
      <c r="R775" s="4">
        <v>-0.013861</v>
      </c>
      <c r="S775" s="4">
        <v>-0.006744</v>
      </c>
      <c r="T775" s="4">
        <v>-0.017371</v>
      </c>
      <c r="U775" s="4">
        <v>0.00413</v>
      </c>
      <c r="V775" s="4">
        <v>0.0678487797760372</v>
      </c>
      <c r="W775" s="4">
        <v>0.0401727286797224</v>
      </c>
      <c r="X775" s="4">
        <v>-0.0132099863124204</v>
      </c>
      <c r="Y775" s="4">
        <v>0.013692760858859</v>
      </c>
      <c r="Z775" s="4">
        <v>0.012960377680208</v>
      </c>
      <c r="AA775" s="4">
        <v>0.0081048857821441</v>
      </c>
      <c r="AB775" s="4">
        <v>0.0127869241630118</v>
      </c>
      <c r="AC775" s="4">
        <v>0.0010008728038595</v>
      </c>
      <c r="AD775" s="4">
        <v>-0.001398417847806</v>
      </c>
      <c r="AE775" s="4">
        <v>0.0135577846488208</v>
      </c>
      <c r="AF775" s="4">
        <v>0.0276942323367652</v>
      </c>
      <c r="AG775" s="4">
        <v>-0.0092633484102736</v>
      </c>
      <c r="AH775" s="4">
        <v>0.0</v>
      </c>
      <c r="AI775" s="4">
        <v>0.0010418374537348</v>
      </c>
      <c r="AJ775" s="4">
        <v>0.002495</v>
      </c>
      <c r="AK775" s="4">
        <f>Weights!E831</f>
        <v>0.002231375705</v>
      </c>
      <c r="AL775" s="5">
        <v>0.00828873822182285</v>
      </c>
      <c r="AM775" s="5">
        <v>0.0102957697123677</v>
      </c>
      <c r="AN775" s="5">
        <v>-6.34857370423458E-4</v>
      </c>
      <c r="AO775" s="5">
        <v>-9.59209745108879E-4</v>
      </c>
      <c r="AP775" s="6">
        <f t="shared" si="3"/>
        <v>1.577017798</v>
      </c>
      <c r="AQ775" s="4">
        <f t="shared" si="4"/>
        <v>1.259914111</v>
      </c>
      <c r="AR775" s="7">
        <f t="shared" si="5"/>
        <v>1.247076557</v>
      </c>
      <c r="AS775" s="7">
        <f t="shared" ref="AS775:AU775" si="777">AS774*(1+AM775)</f>
        <v>1.304460069</v>
      </c>
      <c r="AT775" s="5">
        <f t="shared" si="777"/>
        <v>1.337380694</v>
      </c>
      <c r="AU775" s="5">
        <f t="shared" si="777"/>
        <v>1.318409144</v>
      </c>
    </row>
    <row r="776" ht="15.75" customHeight="1">
      <c r="A776" s="3">
        <v>44956.0</v>
      </c>
      <c r="B776" s="4">
        <v>-4.69E-4</v>
      </c>
      <c r="C776" s="4">
        <v>0.010089</v>
      </c>
      <c r="D776" s="4">
        <v>-0.008031</v>
      </c>
      <c r="E776" s="4">
        <v>-8.25E-4</v>
      </c>
      <c r="F776" s="4">
        <v>0.00248</v>
      </c>
      <c r="G776" s="4">
        <v>-0.037033</v>
      </c>
      <c r="H776" s="4">
        <v>0.00313</v>
      </c>
      <c r="I776" s="4">
        <v>-0.007591</v>
      </c>
      <c r="J776" s="4">
        <v>-0.006809</v>
      </c>
      <c r="K776" s="4">
        <v>-0.014126</v>
      </c>
      <c r="L776" s="4">
        <v>-0.002571</v>
      </c>
      <c r="M776" s="4">
        <v>-0.007125</v>
      </c>
      <c r="N776" s="4">
        <v>-0.008427</v>
      </c>
      <c r="O776" s="4">
        <v>-0.008371</v>
      </c>
      <c r="P776" s="4">
        <v>-0.010878</v>
      </c>
      <c r="Q776" s="4">
        <v>-0.015254</v>
      </c>
      <c r="R776" s="4">
        <v>-0.018742</v>
      </c>
      <c r="S776" s="4">
        <v>-0.011389</v>
      </c>
      <c r="T776" s="4">
        <v>-0.002996</v>
      </c>
      <c r="U776" s="4">
        <v>-0.002133</v>
      </c>
      <c r="V776" s="4">
        <v>0.0299640771574987</v>
      </c>
      <c r="W776" s="4">
        <v>-0.0140020952693437</v>
      </c>
      <c r="X776" s="4">
        <v>-0.0200804018922891</v>
      </c>
      <c r="Y776" s="4">
        <v>-0.0114481221032273</v>
      </c>
      <c r="Z776" s="4">
        <v>-0.0091112390108256</v>
      </c>
      <c r="AA776" s="4">
        <v>-0.0101453529414577</v>
      </c>
      <c r="AB776" s="4">
        <v>3.237303350895E-4</v>
      </c>
      <c r="AC776" s="4">
        <v>-0.0039999121625156</v>
      </c>
      <c r="AD776" s="4">
        <v>-0.001400556767069</v>
      </c>
      <c r="AE776" s="4">
        <v>9.554435205147E-4</v>
      </c>
      <c r="AF776" s="4">
        <v>-0.0225542232939073</v>
      </c>
      <c r="AG776" s="4">
        <v>-0.0076498311171412</v>
      </c>
      <c r="AH776" s="4">
        <v>-0.0040716896965379</v>
      </c>
      <c r="AI776" s="4">
        <v>-0.0026025907424696</v>
      </c>
      <c r="AJ776" s="4">
        <v>-0.012969</v>
      </c>
      <c r="AK776" s="4">
        <f>Weights!E832</f>
        <v>-0.00616300293</v>
      </c>
      <c r="AL776" s="5">
        <v>0.0014556777745216</v>
      </c>
      <c r="AM776" s="5">
        <v>0.00403709789970174</v>
      </c>
      <c r="AN776" s="5">
        <v>0.00508260601485965</v>
      </c>
      <c r="AO776" s="5">
        <v>0.00504193576934275</v>
      </c>
      <c r="AP776" s="6">
        <f t="shared" si="3"/>
        <v>1.567298633</v>
      </c>
      <c r="AQ776" s="4">
        <f t="shared" si="4"/>
        <v>1.243574285</v>
      </c>
      <c r="AR776" s="7">
        <f t="shared" si="5"/>
        <v>1.248891899</v>
      </c>
      <c r="AS776" s="7">
        <f t="shared" ref="AS776:AU776" si="778">AS775*(1+AM776)</f>
        <v>1.309726302</v>
      </c>
      <c r="AT776" s="5">
        <f t="shared" si="778"/>
        <v>1.344178073</v>
      </c>
      <c r="AU776" s="5">
        <f t="shared" si="778"/>
        <v>1.325056478</v>
      </c>
    </row>
    <row r="777" ht="15.75" customHeight="1">
      <c r="A777" s="3">
        <v>44957.0</v>
      </c>
      <c r="B777" s="4">
        <v>0.010314</v>
      </c>
      <c r="C777" s="4">
        <v>0.012667</v>
      </c>
      <c r="D777" s="4">
        <v>0.009965</v>
      </c>
      <c r="E777" s="4">
        <v>0.009087</v>
      </c>
      <c r="F777" s="4">
        <v>0.011214</v>
      </c>
      <c r="G777" s="4">
        <v>0.008765</v>
      </c>
      <c r="H777" s="4">
        <v>0.009716</v>
      </c>
      <c r="I777" s="4">
        <v>0.010856</v>
      </c>
      <c r="J777" s="4">
        <v>0.007591</v>
      </c>
      <c r="K777" s="4">
        <v>0.022452</v>
      </c>
      <c r="L777" s="4">
        <v>0.014771</v>
      </c>
      <c r="M777" s="4">
        <v>0.014864</v>
      </c>
      <c r="N777" s="4">
        <v>0.01639</v>
      </c>
      <c r="O777" s="4">
        <v>0.025414</v>
      </c>
      <c r="P777" s="4">
        <v>0.003603</v>
      </c>
      <c r="Q777" s="4">
        <v>-0.015491</v>
      </c>
      <c r="R777" s="4">
        <v>0.014552</v>
      </c>
      <c r="S777" s="4">
        <v>0.013292</v>
      </c>
      <c r="T777" s="4">
        <v>0.015928</v>
      </c>
      <c r="U777" s="4">
        <v>0.014504</v>
      </c>
      <c r="V777" s="4">
        <v>-0.0122678116784106</v>
      </c>
      <c r="W777" s="4">
        <v>0.0142009381583509</v>
      </c>
      <c r="X777" s="4">
        <v>0.0</v>
      </c>
      <c r="Y777" s="4">
        <v>0.0030020659905729</v>
      </c>
      <c r="Z777" s="4">
        <v>0.0035214474685567</v>
      </c>
      <c r="AA777" s="4">
        <v>0.0119900883902159</v>
      </c>
      <c r="AB777" s="4">
        <v>0.0064725796289584</v>
      </c>
      <c r="AC777" s="4">
        <v>0.0</v>
      </c>
      <c r="AD777" s="4">
        <v>0.0</v>
      </c>
      <c r="AE777" s="4">
        <v>0.0082237522382049</v>
      </c>
      <c r="AF777" s="4">
        <v>0.0029967511104702</v>
      </c>
      <c r="AG777" s="4">
        <v>0.0017130572596173</v>
      </c>
      <c r="AH777" s="4">
        <v>0.022349419234031</v>
      </c>
      <c r="AI777" s="4">
        <v>-0.0026094910793619</v>
      </c>
      <c r="AJ777" s="4">
        <v>0.014642</v>
      </c>
      <c r="AK777" s="4">
        <f>Weights!E833</f>
        <v>0.008278133048</v>
      </c>
      <c r="AL777" s="5">
        <v>-0.0112868609683554</v>
      </c>
      <c r="AM777" s="5">
        <v>-0.0133862903923381</v>
      </c>
      <c r="AN777" s="5">
        <v>6.32112970670561E-4</v>
      </c>
      <c r="AO777" s="5">
        <v>0.00143331240749877</v>
      </c>
      <c r="AP777" s="6">
        <f t="shared" si="3"/>
        <v>1.580272939</v>
      </c>
      <c r="AQ777" s="4">
        <f t="shared" si="4"/>
        <v>1.2617827</v>
      </c>
      <c r="AR777" s="7">
        <f t="shared" si="5"/>
        <v>1.23479583</v>
      </c>
      <c r="AS777" s="7">
        <f t="shared" ref="AS777:AU777" si="779">AS776*(1+AM777)</f>
        <v>1.292193925</v>
      </c>
      <c r="AT777" s="5">
        <f t="shared" si="779"/>
        <v>1.345027745</v>
      </c>
      <c r="AU777" s="5">
        <f t="shared" si="779"/>
        <v>1.326955698</v>
      </c>
    </row>
    <row r="778" ht="15.75" customHeight="1">
      <c r="A778" s="3">
        <v>44958.0</v>
      </c>
      <c r="B778" s="4">
        <v>0.010673</v>
      </c>
      <c r="C778" s="4">
        <v>0.002887</v>
      </c>
      <c r="D778" s="4">
        <v>6.17E-4</v>
      </c>
      <c r="E778" s="4">
        <v>0.003157</v>
      </c>
      <c r="F778" s="4">
        <v>1.63E-4</v>
      </c>
      <c r="G778" s="4">
        <v>0.009179</v>
      </c>
      <c r="H778" s="4">
        <v>0.005689</v>
      </c>
      <c r="I778" s="4">
        <v>-0.006102</v>
      </c>
      <c r="J778" s="4">
        <v>0.00972</v>
      </c>
      <c r="K778" s="4">
        <v>-0.00549</v>
      </c>
      <c r="L778" s="4">
        <v>0.003517</v>
      </c>
      <c r="M778" s="4">
        <v>0.012121</v>
      </c>
      <c r="N778" s="4">
        <v>0.004977</v>
      </c>
      <c r="O778" s="4">
        <v>0.002846</v>
      </c>
      <c r="P778" s="4">
        <v>0.023805</v>
      </c>
      <c r="Q778" s="4">
        <v>0.020979</v>
      </c>
      <c r="R778" s="4">
        <v>0.004258</v>
      </c>
      <c r="S778" s="4">
        <v>0.001093</v>
      </c>
      <c r="T778" s="4">
        <v>0.035262</v>
      </c>
      <c r="U778" s="4">
        <v>9.03E-4</v>
      </c>
      <c r="V778" s="4">
        <v>-0.0149042508148363</v>
      </c>
      <c r="W778" s="4">
        <v>0.0</v>
      </c>
      <c r="X778" s="4">
        <v>0.0013530756479831</v>
      </c>
      <c r="Y778" s="4">
        <v>0.0</v>
      </c>
      <c r="Z778" s="4">
        <v>0.0</v>
      </c>
      <c r="AA778" s="4">
        <v>0.0</v>
      </c>
      <c r="AB778" s="4">
        <v>0.0</v>
      </c>
      <c r="AC778" s="4">
        <v>0.0050250789546315</v>
      </c>
      <c r="AD778" s="4">
        <v>0.0</v>
      </c>
      <c r="AE778" s="4">
        <v>0.0</v>
      </c>
      <c r="AF778" s="4">
        <v>0.0</v>
      </c>
      <c r="AG778" s="4">
        <v>0.0</v>
      </c>
      <c r="AH778" s="4">
        <v>0.0</v>
      </c>
      <c r="AI778" s="4">
        <v>0.0</v>
      </c>
      <c r="AJ778" s="4">
        <v>0.010452</v>
      </c>
      <c r="AK778" s="4">
        <f>Weights!E834</f>
        <v>0.002865194584</v>
      </c>
      <c r="AL778" s="5">
        <v>0.0119346910969391</v>
      </c>
      <c r="AM778" s="5">
        <v>0.0160031690746949</v>
      </c>
      <c r="AN778" s="5">
        <v>-0.00631713656274779</v>
      </c>
      <c r="AO778" s="5">
        <v>-0.00691784246587012</v>
      </c>
      <c r="AP778" s="6">
        <f t="shared" si="3"/>
        <v>1.584800729</v>
      </c>
      <c r="AQ778" s="4">
        <f t="shared" si="4"/>
        <v>1.274970853</v>
      </c>
      <c r="AR778" s="7">
        <f t="shared" si="5"/>
        <v>1.249532737</v>
      </c>
      <c r="AS778" s="7">
        <f t="shared" ref="AS778:AU778" si="780">AS777*(1+AM778)</f>
        <v>1.312873123</v>
      </c>
      <c r="AT778" s="5">
        <f t="shared" si="780"/>
        <v>1.336531021</v>
      </c>
      <c r="AU778" s="5">
        <f t="shared" si="780"/>
        <v>1.317776028</v>
      </c>
    </row>
    <row r="779" ht="15.75" customHeight="1">
      <c r="A779" s="3">
        <v>44959.0</v>
      </c>
      <c r="B779" s="4">
        <v>-0.010101</v>
      </c>
      <c r="C779" s="4">
        <v>0.003358</v>
      </c>
      <c r="D779" s="4">
        <v>-0.005957</v>
      </c>
      <c r="E779" s="4">
        <v>-0.009268</v>
      </c>
      <c r="F779" s="4">
        <v>-0.017121</v>
      </c>
      <c r="G779" s="4">
        <v>0.003759</v>
      </c>
      <c r="H779" s="4">
        <v>-0.007123</v>
      </c>
      <c r="I779" s="4">
        <v>-0.003193</v>
      </c>
      <c r="J779" s="4">
        <v>0.003129</v>
      </c>
      <c r="K779" s="4">
        <v>0.003051</v>
      </c>
      <c r="L779" s="4">
        <v>-0.002629</v>
      </c>
      <c r="M779" s="4">
        <v>-0.016966</v>
      </c>
      <c r="N779" s="4">
        <v>-0.004952</v>
      </c>
      <c r="O779" s="4">
        <v>-0.010523</v>
      </c>
      <c r="P779" s="4">
        <v>-0.032478</v>
      </c>
      <c r="Q779" s="4">
        <v>-0.031678</v>
      </c>
      <c r="R779" s="4">
        <v>-0.024548</v>
      </c>
      <c r="S779" s="4">
        <v>-0.022712</v>
      </c>
      <c r="T779" s="4">
        <v>0.009715</v>
      </c>
      <c r="U779" s="4">
        <v>-0.007894</v>
      </c>
      <c r="V779" s="4">
        <v>0.00900579422376801</v>
      </c>
      <c r="W779" s="4">
        <v>0.0</v>
      </c>
      <c r="X779" s="4">
        <v>0.0175676387550169</v>
      </c>
      <c r="Y779" s="4">
        <v>0.0</v>
      </c>
      <c r="Z779" s="4">
        <v>0.0</v>
      </c>
      <c r="AA779" s="4">
        <v>0.0</v>
      </c>
      <c r="AB779" s="4">
        <v>0.0</v>
      </c>
      <c r="AC779" s="4">
        <v>0.0020000832590827</v>
      </c>
      <c r="AD779" s="4">
        <v>0.0098175872549997</v>
      </c>
      <c r="AE779" s="4">
        <v>0.0</v>
      </c>
      <c r="AF779" s="4">
        <v>0.0</v>
      </c>
      <c r="AG779" s="4">
        <v>-0.0057716255219086</v>
      </c>
      <c r="AH779" s="4">
        <v>0.0290589095391204</v>
      </c>
      <c r="AI779" s="4">
        <v>0.0</v>
      </c>
      <c r="AJ779" s="4">
        <v>0.014699</v>
      </c>
      <c r="AK779" s="4">
        <f>Weights!E835</f>
        <v>-0.001761397221</v>
      </c>
      <c r="AL779" s="5">
        <v>0.0105117797179206</v>
      </c>
      <c r="AM779" s="5">
        <v>0.0121801249128501</v>
      </c>
      <c r="AN779" s="5">
        <v>0.0101716743563775</v>
      </c>
      <c r="AO779" s="5">
        <v>0.0100889123641436</v>
      </c>
      <c r="AP779" s="6">
        <f t="shared" si="3"/>
        <v>1.582009265</v>
      </c>
      <c r="AQ779" s="4">
        <f t="shared" si="4"/>
        <v>1.293711649</v>
      </c>
      <c r="AR779" s="7">
        <f t="shared" si="5"/>
        <v>1.26266755</v>
      </c>
      <c r="AS779" s="7">
        <f t="shared" ref="AS779:AU779" si="781">AS778*(1+AM779)</f>
        <v>1.328864082</v>
      </c>
      <c r="AT779" s="5">
        <f t="shared" si="781"/>
        <v>1.35012578</v>
      </c>
      <c r="AU779" s="5">
        <f t="shared" si="781"/>
        <v>1.331070954</v>
      </c>
    </row>
    <row r="780" ht="15.75" customHeight="1">
      <c r="A780" s="3">
        <v>44960.0</v>
      </c>
      <c r="B780" s="4">
        <v>-0.009276</v>
      </c>
      <c r="C780" s="4">
        <v>-0.00765</v>
      </c>
      <c r="D780" s="4">
        <v>0.007853</v>
      </c>
      <c r="E780" s="4">
        <v>-0.005001</v>
      </c>
      <c r="F780" s="4">
        <v>-0.007465</v>
      </c>
      <c r="G780" s="4">
        <v>-0.005618</v>
      </c>
      <c r="H780" s="4">
        <v>0.003095</v>
      </c>
      <c r="I780" s="4">
        <v>-4.93E-4</v>
      </c>
      <c r="J780" s="4">
        <v>-0.014155</v>
      </c>
      <c r="K780" s="4">
        <v>-0.001448</v>
      </c>
      <c r="L780" s="4">
        <v>0.006247</v>
      </c>
      <c r="M780" s="4">
        <v>-0.006599</v>
      </c>
      <c r="N780" s="4">
        <v>-0.004181</v>
      </c>
      <c r="O780" s="4">
        <v>-0.00887</v>
      </c>
      <c r="P780" s="4">
        <v>-0.049209</v>
      </c>
      <c r="Q780" s="4">
        <v>-0.044209</v>
      </c>
      <c r="R780" s="4">
        <v>-0.012583</v>
      </c>
      <c r="S780" s="4">
        <v>-0.017207</v>
      </c>
      <c r="T780" s="4">
        <v>-2.83E-4</v>
      </c>
      <c r="U780" s="4">
        <v>0.00197</v>
      </c>
      <c r="V780" s="4">
        <v>0.0792574615440313</v>
      </c>
      <c r="W780" s="4">
        <v>0.0112324872308715</v>
      </c>
      <c r="X780" s="4">
        <v>0.0092960781295909</v>
      </c>
      <c r="Y780" s="4">
        <v>-0.0078806519627863</v>
      </c>
      <c r="Z780" s="4">
        <v>-0.0117944552986214</v>
      </c>
      <c r="AA780" s="4">
        <v>-0.0057329499028261</v>
      </c>
      <c r="AB780" s="4">
        <v>0.0083600173308331</v>
      </c>
      <c r="AC780" s="4">
        <v>0.0199599783349251</v>
      </c>
      <c r="AD780" s="4">
        <v>0.01388909452589</v>
      </c>
      <c r="AE780" s="4">
        <v>-0.0200275374541291</v>
      </c>
      <c r="AF780" s="4">
        <v>0.0047804029093536</v>
      </c>
      <c r="AG780" s="4">
        <v>-0.0027950562459398</v>
      </c>
      <c r="AH780" s="4">
        <v>0.0069948677619962</v>
      </c>
      <c r="AI780" s="4">
        <v>-0.0083726565614745</v>
      </c>
      <c r="AJ780" s="4">
        <v>-0.010355</v>
      </c>
      <c r="AK780" s="4">
        <f>Weights!E836</f>
        <v>-0.000999363348</v>
      </c>
      <c r="AL780" s="5">
        <v>0.0100643916239682</v>
      </c>
      <c r="AM780" s="5">
        <v>0.0149333955427994</v>
      </c>
      <c r="AN780" s="5">
        <v>-0.00220264913572754</v>
      </c>
      <c r="AO780" s="5">
        <v>-0.00118920792112842</v>
      </c>
      <c r="AP780" s="6">
        <f t="shared" si="3"/>
        <v>1.580428263</v>
      </c>
      <c r="AQ780" s="4">
        <f t="shared" si="4"/>
        <v>1.280315265</v>
      </c>
      <c r="AR780" s="7">
        <f t="shared" si="5"/>
        <v>1.27537553</v>
      </c>
      <c r="AS780" s="7">
        <f t="shared" ref="AS780:AU780" si="782">AS779*(1+AM780)</f>
        <v>1.348708535</v>
      </c>
      <c r="AT780" s="5">
        <f t="shared" si="782"/>
        <v>1.347151926</v>
      </c>
      <c r="AU780" s="5">
        <f t="shared" si="782"/>
        <v>1.329488034</v>
      </c>
    </row>
    <row r="781" ht="15.75" customHeight="1">
      <c r="A781" s="3">
        <v>44963.0</v>
      </c>
      <c r="B781" s="4">
        <v>-0.008895</v>
      </c>
      <c r="C781" s="4">
        <v>-0.005541</v>
      </c>
      <c r="D781" s="4">
        <v>0.005536</v>
      </c>
      <c r="E781" s="4">
        <v>0.015965</v>
      </c>
      <c r="F781" s="4">
        <v>0.005683</v>
      </c>
      <c r="G781" s="4">
        <v>-0.007594</v>
      </c>
      <c r="H781" s="4">
        <v>-0.008485</v>
      </c>
      <c r="I781" s="4">
        <v>-0.001972</v>
      </c>
      <c r="J781" s="4">
        <v>0.007058</v>
      </c>
      <c r="K781" s="4">
        <v>-0.010732</v>
      </c>
      <c r="L781" s="4">
        <v>-0.003395</v>
      </c>
      <c r="M781" s="4">
        <v>-0.017885</v>
      </c>
      <c r="N781" s="4">
        <v>-0.001</v>
      </c>
      <c r="O781" s="4">
        <v>-0.01398</v>
      </c>
      <c r="P781" s="4">
        <v>-0.045135</v>
      </c>
      <c r="Q781" s="4">
        <v>0.009251</v>
      </c>
      <c r="R781" s="4">
        <v>-0.004866</v>
      </c>
      <c r="S781" s="4">
        <v>-0.006821</v>
      </c>
      <c r="T781" s="4">
        <v>-0.038272</v>
      </c>
      <c r="U781" s="4">
        <v>0.005294</v>
      </c>
      <c r="V781" s="4">
        <v>-0.0135627051111303</v>
      </c>
      <c r="W781" s="4">
        <v>-0.0095861399043185</v>
      </c>
      <c r="X781" s="4">
        <v>-0.0105263584443016</v>
      </c>
      <c r="Y781" s="4">
        <v>0.0039408005410919</v>
      </c>
      <c r="Z781" s="4">
        <v>0.0093882736550428</v>
      </c>
      <c r="AA781" s="4">
        <v>0.0057660061270921</v>
      </c>
      <c r="AB781" s="4">
        <v>0.0054210020521918</v>
      </c>
      <c r="AC781" s="4">
        <v>-0.0019568627411939</v>
      </c>
      <c r="AD781" s="4">
        <v>0.0027394833962246</v>
      </c>
      <c r="AE781" s="4">
        <v>0.0052020971969735</v>
      </c>
      <c r="AF781" s="4">
        <v>0.0062444143200819</v>
      </c>
      <c r="AG781" s="4">
        <v>0.0074385124802485</v>
      </c>
      <c r="AH781" s="4">
        <v>-0.0133779379093506</v>
      </c>
      <c r="AI781" s="4">
        <v>-1.58856498158E-4</v>
      </c>
      <c r="AJ781" s="4">
        <v>-0.00614</v>
      </c>
      <c r="AK781" s="4">
        <f>Weights!E837</f>
        <v>-0.003197116285</v>
      </c>
      <c r="AL781" s="5">
        <v>-0.0105501475592197</v>
      </c>
      <c r="AM781" s="5">
        <v>-0.0103328762546299</v>
      </c>
      <c r="AN781" s="5">
        <v>-3.15358787006392E-4</v>
      </c>
      <c r="AO781" s="5">
        <v>2.38105326911819E-4</v>
      </c>
      <c r="AP781" s="6">
        <f t="shared" si="3"/>
        <v>1.57537545</v>
      </c>
      <c r="AQ781" s="4">
        <f t="shared" si="4"/>
        <v>1.272454129</v>
      </c>
      <c r="AR781" s="7">
        <f t="shared" si="5"/>
        <v>1.26192013</v>
      </c>
      <c r="AS781" s="7">
        <f t="shared" ref="AS781:AU781" si="783">AS780*(1+AM781)</f>
        <v>1.334772496</v>
      </c>
      <c r="AT781" s="5">
        <f t="shared" si="783"/>
        <v>1.34672709</v>
      </c>
      <c r="AU781" s="5">
        <f t="shared" si="783"/>
        <v>1.329804593</v>
      </c>
    </row>
    <row r="782" ht="15.75" customHeight="1">
      <c r="A782" s="3">
        <v>44964.0</v>
      </c>
      <c r="B782" s="4">
        <v>-0.00992</v>
      </c>
      <c r="C782" s="4">
        <v>-0.017684</v>
      </c>
      <c r="D782" s="4">
        <v>-0.006729</v>
      </c>
      <c r="E782" s="4">
        <v>-0.001513</v>
      </c>
      <c r="F782" s="4">
        <v>-0.001662</v>
      </c>
      <c r="G782" s="4">
        <v>2.45E-4</v>
      </c>
      <c r="H782" s="4">
        <v>-0.009759</v>
      </c>
      <c r="I782" s="4">
        <v>0.006421</v>
      </c>
      <c r="J782" s="4">
        <v>-0.015225</v>
      </c>
      <c r="K782" s="4">
        <v>0.015394</v>
      </c>
      <c r="L782" s="4">
        <v>0.006132</v>
      </c>
      <c r="M782" s="4">
        <v>0.008845</v>
      </c>
      <c r="N782" s="4">
        <v>0.004002</v>
      </c>
      <c r="O782" s="4">
        <v>0.013501</v>
      </c>
      <c r="P782" s="4">
        <v>0.023529</v>
      </c>
      <c r="Q782" s="4">
        <v>0.016499</v>
      </c>
      <c r="R782" s="4">
        <v>0.017229</v>
      </c>
      <c r="S782" s="4">
        <v>0.008242</v>
      </c>
      <c r="T782" s="4">
        <v>-0.015836</v>
      </c>
      <c r="U782" s="4">
        <v>0.00331</v>
      </c>
      <c r="V782" s="4">
        <v>-0.0241449135658292</v>
      </c>
      <c r="W782" s="4">
        <v>-0.0055307061390658</v>
      </c>
      <c r="X782" s="4">
        <v>0.0</v>
      </c>
      <c r="Y782" s="4">
        <v>-0.0134935235363925</v>
      </c>
      <c r="Z782" s="4">
        <v>-0.011650644464082</v>
      </c>
      <c r="AA782" s="4">
        <v>-0.0110836863964102</v>
      </c>
      <c r="AB782" s="4">
        <v>-0.0072947953239226</v>
      </c>
      <c r="AC782" s="4">
        <v>0.0</v>
      </c>
      <c r="AD782" s="4">
        <v>0.0</v>
      </c>
      <c r="AE782" s="4">
        <v>0.0019221889964629</v>
      </c>
      <c r="AF782" s="4">
        <v>-0.0135933789510918</v>
      </c>
      <c r="AG782" s="4">
        <v>-0.0027821950895933</v>
      </c>
      <c r="AH782" s="4">
        <v>0.0114732490005069</v>
      </c>
      <c r="AI782" s="4">
        <v>5.293113619433E-4</v>
      </c>
      <c r="AJ782" s="4">
        <v>0.012873</v>
      </c>
      <c r="AK782" s="4">
        <f>Weights!E838</f>
        <v>-0.0008976051267</v>
      </c>
      <c r="AL782" s="5">
        <v>-0.00736222914595474</v>
      </c>
      <c r="AM782" s="5">
        <v>-0.00750581750917989</v>
      </c>
      <c r="AN782" s="5">
        <v>0.00189281424710618</v>
      </c>
      <c r="AO782" s="5">
        <v>7.14243101495926E-4</v>
      </c>
      <c r="AP782" s="6">
        <f t="shared" si="3"/>
        <v>1.573961385</v>
      </c>
      <c r="AQ782" s="4">
        <f t="shared" si="4"/>
        <v>1.288834431</v>
      </c>
      <c r="AR782" s="7">
        <f t="shared" si="5"/>
        <v>1.252629585</v>
      </c>
      <c r="AS782" s="7">
        <f t="shared" ref="AS782:AU782" si="784">AS781*(1+AM782)</f>
        <v>1.324753938</v>
      </c>
      <c r="AT782" s="5">
        <f t="shared" si="784"/>
        <v>1.349276194</v>
      </c>
      <c r="AU782" s="5">
        <f t="shared" si="784"/>
        <v>1.330754396</v>
      </c>
    </row>
    <row r="783" ht="15.75" customHeight="1">
      <c r="A783" s="3">
        <v>44965.0</v>
      </c>
      <c r="B783" s="4">
        <v>-0.003817</v>
      </c>
      <c r="C783" s="4">
        <v>-7.4E-4</v>
      </c>
      <c r="D783" s="4">
        <v>0.004722</v>
      </c>
      <c r="E783" s="4">
        <v>-0.002332</v>
      </c>
      <c r="F783" s="4">
        <v>-0.005827</v>
      </c>
      <c r="G783" s="4">
        <v>0.001285</v>
      </c>
      <c r="H783" s="4">
        <v>-0.010356</v>
      </c>
      <c r="I783" s="4">
        <v>-0.029693</v>
      </c>
      <c r="J783" s="4">
        <v>-0.013252</v>
      </c>
      <c r="K783" s="4">
        <v>-0.003176</v>
      </c>
      <c r="L783" s="4">
        <v>0.003676</v>
      </c>
      <c r="M783" s="4">
        <v>5.16E-4</v>
      </c>
      <c r="N783" s="4">
        <v>0.0</v>
      </c>
      <c r="O783" s="4">
        <v>-0.013589</v>
      </c>
      <c r="P783" s="4">
        <v>-0.007594</v>
      </c>
      <c r="Q783" s="4">
        <v>-0.024346</v>
      </c>
      <c r="R783" s="4">
        <v>-0.015335</v>
      </c>
      <c r="S783" s="4">
        <v>-0.008629</v>
      </c>
      <c r="T783" s="4">
        <v>-0.005204</v>
      </c>
      <c r="U783" s="4">
        <v>7.5E-4</v>
      </c>
      <c r="V783" s="4">
        <v>-0.0237113463523515</v>
      </c>
      <c r="W783" s="4">
        <v>0.0</v>
      </c>
      <c r="X783" s="4">
        <v>0.0092714526592576</v>
      </c>
      <c r="Y783" s="4">
        <v>0.0</v>
      </c>
      <c r="Z783" s="4">
        <v>0.0</v>
      </c>
      <c r="AA783" s="4">
        <v>0.0</v>
      </c>
      <c r="AB783" s="4">
        <v>0.0</v>
      </c>
      <c r="AC783" s="4">
        <v>0.0019157884683664</v>
      </c>
      <c r="AD783" s="4">
        <v>0.0080643791458767</v>
      </c>
      <c r="AE783" s="4">
        <v>0.0</v>
      </c>
      <c r="AF783" s="4">
        <v>0.0</v>
      </c>
      <c r="AG783" s="4">
        <v>0.0</v>
      </c>
      <c r="AH783" s="4">
        <v>0.0</v>
      </c>
      <c r="AI783" s="4">
        <v>0.0</v>
      </c>
      <c r="AJ783" s="4">
        <v>-0.011081</v>
      </c>
      <c r="AK783" s="4">
        <f>Weights!E839</f>
        <v>-0.003954375478</v>
      </c>
      <c r="AL783" s="5">
        <v>0.0115089793387199</v>
      </c>
      <c r="AM783" s="5">
        <v>0.0126043269095925</v>
      </c>
      <c r="AN783" s="5">
        <v>-0.00566758579449189</v>
      </c>
      <c r="AO783" s="5">
        <v>-0.00570889564550825</v>
      </c>
      <c r="AP783" s="6">
        <f t="shared" si="3"/>
        <v>1.567737351</v>
      </c>
      <c r="AQ783" s="4">
        <f t="shared" si="4"/>
        <v>1.274552857</v>
      </c>
      <c r="AR783" s="7">
        <f t="shared" si="5"/>
        <v>1.267046073</v>
      </c>
      <c r="AS783" s="7">
        <f t="shared" ref="AS783:AU783" si="785">AS782*(1+AM783)</f>
        <v>1.341451569</v>
      </c>
      <c r="AT783" s="5">
        <f t="shared" si="785"/>
        <v>1.341629056</v>
      </c>
      <c r="AU783" s="5">
        <f t="shared" si="785"/>
        <v>1.323157258</v>
      </c>
    </row>
    <row r="784" ht="15.75" customHeight="1">
      <c r="A784" s="3">
        <v>44966.0</v>
      </c>
      <c r="B784" s="4">
        <v>-0.037356</v>
      </c>
      <c r="C784" s="4">
        <v>-0.017522</v>
      </c>
      <c r="D784" s="4">
        <v>-0.009808</v>
      </c>
      <c r="E784" s="4">
        <v>0.009465</v>
      </c>
      <c r="F784" s="4">
        <v>-0.001675</v>
      </c>
      <c r="G784" s="4">
        <v>-0.013508</v>
      </c>
      <c r="H784" s="4">
        <v>-0.010969</v>
      </c>
      <c r="I784" s="4">
        <v>-0.005817</v>
      </c>
      <c r="J784" s="4">
        <v>-0.009699</v>
      </c>
      <c r="K784" s="4">
        <v>-0.003187</v>
      </c>
      <c r="L784" s="4">
        <v>-0.003663</v>
      </c>
      <c r="M784" s="4">
        <v>0.001546</v>
      </c>
      <c r="N784" s="4">
        <v>0.010763</v>
      </c>
      <c r="O784" s="4">
        <v>-0.026475</v>
      </c>
      <c r="P784" s="4">
        <v>-0.015925</v>
      </c>
      <c r="Q784" s="4">
        <v>-0.012015</v>
      </c>
      <c r="R784" s="4">
        <v>-0.00186</v>
      </c>
      <c r="S784" s="4">
        <v>-0.010307</v>
      </c>
      <c r="T784" s="4">
        <v>-0.016355</v>
      </c>
      <c r="U784" s="4">
        <v>0.001573</v>
      </c>
      <c r="V784" s="4">
        <v>0.0049278348919437</v>
      </c>
      <c r="W784" s="4">
        <v>0.0094236311609017</v>
      </c>
      <c r="X784" s="4">
        <v>0.0</v>
      </c>
      <c r="Y784" s="4">
        <v>0.0126834329331937</v>
      </c>
      <c r="Z784" s="4">
        <v>0.0139673701199771</v>
      </c>
      <c r="AA784" s="4">
        <v>0.0168116130051745</v>
      </c>
      <c r="AB784" s="4">
        <v>0.0070289105923273</v>
      </c>
      <c r="AC784" s="4">
        <v>0.0</v>
      </c>
      <c r="AD784" s="4">
        <v>0.0066667644808782</v>
      </c>
      <c r="AE784" s="4">
        <v>-0.01497938567206</v>
      </c>
      <c r="AF784" s="4">
        <v>-0.0059915601008982</v>
      </c>
      <c r="AG784" s="4">
        <v>-0.0030047614474607</v>
      </c>
      <c r="AH784" s="4">
        <v>-0.0221706539854287</v>
      </c>
      <c r="AI784" s="4">
        <v>0.0037037711415279</v>
      </c>
      <c r="AJ784" s="4">
        <v>-0.00883</v>
      </c>
      <c r="AK784" s="4">
        <f>Weights!E840</f>
        <v>-0.00298527565</v>
      </c>
      <c r="AL784" s="5">
        <v>-0.00943958807813805</v>
      </c>
      <c r="AM784" s="5">
        <v>-0.0106759473558926</v>
      </c>
      <c r="AN784" s="5">
        <v>0.00348322671705147</v>
      </c>
      <c r="AO784" s="5">
        <v>0.00406705995869183</v>
      </c>
      <c r="AP784" s="6">
        <f t="shared" si="3"/>
        <v>1.563057223</v>
      </c>
      <c r="AQ784" s="4">
        <f t="shared" si="4"/>
        <v>1.263298555</v>
      </c>
      <c r="AR784" s="7">
        <f t="shared" si="5"/>
        <v>1.25508568</v>
      </c>
      <c r="AS784" s="7">
        <f t="shared" ref="AS784:AU784" si="786">AS783*(1+AM784)</f>
        <v>1.327130303</v>
      </c>
      <c r="AT784" s="5">
        <f t="shared" si="786"/>
        <v>1.346302254</v>
      </c>
      <c r="AU784" s="5">
        <f t="shared" si="786"/>
        <v>1.328538618</v>
      </c>
    </row>
    <row r="785" ht="15.75" customHeight="1">
      <c r="A785" s="3">
        <v>44967.0</v>
      </c>
      <c r="B785" s="4">
        <v>0.016418</v>
      </c>
      <c r="C785" s="4">
        <v>0.005024</v>
      </c>
      <c r="D785" s="4">
        <v>-0.001032</v>
      </c>
      <c r="E785" s="4">
        <v>0.019794</v>
      </c>
      <c r="F785" s="4">
        <v>0.0</v>
      </c>
      <c r="G785" s="4">
        <v>0.004647</v>
      </c>
      <c r="H785" s="4">
        <v>0.008829</v>
      </c>
      <c r="I785" s="4">
        <v>0.032562</v>
      </c>
      <c r="J785" s="4">
        <v>0.04219</v>
      </c>
      <c r="K785" s="4">
        <v>0.012642</v>
      </c>
      <c r="L785" s="4">
        <v>0.005417</v>
      </c>
      <c r="M785" s="4">
        <v>0.006176</v>
      </c>
      <c r="N785" s="4">
        <v>0.0</v>
      </c>
      <c r="O785" s="4">
        <v>-0.009205</v>
      </c>
      <c r="P785" s="4">
        <v>0.008407</v>
      </c>
      <c r="Q785" s="4">
        <v>-0.017774</v>
      </c>
      <c r="R785" s="4">
        <v>-0.013507</v>
      </c>
      <c r="S785" s="4">
        <v>-0.002546</v>
      </c>
      <c r="T785" s="4">
        <v>0.003179</v>
      </c>
      <c r="U785" s="4">
        <v>0.012268</v>
      </c>
      <c r="V785" s="4">
        <v>0.00910690206909303</v>
      </c>
      <c r="W785" s="4">
        <v>-0.0266298416415234</v>
      </c>
      <c r="X785" s="4">
        <v>0.0</v>
      </c>
      <c r="Y785" s="4">
        <v>0.0010436657618422</v>
      </c>
      <c r="Z785" s="4">
        <v>0.0097694104341559</v>
      </c>
      <c r="AA785" s="4">
        <v>-0.0011402377501062</v>
      </c>
      <c r="AB785" s="4">
        <v>0.0190354551901965</v>
      </c>
      <c r="AC785" s="4">
        <v>0.0114722651056677</v>
      </c>
      <c r="AD785" s="4">
        <v>-0.0158939981095815</v>
      </c>
      <c r="AE785" s="4">
        <v>0.00988843321189</v>
      </c>
      <c r="AF785" s="4">
        <v>0.004219328530459</v>
      </c>
      <c r="AG785" s="4">
        <v>-0.0100095079503762</v>
      </c>
      <c r="AH785" s="4">
        <v>-0.0221460249374646</v>
      </c>
      <c r="AI785" s="4">
        <v>0.0021088663642137</v>
      </c>
      <c r="AJ785" s="4">
        <v>0.002195</v>
      </c>
      <c r="AK785" s="4">
        <f>Weights!E841</f>
        <v>0.004632464191</v>
      </c>
      <c r="AL785" s="5">
        <v>-0.00604098492336246</v>
      </c>
      <c r="AM785" s="5">
        <v>-0.00972657046541758</v>
      </c>
      <c r="AN785" s="5">
        <v>-0.00252439786868852</v>
      </c>
      <c r="AO785" s="5">
        <v>-0.00214457661655809</v>
      </c>
      <c r="AP785" s="6">
        <f t="shared" si="3"/>
        <v>1.570298029</v>
      </c>
      <c r="AQ785" s="4">
        <f t="shared" si="4"/>
        <v>1.266071496</v>
      </c>
      <c r="AR785" s="7">
        <f t="shared" si="5"/>
        <v>1.247503726</v>
      </c>
      <c r="AS785" s="7">
        <f t="shared" ref="AS785:AU785" si="787">AS784*(1+AM785)</f>
        <v>1.314221877</v>
      </c>
      <c r="AT785" s="5">
        <f t="shared" si="787"/>
        <v>1.342903651</v>
      </c>
      <c r="AU785" s="5">
        <f t="shared" si="787"/>
        <v>1.325689465</v>
      </c>
    </row>
    <row r="786" ht="15.75" customHeight="1">
      <c r="A786" s="3">
        <v>44970.0</v>
      </c>
      <c r="B786" s="4">
        <v>9.79E-4</v>
      </c>
      <c r="C786" s="4">
        <v>0.007748</v>
      </c>
      <c r="D786" s="4">
        <v>0.00723</v>
      </c>
      <c r="E786" s="4">
        <v>0.00891</v>
      </c>
      <c r="F786" s="4">
        <v>0.016437</v>
      </c>
      <c r="G786" s="4">
        <v>0.0037</v>
      </c>
      <c r="H786" s="4">
        <v>0.013091</v>
      </c>
      <c r="I786" s="4">
        <v>0.007637</v>
      </c>
      <c r="J786" s="4">
        <v>0.006265</v>
      </c>
      <c r="K786" s="4">
        <v>0.006314</v>
      </c>
      <c r="L786" s="4">
        <v>0.002021</v>
      </c>
      <c r="M786" s="4">
        <v>0.005627</v>
      </c>
      <c r="N786" s="4">
        <v>0.014001</v>
      </c>
      <c r="O786" s="4">
        <v>0.009759</v>
      </c>
      <c r="P786" s="4">
        <v>0.006669</v>
      </c>
      <c r="Q786" s="4">
        <v>-0.00381</v>
      </c>
      <c r="R786" s="4">
        <v>-0.005902</v>
      </c>
      <c r="S786" s="4">
        <v>-0.001624</v>
      </c>
      <c r="T786" s="4">
        <v>0.021327</v>
      </c>
      <c r="U786" s="4">
        <v>-0.004877</v>
      </c>
      <c r="V786" s="4">
        <v>-0.0173550578087752</v>
      </c>
      <c r="W786" s="4">
        <v>0.0437106877167048</v>
      </c>
      <c r="X786" s="4">
        <v>-0.0065617063095334</v>
      </c>
      <c r="Y786" s="4">
        <v>-0.0155167414685974</v>
      </c>
      <c r="Z786" s="4">
        <v>-0.0208011759666825</v>
      </c>
      <c r="AA786" s="4">
        <v>-0.027206924710763</v>
      </c>
      <c r="AB786" s="4">
        <v>0.0133873380819784</v>
      </c>
      <c r="AC786" s="4">
        <v>0.0</v>
      </c>
      <c r="AD786" s="4">
        <v>0.0121129072400558</v>
      </c>
      <c r="AE786" s="4">
        <v>-0.0137231116110044</v>
      </c>
      <c r="AF786" s="4">
        <v>-0.0030012479972744</v>
      </c>
      <c r="AG786" s="4">
        <v>-0.0166341878054802</v>
      </c>
      <c r="AH786" s="4">
        <v>0.0029657367635267</v>
      </c>
      <c r="AI786" s="4">
        <v>0.0</v>
      </c>
      <c r="AJ786" s="4">
        <v>0.011449</v>
      </c>
      <c r="AK786" s="4">
        <f>Weights!E842</f>
        <v>0.0004693905763</v>
      </c>
      <c r="AL786" s="7">
        <v>8.56384807639276E-5</v>
      </c>
      <c r="AM786" s="5">
        <v>0.00180803784137695</v>
      </c>
      <c r="AN786" s="5">
        <v>-0.00316362905734735</v>
      </c>
      <c r="AO786" s="5">
        <v>-0.00358161881412233</v>
      </c>
      <c r="AP786" s="6">
        <f t="shared" si="3"/>
        <v>1.571035112</v>
      </c>
      <c r="AQ786" s="4">
        <f t="shared" si="4"/>
        <v>1.280566748</v>
      </c>
      <c r="AR786" s="7">
        <f t="shared" si="5"/>
        <v>1.247610561</v>
      </c>
      <c r="AS786" s="7">
        <f t="shared" ref="AS786:AU786" si="788">AS785*(1+AM786)</f>
        <v>1.316598039</v>
      </c>
      <c r="AT786" s="5">
        <f t="shared" si="788"/>
        <v>1.338655202</v>
      </c>
      <c r="AU786" s="5">
        <f t="shared" si="788"/>
        <v>1.320941351</v>
      </c>
    </row>
    <row r="787" ht="15.75" customHeight="1">
      <c r="A787" s="3">
        <v>44971.0</v>
      </c>
      <c r="B787" s="4">
        <v>0.003423</v>
      </c>
      <c r="C787" s="4">
        <v>2.48E-4</v>
      </c>
      <c r="D787" s="4">
        <v>0.006973</v>
      </c>
      <c r="E787" s="4">
        <v>-0.01125</v>
      </c>
      <c r="F787" s="4">
        <v>-0.016667</v>
      </c>
      <c r="G787" s="4">
        <v>-0.004363</v>
      </c>
      <c r="H787" s="4">
        <v>-0.00564</v>
      </c>
      <c r="I787" s="4">
        <v>-0.01138</v>
      </c>
      <c r="J787" s="4">
        <v>-0.001124</v>
      </c>
      <c r="K787" s="4">
        <v>-0.004135</v>
      </c>
      <c r="L787" s="4">
        <v>-3.84E-4</v>
      </c>
      <c r="M787" s="4">
        <v>-0.006104</v>
      </c>
      <c r="N787" s="4">
        <v>-0.006418</v>
      </c>
      <c r="O787" s="4">
        <v>-0.005994</v>
      </c>
      <c r="P787" s="4">
        <v>-0.026708</v>
      </c>
      <c r="Q787" s="4">
        <v>0.006692</v>
      </c>
      <c r="R787" s="4">
        <v>0.02066</v>
      </c>
      <c r="S787" s="4">
        <v>0.003486</v>
      </c>
      <c r="T787" s="4">
        <v>0.021777</v>
      </c>
      <c r="U787" s="4">
        <v>1.48E-4</v>
      </c>
      <c r="V787" s="4">
        <v>0.0155421001035225</v>
      </c>
      <c r="W787" s="4">
        <v>0.057246177688224</v>
      </c>
      <c r="X787" s="4">
        <v>0.0</v>
      </c>
      <c r="Y787" s="4">
        <v>0.0244206978925012</v>
      </c>
      <c r="Z787" s="4">
        <v>0.0297401109243573</v>
      </c>
      <c r="AA787" s="4">
        <v>0.0232738092228015</v>
      </c>
      <c r="AB787" s="4">
        <v>0.0227343227737171</v>
      </c>
      <c r="AC787" s="4">
        <v>0.0</v>
      </c>
      <c r="AD787" s="4">
        <v>0.0</v>
      </c>
      <c r="AE787" s="4">
        <v>0.0330928100365111</v>
      </c>
      <c r="AF787" s="4">
        <v>0.018964523071469</v>
      </c>
      <c r="AG787" s="4">
        <v>0.0127142339135717</v>
      </c>
      <c r="AH787" s="4">
        <v>-0.0405914036900145</v>
      </c>
      <c r="AI787" s="4">
        <v>0.0057864375453462</v>
      </c>
      <c r="AJ787" s="4">
        <v>-2.8E-4</v>
      </c>
      <c r="AK787" s="4">
        <f>Weights!E843</f>
        <v>0.004457454529</v>
      </c>
      <c r="AL787" s="5">
        <v>0.011127258141943</v>
      </c>
      <c r="AM787" s="5">
        <v>0.0119018242527737</v>
      </c>
      <c r="AN787" s="5">
        <v>0.0025389484998981</v>
      </c>
      <c r="AO787" s="5">
        <v>0.0014379732334111</v>
      </c>
      <c r="AP787" s="6">
        <f t="shared" si="3"/>
        <v>1.57803793</v>
      </c>
      <c r="AQ787" s="4">
        <f t="shared" si="4"/>
        <v>1.280208189</v>
      </c>
      <c r="AR787" s="7">
        <f t="shared" si="5"/>
        <v>1.261493045</v>
      </c>
      <c r="AS787" s="7">
        <f t="shared" ref="AS787:AU787" si="789">AS786*(1+AM787)</f>
        <v>1.332267958</v>
      </c>
      <c r="AT787" s="5">
        <f t="shared" si="789"/>
        <v>1.342053979</v>
      </c>
      <c r="AU787" s="5">
        <f t="shared" si="789"/>
        <v>1.322840829</v>
      </c>
    </row>
    <row r="788" ht="15.75" customHeight="1">
      <c r="A788" s="3">
        <v>44972.0</v>
      </c>
      <c r="B788" s="4">
        <v>-0.004873</v>
      </c>
      <c r="C788" s="4">
        <v>0.00124</v>
      </c>
      <c r="D788" s="4">
        <v>-0.009369</v>
      </c>
      <c r="E788" s="4">
        <v>0.001365</v>
      </c>
      <c r="F788" s="4">
        <v>0.0</v>
      </c>
      <c r="G788" s="4">
        <v>-0.016477</v>
      </c>
      <c r="H788" s="4">
        <v>-0.002297</v>
      </c>
      <c r="I788" s="4">
        <v>-0.006538</v>
      </c>
      <c r="J788" s="4">
        <v>-0.004844</v>
      </c>
      <c r="K788" s="4">
        <v>-0.005155</v>
      </c>
      <c r="L788" s="4">
        <v>-0.005379</v>
      </c>
      <c r="M788" s="4">
        <v>-0.002047</v>
      </c>
      <c r="N788" s="4">
        <v>-0.006655</v>
      </c>
      <c r="O788" s="4">
        <v>0.004488</v>
      </c>
      <c r="P788" s="4">
        <v>-0.015103</v>
      </c>
      <c r="Q788" s="4">
        <v>-0.038936</v>
      </c>
      <c r="R788" s="4">
        <v>-0.015589</v>
      </c>
      <c r="S788" s="4">
        <v>-0.017832</v>
      </c>
      <c r="T788" s="4">
        <v>-0.00689</v>
      </c>
      <c r="U788" s="4">
        <v>0.006311</v>
      </c>
      <c r="V788" s="4">
        <v>-0.00486955797468202</v>
      </c>
      <c r="W788" s="4">
        <v>0.020661104949657</v>
      </c>
      <c r="X788" s="4">
        <v>0.0132449783746253</v>
      </c>
      <c r="Y788" s="4">
        <v>0.0022499872590848</v>
      </c>
      <c r="Z788" s="4">
        <v>-0.0018229170920585</v>
      </c>
      <c r="AA788" s="4">
        <v>-0.0042048171457366</v>
      </c>
      <c r="AB788" s="4">
        <v>0.0063082190504664</v>
      </c>
      <c r="AC788" s="4">
        <v>0.0037735815854849</v>
      </c>
      <c r="AD788" s="4">
        <v>0.0026387426764287</v>
      </c>
      <c r="AE788" s="4">
        <v>-0.0088818781874931</v>
      </c>
      <c r="AF788" s="4">
        <v>0.0103398617989485</v>
      </c>
      <c r="AG788" s="4">
        <v>-0.0012007962248715</v>
      </c>
      <c r="AH788" s="4">
        <v>-0.0145699203398703</v>
      </c>
      <c r="AI788" s="4">
        <v>0.0</v>
      </c>
      <c r="AJ788" s="4">
        <v>0.002773</v>
      </c>
      <c r="AK788" s="4">
        <f>Weights!E844</f>
        <v>-0.003507952347</v>
      </c>
      <c r="AL788" s="5">
        <v>0.00126973127091312</v>
      </c>
      <c r="AM788" s="5">
        <v>3.85586658245618E-4</v>
      </c>
      <c r="AN788" s="5">
        <v>0.00411523728004303</v>
      </c>
      <c r="AO788" s="5">
        <v>0.00430723693553836</v>
      </c>
      <c r="AP788" s="6">
        <f t="shared" si="3"/>
        <v>1.572502248</v>
      </c>
      <c r="AQ788" s="4">
        <f t="shared" si="4"/>
        <v>1.283758207</v>
      </c>
      <c r="AR788" s="7">
        <f t="shared" si="5"/>
        <v>1.263094803</v>
      </c>
      <c r="AS788" s="7">
        <f t="shared" ref="AS788:AU788" si="790">AS787*(1+AM788)</f>
        <v>1.332781663</v>
      </c>
      <c r="AT788" s="5">
        <f t="shared" si="790"/>
        <v>1.34757685</v>
      </c>
      <c r="AU788" s="5">
        <f t="shared" si="790"/>
        <v>1.328538618</v>
      </c>
    </row>
    <row r="789" ht="15.75" customHeight="1">
      <c r="A789" s="3">
        <v>44973.0</v>
      </c>
      <c r="B789" s="4">
        <v>-0.006856</v>
      </c>
      <c r="C789" s="4">
        <v>-0.013373</v>
      </c>
      <c r="D789" s="4">
        <v>0.001439</v>
      </c>
      <c r="E789" s="4">
        <v>-0.002841</v>
      </c>
      <c r="F789" s="4">
        <v>-0.006209</v>
      </c>
      <c r="G789" s="4">
        <v>-0.00709</v>
      </c>
      <c r="H789" s="4">
        <v>-0.013097</v>
      </c>
      <c r="I789" s="4">
        <v>-0.008858</v>
      </c>
      <c r="J789" s="4">
        <v>-0.006571</v>
      </c>
      <c r="K789" s="4">
        <v>-0.008923</v>
      </c>
      <c r="L789" s="4">
        <v>-0.004443</v>
      </c>
      <c r="M789" s="4">
        <v>0.033846</v>
      </c>
      <c r="N789" s="4">
        <v>-0.001379</v>
      </c>
      <c r="O789" s="4">
        <v>-0.004514</v>
      </c>
      <c r="P789" s="4">
        <v>-0.009719</v>
      </c>
      <c r="Q789" s="4">
        <v>0.007905</v>
      </c>
      <c r="R789" s="4">
        <v>0.010636</v>
      </c>
      <c r="S789" s="4">
        <v>-9.43E-4</v>
      </c>
      <c r="T789" s="4">
        <v>-0.001529</v>
      </c>
      <c r="U789" s="4">
        <v>0.006124</v>
      </c>
      <c r="V789" s="4">
        <v>0.0132820493549219</v>
      </c>
      <c r="W789" s="4">
        <v>-0.0245706866162714</v>
      </c>
      <c r="X789" s="4">
        <v>-0.0078430628891112</v>
      </c>
      <c r="Y789" s="4">
        <v>-0.0101326835497822</v>
      </c>
      <c r="Z789" s="4">
        <v>-0.0133617011084157</v>
      </c>
      <c r="AA789" s="4">
        <v>-0.0019193357473212</v>
      </c>
      <c r="AB789" s="4">
        <v>-0.002985146250817</v>
      </c>
      <c r="AC789" s="4">
        <v>0.0</v>
      </c>
      <c r="AD789" s="4">
        <v>-0.0026317980386283</v>
      </c>
      <c r="AE789" s="4">
        <v>0.0133685703188415</v>
      </c>
      <c r="AF789" s="4">
        <v>0.0078946823423888</v>
      </c>
      <c r="AG789" s="4">
        <v>-0.0091812362299167</v>
      </c>
      <c r="AH789" s="4">
        <v>0.0295706831780404</v>
      </c>
      <c r="AI789" s="4">
        <v>-0.0036613714134867</v>
      </c>
      <c r="AJ789" s="4">
        <v>-0.013789</v>
      </c>
      <c r="AK789" s="4">
        <f>Weights!E845</f>
        <v>-0.0002543925229</v>
      </c>
      <c r="AL789" s="5">
        <v>0.00143715058934712</v>
      </c>
      <c r="AM789" s="5">
        <v>0.00448122994994859</v>
      </c>
      <c r="AN789" s="5">
        <v>3.15130168653032E-4</v>
      </c>
      <c r="AO789" s="5">
        <v>4.76453713868618E-4</v>
      </c>
      <c r="AP789" s="6">
        <f t="shared" si="3"/>
        <v>1.572102215</v>
      </c>
      <c r="AQ789" s="4">
        <f t="shared" si="4"/>
        <v>1.266056465</v>
      </c>
      <c r="AR789" s="7">
        <f t="shared" si="5"/>
        <v>1.26491006</v>
      </c>
      <c r="AS789" s="7">
        <f t="shared" ref="AS789:AU789" si="791">AS788*(1+AM789)</f>
        <v>1.338754164</v>
      </c>
      <c r="AT789" s="5">
        <f t="shared" si="791"/>
        <v>1.348001512</v>
      </c>
      <c r="AU789" s="5">
        <f t="shared" si="791"/>
        <v>1.329171605</v>
      </c>
    </row>
    <row r="790" ht="15.75" customHeight="1">
      <c r="A790" s="3">
        <v>44974.0</v>
      </c>
      <c r="B790" s="4">
        <v>0.015779</v>
      </c>
      <c r="C790" s="4">
        <v>0.009538</v>
      </c>
      <c r="D790" s="4">
        <v>0.007801</v>
      </c>
      <c r="E790" s="4">
        <v>0.004387</v>
      </c>
      <c r="F790" s="4">
        <v>0.015198</v>
      </c>
      <c r="G790" s="4">
        <v>0.020728</v>
      </c>
      <c r="H790" s="4">
        <v>0.020927</v>
      </c>
      <c r="I790" s="4">
        <v>-0.006639</v>
      </c>
      <c r="J790" s="4">
        <v>0.013229</v>
      </c>
      <c r="K790" s="4">
        <v>7.26E-4</v>
      </c>
      <c r="L790" s="4">
        <v>-9.7E-5</v>
      </c>
      <c r="M790" s="4">
        <v>-0.002976</v>
      </c>
      <c r="N790" s="4">
        <v>0.009274</v>
      </c>
      <c r="O790" s="4">
        <v>0.010425</v>
      </c>
      <c r="P790" s="4">
        <v>-0.009378</v>
      </c>
      <c r="Q790" s="4">
        <v>-0.009804</v>
      </c>
      <c r="R790" s="4">
        <v>-0.023854</v>
      </c>
      <c r="S790" s="4">
        <v>-0.002124</v>
      </c>
      <c r="T790" s="4">
        <v>-0.010305</v>
      </c>
      <c r="U790" s="4">
        <v>-0.001833</v>
      </c>
      <c r="V790" s="4">
        <v>-6.89807761601657E-4</v>
      </c>
      <c r="W790" s="4">
        <v>0.0113066177089711</v>
      </c>
      <c r="X790" s="4">
        <v>-0.0026351633013228</v>
      </c>
      <c r="Y790" s="4">
        <v>0.0072943104163079</v>
      </c>
      <c r="Z790" s="4">
        <v>0.0113017419749217</v>
      </c>
      <c r="AA790" s="4">
        <v>0.0149999115094219</v>
      </c>
      <c r="AB790" s="4">
        <v>0.0044909049668089</v>
      </c>
      <c r="AC790" s="4">
        <v>0.0018796179151463</v>
      </c>
      <c r="AD790" s="4">
        <v>-0.0065962896097777</v>
      </c>
      <c r="AE790" s="4">
        <v>0.0054364332843563</v>
      </c>
      <c r="AF790" s="4">
        <v>0.0263997944098846</v>
      </c>
      <c r="AG790" s="4">
        <v>-0.0099283228440157</v>
      </c>
      <c r="AH790" s="4">
        <v>-0.0185032172680629</v>
      </c>
      <c r="AI790" s="4">
        <v>0.0083989461082039</v>
      </c>
      <c r="AJ790" s="4">
        <v>-0.002767</v>
      </c>
      <c r="AK790" s="4">
        <f>Weights!E846</f>
        <v>0.002448599395</v>
      </c>
      <c r="AL790" s="5">
        <v>-0.010890550002426</v>
      </c>
      <c r="AM790" s="5">
        <v>-0.0133358440653894</v>
      </c>
      <c r="AN790" s="5">
        <v>9.45609228681254E-4</v>
      </c>
      <c r="AO790" s="5">
        <v>2.38064802425164E-4</v>
      </c>
      <c r="AP790" s="6">
        <f t="shared" si="3"/>
        <v>1.575951664</v>
      </c>
      <c r="AQ790" s="4">
        <f t="shared" si="4"/>
        <v>1.262553287</v>
      </c>
      <c r="AR790" s="7">
        <f t="shared" si="5"/>
        <v>1.251134494</v>
      </c>
      <c r="AS790" s="7">
        <f t="shared" ref="AS790:AU790" si="792">AS789*(1+AM790)</f>
        <v>1.320900747</v>
      </c>
      <c r="AT790" s="5">
        <f t="shared" si="792"/>
        <v>1.349276194</v>
      </c>
      <c r="AU790" s="5">
        <f t="shared" si="792"/>
        <v>1.329488034</v>
      </c>
    </row>
    <row r="791" ht="15.75" customHeight="1">
      <c r="A791" s="3">
        <v>44978.0</v>
      </c>
      <c r="B791" s="4">
        <v>-0.017961</v>
      </c>
      <c r="C791" s="4">
        <v>-0.025361</v>
      </c>
      <c r="D791" s="4">
        <v>-0.006722</v>
      </c>
      <c r="E791" s="4">
        <v>-5.67E-4</v>
      </c>
      <c r="F791" s="4">
        <v>-0.005323</v>
      </c>
      <c r="G791" s="4">
        <v>-0.014901</v>
      </c>
      <c r="H791" s="4">
        <v>-7.14E-4</v>
      </c>
      <c r="I791" s="4">
        <v>-0.02108</v>
      </c>
      <c r="J791" s="4">
        <v>-0.010638</v>
      </c>
      <c r="K791" s="4">
        <v>-0.013786</v>
      </c>
      <c r="L791" s="4">
        <v>-0.009314</v>
      </c>
      <c r="M791" s="4">
        <v>-0.018408</v>
      </c>
      <c r="N791" s="4">
        <v>-0.022874</v>
      </c>
      <c r="O791" s="4">
        <v>-0.003979</v>
      </c>
      <c r="P791" s="4">
        <v>-0.005504</v>
      </c>
      <c r="Q791" s="4">
        <v>-0.005941</v>
      </c>
      <c r="R791" s="4">
        <v>0.022041</v>
      </c>
      <c r="S791" s="4">
        <v>-0.008278</v>
      </c>
      <c r="T791" s="4">
        <v>-0.026953</v>
      </c>
      <c r="U791" s="4">
        <v>-0.006245</v>
      </c>
      <c r="V791" s="4">
        <v>-0.00862972989773691</v>
      </c>
      <c r="W791" s="4">
        <v>0.0249080567544461</v>
      </c>
      <c r="X791" s="4">
        <v>0.0290622054186113</v>
      </c>
      <c r="Y791" s="4">
        <v>0.0013387887971134</v>
      </c>
      <c r="Z791" s="4">
        <v>0.0036607349202681</v>
      </c>
      <c r="AA791" s="4">
        <v>0.0039789419390492</v>
      </c>
      <c r="AB791" s="4">
        <v>0.0134129837849048</v>
      </c>
      <c r="AC791" s="4">
        <v>0.0</v>
      </c>
      <c r="AD791" s="4">
        <v>0.0013280179127148</v>
      </c>
      <c r="AE791" s="4">
        <v>-0.0152116500389286</v>
      </c>
      <c r="AF791" s="4">
        <v>0.0059355466852979</v>
      </c>
      <c r="AG791" s="4">
        <v>-0.0063511468135385</v>
      </c>
      <c r="AH791" s="4">
        <v>-0.0295441817680757</v>
      </c>
      <c r="AI791" s="4">
        <v>0.0052055924561578</v>
      </c>
      <c r="AJ791" s="4">
        <v>-0.020041</v>
      </c>
      <c r="AK791" s="4">
        <f>Weights!E847</f>
        <v>-0.005648990403</v>
      </c>
      <c r="AL791" s="5">
        <v>-0.00238990953105366</v>
      </c>
      <c r="AM791" s="5">
        <v>-0.00291716985163981</v>
      </c>
      <c r="AN791" s="5">
        <v>-0.00692690595383893</v>
      </c>
      <c r="AO791" s="5">
        <v>-0.00476181498069305</v>
      </c>
      <c r="AP791" s="6">
        <f t="shared" si="3"/>
        <v>1.567049128</v>
      </c>
      <c r="AQ791" s="4">
        <f t="shared" si="4"/>
        <v>1.237250456</v>
      </c>
      <c r="AR791" s="7">
        <f t="shared" si="5"/>
        <v>1.248144396</v>
      </c>
      <c r="AS791" s="7">
        <f t="shared" ref="AS791:AU791" si="793">AS790*(1+AM791)</f>
        <v>1.317047455</v>
      </c>
      <c r="AT791" s="5">
        <f t="shared" si="793"/>
        <v>1.339929885</v>
      </c>
      <c r="AU791" s="5">
        <f t="shared" si="793"/>
        <v>1.323157258</v>
      </c>
    </row>
    <row r="792" ht="15.75" customHeight="1">
      <c r="A792" s="3">
        <v>44979.0</v>
      </c>
      <c r="B792" s="4">
        <v>4.94E-4</v>
      </c>
      <c r="C792" s="4">
        <v>0.002041</v>
      </c>
      <c r="D792" s="4">
        <v>-0.004307</v>
      </c>
      <c r="E792" s="4">
        <v>-3.41E-4</v>
      </c>
      <c r="F792" s="4">
        <v>0.00301</v>
      </c>
      <c r="G792" s="4">
        <v>-0.001392</v>
      </c>
      <c r="H792" s="4">
        <v>0.004217</v>
      </c>
      <c r="I792" s="4">
        <v>-0.007353</v>
      </c>
      <c r="J792" s="4">
        <v>-0.003421</v>
      </c>
      <c r="K792" s="4">
        <v>-0.008682</v>
      </c>
      <c r="L792" s="4">
        <v>-0.013515</v>
      </c>
      <c r="M792" s="4">
        <v>0.007096</v>
      </c>
      <c r="N792" s="4">
        <v>-0.013005</v>
      </c>
      <c r="O792" s="4">
        <v>-0.005992</v>
      </c>
      <c r="P792" s="4">
        <v>-0.02081</v>
      </c>
      <c r="Q792" s="4">
        <v>-0.038845</v>
      </c>
      <c r="R792" s="4">
        <v>-0.020394</v>
      </c>
      <c r="S792" s="4">
        <v>-0.021703</v>
      </c>
      <c r="T792" s="4">
        <v>-4.28E-4</v>
      </c>
      <c r="U792" s="4">
        <v>0.005175</v>
      </c>
      <c r="V792" s="4">
        <v>-0.00626731532608904</v>
      </c>
      <c r="W792" s="4">
        <v>-0.0146368527821375</v>
      </c>
      <c r="X792" s="4">
        <v>0.0</v>
      </c>
      <c r="Y792" s="4">
        <v>0.0066239564415964</v>
      </c>
      <c r="Z792" s="4">
        <v>0.0170859651525789</v>
      </c>
      <c r="AA792" s="4">
        <v>0.0179278547252943</v>
      </c>
      <c r="AB792" s="4">
        <v>0.0017647110288792</v>
      </c>
      <c r="AC792" s="4">
        <v>0.0</v>
      </c>
      <c r="AD792" s="4">
        <v>0.0</v>
      </c>
      <c r="AE792" s="4">
        <v>-0.0051244824264693</v>
      </c>
      <c r="AF792" s="4">
        <v>0.0112390832451281</v>
      </c>
      <c r="AG792" s="4">
        <v>0.0082979525517676</v>
      </c>
      <c r="AH792" s="4">
        <v>0.0179762361163857</v>
      </c>
      <c r="AI792" s="4">
        <v>0.0025895333169518</v>
      </c>
      <c r="AJ792" s="4">
        <v>-0.001574</v>
      </c>
      <c r="AK792" s="4">
        <f>Weights!E848</f>
        <v>-0.001131778738</v>
      </c>
      <c r="AL792" s="5">
        <v>-0.0171115524613821</v>
      </c>
      <c r="AM792" s="5">
        <v>-0.0207235361329902</v>
      </c>
      <c r="AN792" s="5">
        <v>-0.00475600784013441</v>
      </c>
      <c r="AO792" s="5">
        <v>-0.00382781539342502</v>
      </c>
      <c r="AP792" s="6">
        <f t="shared" si="3"/>
        <v>1.565275575</v>
      </c>
      <c r="AQ792" s="4">
        <f t="shared" si="4"/>
        <v>1.235303024</v>
      </c>
      <c r="AR792" s="7">
        <f t="shared" si="5"/>
        <v>1.226786707</v>
      </c>
      <c r="AS792" s="7">
        <f t="shared" ref="AS792:AU792" si="794">AS791*(1+AM792)</f>
        <v>1.289753575</v>
      </c>
      <c r="AT792" s="5">
        <f t="shared" si="794"/>
        <v>1.333557168</v>
      </c>
      <c r="AU792" s="5">
        <f t="shared" si="794"/>
        <v>1.318092457</v>
      </c>
    </row>
    <row r="793" ht="15.75" customHeight="1">
      <c r="A793" s="3">
        <v>44980.0</v>
      </c>
      <c r="B793" s="4">
        <v>-0.006423</v>
      </c>
      <c r="C793" s="4">
        <v>-0.019094</v>
      </c>
      <c r="D793" s="4">
        <v>-0.007621</v>
      </c>
      <c r="E793" s="4">
        <v>0.001079</v>
      </c>
      <c r="F793" s="4">
        <v>0.001834</v>
      </c>
      <c r="G793" s="4">
        <v>-3.17E-4</v>
      </c>
      <c r="H793" s="4">
        <v>-0.003203</v>
      </c>
      <c r="I793" s="4">
        <v>0.001323</v>
      </c>
      <c r="J793" s="4">
        <v>-0.008583</v>
      </c>
      <c r="K793" s="4">
        <v>-0.008758</v>
      </c>
      <c r="L793" s="4">
        <v>-0.001291</v>
      </c>
      <c r="M793" s="4">
        <v>-0.007046</v>
      </c>
      <c r="N793" s="4">
        <v>-0.01196</v>
      </c>
      <c r="O793" s="4">
        <v>0.00472</v>
      </c>
      <c r="P793" s="4">
        <v>6.78E-4</v>
      </c>
      <c r="Q793" s="4">
        <v>-0.021762</v>
      </c>
      <c r="R793" s="4">
        <v>-0.028715</v>
      </c>
      <c r="S793" s="4">
        <v>-0.005607</v>
      </c>
      <c r="T793" s="4">
        <v>-0.001101</v>
      </c>
      <c r="U793" s="4">
        <v>-0.008606</v>
      </c>
      <c r="V793" s="4">
        <v>-0.0213736063478696</v>
      </c>
      <c r="W793" s="4">
        <v>-0.0043441281926607</v>
      </c>
      <c r="X793" s="4">
        <v>-0.0012837021224312</v>
      </c>
      <c r="Y793" s="4">
        <v>0.0021131873181339</v>
      </c>
      <c r="Z793" s="4">
        <v>-0.0040581095404025</v>
      </c>
      <c r="AA793" s="4">
        <v>0.0</v>
      </c>
      <c r="AB793" s="4">
        <v>-0.002348803079806</v>
      </c>
      <c r="AC793" s="4">
        <v>-0.0187616316206534</v>
      </c>
      <c r="AD793" s="4">
        <v>-0.0013158990193141</v>
      </c>
      <c r="AE793" s="4">
        <v>0.0083886190362358</v>
      </c>
      <c r="AF793" s="4">
        <v>0.0058349444243988</v>
      </c>
      <c r="AG793" s="4">
        <v>0.0</v>
      </c>
      <c r="AH793" s="4">
        <v>0.0</v>
      </c>
      <c r="AI793" s="4">
        <v>0.001549491510816</v>
      </c>
      <c r="AJ793" s="4">
        <v>0.005329</v>
      </c>
      <c r="AK793" s="4">
        <f>Weights!E849</f>
        <v>-0.00444287444</v>
      </c>
      <c r="AL793" s="5">
        <v>-0.0022632408510993</v>
      </c>
      <c r="AM793" s="5">
        <v>-8.46439619685446E-4</v>
      </c>
      <c r="AN793" s="5">
        <v>-0.0111498825467644</v>
      </c>
      <c r="AO793" s="5">
        <v>-0.0129682607273847</v>
      </c>
      <c r="AP793" s="6">
        <f t="shared" si="3"/>
        <v>1.558321252</v>
      </c>
      <c r="AQ793" s="4">
        <f t="shared" si="4"/>
        <v>1.241885954</v>
      </c>
      <c r="AR793" s="7">
        <f t="shared" si="5"/>
        <v>1.224010193</v>
      </c>
      <c r="AS793" s="7">
        <f t="shared" ref="AS793:AU793" si="795">AS792*(1+AM793)</f>
        <v>1.288661876</v>
      </c>
      <c r="AT793" s="5">
        <f t="shared" si="795"/>
        <v>1.318688162</v>
      </c>
      <c r="AU793" s="5">
        <f t="shared" si="795"/>
        <v>1.30099909</v>
      </c>
    </row>
    <row r="794" ht="15.75" customHeight="1">
      <c r="A794" s="3">
        <v>44981.0</v>
      </c>
      <c r="B794" s="4">
        <v>-0.006962</v>
      </c>
      <c r="C794" s="4">
        <v>0.00545</v>
      </c>
      <c r="D794" s="4">
        <v>-0.003321</v>
      </c>
      <c r="E794" s="4">
        <v>-0.001985</v>
      </c>
      <c r="F794" s="4">
        <v>-0.00416</v>
      </c>
      <c r="G794" s="4">
        <v>-0.011158</v>
      </c>
      <c r="H794" s="4">
        <v>-0.005641</v>
      </c>
      <c r="I794" s="4">
        <v>-7.93E-4</v>
      </c>
      <c r="J794" s="4">
        <v>-0.004205</v>
      </c>
      <c r="K794" s="4">
        <v>0.002695</v>
      </c>
      <c r="L794" s="4">
        <v>0.002485</v>
      </c>
      <c r="M794" s="4">
        <v>-0.004055</v>
      </c>
      <c r="N794" s="4">
        <v>-0.005334</v>
      </c>
      <c r="O794" s="4">
        <v>-0.01614</v>
      </c>
      <c r="P794" s="4">
        <v>-0.016267</v>
      </c>
      <c r="Q794" s="4">
        <v>-0.039195</v>
      </c>
      <c r="R794" s="4">
        <v>-0.017246</v>
      </c>
      <c r="S794" s="4">
        <v>-0.007845</v>
      </c>
      <c r="T794" s="4">
        <v>-0.004654</v>
      </c>
      <c r="U794" s="4">
        <v>-0.004896</v>
      </c>
      <c r="V794" s="4">
        <v>-0.0204080900625343</v>
      </c>
      <c r="W794" s="4">
        <v>0.0102744452977616</v>
      </c>
      <c r="X794" s="4">
        <v>0.0025707042633813</v>
      </c>
      <c r="Y794" s="4">
        <v>0.0039760075222909</v>
      </c>
      <c r="Z794" s="4">
        <v>0.0176250921922596</v>
      </c>
      <c r="AA794" s="4">
        <v>0.0068594891387157</v>
      </c>
      <c r="AB794" s="4">
        <v>0.0085343327493236</v>
      </c>
      <c r="AC794" s="4">
        <v>0.0076481767371117</v>
      </c>
      <c r="AD794" s="4">
        <v>-0.0144927158675824</v>
      </c>
      <c r="AE794" s="4">
        <v>0.0024080685885217</v>
      </c>
      <c r="AF794" s="4">
        <v>0.014640878983037</v>
      </c>
      <c r="AG794" s="4">
        <v>-0.0061165241797181</v>
      </c>
      <c r="AH794" s="4">
        <v>0.0068357073219358</v>
      </c>
      <c r="AI794" s="4">
        <v>5.157698098363E-4</v>
      </c>
      <c r="AJ794" s="4">
        <v>-0.010538</v>
      </c>
      <c r="AK794" s="4">
        <f>Weights!E850</f>
        <v>-0.001844151758</v>
      </c>
      <c r="AL794" s="5">
        <v>0.00479852733095786</v>
      </c>
      <c r="AM794" s="5">
        <v>0.00533230257234573</v>
      </c>
      <c r="AN794" s="5">
        <v>-0.00360619738445744</v>
      </c>
      <c r="AO794" s="5">
        <v>-0.00316295222380924</v>
      </c>
      <c r="AP794" s="6">
        <f t="shared" si="3"/>
        <v>1.555447471</v>
      </c>
      <c r="AQ794" s="4">
        <f t="shared" si="4"/>
        <v>1.22879896</v>
      </c>
      <c r="AR794" s="7">
        <f t="shared" si="5"/>
        <v>1.22988364</v>
      </c>
      <c r="AS794" s="7">
        <f t="shared" ref="AS794:AU794" si="796">AS793*(1+AM794)</f>
        <v>1.295533411</v>
      </c>
      <c r="AT794" s="5">
        <f t="shared" si="796"/>
        <v>1.313932712</v>
      </c>
      <c r="AU794" s="5">
        <f t="shared" si="796"/>
        <v>1.296884092</v>
      </c>
    </row>
    <row r="795" ht="15.75" customHeight="1">
      <c r="A795" s="3">
        <v>44984.0</v>
      </c>
      <c r="B795" s="4">
        <v>0.001502</v>
      </c>
      <c r="C795" s="4">
        <v>0.003614</v>
      </c>
      <c r="D795" s="4">
        <v>-0.006456</v>
      </c>
      <c r="E795" s="4">
        <v>-2.84E-4</v>
      </c>
      <c r="F795" s="4">
        <v>-3.34E-4</v>
      </c>
      <c r="G795" s="4">
        <v>-0.00218</v>
      </c>
      <c r="H795" s="4">
        <v>-8.62E-4</v>
      </c>
      <c r="I795" s="4">
        <v>0.005288</v>
      </c>
      <c r="J795" s="4">
        <v>2.48E-4</v>
      </c>
      <c r="K795" s="4">
        <v>-0.004032</v>
      </c>
      <c r="L795" s="4">
        <v>0.00823</v>
      </c>
      <c r="M795" s="4">
        <v>0.010087</v>
      </c>
      <c r="N795" s="4">
        <v>0.01052</v>
      </c>
      <c r="O795" s="4">
        <v>0.001702</v>
      </c>
      <c r="P795" s="4">
        <v>-0.004593</v>
      </c>
      <c r="Q795" s="4">
        <v>0.005513</v>
      </c>
      <c r="R795" s="4">
        <v>0.005515</v>
      </c>
      <c r="S795" s="4">
        <v>0.017297</v>
      </c>
      <c r="T795" s="4">
        <v>0.010767</v>
      </c>
      <c r="U795" s="4">
        <v>0.013569</v>
      </c>
      <c r="V795" s="4">
        <v>0.0186403672308992</v>
      </c>
      <c r="W795" s="4">
        <v>0.0232654977836677</v>
      </c>
      <c r="X795" s="4">
        <v>0.0</v>
      </c>
      <c r="Y795" s="4">
        <v>-0.004800375124076</v>
      </c>
      <c r="Z795" s="4">
        <v>-0.0154575496374738</v>
      </c>
      <c r="AA795" s="4">
        <v>0.0051555825246636</v>
      </c>
      <c r="AB795" s="4">
        <v>8.754654276725E-4</v>
      </c>
      <c r="AC795" s="4">
        <v>0.0</v>
      </c>
      <c r="AD795" s="4">
        <v>0.0</v>
      </c>
      <c r="AE795" s="4">
        <v>-0.0011648341147449</v>
      </c>
      <c r="AF795" s="4">
        <v>-0.0092567515585123</v>
      </c>
      <c r="AG795" s="4">
        <v>-0.0130918639651151</v>
      </c>
      <c r="AH795" s="4">
        <v>-0.0452616922053313</v>
      </c>
      <c r="AI795" s="4">
        <v>0.0082473102950919</v>
      </c>
      <c r="AJ795" s="4">
        <v>0.003073</v>
      </c>
      <c r="AK795" s="4">
        <f>Weights!E851</f>
        <v>0.0003276663427</v>
      </c>
      <c r="AL795" s="5">
        <v>-0.0131979264567065</v>
      </c>
      <c r="AM795" s="5">
        <v>-0.0111535086773303</v>
      </c>
      <c r="AN795" s="5">
        <v>-9.78275695022512E-4</v>
      </c>
      <c r="AO795" s="5">
        <v>4.88182691114058E-4</v>
      </c>
      <c r="AP795" s="6">
        <f t="shared" si="3"/>
        <v>1.555957139</v>
      </c>
      <c r="AQ795" s="4">
        <f t="shared" si="4"/>
        <v>1.232575059</v>
      </c>
      <c r="AR795" s="7">
        <f t="shared" si="5"/>
        <v>1.213651726</v>
      </c>
      <c r="AS795" s="7">
        <f t="shared" ref="AS795:AU795" si="797">AS794*(1+AM795)</f>
        <v>1.281083668</v>
      </c>
      <c r="AT795" s="5">
        <f t="shared" si="797"/>
        <v>1.312647324</v>
      </c>
      <c r="AU795" s="5">
        <f t="shared" si="797"/>
        <v>1.297517208</v>
      </c>
    </row>
    <row r="796" ht="15.75" customHeight="1">
      <c r="A796" s="3">
        <v>44985.0</v>
      </c>
      <c r="B796" s="4">
        <v>-0.006</v>
      </c>
      <c r="C796" s="4">
        <v>-0.0018</v>
      </c>
      <c r="D796" s="4">
        <v>0.001467</v>
      </c>
      <c r="E796" s="4">
        <v>-0.01353</v>
      </c>
      <c r="F796" s="4">
        <v>-0.005182</v>
      </c>
      <c r="G796" s="4">
        <v>-0.015228</v>
      </c>
      <c r="H796" s="4">
        <v>-0.011355</v>
      </c>
      <c r="I796" s="4">
        <v>-0.013151</v>
      </c>
      <c r="J796" s="4">
        <v>-0.017383</v>
      </c>
      <c r="K796" s="4">
        <v>-0.002099</v>
      </c>
      <c r="L796" s="4">
        <v>-0.001967</v>
      </c>
      <c r="M796" s="4">
        <v>0.009193</v>
      </c>
      <c r="N796" s="4">
        <v>-0.003271</v>
      </c>
      <c r="O796" s="4">
        <v>0.005239</v>
      </c>
      <c r="P796" s="4">
        <v>0.00623</v>
      </c>
      <c r="Q796" s="4">
        <v>-0.003289</v>
      </c>
      <c r="R796" s="4">
        <v>0.021441</v>
      </c>
      <c r="S796" s="4">
        <v>0.011659</v>
      </c>
      <c r="T796" s="4">
        <v>0.019235</v>
      </c>
      <c r="U796" s="4">
        <v>-0.013056</v>
      </c>
      <c r="V796" s="4">
        <v>-0.00753501612993023</v>
      </c>
      <c r="W796" s="4">
        <v>-0.0296799978871469</v>
      </c>
      <c r="X796" s="4">
        <v>-0.0038462729347192</v>
      </c>
      <c r="Y796" s="4">
        <v>-0.0123605604976432</v>
      </c>
      <c r="Z796" s="4">
        <v>-0.0087013889813928</v>
      </c>
      <c r="AA796" s="4">
        <v>-0.0089761535023158</v>
      </c>
      <c r="AB796" s="4">
        <v>-0.0081632894070616</v>
      </c>
      <c r="AC796" s="4">
        <v>0.0075900456697848</v>
      </c>
      <c r="AD796" s="4">
        <v>0.0026736747909004</v>
      </c>
      <c r="AE796" s="4">
        <v>-0.0146489766301374</v>
      </c>
      <c r="AF796" s="4">
        <v>-0.015388884973808</v>
      </c>
      <c r="AG796" s="4">
        <v>-0.0013126571693334</v>
      </c>
      <c r="AH796" s="4">
        <v>0.0065185405589915</v>
      </c>
      <c r="AI796" s="4">
        <v>-0.0010223611103558</v>
      </c>
      <c r="AJ796" s="4">
        <v>-0.003036</v>
      </c>
      <c r="AK796" s="4">
        <f>Weights!E852</f>
        <v>-0.004168029203</v>
      </c>
      <c r="AL796" s="5">
        <v>0.00624722357180251</v>
      </c>
      <c r="AM796" s="5">
        <v>0.00355922200213565</v>
      </c>
      <c r="AN796" s="5">
        <v>0.0016319676821066</v>
      </c>
      <c r="AO796" s="5">
        <v>4.87944485062286E-4</v>
      </c>
      <c r="AP796" s="6">
        <f t="shared" si="3"/>
        <v>1.549471864</v>
      </c>
      <c r="AQ796" s="4">
        <f t="shared" si="4"/>
        <v>1.228832961</v>
      </c>
      <c r="AR796" s="7">
        <f t="shared" si="5"/>
        <v>1.22123368</v>
      </c>
      <c r="AS796" s="7">
        <f t="shared" ref="AS796:AU796" si="798">AS795*(1+AM796)</f>
        <v>1.285643329</v>
      </c>
      <c r="AT796" s="5">
        <f t="shared" si="798"/>
        <v>1.314789522</v>
      </c>
      <c r="AU796" s="5">
        <f t="shared" si="798"/>
        <v>1.298150325</v>
      </c>
    </row>
    <row r="797" ht="15.75" customHeight="1">
      <c r="A797" s="3">
        <v>44986.0</v>
      </c>
      <c r="B797" s="4">
        <v>-0.001006</v>
      </c>
      <c r="C797" s="4">
        <v>-0.013141</v>
      </c>
      <c r="D797" s="4">
        <v>-0.003767</v>
      </c>
      <c r="E797" s="4">
        <v>-0.012678</v>
      </c>
      <c r="F797" s="4">
        <v>-0.010922</v>
      </c>
      <c r="G797" s="4">
        <v>-0.004502</v>
      </c>
      <c r="H797" s="4">
        <v>7.27E-4</v>
      </c>
      <c r="I797" s="4">
        <v>0.01306</v>
      </c>
      <c r="J797" s="4">
        <v>-0.006318</v>
      </c>
      <c r="K797" s="4">
        <v>0.001052</v>
      </c>
      <c r="L797" s="4">
        <v>-0.031041</v>
      </c>
      <c r="M797" s="4">
        <v>0.012146</v>
      </c>
      <c r="N797" s="4">
        <v>0.009317</v>
      </c>
      <c r="O797" s="4">
        <v>0.005211</v>
      </c>
      <c r="P797" s="4">
        <v>0.011236</v>
      </c>
      <c r="Q797" s="4">
        <v>0.016502</v>
      </c>
      <c r="R797" s="4">
        <v>0.049548</v>
      </c>
      <c r="S797" s="4">
        <v>-9.6E-4</v>
      </c>
      <c r="T797" s="4">
        <v>0.019709</v>
      </c>
      <c r="U797" s="4">
        <v>-0.003584</v>
      </c>
      <c r="V797" s="4">
        <v>0.0166305767415038</v>
      </c>
      <c r="W797" s="4">
        <v>7.01510791796E-4</v>
      </c>
      <c r="X797" s="4">
        <v>0.0</v>
      </c>
      <c r="Y797" s="4">
        <v>0.0074480902808289</v>
      </c>
      <c r="Z797" s="4">
        <v>0.0117356350879764</v>
      </c>
      <c r="AA797" s="4">
        <v>0.0022181703330916</v>
      </c>
      <c r="AB797" s="4">
        <v>0.009994150854377</v>
      </c>
      <c r="AC797" s="4">
        <v>0.0</v>
      </c>
      <c r="AD797" s="4">
        <v>0.0</v>
      </c>
      <c r="AE797" s="4">
        <v>0.0040679451178924</v>
      </c>
      <c r="AF797" s="4">
        <v>0.0125592683097572</v>
      </c>
      <c r="AG797" s="4">
        <v>-0.0054870493277857</v>
      </c>
      <c r="AH797" s="4">
        <v>0.0256108010843025</v>
      </c>
      <c r="AI797" s="4">
        <v>-0.0056299148345293</v>
      </c>
      <c r="AJ797" s="4">
        <v>-0.004725</v>
      </c>
      <c r="AK797" s="4">
        <f>Weights!E853</f>
        <v>0.003960537517</v>
      </c>
      <c r="AL797" s="5">
        <v>-0.00332274833476542</v>
      </c>
      <c r="AM797" s="5">
        <v>-0.00334689252278486</v>
      </c>
      <c r="AN797" s="5">
        <v>0.00260668208547532</v>
      </c>
      <c r="AO797" s="5">
        <v>0.00292604000427587</v>
      </c>
      <c r="AP797" s="6">
        <f t="shared" si="3"/>
        <v>1.555608606</v>
      </c>
      <c r="AQ797" s="4">
        <f t="shared" si="4"/>
        <v>1.223026725</v>
      </c>
      <c r="AR797" s="7">
        <f t="shared" si="5"/>
        <v>1.217175827</v>
      </c>
      <c r="AS797" s="7">
        <f t="shared" ref="AS797:AU797" si="799">AS796*(1+AM797)</f>
        <v>1.281340419</v>
      </c>
      <c r="AT797" s="5">
        <f t="shared" si="799"/>
        <v>1.31821676</v>
      </c>
      <c r="AU797" s="5">
        <f t="shared" si="799"/>
        <v>1.301948764</v>
      </c>
    </row>
    <row r="798" ht="15.75" customHeight="1">
      <c r="A798" s="3">
        <v>44987.0</v>
      </c>
      <c r="B798" s="4">
        <v>0.001511</v>
      </c>
      <c r="C798" s="4">
        <v>0.002872</v>
      </c>
      <c r="D798" s="4">
        <v>-0.011975</v>
      </c>
      <c r="E798" s="4">
        <v>0.018327</v>
      </c>
      <c r="F798" s="4">
        <v>0.014611</v>
      </c>
      <c r="G798" s="4">
        <v>-7.87E-4</v>
      </c>
      <c r="H798" s="4">
        <v>0.01649</v>
      </c>
      <c r="I798" s="4">
        <v>0.017101</v>
      </c>
      <c r="J798" s="4">
        <v>0.004069</v>
      </c>
      <c r="K798" s="4">
        <v>-0.023266</v>
      </c>
      <c r="L798" s="4">
        <v>0.019221</v>
      </c>
      <c r="M798" s="4">
        <v>-0.0015</v>
      </c>
      <c r="N798" s="4">
        <v>-8.21E-4</v>
      </c>
      <c r="O798" s="4">
        <v>0.007333</v>
      </c>
      <c r="P798" s="4">
        <v>-0.003628</v>
      </c>
      <c r="Q798" s="4">
        <v>0.00974</v>
      </c>
      <c r="R798" s="4">
        <v>-0.004186</v>
      </c>
      <c r="S798" s="4">
        <v>0.0</v>
      </c>
      <c r="T798" s="4">
        <v>0.029519</v>
      </c>
      <c r="U798" s="4">
        <v>0.001874</v>
      </c>
      <c r="V798" s="4">
        <v>-0.00284494576355076</v>
      </c>
      <c r="W798" s="4">
        <v>0.0063096507613955</v>
      </c>
      <c r="X798" s="4">
        <v>0.0154441825719771</v>
      </c>
      <c r="Y798" s="4">
        <v>0.0018179700103759</v>
      </c>
      <c r="Z798" s="4">
        <v>0.0056581806484456</v>
      </c>
      <c r="AA798" s="4">
        <v>-0.0020288157958759</v>
      </c>
      <c r="AB798" s="4">
        <v>-0.0049476280857284</v>
      </c>
      <c r="AC798" s="4">
        <v>-0.0207155345112942</v>
      </c>
      <c r="AD798" s="4">
        <v>0.0053474645143027</v>
      </c>
      <c r="AE798" s="4">
        <v>0.0040515376879384</v>
      </c>
      <c r="AF798" s="4">
        <v>0.0066152527733813</v>
      </c>
      <c r="AG798" s="4">
        <v>0.0022989399796058</v>
      </c>
      <c r="AH798" s="4">
        <v>0.0117681194529104</v>
      </c>
      <c r="AI798" s="4">
        <v>-0.0020582960979429</v>
      </c>
      <c r="AJ798" s="4">
        <v>0.007582</v>
      </c>
      <c r="AK798" s="4">
        <f>Weights!E854</f>
        <v>0.003327217811</v>
      </c>
      <c r="AL798" s="5">
        <v>-0.00131603119243617</v>
      </c>
      <c r="AM798" s="5">
        <v>0.00240586706345946</v>
      </c>
      <c r="AN798" s="5">
        <v>-0.00292495910742229</v>
      </c>
      <c r="AO798" s="5">
        <v>-0.00194513450406608</v>
      </c>
      <c r="AP798" s="6">
        <f t="shared" si="3"/>
        <v>1.560784454</v>
      </c>
      <c r="AQ798" s="4">
        <f t="shared" si="4"/>
        <v>1.232299714</v>
      </c>
      <c r="AR798" s="7">
        <f t="shared" si="5"/>
        <v>1.215573986</v>
      </c>
      <c r="AS798" s="7">
        <f t="shared" ref="AS798:AU798" si="800">AS797*(1+AM798)</f>
        <v>1.284423154</v>
      </c>
      <c r="AT798" s="5">
        <f t="shared" si="800"/>
        <v>1.31436103</v>
      </c>
      <c r="AU798" s="5">
        <f t="shared" si="800"/>
        <v>1.299416299</v>
      </c>
    </row>
    <row r="799" ht="15.75" customHeight="1">
      <c r="A799" s="3">
        <v>44988.0</v>
      </c>
      <c r="B799" s="4">
        <v>0.009553</v>
      </c>
      <c r="C799" s="4">
        <v>-0.003905</v>
      </c>
      <c r="D799" s="4">
        <v>0.00808</v>
      </c>
      <c r="E799" s="4">
        <v>-9.81E-4</v>
      </c>
      <c r="F799" s="4">
        <v>-0.004689</v>
      </c>
      <c r="G799" s="4">
        <v>0.010299</v>
      </c>
      <c r="H799" s="4">
        <v>0.007289</v>
      </c>
      <c r="I799" s="4">
        <v>0.005173</v>
      </c>
      <c r="J799" s="4">
        <v>0.015957</v>
      </c>
      <c r="K799" s="4">
        <v>0.006455</v>
      </c>
      <c r="L799" s="4">
        <v>0.003692</v>
      </c>
      <c r="M799" s="4">
        <v>0.010015</v>
      </c>
      <c r="N799" s="4">
        <v>0.012113</v>
      </c>
      <c r="O799" s="4">
        <v>0.019149</v>
      </c>
      <c r="P799" s="4">
        <v>0.017296</v>
      </c>
      <c r="Q799" s="4">
        <v>0.03537</v>
      </c>
      <c r="R799" s="4">
        <v>0.021252</v>
      </c>
      <c r="S799" s="4">
        <v>0.006729</v>
      </c>
      <c r="T799" s="4">
        <v>0.014734</v>
      </c>
      <c r="U799" s="4">
        <v>0.003366</v>
      </c>
      <c r="V799" s="4">
        <v>0.0017830333928579</v>
      </c>
      <c r="W799" s="4">
        <v>-0.00236866991331</v>
      </c>
      <c r="X799" s="4">
        <v>0.0076044897027178</v>
      </c>
      <c r="Y799" s="4">
        <v>0.0035688787504135</v>
      </c>
      <c r="Z799" s="4">
        <v>0.0028132817317083</v>
      </c>
      <c r="AA799" s="4">
        <v>0.0049899000910413</v>
      </c>
      <c r="AB799" s="4">
        <v>0.0035096851711575</v>
      </c>
      <c r="AC799" s="4">
        <v>0.0096152944683931</v>
      </c>
      <c r="AD799" s="4">
        <v>-0.0026595677790802</v>
      </c>
      <c r="AE799" s="4">
        <v>-0.0068232871899724</v>
      </c>
      <c r="AF799" s="4">
        <v>0.0030121293714915</v>
      </c>
      <c r="AG799" s="4">
        <v>-0.0135323133916043</v>
      </c>
      <c r="AH799" s="4">
        <v>-0.0158865227696164</v>
      </c>
      <c r="AI799" s="4">
        <v>0.0010313244914934</v>
      </c>
      <c r="AJ799" s="4">
        <v>0.016148</v>
      </c>
      <c r="AK799" s="4">
        <f>Weights!E855</f>
        <v>0.004372593817</v>
      </c>
      <c r="AL799" s="5">
        <v>0.00571022444536217</v>
      </c>
      <c r="AM799" s="5">
        <v>0.00154998272585871</v>
      </c>
      <c r="AN799" s="5">
        <v>0.00162977364880312</v>
      </c>
      <c r="AO799" s="5">
        <v>0.00194892542615843</v>
      </c>
      <c r="AP799" s="6">
        <f t="shared" si="3"/>
        <v>1.567609131</v>
      </c>
      <c r="AQ799" s="4">
        <f t="shared" si="4"/>
        <v>1.25219889</v>
      </c>
      <c r="AR799" s="7">
        <f t="shared" si="5"/>
        <v>1.222515186</v>
      </c>
      <c r="AS799" s="7">
        <f t="shared" ref="AS799:AU799" si="801">AS798*(1+AM799)</f>
        <v>1.286413988</v>
      </c>
      <c r="AT799" s="5">
        <f t="shared" si="801"/>
        <v>1.316503141</v>
      </c>
      <c r="AU799" s="5">
        <f t="shared" si="801"/>
        <v>1.301948764</v>
      </c>
    </row>
    <row r="800" ht="15.75" customHeight="1">
      <c r="A800" s="3">
        <v>44991.0</v>
      </c>
      <c r="B800" s="4">
        <v>0.004482</v>
      </c>
      <c r="C800" s="4">
        <v>-0.002875</v>
      </c>
      <c r="D800" s="4">
        <v>-0.004429</v>
      </c>
      <c r="E800" s="4">
        <v>0.002021</v>
      </c>
      <c r="F800" s="4">
        <v>0.015478</v>
      </c>
      <c r="G800" s="4">
        <v>0.009999</v>
      </c>
      <c r="H800" s="4">
        <v>-0.004257</v>
      </c>
      <c r="I800" s="4">
        <v>-0.001029</v>
      </c>
      <c r="J800" s="4">
        <v>-0.004488</v>
      </c>
      <c r="K800" s="4">
        <v>-0.004428</v>
      </c>
      <c r="L800" s="4">
        <v>0.00169</v>
      </c>
      <c r="M800" s="4">
        <v>-0.005949</v>
      </c>
      <c r="N800" s="4">
        <v>0.002231</v>
      </c>
      <c r="O800" s="4">
        <v>-0.002957</v>
      </c>
      <c r="P800" s="4">
        <v>-0.010738</v>
      </c>
      <c r="Q800" s="4">
        <v>-0.034161</v>
      </c>
      <c r="R800" s="4">
        <v>-0.022868</v>
      </c>
      <c r="S800" s="4">
        <v>-0.015278</v>
      </c>
      <c r="T800" s="4">
        <v>-0.015866</v>
      </c>
      <c r="U800" s="4">
        <v>0.009393</v>
      </c>
      <c r="V800" s="4">
        <v>-0.0153078733027895</v>
      </c>
      <c r="W800" s="4">
        <v>0.0046088912052584</v>
      </c>
      <c r="X800" s="4">
        <v>0.0037737018508448</v>
      </c>
      <c r="Y800" s="4">
        <v>-0.0466518812722611</v>
      </c>
      <c r="Z800" s="4">
        <v>-0.0372171961417918</v>
      </c>
      <c r="AA800" s="4">
        <v>-0.0012871560330965</v>
      </c>
      <c r="AB800" s="4">
        <v>0.0119499670722729</v>
      </c>
      <c r="AC800" s="4">
        <v>0.0038096014812378</v>
      </c>
      <c r="AD800" s="4">
        <v>-0.0013333299709697</v>
      </c>
      <c r="AE800" s="4">
        <v>-0.0014034786373612</v>
      </c>
      <c r="AF800" s="4">
        <v>-0.0062790719537919</v>
      </c>
      <c r="AG800" s="4">
        <v>-0.0031386779312163</v>
      </c>
      <c r="AH800" s="4">
        <v>-0.0020179324580594</v>
      </c>
      <c r="AI800" s="4">
        <v>0.0066142860627413</v>
      </c>
      <c r="AJ800" s="4">
        <v>6.87E-4</v>
      </c>
      <c r="AK800" s="4">
        <f>Weights!E856</f>
        <v>-0.004180596355</v>
      </c>
      <c r="AL800" s="5">
        <v>0.0156359429874186</v>
      </c>
      <c r="AM800" s="5">
        <v>0.016274816415251</v>
      </c>
      <c r="AN800" s="5">
        <v>0.00455575594587709</v>
      </c>
      <c r="AO800" s="5">
        <v>0.00437645339259251</v>
      </c>
      <c r="AP800" s="6">
        <f t="shared" si="3"/>
        <v>1.56105559</v>
      </c>
      <c r="AQ800" s="4">
        <f t="shared" si="4"/>
        <v>1.25305915</v>
      </c>
      <c r="AR800" s="7">
        <f t="shared" si="5"/>
        <v>1.241630364</v>
      </c>
      <c r="AS800" s="7">
        <f t="shared" ref="AS800:AU800" si="802">AS799*(1+AM800)</f>
        <v>1.307350139</v>
      </c>
      <c r="AT800" s="5">
        <f t="shared" si="802"/>
        <v>1.322500808</v>
      </c>
      <c r="AU800" s="5">
        <f t="shared" si="802"/>
        <v>1.307646683</v>
      </c>
    </row>
    <row r="801" ht="15.75" customHeight="1">
      <c r="A801" s="3">
        <v>44992.0</v>
      </c>
      <c r="B801" s="4">
        <v>-0.016857</v>
      </c>
      <c r="C801" s="4">
        <v>-0.006291</v>
      </c>
      <c r="D801" s="4">
        <v>-0.022034</v>
      </c>
      <c r="E801" s="4">
        <v>-0.004957</v>
      </c>
      <c r="F801" s="4">
        <v>-0.005799</v>
      </c>
      <c r="G801" s="4">
        <v>-0.00945</v>
      </c>
      <c r="H801" s="4">
        <v>-0.019879</v>
      </c>
      <c r="I801" s="4">
        <v>-0.012622</v>
      </c>
      <c r="J801" s="4">
        <v>-0.016279</v>
      </c>
      <c r="K801" s="4">
        <v>-0.026687</v>
      </c>
      <c r="L801" s="4">
        <v>-0.01449</v>
      </c>
      <c r="M801" s="4">
        <v>-0.017456</v>
      </c>
      <c r="N801" s="4">
        <v>-0.010929</v>
      </c>
      <c r="O801" s="4">
        <v>-0.018845</v>
      </c>
      <c r="P801" s="4">
        <v>-0.038896</v>
      </c>
      <c r="Q801" s="4">
        <v>-0.030011</v>
      </c>
      <c r="R801" s="4">
        <v>-0.060613</v>
      </c>
      <c r="S801" s="4">
        <v>-0.057697</v>
      </c>
      <c r="T801" s="4">
        <v>-0.024667</v>
      </c>
      <c r="U801" s="4">
        <v>-0.015805</v>
      </c>
      <c r="V801" s="4">
        <v>0.0119306119362481</v>
      </c>
      <c r="W801" s="4">
        <v>-4.1709876695E-4</v>
      </c>
      <c r="X801" s="4">
        <v>0.0137844127914086</v>
      </c>
      <c r="Y801" s="4">
        <v>-0.0016437143900642</v>
      </c>
      <c r="Z801" s="4">
        <v>-0.00485623987704</v>
      </c>
      <c r="AA801" s="4">
        <v>-0.0058921404236983</v>
      </c>
      <c r="AB801" s="4">
        <v>0.0048963887059738</v>
      </c>
      <c r="AC801" s="4">
        <v>0.0</v>
      </c>
      <c r="AD801" s="4">
        <v>0.0</v>
      </c>
      <c r="AE801" s="4">
        <v>-0.0035507458979239</v>
      </c>
      <c r="AF801" s="4">
        <v>0.0030219923262235</v>
      </c>
      <c r="AG801" s="4">
        <v>0.02227407160251</v>
      </c>
      <c r="AH801" s="4">
        <v>0.0089544015844986</v>
      </c>
      <c r="AI801" s="4">
        <v>-0.0035934314596421</v>
      </c>
      <c r="AJ801" s="4">
        <v>-0.015327</v>
      </c>
      <c r="AK801" s="4">
        <f>Weights!E857</f>
        <v>-0.008603672905</v>
      </c>
      <c r="AL801" s="5">
        <v>-4.30014496546782E-4</v>
      </c>
      <c r="AM801" s="5">
        <v>-0.00132641020722523</v>
      </c>
      <c r="AN801" s="5">
        <v>0.0116618048938985</v>
      </c>
      <c r="AO801" s="5">
        <v>0.0116194587967439</v>
      </c>
      <c r="AP801" s="6">
        <f t="shared" si="3"/>
        <v>1.547624778</v>
      </c>
      <c r="AQ801" s="4">
        <f t="shared" si="4"/>
        <v>1.233853513</v>
      </c>
      <c r="AR801" s="7">
        <f t="shared" si="5"/>
        <v>1.241096445</v>
      </c>
      <c r="AS801" s="7">
        <f t="shared" ref="AS801:AU801" si="803">AS800*(1+AM801)</f>
        <v>1.305616056</v>
      </c>
      <c r="AT801" s="5">
        <f t="shared" si="803"/>
        <v>1.337923555</v>
      </c>
      <c r="AU801" s="5">
        <f t="shared" si="803"/>
        <v>1.322840829</v>
      </c>
    </row>
    <row r="802" ht="15.75" customHeight="1">
      <c r="A802" s="3">
        <v>44993.0</v>
      </c>
      <c r="B802" s="4">
        <v>-0.001513</v>
      </c>
      <c r="C802" s="4">
        <v>-0.010024</v>
      </c>
      <c r="D802" s="4">
        <v>-0.007149</v>
      </c>
      <c r="E802" s="4">
        <v>0.002722</v>
      </c>
      <c r="F802" s="4">
        <v>5.0E-4</v>
      </c>
      <c r="G802" s="4">
        <v>-0.007333</v>
      </c>
      <c r="H802" s="4">
        <v>1.45E-4</v>
      </c>
      <c r="I802" s="4">
        <v>0.001565</v>
      </c>
      <c r="J802" s="4">
        <v>-0.002546</v>
      </c>
      <c r="K802" s="4">
        <v>-0.00457</v>
      </c>
      <c r="L802" s="4">
        <v>6.04E-4</v>
      </c>
      <c r="M802" s="4">
        <v>-0.003046</v>
      </c>
      <c r="N802" s="4">
        <v>-0.013096</v>
      </c>
      <c r="O802" s="4">
        <v>-0.00186</v>
      </c>
      <c r="P802" s="4">
        <v>0.001412</v>
      </c>
      <c r="Q802" s="4">
        <v>0.00884</v>
      </c>
      <c r="R802" s="4">
        <v>0.009965</v>
      </c>
      <c r="S802" s="4">
        <v>-0.003859</v>
      </c>
      <c r="T802" s="4">
        <v>0.012149</v>
      </c>
      <c r="U802" s="4">
        <v>-3.75E-4</v>
      </c>
      <c r="V802" s="4">
        <v>0.0310825256385354</v>
      </c>
      <c r="W802" s="4">
        <v>-0.0105701183464524</v>
      </c>
      <c r="X802" s="4">
        <v>0.0</v>
      </c>
      <c r="Y802" s="4">
        <v>-0.0025332352935218</v>
      </c>
      <c r="Z802" s="4">
        <v>0.0064415816367568</v>
      </c>
      <c r="AA802" s="4">
        <v>-0.0068531367494172</v>
      </c>
      <c r="AB802" s="4">
        <v>0.0091716485832586</v>
      </c>
      <c r="AC802" s="4">
        <v>0.0</v>
      </c>
      <c r="AD802" s="4">
        <v>0.0</v>
      </c>
      <c r="AE802" s="4">
        <v>-0.0050482099444476</v>
      </c>
      <c r="AF802" s="4">
        <v>-0.0038344927476704</v>
      </c>
      <c r="AG802" s="4">
        <v>0.001368922107287</v>
      </c>
      <c r="AH802" s="4">
        <v>0.0071571304696347</v>
      </c>
      <c r="AI802" s="4">
        <v>-0.0020606875979388</v>
      </c>
      <c r="AJ802" s="4">
        <v>0.001415</v>
      </c>
      <c r="AK802" s="4">
        <f>Weights!E858</f>
        <v>0.0005052158253</v>
      </c>
      <c r="AL802" s="5">
        <v>-0.0158321144800046</v>
      </c>
      <c r="AM802" s="5">
        <v>-0.0149040149982307</v>
      </c>
      <c r="AN802" s="5">
        <v>-0.0025616099525989</v>
      </c>
      <c r="AO802" s="5">
        <v>-0.00239321328392583</v>
      </c>
      <c r="AP802" s="6">
        <f t="shared" si="3"/>
        <v>1.548406663</v>
      </c>
      <c r="AQ802" s="4">
        <f t="shared" si="4"/>
        <v>1.235599415</v>
      </c>
      <c r="AR802" s="7">
        <f t="shared" si="5"/>
        <v>1.221447264</v>
      </c>
      <c r="AS802" s="7">
        <f t="shared" ref="AS802:AU802" si="804">AS801*(1+AM802)</f>
        <v>1.286157135</v>
      </c>
      <c r="AT802" s="5">
        <f t="shared" si="804"/>
        <v>1.334496316</v>
      </c>
      <c r="AU802" s="5">
        <f t="shared" si="804"/>
        <v>1.319674989</v>
      </c>
    </row>
    <row r="803" ht="15.75" customHeight="1">
      <c r="A803" s="3">
        <v>44994.0</v>
      </c>
      <c r="B803" s="4">
        <v>-0.013563</v>
      </c>
      <c r="C803" s="4">
        <v>-0.026112</v>
      </c>
      <c r="D803" s="4">
        <v>-0.035784</v>
      </c>
      <c r="E803" s="4">
        <v>-0.007567</v>
      </c>
      <c r="F803" s="4">
        <v>-0.00966</v>
      </c>
      <c r="G803" s="4">
        <v>-0.011245</v>
      </c>
      <c r="H803" s="4">
        <v>-0.007341</v>
      </c>
      <c r="I803" s="4">
        <v>-0.010419</v>
      </c>
      <c r="J803" s="4">
        <v>-0.006636</v>
      </c>
      <c r="K803" s="4">
        <v>-0.020263</v>
      </c>
      <c r="L803" s="4">
        <v>-0.014895</v>
      </c>
      <c r="M803" s="4">
        <v>-0.026477</v>
      </c>
      <c r="N803" s="4">
        <v>-0.019075</v>
      </c>
      <c r="O803" s="4">
        <v>-0.011695</v>
      </c>
      <c r="P803" s="4">
        <v>-0.009962</v>
      </c>
      <c r="Q803" s="4">
        <v>0.001095</v>
      </c>
      <c r="R803" s="4">
        <v>-0.033794</v>
      </c>
      <c r="S803" s="4">
        <v>0.008781</v>
      </c>
      <c r="T803" s="4">
        <v>-0.031392</v>
      </c>
      <c r="U803" s="4">
        <v>-0.006231</v>
      </c>
      <c r="V803" s="4">
        <v>-0.017671533073524</v>
      </c>
      <c r="W803" s="4">
        <v>-0.0102615835267925</v>
      </c>
      <c r="X803" s="4">
        <v>-0.0036497480236364</v>
      </c>
      <c r="Y803" s="4">
        <v>-0.0016507035366097</v>
      </c>
      <c r="Z803" s="4">
        <v>0.0042667520747492</v>
      </c>
      <c r="AA803" s="4">
        <v>0.0065274899387683</v>
      </c>
      <c r="AB803" s="4">
        <v>-0.0045442368494041</v>
      </c>
      <c r="AC803" s="4">
        <v>-0.0037877954576001</v>
      </c>
      <c r="AD803" s="4">
        <v>-0.0039893516686204</v>
      </c>
      <c r="AE803" s="4">
        <v>-0.0181316557354946</v>
      </c>
      <c r="AF803" s="4">
        <v>0.0027494278264954</v>
      </c>
      <c r="AG803" s="4">
        <v>-0.0083160606977665</v>
      </c>
      <c r="AH803" s="4">
        <v>0.0093803956352456</v>
      </c>
      <c r="AI803" s="4">
        <v>5.162625383412E-4</v>
      </c>
      <c r="AJ803" s="4">
        <v>-0.018459</v>
      </c>
      <c r="AK803" s="4">
        <f>Weights!E859</f>
        <v>-0.00903404658</v>
      </c>
      <c r="AL803" s="5">
        <v>0.00236059975734392</v>
      </c>
      <c r="AM803" s="5">
        <v>0.00129820241630018</v>
      </c>
      <c r="AN803" s="5">
        <v>-0.0125201805584805</v>
      </c>
      <c r="AO803" s="5">
        <v>-0.0115133562883116</v>
      </c>
      <c r="AP803" s="6">
        <f t="shared" si="3"/>
        <v>1.534418285</v>
      </c>
      <c r="AQ803" s="4">
        <f t="shared" si="4"/>
        <v>1.212791486</v>
      </c>
      <c r="AR803" s="7">
        <f t="shared" si="5"/>
        <v>1.224330612</v>
      </c>
      <c r="AS803" s="7">
        <f t="shared" ref="AS803:AU803" si="805">AS802*(1+AM803)</f>
        <v>1.287826827</v>
      </c>
      <c r="AT803" s="5">
        <f t="shared" si="805"/>
        <v>1.317788181</v>
      </c>
      <c r="AU803" s="5">
        <f t="shared" si="805"/>
        <v>1.304481101</v>
      </c>
    </row>
    <row r="804" ht="15.75" customHeight="1">
      <c r="A804" s="3">
        <v>44995.0</v>
      </c>
      <c r="B804" s="4">
        <v>-0.007784</v>
      </c>
      <c r="C804" s="4">
        <v>0.003557</v>
      </c>
      <c r="D804" s="4">
        <v>0.015388</v>
      </c>
      <c r="E804" s="4">
        <v>0.001339</v>
      </c>
      <c r="F804" s="4">
        <v>-0.004205</v>
      </c>
      <c r="G804" s="4">
        <v>0.002446</v>
      </c>
      <c r="H804" s="4">
        <v>0.00454</v>
      </c>
      <c r="I804" s="4">
        <v>-0.003948</v>
      </c>
      <c r="J804" s="4">
        <v>-0.010021</v>
      </c>
      <c r="K804" s="4">
        <v>-0.021651</v>
      </c>
      <c r="L804" s="4">
        <v>-0.016755</v>
      </c>
      <c r="M804" s="4">
        <v>-0.019352</v>
      </c>
      <c r="N804" s="4">
        <v>-0.017967</v>
      </c>
      <c r="O804" s="4">
        <v>-0.029512</v>
      </c>
      <c r="P804" s="4">
        <v>0.010062</v>
      </c>
      <c r="Q804" s="4">
        <v>0.035011</v>
      </c>
      <c r="R804" s="4">
        <v>-0.032933</v>
      </c>
      <c r="S804" s="4">
        <v>0.036098</v>
      </c>
      <c r="T804" s="4">
        <v>-0.053441</v>
      </c>
      <c r="U804" s="4">
        <v>-0.010122</v>
      </c>
      <c r="V804" s="4">
        <v>-0.014814878659364</v>
      </c>
      <c r="W804" s="4">
        <v>-0.0153386686431186</v>
      </c>
      <c r="X804" s="4">
        <v>0.0012212040848638</v>
      </c>
      <c r="Y804" s="4">
        <v>0.007186132278087</v>
      </c>
      <c r="Z804" s="4">
        <v>0.014098142487849</v>
      </c>
      <c r="AA804" s="4">
        <v>-0.0056306854043829</v>
      </c>
      <c r="AB804" s="4">
        <v>0.0068476222864932</v>
      </c>
      <c r="AC804" s="4">
        <v>-0.0133079729928494</v>
      </c>
      <c r="AD804" s="4">
        <v>-0.014686096467215</v>
      </c>
      <c r="AE804" s="4">
        <v>-0.0034196685074808</v>
      </c>
      <c r="AF804" s="4">
        <v>-0.0227583567415965</v>
      </c>
      <c r="AG804" s="4">
        <v>0.0134403507822247</v>
      </c>
      <c r="AH804" s="4">
        <v>-0.006195458646564</v>
      </c>
      <c r="AI804" s="4">
        <v>0.0015478811485651</v>
      </c>
      <c r="AJ804" s="4">
        <v>-0.014478</v>
      </c>
      <c r="AK804" s="4">
        <f>Weights!E860</f>
        <v>-0.004992521704</v>
      </c>
      <c r="AL804" s="5">
        <v>-0.0157000175343897</v>
      </c>
      <c r="AM804" s="5">
        <v>-0.0197475482326866</v>
      </c>
      <c r="AN804" s="5">
        <v>0.00357616405811134</v>
      </c>
      <c r="AO804" s="5">
        <v>0.00363994812610868</v>
      </c>
      <c r="AP804" s="6">
        <f t="shared" si="3"/>
        <v>1.526757668</v>
      </c>
      <c r="AQ804" s="4">
        <f t="shared" si="4"/>
        <v>1.195232691</v>
      </c>
      <c r="AR804" s="7">
        <f t="shared" si="5"/>
        <v>1.2051086</v>
      </c>
      <c r="AS804" s="7">
        <f t="shared" ref="AS804:AU804" si="806">AS803*(1+AM804)</f>
        <v>1.262395405</v>
      </c>
      <c r="AT804" s="5">
        <f t="shared" si="806"/>
        <v>1.322500808</v>
      </c>
      <c r="AU804" s="5">
        <f t="shared" si="806"/>
        <v>1.309229344</v>
      </c>
    </row>
    <row r="805" ht="15.75" customHeight="1">
      <c r="A805" s="3">
        <v>44998.0</v>
      </c>
      <c r="B805" s="4">
        <v>0.012029</v>
      </c>
      <c r="C805" s="4">
        <v>-0.003817</v>
      </c>
      <c r="D805" s="4">
        <v>-0.011143</v>
      </c>
      <c r="E805" s="4">
        <v>0.009766</v>
      </c>
      <c r="F805" s="4">
        <v>0.010133</v>
      </c>
      <c r="G805" s="4">
        <v>0.009564</v>
      </c>
      <c r="H805" s="4">
        <v>0.006925</v>
      </c>
      <c r="I805" s="4">
        <v>0.010307</v>
      </c>
      <c r="J805" s="4">
        <v>0.03374</v>
      </c>
      <c r="K805" s="4">
        <v>-0.026259</v>
      </c>
      <c r="L805" s="4">
        <v>-0.006442</v>
      </c>
      <c r="M805" s="4">
        <v>-0.016</v>
      </c>
      <c r="N805" s="4">
        <v>-0.018941</v>
      </c>
      <c r="O805" s="4">
        <v>0.002235</v>
      </c>
      <c r="P805" s="4">
        <v>0.070209</v>
      </c>
      <c r="Q805" s="4">
        <v>0.114165</v>
      </c>
      <c r="R805" s="4">
        <v>-0.007128</v>
      </c>
      <c r="S805" s="4">
        <v>0.069187</v>
      </c>
      <c r="T805" s="4">
        <v>-0.021715</v>
      </c>
      <c r="U805" s="4">
        <v>0.011981</v>
      </c>
      <c r="V805" s="4">
        <v>0.0</v>
      </c>
      <c r="W805" s="4">
        <v>-0.0229337776325911</v>
      </c>
      <c r="X805" s="4">
        <v>-0.0109758497306912</v>
      </c>
      <c r="Y805" s="4">
        <v>0.0014521969110747</v>
      </c>
      <c r="Z805" s="4">
        <v>-0.0133307976004756</v>
      </c>
      <c r="AA805" s="4">
        <v>0.0033975580633249</v>
      </c>
      <c r="AB805" s="4">
        <v>-0.0093512960222065</v>
      </c>
      <c r="AC805" s="4">
        <v>0.011560601573084</v>
      </c>
      <c r="AD805" s="4">
        <v>0.0027097868596888</v>
      </c>
      <c r="AE805" s="4">
        <v>0.0196734979373132</v>
      </c>
      <c r="AF805" s="4">
        <v>0.0044892715250668</v>
      </c>
      <c r="AG805" s="4">
        <v>-0.0082746777293798</v>
      </c>
      <c r="AH805" s="4">
        <v>-0.0374043547298185</v>
      </c>
      <c r="AI805" s="4">
        <v>0.0056672926400296</v>
      </c>
      <c r="AJ805" s="4">
        <v>-0.00151</v>
      </c>
      <c r="AK805" s="4">
        <f>Weights!E861</f>
        <v>0.003048870236</v>
      </c>
      <c r="AL805" s="5">
        <v>-0.0141781143030433</v>
      </c>
      <c r="AM805" s="5">
        <v>-0.0168389349635283</v>
      </c>
      <c r="AN805" s="5">
        <v>-0.0123096098171502</v>
      </c>
      <c r="AO805" s="5">
        <v>-0.0125726701439645</v>
      </c>
      <c r="AP805" s="6">
        <f t="shared" si="3"/>
        <v>1.531412554</v>
      </c>
      <c r="AQ805" s="4">
        <f t="shared" si="4"/>
        <v>1.193427889</v>
      </c>
      <c r="AR805" s="7">
        <f t="shared" si="5"/>
        <v>1.188022433</v>
      </c>
      <c r="AS805" s="7">
        <f t="shared" ref="AS805:AU805" si="807">AS804*(1+AM805)</f>
        <v>1.241138011</v>
      </c>
      <c r="AT805" s="5">
        <f t="shared" si="807"/>
        <v>1.306221339</v>
      </c>
      <c r="AU805" s="5">
        <f t="shared" si="807"/>
        <v>1.292768836</v>
      </c>
    </row>
    <row r="806" ht="15.75" customHeight="1">
      <c r="A806" s="3">
        <v>44999.0</v>
      </c>
      <c r="B806" s="4">
        <v>0.011369</v>
      </c>
      <c r="C806" s="4">
        <v>0.009305</v>
      </c>
      <c r="D806" s="4">
        <v>0.016903</v>
      </c>
      <c r="E806" s="4">
        <v>-0.001036</v>
      </c>
      <c r="F806" s="4">
        <v>0.003678</v>
      </c>
      <c r="G806" s="4">
        <v>0.005619</v>
      </c>
      <c r="H806" s="4">
        <v>0.012379</v>
      </c>
      <c r="I806" s="4">
        <v>5.23E-4</v>
      </c>
      <c r="J806" s="4">
        <v>0.015315</v>
      </c>
      <c r="K806" s="4">
        <v>0.004919</v>
      </c>
      <c r="L806" s="4">
        <v>0.015896</v>
      </c>
      <c r="M806" s="4">
        <v>0.01897</v>
      </c>
      <c r="N806" s="4">
        <v>0.010092</v>
      </c>
      <c r="O806" s="4">
        <v>0.010808</v>
      </c>
      <c r="P806" s="4">
        <v>-0.005541</v>
      </c>
      <c r="Q806" s="4">
        <v>0.019924</v>
      </c>
      <c r="R806" s="4">
        <v>0.011433</v>
      </c>
      <c r="S806" s="4">
        <v>0.01456</v>
      </c>
      <c r="T806" s="4">
        <v>0.005211</v>
      </c>
      <c r="U806" s="4">
        <v>0.017872</v>
      </c>
      <c r="V806" s="4">
        <v>-0.0644468258198838</v>
      </c>
      <c r="W806" s="4">
        <v>0.0</v>
      </c>
      <c r="X806" s="4">
        <v>-0.0073981041858367</v>
      </c>
      <c r="Y806" s="4">
        <v>0.0037196586009025</v>
      </c>
      <c r="Z806" s="4">
        <v>0.0189153619235336</v>
      </c>
      <c r="AA806" s="4">
        <v>0.0152370791034111</v>
      </c>
      <c r="AB806" s="4">
        <v>0.0145882041695637</v>
      </c>
      <c r="AC806" s="4">
        <v>0.0019048411145299</v>
      </c>
      <c r="AD806" s="4">
        <v>0.0027026961089842</v>
      </c>
      <c r="AE806" s="4">
        <v>-0.0041128945367914</v>
      </c>
      <c r="AF806" s="4">
        <v>0.020391077193067</v>
      </c>
      <c r="AG806" s="4">
        <v>-0.0149731734572439</v>
      </c>
      <c r="AH806" s="4">
        <v>-2.944262341565E-4</v>
      </c>
      <c r="AI806" s="4">
        <v>0.0015367795360536</v>
      </c>
      <c r="AJ806" s="4">
        <v>0.016477</v>
      </c>
      <c r="AK806" s="4">
        <f>Weights!E862</f>
        <v>0.004070682045</v>
      </c>
      <c r="AL806" s="5">
        <v>-0.00287636233916921</v>
      </c>
      <c r="AM806" s="5">
        <v>-0.00413938954832893</v>
      </c>
      <c r="AN806" s="5">
        <v>-0.0147589661387298</v>
      </c>
      <c r="AO806" s="5">
        <v>-0.0154259070323793</v>
      </c>
      <c r="AP806" s="6">
        <f t="shared" si="3"/>
        <v>1.537646448</v>
      </c>
      <c r="AQ806" s="4">
        <f t="shared" si="4"/>
        <v>1.213092001</v>
      </c>
      <c r="AR806" s="7">
        <f t="shared" si="5"/>
        <v>1.18460525</v>
      </c>
      <c r="AS806" s="7">
        <f t="shared" ref="AS806:AU806" si="808">AS805*(1+AM806)</f>
        <v>1.236000457</v>
      </c>
      <c r="AT806" s="5">
        <f t="shared" si="808"/>
        <v>1.286942863</v>
      </c>
      <c r="AU806" s="5">
        <f t="shared" si="808"/>
        <v>1.272826704</v>
      </c>
    </row>
    <row r="807" ht="15.75" customHeight="1">
      <c r="A807" s="3">
        <v>45000.0</v>
      </c>
      <c r="B807" s="4">
        <v>-0.00511</v>
      </c>
      <c r="C807" s="4">
        <v>0.004881</v>
      </c>
      <c r="D807" s="4">
        <v>-0.023936</v>
      </c>
      <c r="E807" s="4">
        <v>0.017864</v>
      </c>
      <c r="F807" s="4">
        <v>0.006663</v>
      </c>
      <c r="G807" s="4">
        <v>0.002794</v>
      </c>
      <c r="H807" s="4">
        <v>0.014158</v>
      </c>
      <c r="I807" s="4">
        <v>-0.043399</v>
      </c>
      <c r="J807" s="4">
        <v>0.017062</v>
      </c>
      <c r="K807" s="4">
        <v>-0.025992</v>
      </c>
      <c r="L807" s="4">
        <v>-0.023265</v>
      </c>
      <c r="M807" s="4">
        <v>-0.038298</v>
      </c>
      <c r="N807" s="4">
        <v>-0.03258</v>
      </c>
      <c r="O807" s="4">
        <v>-0.002685</v>
      </c>
      <c r="P807" s="4">
        <v>0.027635</v>
      </c>
      <c r="Q807" s="4">
        <v>0.018605</v>
      </c>
      <c r="R807" s="4">
        <v>-0.066509</v>
      </c>
      <c r="S807" s="4">
        <v>0.001822</v>
      </c>
      <c r="T807" s="4">
        <v>-0.073157</v>
      </c>
      <c r="U807" s="4">
        <v>4.44E-4</v>
      </c>
      <c r="V807" s="4">
        <v>-0.0600841540799934</v>
      </c>
      <c r="W807" s="4">
        <v>0.0082668288991112</v>
      </c>
      <c r="X807" s="4">
        <v>0.0</v>
      </c>
      <c r="Y807" s="4">
        <v>0.0091709054984545</v>
      </c>
      <c r="Z807" s="4">
        <v>0.0043568749998168</v>
      </c>
      <c r="AA807" s="4">
        <v>0.0024085578112793</v>
      </c>
      <c r="AB807" s="4">
        <v>-0.0022554930394416</v>
      </c>
      <c r="AC807" s="4">
        <v>0.0</v>
      </c>
      <c r="AD807" s="4">
        <v>0.0</v>
      </c>
      <c r="AE807" s="4">
        <v>-0.0045056108265688</v>
      </c>
      <c r="AF807" s="4">
        <v>0.0093073651538559</v>
      </c>
      <c r="AG807" s="4">
        <v>-0.0047574966577729</v>
      </c>
      <c r="AH807" s="4">
        <v>0.0400471613866355</v>
      </c>
      <c r="AI807" s="4">
        <v>-0.0040919678577738</v>
      </c>
      <c r="AJ807" s="4">
        <v>-0.006981</v>
      </c>
      <c r="AK807" s="4">
        <f>Weights!E863</f>
        <v>-0.007290198785</v>
      </c>
      <c r="AL807" s="5">
        <v>0.0152348265053816</v>
      </c>
      <c r="AM807" s="5">
        <v>0.0178218785255188</v>
      </c>
      <c r="AN807" s="5">
        <v>-0.010319657451082</v>
      </c>
      <c r="AO807" s="5">
        <v>-0.00945048002067605</v>
      </c>
      <c r="AP807" s="6">
        <f t="shared" si="3"/>
        <v>1.5264367</v>
      </c>
      <c r="AQ807" s="4">
        <f t="shared" si="4"/>
        <v>1.204623405</v>
      </c>
      <c r="AR807" s="7">
        <f t="shared" si="5"/>
        <v>1.202652505</v>
      </c>
      <c r="AS807" s="7">
        <f t="shared" ref="AS807:AU807" si="809">AS806*(1+AM807)</f>
        <v>1.258028307</v>
      </c>
      <c r="AT807" s="5">
        <f t="shared" si="809"/>
        <v>1.273662053</v>
      </c>
      <c r="AU807" s="5">
        <f t="shared" si="809"/>
        <v>1.26079788</v>
      </c>
    </row>
    <row r="808" ht="15.75" customHeight="1">
      <c r="A808" s="3">
        <v>45001.0</v>
      </c>
      <c r="B808" s="4">
        <v>0.007704</v>
      </c>
      <c r="C808" s="4">
        <v>-0.012952</v>
      </c>
      <c r="D808" s="4">
        <v>0.009083</v>
      </c>
      <c r="E808" s="4">
        <v>-6.79E-4</v>
      </c>
      <c r="F808" s="4">
        <v>0.005461</v>
      </c>
      <c r="G808" s="4">
        <v>-0.002073</v>
      </c>
      <c r="H808" s="4">
        <v>0.007474</v>
      </c>
      <c r="I808" s="4">
        <v>0.011752</v>
      </c>
      <c r="J808" s="4">
        <v>0.013129</v>
      </c>
      <c r="K808" s="4">
        <v>0.002079</v>
      </c>
      <c r="L808" s="4">
        <v>0.004005</v>
      </c>
      <c r="M808" s="4">
        <v>-0.003872</v>
      </c>
      <c r="N808" s="4">
        <v>0.007409</v>
      </c>
      <c r="O808" s="4">
        <v>0.015818</v>
      </c>
      <c r="P808" s="4">
        <v>-0.007157</v>
      </c>
      <c r="Q808" s="4">
        <v>0.012769</v>
      </c>
      <c r="R808" s="4">
        <v>0.016615</v>
      </c>
      <c r="S808" s="4">
        <v>-0.013643</v>
      </c>
      <c r="T808" s="4">
        <v>0.004212</v>
      </c>
      <c r="U808" s="4">
        <v>0.007701</v>
      </c>
      <c r="V808" s="4">
        <v>0.0456026372983511</v>
      </c>
      <c r="W808" s="4">
        <v>-0.0184479849212764</v>
      </c>
      <c r="X808" s="4">
        <v>0.0063290360094594</v>
      </c>
      <c r="Y808" s="4">
        <v>-0.0095853998502412</v>
      </c>
      <c r="Z808" s="4">
        <v>-0.0110336529479898</v>
      </c>
      <c r="AA808" s="4">
        <v>0.0029576006073221</v>
      </c>
      <c r="AB808" s="4">
        <v>-0.0062165230952527</v>
      </c>
      <c r="AC808" s="4">
        <v>0.0076335000910552</v>
      </c>
      <c r="AD808" s="4">
        <v>0.0013755124026118</v>
      </c>
      <c r="AE808" s="4">
        <v>-0.010560447803379</v>
      </c>
      <c r="AF808" s="4">
        <v>-0.0138323716552967</v>
      </c>
      <c r="AG808" s="4">
        <v>-0.0060627111656125</v>
      </c>
      <c r="AH808" s="4">
        <v>0.0288788211268018</v>
      </c>
      <c r="AI808" s="4">
        <v>-0.0056497205311307</v>
      </c>
      <c r="AJ808" s="4">
        <v>0.017562</v>
      </c>
      <c r="AK808" s="4">
        <f>Weights!E864</f>
        <v>0.003575170877</v>
      </c>
      <c r="AL808" s="5">
        <v>-0.0140294748054178</v>
      </c>
      <c r="AM808" s="5">
        <v>-0.00770842541263061</v>
      </c>
      <c r="AN808" s="5">
        <v>0.00504548742817223</v>
      </c>
      <c r="AO808" s="5">
        <v>0.00477027060125512</v>
      </c>
      <c r="AP808" s="6">
        <f t="shared" si="3"/>
        <v>1.531893972</v>
      </c>
      <c r="AQ808" s="4">
        <f t="shared" si="4"/>
        <v>1.225779002</v>
      </c>
      <c r="AR808" s="7">
        <f t="shared" si="5"/>
        <v>1.185779922</v>
      </c>
      <c r="AS808" s="7">
        <f t="shared" ref="AS808:AU808" si="810">AS807*(1+AM808)</f>
        <v>1.24833089</v>
      </c>
      <c r="AT808" s="5">
        <f t="shared" si="810"/>
        <v>1.280088299</v>
      </c>
      <c r="AU808" s="5">
        <f t="shared" si="810"/>
        <v>1.266812227</v>
      </c>
    </row>
    <row r="809" ht="15.75" customHeight="1">
      <c r="A809" s="3">
        <v>45002.0</v>
      </c>
      <c r="B809" s="4">
        <v>-0.002039</v>
      </c>
      <c r="C809" s="4">
        <v>0.005741</v>
      </c>
      <c r="D809" s="4">
        <v>0.006976</v>
      </c>
      <c r="E809" s="4">
        <v>-0.007818</v>
      </c>
      <c r="F809" s="4">
        <v>-0.004643</v>
      </c>
      <c r="G809" s="4">
        <v>-0.010712</v>
      </c>
      <c r="H809" s="4">
        <v>2.8E-4</v>
      </c>
      <c r="I809" s="4">
        <v>-0.012426</v>
      </c>
      <c r="J809" s="4">
        <v>0.011759</v>
      </c>
      <c r="K809" s="4">
        <v>-0.019194</v>
      </c>
      <c r="L809" s="4">
        <v>-0.027399</v>
      </c>
      <c r="M809" s="4">
        <v>-0.026652</v>
      </c>
      <c r="N809" s="4">
        <v>-0.017384</v>
      </c>
      <c r="O809" s="4">
        <v>-0.019784</v>
      </c>
      <c r="P809" s="4">
        <v>0.052206</v>
      </c>
      <c r="Q809" s="4">
        <v>0.064516</v>
      </c>
      <c r="R809" s="4">
        <v>0.003601</v>
      </c>
      <c r="S809" s="4">
        <v>0.04426</v>
      </c>
      <c r="T809" s="4">
        <v>-0.00894</v>
      </c>
      <c r="U809" s="4">
        <v>-0.01264</v>
      </c>
      <c r="V809" s="4">
        <v>-0.0724299865760266</v>
      </c>
      <c r="W809" s="4">
        <v>0.0104415619325337</v>
      </c>
      <c r="X809" s="4">
        <v>-0.0163521643278033</v>
      </c>
      <c r="Y809" s="4">
        <v>-0.0058447938908832</v>
      </c>
      <c r="Z809" s="4">
        <v>-0.007151726700734</v>
      </c>
      <c r="AA809" s="4">
        <v>-0.0206414354017772</v>
      </c>
      <c r="AB809" s="4">
        <v>0.0056865018688665</v>
      </c>
      <c r="AC809" s="4">
        <v>-0.0018938575842865</v>
      </c>
      <c r="AD809" s="4">
        <v>-0.0054944918687354</v>
      </c>
      <c r="AE809" s="4">
        <v>0.0174581969697733</v>
      </c>
      <c r="AF809" s="4">
        <v>-0.0099009455399967</v>
      </c>
      <c r="AG809" s="4">
        <v>0.0085630531236877</v>
      </c>
      <c r="AH809" s="4">
        <v>0.0110071439626333</v>
      </c>
      <c r="AI809" s="4">
        <v>-0.0015499098356333</v>
      </c>
      <c r="AJ809" s="4">
        <v>-0.011019</v>
      </c>
      <c r="AK809" s="4">
        <f>Weights!E865</f>
        <v>-0.003810351029</v>
      </c>
      <c r="AL809" s="5">
        <v>0.0166607063986157</v>
      </c>
      <c r="AM809" s="5">
        <v>0.0172858289875994</v>
      </c>
      <c r="AN809" s="5">
        <v>-0.0150602708649818</v>
      </c>
      <c r="AO809" s="5">
        <v>-0.0144927551013642</v>
      </c>
      <c r="AP809" s="6">
        <f t="shared" si="3"/>
        <v>1.526056918</v>
      </c>
      <c r="AQ809" s="4">
        <f t="shared" si="4"/>
        <v>1.212272143</v>
      </c>
      <c r="AR809" s="7">
        <f t="shared" si="5"/>
        <v>1.205535853</v>
      </c>
      <c r="AS809" s="7">
        <f t="shared" ref="AS809:AU809" si="811">AS808*(1+AM809)</f>
        <v>1.269909324</v>
      </c>
      <c r="AT809" s="5">
        <f t="shared" si="811"/>
        <v>1.260809823</v>
      </c>
      <c r="AU809" s="5">
        <f t="shared" si="811"/>
        <v>1.248452628</v>
      </c>
    </row>
    <row r="810" ht="15.75" customHeight="1">
      <c r="A810" s="3">
        <v>45005.0</v>
      </c>
      <c r="B810" s="4">
        <v>0.022983</v>
      </c>
      <c r="C810" s="4">
        <v>0.017396</v>
      </c>
      <c r="D810" s="4">
        <v>0.023464</v>
      </c>
      <c r="E810" s="4">
        <v>0.014047</v>
      </c>
      <c r="F810" s="4">
        <v>0.009663</v>
      </c>
      <c r="G810" s="4">
        <v>0.009909</v>
      </c>
      <c r="H810" s="4">
        <v>0.015392</v>
      </c>
      <c r="I810" s="4">
        <v>0.016138</v>
      </c>
      <c r="J810" s="4">
        <v>-0.002135</v>
      </c>
      <c r="K810" s="4">
        <v>0.003526</v>
      </c>
      <c r="L810" s="4">
        <v>0.015866</v>
      </c>
      <c r="M810" s="4">
        <v>0.019395</v>
      </c>
      <c r="N810" s="4">
        <v>0.022</v>
      </c>
      <c r="O810" s="4">
        <v>0.017238</v>
      </c>
      <c r="P810" s="4">
        <v>-0.007266</v>
      </c>
      <c r="Q810" s="4">
        <v>0.023377</v>
      </c>
      <c r="R810" s="4">
        <v>0.033674</v>
      </c>
      <c r="S810" s="4">
        <v>0.017219</v>
      </c>
      <c r="T810" s="4">
        <v>0.02602</v>
      </c>
      <c r="U810" s="4">
        <v>0.008485</v>
      </c>
      <c r="V810" s="4">
        <v>0.0310663887802951</v>
      </c>
      <c r="W810" s="4">
        <v>-0.012843249584729</v>
      </c>
      <c r="X810" s="4">
        <v>0.0063937834358993</v>
      </c>
      <c r="Y810" s="4">
        <v>-0.0021492167915523</v>
      </c>
      <c r="Z810" s="4">
        <v>0.0031693671640957</v>
      </c>
      <c r="AA810" s="4">
        <v>-0.0090327673511231</v>
      </c>
      <c r="AB810" s="4">
        <v>-0.0073507066101364</v>
      </c>
      <c r="AC810" s="4">
        <v>0.0</v>
      </c>
      <c r="AD810" s="4">
        <v>-0.0027623053084162</v>
      </c>
      <c r="AE810" s="4">
        <v>-0.0092910636691327</v>
      </c>
      <c r="AF810" s="4">
        <v>8.333125847568E-4</v>
      </c>
      <c r="AG810" s="4">
        <v>0.0346592822180835</v>
      </c>
      <c r="AH810" s="4">
        <v>-0.0057158160875172</v>
      </c>
      <c r="AI810" s="4">
        <v>0.0025869778240448</v>
      </c>
      <c r="AJ810" s="4">
        <v>0.008918</v>
      </c>
      <c r="AK810" s="4">
        <f>Weights!E866</f>
        <v>0.009071032347</v>
      </c>
      <c r="AL810" s="5">
        <v>-0.0117814028630125</v>
      </c>
      <c r="AM810" s="5">
        <v>-0.0128957152683725</v>
      </c>
      <c r="AN810" s="5">
        <v>0.00917434422692364</v>
      </c>
      <c r="AO810" s="5">
        <v>0.00912786493529393</v>
      </c>
      <c r="AP810" s="6">
        <f t="shared" si="3"/>
        <v>1.539899829</v>
      </c>
      <c r="AQ810" s="4">
        <f t="shared" si="4"/>
        <v>1.223083186</v>
      </c>
      <c r="AR810" s="7">
        <f t="shared" si="5"/>
        <v>1.19133295</v>
      </c>
      <c r="AS810" s="7">
        <f t="shared" ref="AS810:AU810" si="812">AS809*(1+AM810)</f>
        <v>1.253532935</v>
      </c>
      <c r="AT810" s="5">
        <f t="shared" si="812"/>
        <v>1.272376926</v>
      </c>
      <c r="AU810" s="5">
        <f t="shared" si="812"/>
        <v>1.259848335</v>
      </c>
    </row>
    <row r="811" ht="15.75" customHeight="1">
      <c r="A811" s="3">
        <v>45006.0</v>
      </c>
      <c r="B811" s="4">
        <v>-0.011982</v>
      </c>
      <c r="C811" s="4">
        <v>0.008282</v>
      </c>
      <c r="D811" s="4">
        <v>-0.007424</v>
      </c>
      <c r="E811" s="4">
        <v>0.002365</v>
      </c>
      <c r="F811" s="4">
        <v>-0.00462</v>
      </c>
      <c r="G811" s="4">
        <v>0.0</v>
      </c>
      <c r="H811" s="4">
        <v>-0.007235</v>
      </c>
      <c r="I811" s="4">
        <v>-0.001884</v>
      </c>
      <c r="J811" s="4">
        <v>-0.029475</v>
      </c>
      <c r="K811" s="4">
        <v>0.005095</v>
      </c>
      <c r="L811" s="4">
        <v>0.005844</v>
      </c>
      <c r="M811" s="4">
        <v>0.007275</v>
      </c>
      <c r="N811" s="4">
        <v>0.009099</v>
      </c>
      <c r="O811" s="4">
        <v>0.01519</v>
      </c>
      <c r="P811" s="4">
        <v>-0.025512</v>
      </c>
      <c r="Q811" s="4">
        <v>-0.023689</v>
      </c>
      <c r="R811" s="4">
        <v>0.021629</v>
      </c>
      <c r="S811" s="4">
        <v>-0.022352</v>
      </c>
      <c r="T811" s="4">
        <v>0.028606</v>
      </c>
      <c r="U811" s="4">
        <v>-0.016015</v>
      </c>
      <c r="V811" s="4">
        <v>-0.058224718553366</v>
      </c>
      <c r="W811" s="4">
        <v>-2.990825043165E-4</v>
      </c>
      <c r="X811" s="4">
        <v>-0.0177890408921902</v>
      </c>
      <c r="Y811" s="4">
        <v>-0.0046879431136659</v>
      </c>
      <c r="Z811" s="4">
        <v>8.61702619469E-4</v>
      </c>
      <c r="AA811" s="4">
        <v>-1.897815688082E-4</v>
      </c>
      <c r="AB811" s="4">
        <v>0.0227854794680235</v>
      </c>
      <c r="AC811" s="4">
        <v>-0.0075901261111566</v>
      </c>
      <c r="AD811" s="4">
        <v>0.005540270763483</v>
      </c>
      <c r="AE811" s="4">
        <v>0.0123278487066329</v>
      </c>
      <c r="AF811" s="4">
        <v>-0.0011101357420054</v>
      </c>
      <c r="AG811" s="4">
        <v>0.0124775563080978</v>
      </c>
      <c r="AH811" s="4">
        <v>0.0082124200477058</v>
      </c>
      <c r="AI811" s="4">
        <v>-0.0046438580417232</v>
      </c>
      <c r="AJ811" s="4">
        <v>0.012982</v>
      </c>
      <c r="AK811" s="4">
        <f>Weights!E867</f>
        <v>-0.002431060604</v>
      </c>
      <c r="AL811" s="5">
        <v>0.0109357731880883</v>
      </c>
      <c r="AM811" s="5">
        <v>0.00870929667385533</v>
      </c>
      <c r="AN811" s="5">
        <v>-0.0087542443624039</v>
      </c>
      <c r="AO811" s="5">
        <v>-0.00879403375468224</v>
      </c>
      <c r="AP811" s="6">
        <f t="shared" si="3"/>
        <v>1.53615624</v>
      </c>
      <c r="AQ811" s="4">
        <f t="shared" si="4"/>
        <v>1.238961252</v>
      </c>
      <c r="AR811" s="7">
        <f t="shared" si="5"/>
        <v>1.204361097</v>
      </c>
      <c r="AS811" s="7">
        <f t="shared" ref="AS811:AU811" si="813">AS810*(1+AM811)</f>
        <v>1.264450325</v>
      </c>
      <c r="AT811" s="5">
        <f t="shared" si="813"/>
        <v>1.261238227</v>
      </c>
      <c r="AU811" s="5">
        <f t="shared" si="813"/>
        <v>1.248769186</v>
      </c>
    </row>
    <row r="812" ht="15.75" customHeight="1">
      <c r="A812" s="3">
        <v>45007.0</v>
      </c>
      <c r="B812" s="4">
        <v>-0.005558</v>
      </c>
      <c r="C812" s="4">
        <v>-0.011394</v>
      </c>
      <c r="D812" s="4">
        <v>-0.004839</v>
      </c>
      <c r="E812" s="4">
        <v>-0.008426</v>
      </c>
      <c r="F812" s="4">
        <v>-0.004476</v>
      </c>
      <c r="G812" s="4">
        <v>-0.018455</v>
      </c>
      <c r="H812" s="4">
        <v>-6.25E-4</v>
      </c>
      <c r="I812" s="4">
        <v>-0.012675</v>
      </c>
      <c r="J812" s="4">
        <v>-0.011021</v>
      </c>
      <c r="K812" s="4">
        <v>-0.007341</v>
      </c>
      <c r="L812" s="4">
        <v>-0.014894</v>
      </c>
      <c r="M812" s="4">
        <v>-0.010556</v>
      </c>
      <c r="N812" s="4">
        <v>-0.006598</v>
      </c>
      <c r="O812" s="4">
        <v>-0.014448</v>
      </c>
      <c r="P812" s="4">
        <v>8.58E-4</v>
      </c>
      <c r="Q812" s="4">
        <v>0.026863</v>
      </c>
      <c r="R812" s="4">
        <v>-0.010977</v>
      </c>
      <c r="S812" s="4">
        <v>0.019312</v>
      </c>
      <c r="T812" s="4">
        <v>-0.029915</v>
      </c>
      <c r="U812" s="4">
        <v>-0.00855</v>
      </c>
      <c r="V812" s="4">
        <v>0.00864676582962942</v>
      </c>
      <c r="W812" s="4">
        <v>-0.0342558862617272</v>
      </c>
      <c r="X812" s="4">
        <v>0.0</v>
      </c>
      <c r="Y812" s="4">
        <v>0.0177582002700051</v>
      </c>
      <c r="Z812" s="4">
        <v>0.0169314133857299</v>
      </c>
      <c r="AA812" s="4">
        <v>0.0260207872450464</v>
      </c>
      <c r="AB812" s="4">
        <v>-0.0089111940295</v>
      </c>
      <c r="AC812" s="4">
        <v>0.0</v>
      </c>
      <c r="AD812" s="4">
        <v>0.0</v>
      </c>
      <c r="AE812" s="4">
        <v>0.006499908730984</v>
      </c>
      <c r="AF812" s="4">
        <v>2.778254128548E-4</v>
      </c>
      <c r="AG812" s="4">
        <v>-0.0045521180547284</v>
      </c>
      <c r="AH812" s="4">
        <v>0.0165625492389702</v>
      </c>
      <c r="AI812" s="4">
        <v>-0.0077763765155541</v>
      </c>
      <c r="AJ812" s="4">
        <v>-0.016463</v>
      </c>
      <c r="AK812" s="4">
        <f>Weights!E868</f>
        <v>-0.002017540486</v>
      </c>
      <c r="AL812" s="5">
        <v>0.014275550467899</v>
      </c>
      <c r="AM812" s="5">
        <v>0.0142719585283934</v>
      </c>
      <c r="AN812" s="5">
        <v>0.00679353798876292</v>
      </c>
      <c r="AO812" s="5">
        <v>0.0076045741466415</v>
      </c>
      <c r="AP812" s="6">
        <f t="shared" si="3"/>
        <v>1.533056982</v>
      </c>
      <c r="AQ812" s="4">
        <f t="shared" si="4"/>
        <v>1.218564233</v>
      </c>
      <c r="AR812" s="7">
        <f t="shared" si="5"/>
        <v>1.221554014</v>
      </c>
      <c r="AS812" s="7">
        <f t="shared" ref="AS812:AU812" si="814">AS811*(1+AM812)</f>
        <v>1.282496508</v>
      </c>
      <c r="AT812" s="5">
        <f t="shared" si="814"/>
        <v>1.269806497</v>
      </c>
      <c r="AU812" s="5">
        <f t="shared" si="814"/>
        <v>1.258265544</v>
      </c>
    </row>
    <row r="813" ht="15.75" customHeight="1">
      <c r="A813" s="3">
        <v>45008.0</v>
      </c>
      <c r="B813" s="4">
        <v>0.006098</v>
      </c>
      <c r="C813" s="4">
        <v>0.001608</v>
      </c>
      <c r="D813" s="4">
        <v>0.007515</v>
      </c>
      <c r="E813" s="4">
        <v>-0.004872</v>
      </c>
      <c r="F813" s="4">
        <v>-0.002165</v>
      </c>
      <c r="G813" s="4">
        <v>5.3E-4</v>
      </c>
      <c r="H813" s="4">
        <v>-0.001389</v>
      </c>
      <c r="I813" s="4">
        <v>-0.00437</v>
      </c>
      <c r="J813" s="4">
        <v>-0.016345</v>
      </c>
      <c r="K813" s="4">
        <v>-0.007572</v>
      </c>
      <c r="L813" s="4">
        <v>-0.006434</v>
      </c>
      <c r="M813" s="4">
        <v>-0.003369</v>
      </c>
      <c r="N813" s="4">
        <v>-0.011733</v>
      </c>
      <c r="O813" s="4">
        <v>-9.01E-4</v>
      </c>
      <c r="P813" s="4">
        <v>0.024657</v>
      </c>
      <c r="Q813" s="4">
        <v>0.047257</v>
      </c>
      <c r="R813" s="4">
        <v>-0.001321</v>
      </c>
      <c r="S813" s="4">
        <v>0.013937</v>
      </c>
      <c r="T813" s="4">
        <v>0.00305</v>
      </c>
      <c r="U813" s="4">
        <v>-0.007868</v>
      </c>
      <c r="V813" s="4">
        <v>0.06429490636446</v>
      </c>
      <c r="W813" s="4">
        <v>0.0023234928063227</v>
      </c>
      <c r="X813" s="4">
        <v>-0.0077619972889519</v>
      </c>
      <c r="Y813" s="4">
        <v>0.0061914593428302</v>
      </c>
      <c r="Z813" s="4">
        <v>0.0015050161016194</v>
      </c>
      <c r="AA813" s="4">
        <v>0.00444289073412</v>
      </c>
      <c r="AB813" s="4">
        <v>0.0106774265294131</v>
      </c>
      <c r="AC813" s="4">
        <v>0.0019120441842779</v>
      </c>
      <c r="AD813" s="4">
        <v>0.0097086533566537</v>
      </c>
      <c r="AE813" s="4">
        <v>0.0252374491180462</v>
      </c>
      <c r="AF813" s="4">
        <v>0.0188889839441295</v>
      </c>
      <c r="AG813" s="4">
        <v>0.0023422909147774</v>
      </c>
      <c r="AH813" s="4">
        <v>-0.0072115252968865</v>
      </c>
      <c r="AI813" s="4">
        <v>0.0036571564158476</v>
      </c>
      <c r="AJ813" s="4">
        <v>0.002985</v>
      </c>
      <c r="AK813" s="4">
        <f>Weights!E869</f>
        <v>0.004365905469</v>
      </c>
      <c r="AL813" s="5">
        <v>-0.0129380906195638</v>
      </c>
      <c r="AM813" s="5">
        <v>-0.0178768402414892</v>
      </c>
      <c r="AN813" s="5">
        <v>0.00775969418554844</v>
      </c>
      <c r="AO813" s="5">
        <v>0.00654095185441283</v>
      </c>
      <c r="AP813" s="6">
        <f t="shared" si="3"/>
        <v>1.539750164</v>
      </c>
      <c r="AQ813" s="4">
        <f t="shared" si="4"/>
        <v>1.222201647</v>
      </c>
      <c r="AR813" s="7">
        <f t="shared" si="5"/>
        <v>1.205749438</v>
      </c>
      <c r="AS813" s="7">
        <f t="shared" ref="AS813:AU813" si="815">AS812*(1+AM813)</f>
        <v>1.259569523</v>
      </c>
      <c r="AT813" s="5">
        <f t="shared" si="815"/>
        <v>1.279659807</v>
      </c>
      <c r="AU813" s="5">
        <f t="shared" si="815"/>
        <v>1.266495798</v>
      </c>
    </row>
    <row r="814" ht="15.75" customHeight="1">
      <c r="A814" s="3">
        <v>45009.0</v>
      </c>
      <c r="B814" s="4">
        <v>0.004545</v>
      </c>
      <c r="C814" s="4">
        <v>0.00776</v>
      </c>
      <c r="D814" s="4">
        <v>0.002413</v>
      </c>
      <c r="E814" s="4">
        <v>0.019584</v>
      </c>
      <c r="F814" s="4">
        <v>0.016355</v>
      </c>
      <c r="G814" s="4">
        <v>0.010057</v>
      </c>
      <c r="H814" s="4">
        <v>0.020377</v>
      </c>
      <c r="I814" s="4">
        <v>0.007682</v>
      </c>
      <c r="J814" s="4">
        <v>0.030463</v>
      </c>
      <c r="K814" s="4">
        <v>0.003371</v>
      </c>
      <c r="L814" s="4">
        <v>-0.005072</v>
      </c>
      <c r="M814" s="4">
        <v>-0.00169</v>
      </c>
      <c r="N814" s="4">
        <v>0.001568</v>
      </c>
      <c r="O814" s="4">
        <v>0.00945</v>
      </c>
      <c r="P814" s="4">
        <v>0.015903</v>
      </c>
      <c r="Q814" s="4">
        <v>0.031426</v>
      </c>
      <c r="R814" s="4">
        <v>0.005822</v>
      </c>
      <c r="S814" s="4">
        <v>0.010524</v>
      </c>
      <c r="T814" s="4">
        <v>0.004392</v>
      </c>
      <c r="U814" s="4">
        <v>0.018833</v>
      </c>
      <c r="V814" s="4">
        <v>-0.0108739754290942</v>
      </c>
      <c r="W814" s="4">
        <v>-0.0069540180629436</v>
      </c>
      <c r="X814" s="4">
        <v>-0.0052150391352471</v>
      </c>
      <c r="Y814" s="4">
        <v>-0.0085152210744713</v>
      </c>
      <c r="Z814" s="4">
        <v>-0.0011271385051022</v>
      </c>
      <c r="AA814" s="4">
        <v>-0.0012901744298925</v>
      </c>
      <c r="AB814" s="4">
        <v>-0.0016682960177907</v>
      </c>
      <c r="AC814" s="4">
        <v>0.0038167904964847</v>
      </c>
      <c r="AD814" s="4">
        <v>0.0</v>
      </c>
      <c r="AE814" s="4">
        <v>-0.0104257124254936</v>
      </c>
      <c r="AF814" s="4">
        <v>-0.0035442547436842</v>
      </c>
      <c r="AG814" s="4">
        <v>-0.0150219122545632</v>
      </c>
      <c r="AH814" s="4">
        <v>0.0118374792209581</v>
      </c>
      <c r="AI814" s="4">
        <v>-0.0036438303582746</v>
      </c>
      <c r="AJ814" s="4">
        <v>0.00564</v>
      </c>
      <c r="AK814" s="4">
        <f>Weights!E870</f>
        <v>0.003384190405</v>
      </c>
      <c r="AL814" s="5">
        <v>0.00159410546148164</v>
      </c>
      <c r="AM814" s="5">
        <v>0.00182234587324092</v>
      </c>
      <c r="AN814" s="5">
        <v>-0.00736516475138415</v>
      </c>
      <c r="AO814" s="5">
        <v>-0.00549855152541778</v>
      </c>
      <c r="AP814" s="6">
        <f t="shared" si="3"/>
        <v>1.544960972</v>
      </c>
      <c r="AQ814" s="4">
        <f t="shared" si="4"/>
        <v>1.229094864</v>
      </c>
      <c r="AR814" s="7">
        <f t="shared" si="5"/>
        <v>1.207671529</v>
      </c>
      <c r="AS814" s="7">
        <f t="shared" ref="AS814:AU814" si="816">AS813*(1+AM814)</f>
        <v>1.261864894</v>
      </c>
      <c r="AT814" s="5">
        <f t="shared" si="816"/>
        <v>1.270234902</v>
      </c>
      <c r="AU814" s="5">
        <f t="shared" si="816"/>
        <v>1.259531906</v>
      </c>
    </row>
    <row r="815" ht="15.75" customHeight="1">
      <c r="A815" s="3">
        <v>45012.0</v>
      </c>
      <c r="B815" s="4">
        <v>0.001508</v>
      </c>
      <c r="C815" s="4">
        <v>0.010356</v>
      </c>
      <c r="D815" s="4">
        <v>0.005909</v>
      </c>
      <c r="E815" s="4">
        <v>0.002234</v>
      </c>
      <c r="F815" s="4">
        <v>0.007389</v>
      </c>
      <c r="G815" s="4">
        <v>0.004258</v>
      </c>
      <c r="H815" s="4">
        <v>-0.005248</v>
      </c>
      <c r="I815" s="4">
        <v>0.00245</v>
      </c>
      <c r="J815" s="4">
        <v>0.014904</v>
      </c>
      <c r="K815" s="4">
        <v>0.024403</v>
      </c>
      <c r="L815" s="4">
        <v>0.014752</v>
      </c>
      <c r="M815" s="4">
        <v>0.005643</v>
      </c>
      <c r="N815" s="4">
        <v>0.016551</v>
      </c>
      <c r="O815" s="4">
        <v>0.015241</v>
      </c>
      <c r="P815" s="4">
        <v>-0.007003</v>
      </c>
      <c r="Q815" s="4">
        <v>0.007812</v>
      </c>
      <c r="R815" s="4">
        <v>-7.89E-4</v>
      </c>
      <c r="S815" s="4">
        <v>-0.001488</v>
      </c>
      <c r="T815" s="4">
        <v>0.004373</v>
      </c>
      <c r="U815" s="4">
        <v>-0.001272</v>
      </c>
      <c r="V815" s="4">
        <v>-0.0101791876488318</v>
      </c>
      <c r="W815" s="4">
        <v>0.0034235310023342</v>
      </c>
      <c r="X815" s="4">
        <v>0.00524237834347</v>
      </c>
      <c r="Y815" s="4">
        <v>-0.0057671758533962</v>
      </c>
      <c r="Z815" s="4">
        <v>-0.0015984600996549</v>
      </c>
      <c r="AA815" s="4">
        <v>0.0020299334144155</v>
      </c>
      <c r="AB815" s="4">
        <v>0.0052910214550156</v>
      </c>
      <c r="AC815" s="4">
        <v>0.0057034169969352</v>
      </c>
      <c r="AD815" s="4">
        <v>0.0054943737787278</v>
      </c>
      <c r="AE815" s="4">
        <v>-0.0014633017607127</v>
      </c>
      <c r="AF815" s="4">
        <v>0.0270861770214165</v>
      </c>
      <c r="AG815" s="4">
        <v>-0.001920395553565</v>
      </c>
      <c r="AH815" s="4">
        <v>0.0127625892904856</v>
      </c>
      <c r="AI815" s="4">
        <v>-0.0041790796355533</v>
      </c>
      <c r="AJ815" s="4">
        <v>0.001647</v>
      </c>
      <c r="AK815" s="4">
        <f>Weights!E871</f>
        <v>0.004927062082</v>
      </c>
      <c r="AL815" s="5">
        <v>0.00291809602947923</v>
      </c>
      <c r="AM815" s="5">
        <v>0.0062852526509014</v>
      </c>
      <c r="AN815" s="5">
        <v>-0.00404730771399752</v>
      </c>
      <c r="AO815" s="5">
        <v>-0.00414694538106197</v>
      </c>
      <c r="AP815" s="6">
        <f t="shared" si="3"/>
        <v>1.55257309</v>
      </c>
      <c r="AQ815" s="4">
        <f t="shared" si="4"/>
        <v>1.231119183</v>
      </c>
      <c r="AR815" s="7">
        <f t="shared" si="5"/>
        <v>1.211195631</v>
      </c>
      <c r="AS815" s="7">
        <f t="shared" ref="AS815:AU815" si="817">AS814*(1+AM815)</f>
        <v>1.269796034</v>
      </c>
      <c r="AT815" s="5">
        <f t="shared" si="817"/>
        <v>1.26509387</v>
      </c>
      <c r="AU815" s="5">
        <f t="shared" si="817"/>
        <v>1.254308696</v>
      </c>
    </row>
    <row r="816" ht="15.75" customHeight="1">
      <c r="A816" s="3">
        <v>45013.0</v>
      </c>
      <c r="B816" s="4">
        <v>-0.001004</v>
      </c>
      <c r="C816" s="4">
        <v>-0.001314</v>
      </c>
      <c r="D816" s="4">
        <v>0.015883</v>
      </c>
      <c r="E816" s="4">
        <v>-3.34E-4</v>
      </c>
      <c r="F816" s="4">
        <v>0.001141</v>
      </c>
      <c r="G816" s="4">
        <v>-0.009654</v>
      </c>
      <c r="H816" s="4">
        <v>0.002809</v>
      </c>
      <c r="I816" s="4">
        <v>-0.002444</v>
      </c>
      <c r="J816" s="4">
        <v>0.006018</v>
      </c>
      <c r="K816" s="4">
        <v>0.013982</v>
      </c>
      <c r="L816" s="4">
        <v>-3.21E-4</v>
      </c>
      <c r="M816" s="4">
        <v>0.0</v>
      </c>
      <c r="N816" s="4">
        <v>0.00462</v>
      </c>
      <c r="O816" s="4">
        <v>-0.012649</v>
      </c>
      <c r="P816" s="4">
        <v>0.009334</v>
      </c>
      <c r="Q816" s="4">
        <v>0.037209</v>
      </c>
      <c r="R816" s="4">
        <v>0.010269</v>
      </c>
      <c r="S816" s="4">
        <v>0.024266</v>
      </c>
      <c r="T816" s="4">
        <v>-0.0071</v>
      </c>
      <c r="U816" s="4">
        <v>0.010341</v>
      </c>
      <c r="V816" s="4">
        <v>-0.0407239728041803</v>
      </c>
      <c r="W816" s="4">
        <v>0.0116315735031617</v>
      </c>
      <c r="X816" s="4">
        <v>-0.0065189309988668</v>
      </c>
      <c r="Y816" s="4">
        <v>-0.0035939436603953</v>
      </c>
      <c r="Z816" s="4">
        <v>-0.0065924708512534</v>
      </c>
      <c r="AA816" s="4">
        <v>-0.0036833039066334</v>
      </c>
      <c r="AB816" s="4">
        <v>8.310274561653E-4</v>
      </c>
      <c r="AC816" s="4">
        <v>0.0</v>
      </c>
      <c r="AD816" s="4">
        <v>-0.0040981161396765</v>
      </c>
      <c r="AE816" s="4">
        <v>-0.0115768046632124</v>
      </c>
      <c r="AF816" s="4">
        <v>0.0069259250343678</v>
      </c>
      <c r="AG816" s="4">
        <v>-0.0043011116272365</v>
      </c>
      <c r="AH816" s="4">
        <v>0.0089262062890926</v>
      </c>
      <c r="AI816" s="4">
        <v>-0.0015741952855311</v>
      </c>
      <c r="AJ816" s="4">
        <v>-0.001574</v>
      </c>
      <c r="AK816" s="4">
        <f>Weights!E872</f>
        <v>0.0006147900006</v>
      </c>
      <c r="AL816" s="5">
        <v>0.00476102101713848</v>
      </c>
      <c r="AM816" s="5">
        <v>0.00253888558048065</v>
      </c>
      <c r="AN816" s="5">
        <v>0.00304785063577961</v>
      </c>
      <c r="AO816" s="5">
        <v>0.00239757784376415</v>
      </c>
      <c r="AP816" s="6">
        <f t="shared" si="3"/>
        <v>1.553527597</v>
      </c>
      <c r="AQ816" s="4">
        <f t="shared" si="4"/>
        <v>1.229181402</v>
      </c>
      <c r="AR816" s="7">
        <f t="shared" si="5"/>
        <v>1.216962159</v>
      </c>
      <c r="AS816" s="7">
        <f t="shared" ref="AS816:AU816" si="818">AS815*(1+AM816)</f>
        <v>1.273019901</v>
      </c>
      <c r="AT816" s="5">
        <f t="shared" si="818"/>
        <v>1.268949688</v>
      </c>
      <c r="AU816" s="5">
        <f t="shared" si="818"/>
        <v>1.257315999</v>
      </c>
    </row>
    <row r="817" ht="15.75" customHeight="1">
      <c r="A817" s="3">
        <v>45014.0</v>
      </c>
      <c r="B817" s="4">
        <v>0.001005</v>
      </c>
      <c r="C817" s="4">
        <v>0.012632</v>
      </c>
      <c r="D817" s="4">
        <v>0.003427</v>
      </c>
      <c r="E817" s="4">
        <v>0.006911</v>
      </c>
      <c r="F817" s="4">
        <v>0.007164</v>
      </c>
      <c r="G817" s="4">
        <v>0.009814</v>
      </c>
      <c r="H817" s="4">
        <v>0.003075</v>
      </c>
      <c r="I817" s="4">
        <v>0.029948</v>
      </c>
      <c r="J817" s="4">
        <v>0.007179</v>
      </c>
      <c r="K817" s="4">
        <v>0.008172</v>
      </c>
      <c r="L817" s="4">
        <v>0.010051</v>
      </c>
      <c r="M817" s="4">
        <v>0.008417</v>
      </c>
      <c r="N817" s="4">
        <v>0.005694</v>
      </c>
      <c r="O817" s="4">
        <v>0.002018</v>
      </c>
      <c r="P817" s="4">
        <v>-0.006576</v>
      </c>
      <c r="Q817" s="4">
        <v>-0.020927</v>
      </c>
      <c r="R817" s="4">
        <v>0.027886</v>
      </c>
      <c r="S817" s="4">
        <v>0.0</v>
      </c>
      <c r="T817" s="4">
        <v>0.011333</v>
      </c>
      <c r="U817" s="4">
        <v>0.009197</v>
      </c>
      <c r="V817" s="4">
        <v>0.00643228995306244</v>
      </c>
      <c r="W817" s="4">
        <v>-0.0159436763290105</v>
      </c>
      <c r="X817" s="4">
        <v>0.0</v>
      </c>
      <c r="Y817" s="4">
        <v>-0.0051258758817263</v>
      </c>
      <c r="Z817" s="4">
        <v>-0.0085325867105985</v>
      </c>
      <c r="AA817" s="4">
        <v>0.0123845926793626</v>
      </c>
      <c r="AB817" s="4">
        <v>0.0107943864985966</v>
      </c>
      <c r="AC817" s="4">
        <v>0.0</v>
      </c>
      <c r="AD817" s="4">
        <v>0.0</v>
      </c>
      <c r="AE817" s="4">
        <v>0.0048925389559681</v>
      </c>
      <c r="AF817" s="4">
        <v>-0.0140211598333394</v>
      </c>
      <c r="AG817" s="4">
        <v>0.006934189135058</v>
      </c>
      <c r="AH817" s="4">
        <v>-0.0039031659481434</v>
      </c>
      <c r="AI817" s="4">
        <v>0.0015766772834775</v>
      </c>
      <c r="AJ817" s="4">
        <v>0.014237</v>
      </c>
      <c r="AK817" s="4">
        <f>Weights!E873</f>
        <v>0.004700534073</v>
      </c>
      <c r="AL817" s="5">
        <v>-7.89674338717794E-4</v>
      </c>
      <c r="AM817" s="5">
        <v>-0.00141824850723237</v>
      </c>
      <c r="AN817" s="5">
        <v>0.00708972200198743</v>
      </c>
      <c r="AO817" s="5">
        <v>0.00604224298270206</v>
      </c>
      <c r="AP817" s="6">
        <f t="shared" si="3"/>
        <v>1.560830006</v>
      </c>
      <c r="AQ817" s="4">
        <f t="shared" si="4"/>
        <v>1.246681257</v>
      </c>
      <c r="AR817" s="7">
        <f t="shared" si="5"/>
        <v>1.216001155</v>
      </c>
      <c r="AS817" s="7">
        <f t="shared" ref="AS817:AU817" si="819">AS816*(1+AM817)</f>
        <v>1.271214442</v>
      </c>
      <c r="AT817" s="5">
        <f t="shared" si="819"/>
        <v>1.277946188</v>
      </c>
      <c r="AU817" s="5">
        <f t="shared" si="819"/>
        <v>1.264913008</v>
      </c>
    </row>
    <row r="818" ht="15.75" customHeight="1">
      <c r="A818" s="3">
        <v>45015.0</v>
      </c>
      <c r="B818" s="4">
        <v>0.009538</v>
      </c>
      <c r="C818" s="4">
        <v>0.004678</v>
      </c>
      <c r="D818" s="4">
        <v>0.017716</v>
      </c>
      <c r="E818" s="4">
        <v>8.86E-4</v>
      </c>
      <c r="F818" s="4">
        <v>-1.62E-4</v>
      </c>
      <c r="G818" s="4">
        <v>7.83E-4</v>
      </c>
      <c r="H818" s="4">
        <v>0.004359</v>
      </c>
      <c r="I818" s="4">
        <v>0.006609</v>
      </c>
      <c r="J818" s="4">
        <v>0.01378</v>
      </c>
      <c r="K818" s="4">
        <v>0.003546</v>
      </c>
      <c r="L818" s="4">
        <v>0.005187</v>
      </c>
      <c r="M818" s="4">
        <v>0.01113</v>
      </c>
      <c r="N818" s="4">
        <v>0.006751</v>
      </c>
      <c r="O818" s="4">
        <v>0.011381</v>
      </c>
      <c r="P818" s="4">
        <v>0.010343</v>
      </c>
      <c r="Q818" s="4">
        <v>0.030534</v>
      </c>
      <c r="R818" s="4">
        <v>0.01927</v>
      </c>
      <c r="S818" s="4">
        <v>6.23E-4</v>
      </c>
      <c r="T818" s="4">
        <v>0.013007</v>
      </c>
      <c r="U818" s="4">
        <v>0.014331</v>
      </c>
      <c r="V818" s="4">
        <v>-0.0183212855820942</v>
      </c>
      <c r="W818" s="4">
        <v>0.0398815837901636</v>
      </c>
      <c r="X818" s="4">
        <v>-0.0132450857178924</v>
      </c>
      <c r="Y818" s="4">
        <v>0.0</v>
      </c>
      <c r="Z818" s="4">
        <v>0.0</v>
      </c>
      <c r="AA818" s="4">
        <v>0.0</v>
      </c>
      <c r="AB818" s="4">
        <v>0.0</v>
      </c>
      <c r="AC818" s="4">
        <v>-0.0056818136199418</v>
      </c>
      <c r="AD818" s="4">
        <v>-0.0248275866157885</v>
      </c>
      <c r="AE818" s="4">
        <v>0.0</v>
      </c>
      <c r="AF818" s="4">
        <v>0.0034880825375689</v>
      </c>
      <c r="AG818" s="4">
        <v>0.0</v>
      </c>
      <c r="AH818" s="4">
        <v>0.0</v>
      </c>
      <c r="AI818" s="4">
        <v>0.0</v>
      </c>
      <c r="AJ818" s="4">
        <v>0.005715</v>
      </c>
      <c r="AK818" s="4">
        <f>Weights!E874</f>
        <v>0.003828696612</v>
      </c>
      <c r="AL818" s="5">
        <v>0.0135241071479879</v>
      </c>
      <c r="AM818" s="5">
        <v>0.0144053178181455</v>
      </c>
      <c r="AN818" s="5">
        <v>0.00100575549319104</v>
      </c>
      <c r="AO818" s="5">
        <v>0.0015014628511798</v>
      </c>
      <c r="AP818" s="6">
        <f t="shared" si="3"/>
        <v>1.566805951</v>
      </c>
      <c r="AQ818" s="4">
        <f t="shared" si="4"/>
        <v>1.253806041</v>
      </c>
      <c r="AR818" s="7">
        <f t="shared" si="5"/>
        <v>1.232446485</v>
      </c>
      <c r="AS818" s="7">
        <f t="shared" ref="AS818:AU818" si="820">AS817*(1+AM818)</f>
        <v>1.28952669</v>
      </c>
      <c r="AT818" s="5">
        <f t="shared" si="820"/>
        <v>1.27923149</v>
      </c>
      <c r="AU818" s="5">
        <f t="shared" si="820"/>
        <v>1.266812227</v>
      </c>
    </row>
    <row r="819" ht="15.75" customHeight="1">
      <c r="A819" s="3">
        <v>45016.0</v>
      </c>
      <c r="B819" s="4">
        <v>-0.012432</v>
      </c>
      <c r="C819" s="4">
        <v>0.005949</v>
      </c>
      <c r="D819" s="4">
        <v>-0.027685</v>
      </c>
      <c r="E819" s="4">
        <v>0.008129</v>
      </c>
      <c r="F819" s="4">
        <v>0.00291</v>
      </c>
      <c r="G819" s="4">
        <v>0.010233</v>
      </c>
      <c r="H819" s="4">
        <v>0.00841</v>
      </c>
      <c r="I819" s="4">
        <v>0.001838</v>
      </c>
      <c r="J819" s="4">
        <v>-0.003281</v>
      </c>
      <c r="K819" s="4">
        <v>0.007908</v>
      </c>
      <c r="L819" s="4">
        <v>0.006635</v>
      </c>
      <c r="M819" s="4">
        <v>0.010457</v>
      </c>
      <c r="N819" s="4">
        <v>0.010167</v>
      </c>
      <c r="O819" s="4">
        <v>0.014077</v>
      </c>
      <c r="P819" s="4">
        <v>0.003686</v>
      </c>
      <c r="Q819" s="4">
        <v>-0.013333</v>
      </c>
      <c r="R819" s="4">
        <v>0.017662</v>
      </c>
      <c r="S819" s="4">
        <v>2.08E-4</v>
      </c>
      <c r="T819" s="4">
        <v>0.020547</v>
      </c>
      <c r="U819" s="4">
        <v>0.007608</v>
      </c>
      <c r="V819" s="4">
        <v>0.0299479252283401</v>
      </c>
      <c r="W819" s="4">
        <v>-0.0549811472796126</v>
      </c>
      <c r="X819" s="4">
        <v>-0.004026861845688</v>
      </c>
      <c r="Y819" s="4">
        <v>9.540817997732E-4</v>
      </c>
      <c r="Z819" s="4">
        <v>-0.0064063802305317</v>
      </c>
      <c r="AA819" s="4">
        <v>-0.0113201075832034</v>
      </c>
      <c r="AB819" s="4">
        <v>-0.0019167636987369</v>
      </c>
      <c r="AC819" s="4">
        <v>-0.0038094399855945</v>
      </c>
      <c r="AD819" s="4">
        <v>-0.00990078422577</v>
      </c>
      <c r="AE819" s="4">
        <v>-0.0083357781731346</v>
      </c>
      <c r="AF819" s="4">
        <v>0.0013368868716299</v>
      </c>
      <c r="AG819" s="4">
        <v>-0.0108377282890245</v>
      </c>
      <c r="AH819" s="4">
        <v>0.0331765550583729</v>
      </c>
      <c r="AI819" s="4">
        <v>-0.006820894674018</v>
      </c>
      <c r="AJ819" s="4">
        <v>0.014437</v>
      </c>
      <c r="AK819" s="4">
        <f>Weights!E875</f>
        <v>0.001519539758</v>
      </c>
      <c r="AL819" s="5">
        <v>0.00727837733785841</v>
      </c>
      <c r="AM819" s="5">
        <v>0.0054003289000033</v>
      </c>
      <c r="AN819" s="5">
        <v>0.00937698463836334</v>
      </c>
      <c r="AO819" s="5">
        <v>0.009495348302333</v>
      </c>
      <c r="AP819" s="6">
        <f t="shared" si="3"/>
        <v>1.569186775</v>
      </c>
      <c r="AQ819" s="4">
        <f t="shared" si="4"/>
        <v>1.271907239</v>
      </c>
      <c r="AR819" s="7">
        <f t="shared" si="5"/>
        <v>1.241416696</v>
      </c>
      <c r="AS819" s="7">
        <f t="shared" ref="AS819:AU819" si="821">AS818*(1+AM819)</f>
        <v>1.296490558</v>
      </c>
      <c r="AT819" s="5">
        <f t="shared" si="821"/>
        <v>1.291226824</v>
      </c>
      <c r="AU819" s="5">
        <f t="shared" si="821"/>
        <v>1.278841051</v>
      </c>
    </row>
    <row r="820" ht="15.75" customHeight="1">
      <c r="A820" s="3">
        <v>45019.0</v>
      </c>
      <c r="B820" s="4">
        <v>0.011078</v>
      </c>
      <c r="C820" s="4">
        <v>0.008486</v>
      </c>
      <c r="D820" s="4">
        <v>-0.012726</v>
      </c>
      <c r="E820" s="4">
        <v>0.001097</v>
      </c>
      <c r="F820" s="4">
        <v>0.005965</v>
      </c>
      <c r="G820" s="4">
        <v>0.011936</v>
      </c>
      <c r="H820" s="4">
        <v>0.005515</v>
      </c>
      <c r="I820" s="4">
        <v>0.022543</v>
      </c>
      <c r="J820" s="4">
        <v>-0.002822</v>
      </c>
      <c r="K820" s="4">
        <v>0.028548</v>
      </c>
      <c r="L820" s="4">
        <v>0.020925</v>
      </c>
      <c r="M820" s="4">
        <v>0.011983</v>
      </c>
      <c r="N820" s="4">
        <v>0.01349</v>
      </c>
      <c r="O820" s="4">
        <v>8.22E-4</v>
      </c>
      <c r="P820" s="4">
        <v>0.00918</v>
      </c>
      <c r="Q820" s="4">
        <v>0.010511</v>
      </c>
      <c r="R820" s="4">
        <v>0.007089</v>
      </c>
      <c r="S820" s="4">
        <v>0.021595</v>
      </c>
      <c r="T820" s="4">
        <v>-1.3E-4</v>
      </c>
      <c r="U820" s="4">
        <v>0.002804</v>
      </c>
      <c r="V820" s="4">
        <v>0.0278128535428605</v>
      </c>
      <c r="W820" s="4">
        <v>-0.0217184935401704</v>
      </c>
      <c r="X820" s="4">
        <v>0.0</v>
      </c>
      <c r="Y820" s="4">
        <v>-0.0076253791627103</v>
      </c>
      <c r="Z820" s="4">
        <v>-0.0052931515736953</v>
      </c>
      <c r="AA820" s="4">
        <v>-0.0029546297628634</v>
      </c>
      <c r="AB820" s="4">
        <v>-2.743492482135E-4</v>
      </c>
      <c r="AC820" s="4">
        <v>0.0</v>
      </c>
      <c r="AD820" s="4">
        <v>0.0</v>
      </c>
      <c r="AE820" s="4">
        <v>0.0060998046740681</v>
      </c>
      <c r="AF820" s="4">
        <v>-0.0112148697701657</v>
      </c>
      <c r="AG820" s="4">
        <v>-0.0046792155276</v>
      </c>
      <c r="AH820" s="4">
        <v>-0.0080909802904091</v>
      </c>
      <c r="AI820" s="4">
        <v>0.0015365631844601</v>
      </c>
      <c r="AJ820" s="4">
        <v>0.003699</v>
      </c>
      <c r="AK820" s="4">
        <f>Weights!E876</f>
        <v>0.004876156712</v>
      </c>
      <c r="AL820" s="5">
        <v>0.0122151375693231</v>
      </c>
      <c r="AM820" s="5">
        <v>0.0150693600533384</v>
      </c>
      <c r="AN820" s="5">
        <v>0.00564034782965072</v>
      </c>
      <c r="AO820" s="5">
        <v>0.00618797601272724</v>
      </c>
      <c r="AP820" s="6">
        <f t="shared" si="3"/>
        <v>1.576838375</v>
      </c>
      <c r="AQ820" s="4">
        <f t="shared" si="4"/>
        <v>1.276612023</v>
      </c>
      <c r="AR820" s="7">
        <f t="shared" si="5"/>
        <v>1.256580771</v>
      </c>
      <c r="AS820" s="7">
        <f t="shared" ref="AS820:AU820" si="822">AS819*(1+AM820)</f>
        <v>1.316027841</v>
      </c>
      <c r="AT820" s="5">
        <f t="shared" si="822"/>
        <v>1.298509792</v>
      </c>
      <c r="AU820" s="5">
        <f t="shared" si="822"/>
        <v>1.286754489</v>
      </c>
    </row>
    <row r="821" ht="15.75" customHeight="1">
      <c r="A821" s="3">
        <v>45020.0</v>
      </c>
      <c r="B821" s="4">
        <v>0.01992</v>
      </c>
      <c r="C821" s="4">
        <v>0.010964</v>
      </c>
      <c r="D821" s="4">
        <v>0.029714</v>
      </c>
      <c r="E821" s="4">
        <v>-0.003562</v>
      </c>
      <c r="F821" s="4">
        <v>-0.003045</v>
      </c>
      <c r="G821" s="4">
        <v>0.010456</v>
      </c>
      <c r="H821" s="4">
        <v>0.004816</v>
      </c>
      <c r="I821" s="4">
        <v>-0.003076</v>
      </c>
      <c r="J821" s="4">
        <v>0.010139</v>
      </c>
      <c r="K821" s="4">
        <v>-0.017367</v>
      </c>
      <c r="L821" s="4">
        <v>-0.005739</v>
      </c>
      <c r="M821" s="4">
        <v>-0.007535</v>
      </c>
      <c r="N821" s="4">
        <v>-0.007395</v>
      </c>
      <c r="O821" s="4">
        <v>0.004882</v>
      </c>
      <c r="P821" s="4">
        <v>0.038003</v>
      </c>
      <c r="Q821" s="4">
        <v>0.038633</v>
      </c>
      <c r="R821" s="4">
        <v>-0.022816</v>
      </c>
      <c r="S821" s="4">
        <v>0.016667</v>
      </c>
      <c r="T821" s="4">
        <v>-0.06876</v>
      </c>
      <c r="U821" s="4">
        <v>-0.007457</v>
      </c>
      <c r="V821" s="4">
        <v>-0.00204996743014307</v>
      </c>
      <c r="W821" s="4">
        <v>-0.0246314585077805</v>
      </c>
      <c r="X821" s="4">
        <v>-0.025606354037862</v>
      </c>
      <c r="Y821" s="4">
        <v>0.0059554062929063</v>
      </c>
      <c r="Z821" s="4">
        <v>0.0072562067632606</v>
      </c>
      <c r="AA821" s="4">
        <v>0.0168548608624772</v>
      </c>
      <c r="AB821" s="4">
        <v>0.0027443611547322</v>
      </c>
      <c r="AC821" s="4">
        <v>0.0019120441842779</v>
      </c>
      <c r="AD821" s="4">
        <v>-0.0085714064649811</v>
      </c>
      <c r="AE821" s="4">
        <v>0.0045394420060838</v>
      </c>
      <c r="AF821" s="4">
        <v>0.0013502448110187</v>
      </c>
      <c r="AG821" s="4">
        <v>-0.0038984842203556</v>
      </c>
      <c r="AH821" s="4">
        <v>-0.0112159438394505</v>
      </c>
      <c r="AI821" s="4">
        <v>0.0052914086121502</v>
      </c>
      <c r="AJ821" s="4">
        <v>-0.005797</v>
      </c>
      <c r="AK821" s="4">
        <f>Weights!E877</f>
        <v>-0.0007573233971</v>
      </c>
      <c r="AL821" s="5">
        <v>0.0046740824889635</v>
      </c>
      <c r="AM821" s="5">
        <v>0.00264586755614626</v>
      </c>
      <c r="AN821" s="5">
        <v>0.00692852814172884</v>
      </c>
      <c r="AO821" s="5">
        <v>0.00783656470420002</v>
      </c>
      <c r="AP821" s="6">
        <f t="shared" si="3"/>
        <v>1.575644199</v>
      </c>
      <c r="AQ821" s="4">
        <f t="shared" si="4"/>
        <v>1.269211504</v>
      </c>
      <c r="AR821" s="7">
        <f t="shared" si="5"/>
        <v>1.262454133</v>
      </c>
      <c r="AS821" s="7">
        <f t="shared" ref="AS821:AU821" si="823">AS820*(1+AM821)</f>
        <v>1.319509877</v>
      </c>
      <c r="AT821" s="5">
        <f t="shared" si="823"/>
        <v>1.307506554</v>
      </c>
      <c r="AU821" s="5">
        <f t="shared" si="823"/>
        <v>1.296838223</v>
      </c>
    </row>
    <row r="822" ht="15.75" customHeight="1">
      <c r="A822" s="3">
        <v>45021.0</v>
      </c>
      <c r="B822" s="4">
        <v>0.015625</v>
      </c>
      <c r="C822" s="4">
        <v>0.011601</v>
      </c>
      <c r="D822" s="4">
        <v>0.017186</v>
      </c>
      <c r="E822" s="4">
        <v>0.009843</v>
      </c>
      <c r="F822" s="4">
        <v>0.009484</v>
      </c>
      <c r="G822" s="4">
        <v>0.044924</v>
      </c>
      <c r="H822" s="4">
        <v>0.006856</v>
      </c>
      <c r="I822" s="4">
        <v>0.009257</v>
      </c>
      <c r="J822" s="4">
        <v>0.026611</v>
      </c>
      <c r="K822" s="4">
        <v>-0.013969</v>
      </c>
      <c r="L822" s="4">
        <v>-0.001546</v>
      </c>
      <c r="M822" s="4">
        <v>0.006508</v>
      </c>
      <c r="N822" s="4">
        <v>-0.002767</v>
      </c>
      <c r="O822" s="4">
        <v>0.004132</v>
      </c>
      <c r="P822" s="4">
        <v>0.014021</v>
      </c>
      <c r="Q822" s="4">
        <v>0.044349</v>
      </c>
      <c r="R822" s="4">
        <v>0.00149</v>
      </c>
      <c r="S822" s="4">
        <v>-0.005998</v>
      </c>
      <c r="T822" s="4">
        <v>-0.002503</v>
      </c>
      <c r="U822" s="4">
        <v>-0.009608</v>
      </c>
      <c r="V822" s="4">
        <v>0.00451925277778886</v>
      </c>
      <c r="W822" s="4">
        <v>-0.0543278590042295</v>
      </c>
      <c r="X822" s="4">
        <v>0.0</v>
      </c>
      <c r="Y822" s="4">
        <v>-0.0021645352174216</v>
      </c>
      <c r="Z822" s="4">
        <v>-0.0048987045332528</v>
      </c>
      <c r="AA822" s="4">
        <v>-0.0047359874921638</v>
      </c>
      <c r="AB822" s="4">
        <v>0.0068418369379517</v>
      </c>
      <c r="AC822" s="4">
        <v>0.0</v>
      </c>
      <c r="AD822" s="4">
        <v>0.0</v>
      </c>
      <c r="AE822" s="4">
        <v>0.0084449705710702</v>
      </c>
      <c r="AF822" s="4">
        <v>-5.393828166954E-4</v>
      </c>
      <c r="AG822" s="4">
        <v>-0.0126627096055392</v>
      </c>
      <c r="AH822" s="4">
        <v>0.0180458711451745</v>
      </c>
      <c r="AI822" s="4">
        <v>-0.0042109328673914</v>
      </c>
      <c r="AJ822" s="4">
        <v>-0.002492</v>
      </c>
      <c r="AK822" s="4">
        <f>Weights!E878</f>
        <v>0.003445165795</v>
      </c>
      <c r="AL822" s="5">
        <v>-0.00380649398637167</v>
      </c>
      <c r="AM822" s="5">
        <v>-0.00669477242423433</v>
      </c>
      <c r="AN822" s="5">
        <v>0.0114678236451077</v>
      </c>
      <c r="AO822" s="5">
        <v>0.0103346949462637</v>
      </c>
      <c r="AP822" s="6">
        <f t="shared" si="3"/>
        <v>1.581072554</v>
      </c>
      <c r="AQ822" s="4">
        <f t="shared" si="4"/>
        <v>1.266048628</v>
      </c>
      <c r="AR822" s="7">
        <f t="shared" si="5"/>
        <v>1.257648609</v>
      </c>
      <c r="AS822" s="7">
        <f t="shared" ref="AS822:AU822" si="824">AS821*(1+AM822)</f>
        <v>1.310676058</v>
      </c>
      <c r="AT822" s="5">
        <f t="shared" si="824"/>
        <v>1.322500808</v>
      </c>
      <c r="AU822" s="5">
        <f t="shared" si="824"/>
        <v>1.310240651</v>
      </c>
    </row>
    <row r="823" ht="15.75" customHeight="1">
      <c r="A823" s="3">
        <v>45022.0</v>
      </c>
      <c r="B823" s="4">
        <v>-0.002885</v>
      </c>
      <c r="C823" s="4">
        <v>-0.015707</v>
      </c>
      <c r="D823" s="4">
        <v>-0.007301</v>
      </c>
      <c r="E823" s="4">
        <v>0.003921</v>
      </c>
      <c r="F823" s="4">
        <v>6.37E-4</v>
      </c>
      <c r="G823" s="4">
        <v>-0.002778</v>
      </c>
      <c r="H823" s="4">
        <v>0.006347</v>
      </c>
      <c r="I823" s="4">
        <v>-0.006879</v>
      </c>
      <c r="J823" s="4">
        <v>0.006367</v>
      </c>
      <c r="K823" s="4">
        <v>0.001526</v>
      </c>
      <c r="L823" s="4">
        <v>-4.13E-4</v>
      </c>
      <c r="M823" s="4">
        <v>0.001616</v>
      </c>
      <c r="N823" s="4">
        <v>0.0</v>
      </c>
      <c r="O823" s="4">
        <v>0.003165</v>
      </c>
      <c r="P823" s="4">
        <v>-3.84E-4</v>
      </c>
      <c r="Q823" s="4">
        <v>0.006849</v>
      </c>
      <c r="R823" s="4">
        <v>-7.44E-4</v>
      </c>
      <c r="S823" s="4">
        <v>-0.003017</v>
      </c>
      <c r="T823" s="4">
        <v>0.014358</v>
      </c>
      <c r="U823" s="4">
        <v>0.005398</v>
      </c>
      <c r="V823" s="4">
        <v>-0.00368092629182958</v>
      </c>
      <c r="W823" s="4">
        <v>0.0</v>
      </c>
      <c r="X823" s="4">
        <v>-0.0154930178744605</v>
      </c>
      <c r="Y823" s="4">
        <v>0.0040828915021497</v>
      </c>
      <c r="Z823" s="4">
        <v>0.0126447440609418</v>
      </c>
      <c r="AA823" s="4">
        <v>-3.659672037326E-4</v>
      </c>
      <c r="AB823" s="4">
        <v>-8.155560053927E-4</v>
      </c>
      <c r="AC823" s="4">
        <v>0.0057915010517948</v>
      </c>
      <c r="AD823" s="4">
        <v>0.0058565653754421</v>
      </c>
      <c r="AE823" s="4">
        <v>-0.0074192336177546</v>
      </c>
      <c r="AF823" s="4">
        <v>0.0202374090696586</v>
      </c>
      <c r="AG823" s="4">
        <v>-0.0108430460093879</v>
      </c>
      <c r="AH823" s="4">
        <v>-0.0068371616149577</v>
      </c>
      <c r="AI823" s="4">
        <v>0.0010570753875094</v>
      </c>
      <c r="AJ823" s="4">
        <v>0.003579</v>
      </c>
      <c r="AK823" s="4">
        <f>Weights!E879</f>
        <v>-0.000330069727</v>
      </c>
      <c r="AL823" s="5">
        <v>-0.00433052396849831</v>
      </c>
      <c r="AM823" s="5">
        <v>-0.00364053484114657</v>
      </c>
      <c r="AN823" s="5">
        <v>0.00129574147404021</v>
      </c>
      <c r="AO823" s="5">
        <v>-4.86953482728202E-4</v>
      </c>
      <c r="AP823" s="6">
        <f t="shared" si="3"/>
        <v>1.58055069</v>
      </c>
      <c r="AQ823" s="4">
        <f t="shared" si="4"/>
        <v>1.270579817</v>
      </c>
      <c r="AR823" s="7">
        <f t="shared" si="5"/>
        <v>1.252202332</v>
      </c>
      <c r="AS823" s="7">
        <f t="shared" ref="AS823:AU823" si="825">AS822*(1+AM823)</f>
        <v>1.305904496</v>
      </c>
      <c r="AT823" s="5">
        <f t="shared" si="825"/>
        <v>1.324214427</v>
      </c>
      <c r="AU823" s="5">
        <f t="shared" si="825"/>
        <v>1.309602625</v>
      </c>
    </row>
    <row r="824" ht="15.75" customHeight="1">
      <c r="A824" s="3">
        <v>45026.0</v>
      </c>
      <c r="B824" s="4">
        <v>0.003857</v>
      </c>
      <c r="C824" s="4">
        <v>-0.003293</v>
      </c>
      <c r="D824" s="4">
        <v>0.023114</v>
      </c>
      <c r="E824" s="4">
        <v>-0.006292</v>
      </c>
      <c r="F824" s="4">
        <v>-0.002387</v>
      </c>
      <c r="G824" s="4">
        <v>-0.005026</v>
      </c>
      <c r="H824" s="4">
        <v>-0.008277</v>
      </c>
      <c r="I824" s="4">
        <v>0.002309</v>
      </c>
      <c r="J824" s="4">
        <v>-0.002259</v>
      </c>
      <c r="K824" s="4">
        <v>0.003555</v>
      </c>
      <c r="L824" s="4">
        <v>0.002995</v>
      </c>
      <c r="M824" s="4">
        <v>0.005917</v>
      </c>
      <c r="N824" s="4">
        <v>0.005336</v>
      </c>
      <c r="O824" s="4">
        <v>0.001307</v>
      </c>
      <c r="P824" s="4">
        <v>-0.018444</v>
      </c>
      <c r="Q824" s="4">
        <v>-0.015646</v>
      </c>
      <c r="R824" s="4">
        <v>-0.003971</v>
      </c>
      <c r="S824" s="4">
        <v>-0.016341</v>
      </c>
      <c r="T824" s="4">
        <v>0.009002</v>
      </c>
      <c r="U824" s="4">
        <v>0.003337</v>
      </c>
      <c r="V824" s="4">
        <v>-0.00656813461666738</v>
      </c>
      <c r="W824" s="4">
        <v>0.0135277336438408</v>
      </c>
      <c r="X824" s="4">
        <v>0.0057224832163795</v>
      </c>
      <c r="Y824" s="4">
        <v>-0.0126428990420408</v>
      </c>
      <c r="Z824" s="4">
        <v>-0.0122008762762001</v>
      </c>
      <c r="AA824" s="4">
        <v>-0.0104357055586469</v>
      </c>
      <c r="AB824" s="4">
        <v>0.0127856747183856</v>
      </c>
      <c r="AC824" s="4">
        <v>0.0057582340721173</v>
      </c>
      <c r="AD824" s="4">
        <v>0.0232897392083049</v>
      </c>
      <c r="AE824" s="4">
        <v>0.0070306920711518</v>
      </c>
      <c r="AF824" s="4">
        <v>0.0044960745582021</v>
      </c>
      <c r="AG824" s="4">
        <v>-0.0153229737315586</v>
      </c>
      <c r="AH824" s="4">
        <v>-0.0015298424443436</v>
      </c>
      <c r="AI824" s="4">
        <v>0.0058077753748966</v>
      </c>
      <c r="AJ824" s="4">
        <v>9.96E-4</v>
      </c>
      <c r="AK824" s="4">
        <f>Weights!E880</f>
        <v>-0.0002161819147</v>
      </c>
      <c r="AL824" s="5">
        <v>0.00358184085482271</v>
      </c>
      <c r="AM824" s="5">
        <v>0.00330814488513242</v>
      </c>
      <c r="AN824" s="5">
        <v>-0.00485287408496748</v>
      </c>
      <c r="AO824" s="5">
        <v>-0.00462989044325767</v>
      </c>
      <c r="AP824" s="6">
        <f t="shared" si="3"/>
        <v>1.580209004</v>
      </c>
      <c r="AQ824" s="4">
        <f t="shared" si="4"/>
        <v>1.271845314</v>
      </c>
      <c r="AR824" s="7">
        <f t="shared" si="5"/>
        <v>1.256687521</v>
      </c>
      <c r="AS824" s="7">
        <f t="shared" ref="AS824:AU824" si="826">AS823*(1+AM824)</f>
        <v>1.310224618</v>
      </c>
      <c r="AT824" s="5">
        <f t="shared" si="826"/>
        <v>1.317788181</v>
      </c>
      <c r="AU824" s="5">
        <f t="shared" si="826"/>
        <v>1.303539308</v>
      </c>
    </row>
    <row r="825" ht="15.75" customHeight="1">
      <c r="A825" s="3">
        <v>45027.0</v>
      </c>
      <c r="B825" s="4">
        <v>0.005764</v>
      </c>
      <c r="C825" s="4">
        <v>0.002541</v>
      </c>
      <c r="D825" s="4">
        <v>4.11E-4</v>
      </c>
      <c r="E825" s="4">
        <v>-0.001528</v>
      </c>
      <c r="F825" s="4">
        <v>-0.001755</v>
      </c>
      <c r="G825" s="4">
        <v>-3.04E-4</v>
      </c>
      <c r="H825" s="4">
        <v>-0.001987</v>
      </c>
      <c r="I825" s="4">
        <v>0.013821</v>
      </c>
      <c r="J825" s="4">
        <v>0.011549</v>
      </c>
      <c r="K825" s="4">
        <v>0.019568</v>
      </c>
      <c r="L825" s="4">
        <v>0.007619</v>
      </c>
      <c r="M825" s="4">
        <v>0.009091</v>
      </c>
      <c r="N825" s="4">
        <v>0.006157</v>
      </c>
      <c r="O825" s="4">
        <v>0.004637</v>
      </c>
      <c r="P825" s="4">
        <v>-0.022901</v>
      </c>
      <c r="Q825" s="4">
        <v>0.017277</v>
      </c>
      <c r="R825" s="4">
        <v>0.024919</v>
      </c>
      <c r="S825" s="4">
        <v>0.016202</v>
      </c>
      <c r="T825" s="4">
        <v>0.012803</v>
      </c>
      <c r="U825" s="4">
        <v>0.012582</v>
      </c>
      <c r="V825" s="4">
        <v>0.0119834024393505</v>
      </c>
      <c r="W825" s="4">
        <v>0.0331079568511054</v>
      </c>
      <c r="X825" s="4">
        <v>0.0256044217141635</v>
      </c>
      <c r="Y825" s="4">
        <v>0.011582217308153</v>
      </c>
      <c r="Z825" s="4">
        <v>0.0101322218813817</v>
      </c>
      <c r="AA825" s="4">
        <v>-0.0138761363704582</v>
      </c>
      <c r="AB825" s="4">
        <v>0.0075208387072498</v>
      </c>
      <c r="AC825" s="4">
        <v>0.0019083143463283</v>
      </c>
      <c r="AD825" s="4">
        <v>0.0156471010013419</v>
      </c>
      <c r="AE825" s="4">
        <v>-0.0072755873826988</v>
      </c>
      <c r="AF825" s="4">
        <v>0.062664655348479</v>
      </c>
      <c r="AG825" s="4">
        <v>-0.0128080823607034</v>
      </c>
      <c r="AH825" s="4">
        <v>0.0199183020602751</v>
      </c>
      <c r="AI825" s="4">
        <v>-0.0057742398866741</v>
      </c>
      <c r="AJ825" s="4">
        <v>-4.1E-5</v>
      </c>
      <c r="AK825" s="4">
        <f>Weights!E881</f>
        <v>0.008256791383</v>
      </c>
      <c r="AL825" s="5">
        <v>9.34737089199444E-4</v>
      </c>
      <c r="AM825" s="5">
        <v>0.0022638128165171</v>
      </c>
      <c r="AN825" s="5">
        <v>0.00227578879998313</v>
      </c>
      <c r="AO825" s="5">
        <v>0.00171359458976705</v>
      </c>
      <c r="AP825" s="6">
        <f t="shared" si="3"/>
        <v>1.59325646</v>
      </c>
      <c r="AQ825" s="4">
        <f t="shared" si="4"/>
        <v>1.271793168</v>
      </c>
      <c r="AR825" s="7">
        <f t="shared" si="5"/>
        <v>1.257862194</v>
      </c>
      <c r="AS825" s="7">
        <f t="shared" ref="AS825:AU825" si="827">AS824*(1+AM825)</f>
        <v>1.313190721</v>
      </c>
      <c r="AT825" s="5">
        <f t="shared" si="827"/>
        <v>1.320787189</v>
      </c>
      <c r="AU825" s="5">
        <f t="shared" si="827"/>
        <v>1.305773046</v>
      </c>
    </row>
    <row r="826" ht="15.75" customHeight="1">
      <c r="A826" s="3">
        <v>45028.0</v>
      </c>
      <c r="B826" s="4">
        <v>0.00382</v>
      </c>
      <c r="C826" s="4">
        <v>-0.006337</v>
      </c>
      <c r="D826" s="4">
        <v>0.003079</v>
      </c>
      <c r="E826" s="4">
        <v>-0.001968</v>
      </c>
      <c r="F826" s="4">
        <v>0.001758</v>
      </c>
      <c r="G826" s="4">
        <v>-0.002131</v>
      </c>
      <c r="H826" s="4">
        <v>0.002721</v>
      </c>
      <c r="I826" s="4">
        <v>0.002272</v>
      </c>
      <c r="J826" s="4">
        <v>2.24E-4</v>
      </c>
      <c r="K826" s="4">
        <v>-0.0091</v>
      </c>
      <c r="L826" s="4">
        <v>0.002452</v>
      </c>
      <c r="M826" s="4">
        <v>0.00318</v>
      </c>
      <c r="N826" s="4">
        <v>0.004642</v>
      </c>
      <c r="O826" s="4">
        <v>-0.004436</v>
      </c>
      <c r="P826" s="4">
        <v>-0.004207</v>
      </c>
      <c r="Q826" s="4">
        <v>0.01087</v>
      </c>
      <c r="R826" s="4">
        <v>-2.43E-4</v>
      </c>
      <c r="S826" s="4">
        <v>0.024622</v>
      </c>
      <c r="T826" s="4">
        <v>-0.007127</v>
      </c>
      <c r="U826" s="4">
        <v>0.017068</v>
      </c>
      <c r="V826" s="4">
        <v>0.0220498841262604</v>
      </c>
      <c r="W826" s="4">
        <v>0.0030201629779571</v>
      </c>
      <c r="X826" s="4">
        <v>0.0221913782264095</v>
      </c>
      <c r="Y826" s="4">
        <v>0.0191462242609721</v>
      </c>
      <c r="Z826" s="4">
        <v>0.0159533007772361</v>
      </c>
      <c r="AA826" s="4">
        <v>-0.009943653388386</v>
      </c>
      <c r="AB826" s="4">
        <v>-0.0056773774657913</v>
      </c>
      <c r="AC826" s="4">
        <v>0.0095238825813626</v>
      </c>
      <c r="AD826" s="4">
        <v>0.0070029948058611</v>
      </c>
      <c r="AE826" s="4">
        <v>-0.0013326092832706</v>
      </c>
      <c r="AF826" s="4">
        <v>-0.0029732272783633</v>
      </c>
      <c r="AG826" s="4">
        <v>-0.0126107151302063</v>
      </c>
      <c r="AH826" s="4">
        <v>0.019779668756958</v>
      </c>
      <c r="AI826" s="4">
        <v>-0.0021119183181442</v>
      </c>
      <c r="AJ826" s="4">
        <v>-0.004135</v>
      </c>
      <c r="AK826" s="4">
        <f>Weights!E882</f>
        <v>0.003573005427</v>
      </c>
      <c r="AL826" s="5">
        <v>0.001273463312216</v>
      </c>
      <c r="AM826" s="5">
        <v>0.00103116723196472</v>
      </c>
      <c r="AN826" s="5">
        <v>0.00259484519662045</v>
      </c>
      <c r="AO826" s="5">
        <v>0.00317691768333761</v>
      </c>
      <c r="AP826" s="6">
        <f t="shared" si="3"/>
        <v>1.598949174</v>
      </c>
      <c r="AQ826" s="4">
        <f t="shared" si="4"/>
        <v>1.266534304</v>
      </c>
      <c r="AR826" s="7">
        <f t="shared" si="5"/>
        <v>1.259464035</v>
      </c>
      <c r="AS826" s="7">
        <f t="shared" ref="AS826:AU826" si="828">AS825*(1+AM826)</f>
        <v>1.31454484</v>
      </c>
      <c r="AT826" s="5">
        <f t="shared" si="828"/>
        <v>1.324214427</v>
      </c>
      <c r="AU826" s="5">
        <f t="shared" si="828"/>
        <v>1.309921379</v>
      </c>
    </row>
    <row r="827" ht="15.75" customHeight="1">
      <c r="A827" s="3">
        <v>45029.0</v>
      </c>
      <c r="B827" s="4">
        <v>0.015224</v>
      </c>
      <c r="C827" s="4">
        <v>0.003061</v>
      </c>
      <c r="D827" s="4">
        <v>0.009005</v>
      </c>
      <c r="E827" s="4">
        <v>0.009969</v>
      </c>
      <c r="F827" s="4">
        <v>0.007338</v>
      </c>
      <c r="G827" s="4">
        <v>0.01336</v>
      </c>
      <c r="H827" s="4">
        <v>0.004634</v>
      </c>
      <c r="I827" s="4">
        <v>0.008564</v>
      </c>
      <c r="J827" s="4">
        <v>0.00179</v>
      </c>
      <c r="K827" s="4">
        <v>0.012189</v>
      </c>
      <c r="L827" s="4">
        <v>0.009684</v>
      </c>
      <c r="M827" s="4">
        <v>0.010565</v>
      </c>
      <c r="N827" s="4">
        <v>0.007141</v>
      </c>
      <c r="O827" s="4">
        <v>0.019669</v>
      </c>
      <c r="P827" s="4">
        <v>0.026353</v>
      </c>
      <c r="Q827" s="4">
        <v>0.057796</v>
      </c>
      <c r="R827" s="4">
        <v>0.044504</v>
      </c>
      <c r="S827" s="4">
        <v>0.028757</v>
      </c>
      <c r="T827" s="4">
        <v>-0.005621</v>
      </c>
      <c r="U827" s="4">
        <v>0.010743</v>
      </c>
      <c r="V827" s="4">
        <v>0.0155813276714902</v>
      </c>
      <c r="W827" s="4">
        <v>0.0178989329332961</v>
      </c>
      <c r="X827" s="4">
        <v>0.0</v>
      </c>
      <c r="Y827" s="4">
        <v>0.0121709239812362</v>
      </c>
      <c r="Z827" s="4">
        <v>0.0047014431181264</v>
      </c>
      <c r="AA827" s="4">
        <v>0.019897741420775</v>
      </c>
      <c r="AB827" s="4">
        <v>-0.0070690534272057</v>
      </c>
      <c r="AC827" s="4">
        <v>0.0</v>
      </c>
      <c r="AD827" s="4">
        <v>0.0</v>
      </c>
      <c r="AE827" s="4">
        <v>0.0025203623420635</v>
      </c>
      <c r="AF827" s="4">
        <v>0.0044731102339836</v>
      </c>
      <c r="AG827" s="4">
        <v>0.0046665228921698</v>
      </c>
      <c r="AH827" s="4">
        <v>-0.02676159312549</v>
      </c>
      <c r="AI827" s="4">
        <v>0.0068783705392128</v>
      </c>
      <c r="AJ827" s="4">
        <v>0.013263</v>
      </c>
      <c r="AK827" s="4">
        <f>Weights!E883</f>
        <v>0.008337566753</v>
      </c>
      <c r="AL827" s="5">
        <v>-8.47918058696106E-4</v>
      </c>
      <c r="AM827" s="5">
        <v>-0.00421838596136681</v>
      </c>
      <c r="AN827" s="5">
        <v>0.0077645196616265</v>
      </c>
      <c r="AO827" s="5">
        <v>0.00755188729122369</v>
      </c>
      <c r="AP827" s="6">
        <f t="shared" si="3"/>
        <v>1.612280519</v>
      </c>
      <c r="AQ827" s="4">
        <f t="shared" si="4"/>
        <v>1.283332348</v>
      </c>
      <c r="AR827" s="7">
        <f t="shared" si="5"/>
        <v>1.258396113</v>
      </c>
      <c r="AS827" s="7">
        <f t="shared" ref="AS827:AU827" si="829">AS826*(1+AM827)</f>
        <v>1.308999583</v>
      </c>
      <c r="AT827" s="5">
        <f t="shared" si="829"/>
        <v>1.334496316</v>
      </c>
      <c r="AU827" s="5">
        <f t="shared" si="829"/>
        <v>1.319813758</v>
      </c>
    </row>
    <row r="828" ht="15.75" customHeight="1">
      <c r="A828" s="3">
        <v>45030.0</v>
      </c>
      <c r="B828" s="4">
        <v>-0.007498</v>
      </c>
      <c r="C828" s="4">
        <v>-0.002543</v>
      </c>
      <c r="D828" s="4">
        <v>-0.001014</v>
      </c>
      <c r="E828" s="4">
        <v>-0.004719</v>
      </c>
      <c r="F828" s="4">
        <v>-0.001584</v>
      </c>
      <c r="G828" s="4">
        <v>-0.001625</v>
      </c>
      <c r="H828" s="4">
        <v>-0.005073</v>
      </c>
      <c r="I828" s="4">
        <v>0.0</v>
      </c>
      <c r="J828" s="4">
        <v>-0.00849</v>
      </c>
      <c r="K828" s="4">
        <v>0.003464</v>
      </c>
      <c r="L828" s="4">
        <v>0.003231</v>
      </c>
      <c r="M828" s="4">
        <v>0.002091</v>
      </c>
      <c r="N828" s="4">
        <v>-2.09E-4</v>
      </c>
      <c r="O828" s="4">
        <v>-0.008784</v>
      </c>
      <c r="P828" s="4">
        <v>-0.0294</v>
      </c>
      <c r="Q828" s="4">
        <v>-0.023507</v>
      </c>
      <c r="R828" s="4">
        <v>0.004889</v>
      </c>
      <c r="S828" s="4">
        <v>-0.025656</v>
      </c>
      <c r="T828" s="4">
        <v>-0.004359</v>
      </c>
      <c r="U828" s="4">
        <v>-0.005905</v>
      </c>
      <c r="V828" s="4">
        <v>7.86780851301793E-4</v>
      </c>
      <c r="W828" s="4">
        <v>-0.0364831546532883</v>
      </c>
      <c r="X828" s="4">
        <v>0.0</v>
      </c>
      <c r="Y828" s="4">
        <v>-0.0094962456244646</v>
      </c>
      <c r="Z828" s="4">
        <v>-0.0107626536808073</v>
      </c>
      <c r="AA828" s="4">
        <v>-0.0013007221133932</v>
      </c>
      <c r="AB828" s="4">
        <v>0.0065718061540498</v>
      </c>
      <c r="AC828" s="4">
        <v>0.0</v>
      </c>
      <c r="AD828" s="4">
        <v>0.0055097469875118</v>
      </c>
      <c r="AE828" s="4">
        <v>6.655899129646E-4</v>
      </c>
      <c r="AF828" s="4">
        <v>-0.0049480030069414</v>
      </c>
      <c r="AG828" s="4">
        <v>0.0141793641907124</v>
      </c>
      <c r="AH828" s="4">
        <v>0.0047931517330364</v>
      </c>
      <c r="AI828" s="4">
        <v>0.0010508561204007</v>
      </c>
      <c r="AJ828" s="4">
        <v>-0.002069</v>
      </c>
      <c r="AK828" s="4">
        <f>Weights!E884</f>
        <v>-0.002540194859</v>
      </c>
      <c r="AL828" s="5">
        <v>0.0134080063090202</v>
      </c>
      <c r="AM828" s="5">
        <v>0.013004220400715</v>
      </c>
      <c r="AN828" s="5">
        <v>0.00160511790637829</v>
      </c>
      <c r="AO828" s="5">
        <v>0.00169246448007731</v>
      </c>
      <c r="AP828" s="6">
        <f t="shared" si="3"/>
        <v>1.608185012</v>
      </c>
      <c r="AQ828" s="4">
        <f t="shared" si="4"/>
        <v>1.280677133</v>
      </c>
      <c r="AR828" s="7">
        <f t="shared" si="5"/>
        <v>1.275268696</v>
      </c>
      <c r="AS828" s="7">
        <f t="shared" ref="AS828:AU828" si="830">AS827*(1+AM828)</f>
        <v>1.326022102</v>
      </c>
      <c r="AT828" s="5">
        <f t="shared" si="830"/>
        <v>1.33663834</v>
      </c>
      <c r="AU828" s="5">
        <f t="shared" si="830"/>
        <v>1.322047496</v>
      </c>
    </row>
    <row r="829" ht="15.75" customHeight="1">
      <c r="A829" s="3">
        <v>45033.0</v>
      </c>
      <c r="B829" s="4">
        <v>-0.001416</v>
      </c>
      <c r="C829" s="4">
        <v>0.006119</v>
      </c>
      <c r="D829" s="4">
        <v>-0.00934</v>
      </c>
      <c r="E829" s="4">
        <v>0.005122</v>
      </c>
      <c r="F829" s="4">
        <v>0.006503</v>
      </c>
      <c r="G829" s="4">
        <v>-0.001025</v>
      </c>
      <c r="H829" s="4">
        <v>3.31E-4</v>
      </c>
      <c r="I829" s="4">
        <v>2.5E-4</v>
      </c>
      <c r="J829" s="4">
        <v>9.01E-4</v>
      </c>
      <c r="K829" s="4">
        <v>0.006576</v>
      </c>
      <c r="L829" s="4">
        <v>0.003623</v>
      </c>
      <c r="M829" s="4">
        <v>0.00626</v>
      </c>
      <c r="N829" s="4">
        <v>0.005423</v>
      </c>
      <c r="O829" s="4">
        <v>0.003963</v>
      </c>
      <c r="P829" s="4">
        <v>-0.021204</v>
      </c>
      <c r="Q829" s="4">
        <v>-0.019519</v>
      </c>
      <c r="R829" s="4">
        <v>-0.024096</v>
      </c>
      <c r="S829" s="4">
        <v>-0.022991</v>
      </c>
      <c r="T829" s="4">
        <v>0.010124</v>
      </c>
      <c r="U829" s="4">
        <v>0.0058</v>
      </c>
      <c r="V829" s="4">
        <v>0.0141508256000959</v>
      </c>
      <c r="W829" s="4">
        <v>-0.0274602355344153</v>
      </c>
      <c r="X829" s="4">
        <v>0.0</v>
      </c>
      <c r="Y829" s="4">
        <v>-0.0046692369905604</v>
      </c>
      <c r="Z829" s="4">
        <v>-0.0185432108147232</v>
      </c>
      <c r="AA829" s="4">
        <v>9.303087807368E-4</v>
      </c>
      <c r="AB829" s="4">
        <v>0.0021763375613088</v>
      </c>
      <c r="AC829" s="4">
        <v>0.0</v>
      </c>
      <c r="AD829" s="4">
        <v>0.0301368596931477</v>
      </c>
      <c r="AE829" s="4">
        <v>-0.0109362539967596</v>
      </c>
      <c r="AF829" s="4">
        <v>-0.0218797036814649</v>
      </c>
      <c r="AG829" s="4">
        <v>-0.0303726458797394</v>
      </c>
      <c r="AH829" s="4">
        <v>-0.0020085702589256</v>
      </c>
      <c r="AI829" s="4">
        <v>0.0</v>
      </c>
      <c r="AJ829" s="4">
        <v>0.003306</v>
      </c>
      <c r="AK829" s="4">
        <f>Weights!E885</f>
        <v>-0.003102854625</v>
      </c>
      <c r="AL829" s="5">
        <v>-0.00234461496089588</v>
      </c>
      <c r="AM829" s="5">
        <v>-0.00277167885081985</v>
      </c>
      <c r="AN829" s="5">
        <v>0.00544872026540388</v>
      </c>
      <c r="AO829" s="5">
        <v>0.00482751233436973</v>
      </c>
      <c r="AP829" s="6">
        <f t="shared" si="3"/>
        <v>1.603195048</v>
      </c>
      <c r="AQ829" s="4">
        <f t="shared" si="4"/>
        <v>1.284911052</v>
      </c>
      <c r="AR829" s="7">
        <f t="shared" si="5"/>
        <v>1.272278682</v>
      </c>
      <c r="AS829" s="7">
        <f t="shared" ref="AS829:AU829" si="831">AS828*(1+AM829)</f>
        <v>1.322346794</v>
      </c>
      <c r="AT829" s="5">
        <f t="shared" si="831"/>
        <v>1.343921309</v>
      </c>
      <c r="AU829" s="5">
        <f t="shared" si="831"/>
        <v>1.328429696</v>
      </c>
    </row>
    <row r="830" ht="15.75" customHeight="1">
      <c r="A830" s="3">
        <v>45034.0</v>
      </c>
      <c r="B830" s="4">
        <v>4.73E-4</v>
      </c>
      <c r="C830" s="4">
        <v>-0.013178</v>
      </c>
      <c r="D830" s="4">
        <v>-2.05E-4</v>
      </c>
      <c r="E830" s="4">
        <v>0.00206</v>
      </c>
      <c r="F830" s="4">
        <v>0.001576</v>
      </c>
      <c r="G830" s="4">
        <v>-0.028128</v>
      </c>
      <c r="H830" s="4">
        <v>0.001059</v>
      </c>
      <c r="I830" s="4">
        <v>-0.002497</v>
      </c>
      <c r="J830" s="4">
        <v>-0.001801</v>
      </c>
      <c r="K830" s="4">
        <v>0.015515</v>
      </c>
      <c r="L830" s="4">
        <v>0.005515</v>
      </c>
      <c r="M830" s="4">
        <v>0.013997</v>
      </c>
      <c r="N830" s="4">
        <v>0.005602</v>
      </c>
      <c r="O830" s="4">
        <v>-0.011355</v>
      </c>
      <c r="P830" s="4">
        <v>0.008046</v>
      </c>
      <c r="Q830" s="4">
        <v>0.017253</v>
      </c>
      <c r="R830" s="4">
        <v>0.019943</v>
      </c>
      <c r="S830" s="4">
        <v>0.006034</v>
      </c>
      <c r="T830" s="4">
        <v>0.023092</v>
      </c>
      <c r="U830" s="4">
        <v>-0.00667</v>
      </c>
      <c r="V830" s="4">
        <v>-0.0155037592347138</v>
      </c>
      <c r="W830" s="4">
        <v>0.0103471915745092</v>
      </c>
      <c r="X830" s="4">
        <v>-0.0133156323948756</v>
      </c>
      <c r="Y830" s="4">
        <v>0.0143234052386209</v>
      </c>
      <c r="Z830" s="4">
        <v>0.0027956253736682</v>
      </c>
      <c r="AA830" s="4">
        <v>0.0046468184753352</v>
      </c>
      <c r="AB830" s="4">
        <v>-0.0067860173841858</v>
      </c>
      <c r="AC830" s="4">
        <v>-0.0148697979621921</v>
      </c>
      <c r="AD830" s="4">
        <v>0.0079788757707426</v>
      </c>
      <c r="AE830" s="4">
        <v>0.0084423304970415</v>
      </c>
      <c r="AF830" s="4">
        <v>0.0091510741450508</v>
      </c>
      <c r="AG830" s="4">
        <v>-0.0079551309727978</v>
      </c>
      <c r="AH830" s="4">
        <v>2.516140788244E-4</v>
      </c>
      <c r="AI830" s="4">
        <v>0.0031500206588166</v>
      </c>
      <c r="AJ830" s="4">
        <v>8.55E-4</v>
      </c>
      <c r="AK830" s="4">
        <f>Weights!E886</f>
        <v>0.001579770825</v>
      </c>
      <c r="AL830" s="5">
        <v>0.00142684276150428</v>
      </c>
      <c r="AM830" s="5">
        <v>0.0039983385874549</v>
      </c>
      <c r="AN830" s="5">
        <v>0.00127508890260741</v>
      </c>
      <c r="AO830" s="5">
        <v>0.00120100690831859</v>
      </c>
      <c r="AP830" s="6">
        <f t="shared" si="3"/>
        <v>1.605727729</v>
      </c>
      <c r="AQ830" s="4">
        <f t="shared" si="4"/>
        <v>1.286009651</v>
      </c>
      <c r="AR830" s="7">
        <f t="shared" si="5"/>
        <v>1.274094023</v>
      </c>
      <c r="AS830" s="7">
        <f t="shared" ref="AS830:AU830" si="832">AS829*(1+AM830)</f>
        <v>1.327633985</v>
      </c>
      <c r="AT830" s="5">
        <f t="shared" si="832"/>
        <v>1.345634928</v>
      </c>
      <c r="AU830" s="5">
        <f t="shared" si="832"/>
        <v>1.33002515</v>
      </c>
    </row>
    <row r="831" ht="15.75" customHeight="1">
      <c r="A831" s="3">
        <v>45035.0</v>
      </c>
      <c r="B831" s="4">
        <v>0.0</v>
      </c>
      <c r="C831" s="4">
        <v>-0.008731</v>
      </c>
      <c r="D831" s="4">
        <v>-0.00615</v>
      </c>
      <c r="E831" s="4">
        <v>-5.95E-4</v>
      </c>
      <c r="F831" s="4">
        <v>0.001888</v>
      </c>
      <c r="G831" s="4">
        <v>0.00944</v>
      </c>
      <c r="H831" s="4">
        <v>1.98E-4</v>
      </c>
      <c r="I831" s="4">
        <v>-0.004756</v>
      </c>
      <c r="J831" s="4">
        <v>0.001579</v>
      </c>
      <c r="K831" s="4">
        <v>-8.04E-4</v>
      </c>
      <c r="L831" s="4">
        <v>-0.001595</v>
      </c>
      <c r="M831" s="4">
        <v>-0.00409</v>
      </c>
      <c r="N831" s="4">
        <v>-0.001238</v>
      </c>
      <c r="O831" s="4">
        <v>-0.002333</v>
      </c>
      <c r="P831" s="4">
        <v>-0.01228</v>
      </c>
      <c r="Q831" s="4">
        <v>-0.013046</v>
      </c>
      <c r="R831" s="4">
        <v>-0.024907</v>
      </c>
      <c r="S831" s="4">
        <v>-0.016793</v>
      </c>
      <c r="T831" s="4">
        <v>-0.022968</v>
      </c>
      <c r="U831" s="4">
        <v>0.0</v>
      </c>
      <c r="V831" s="4">
        <v>0.00433065389535669</v>
      </c>
      <c r="W831" s="4">
        <v>-0.0234333989675231</v>
      </c>
      <c r="X831" s="4">
        <v>0.0</v>
      </c>
      <c r="Y831" s="4">
        <v>-0.0045855472764924</v>
      </c>
      <c r="Z831" s="4">
        <v>-0.0163414481564705</v>
      </c>
      <c r="AA831" s="4">
        <v>-0.0046253254276835</v>
      </c>
      <c r="AB831" s="4">
        <v>-0.0122984468902325</v>
      </c>
      <c r="AC831" s="4">
        <v>0.0</v>
      </c>
      <c r="AD831" s="4">
        <v>0.0079154930398501</v>
      </c>
      <c r="AE831" s="4">
        <v>-0.0144466325731019</v>
      </c>
      <c r="AF831" s="4">
        <v>-0.0254409298753994</v>
      </c>
      <c r="AG831" s="4">
        <v>-0.0352086650811704</v>
      </c>
      <c r="AH831" s="4">
        <v>-0.0128269912853093</v>
      </c>
      <c r="AI831" s="4">
        <v>0.0068025646485541</v>
      </c>
      <c r="AJ831" s="4">
        <v>-8.4E-5</v>
      </c>
      <c r="AK831" s="4">
        <f>Weights!E887</f>
        <v>-0.007116757083</v>
      </c>
      <c r="AL831" s="5">
        <v>0.00259833024425226</v>
      </c>
      <c r="AM831" s="5">
        <v>4.85838986965747E-4</v>
      </c>
      <c r="AN831" s="5">
        <v>0.00382052472868998</v>
      </c>
      <c r="AO831" s="5">
        <v>0.00311898875052074</v>
      </c>
      <c r="AP831" s="6">
        <f t="shared" si="3"/>
        <v>1.594300155</v>
      </c>
      <c r="AQ831" s="4">
        <f t="shared" si="4"/>
        <v>1.285901626</v>
      </c>
      <c r="AR831" s="7">
        <f t="shared" si="5"/>
        <v>1.277404541</v>
      </c>
      <c r="AS831" s="7">
        <f t="shared" ref="AS831:AU831" si="833">AS830*(1+AM831)</f>
        <v>1.328279001</v>
      </c>
      <c r="AT831" s="5">
        <f t="shared" si="833"/>
        <v>1.350775959</v>
      </c>
      <c r="AU831" s="5">
        <f t="shared" si="833"/>
        <v>1.334173483</v>
      </c>
    </row>
    <row r="832" ht="15.75" customHeight="1">
      <c r="A832" s="3">
        <v>45036.0</v>
      </c>
      <c r="B832" s="4">
        <v>-0.003781</v>
      </c>
      <c r="C832" s="4">
        <v>-0.036528</v>
      </c>
      <c r="D832" s="4">
        <v>-0.004125</v>
      </c>
      <c r="E832" s="4">
        <v>0.003302</v>
      </c>
      <c r="F832" s="4">
        <v>0.004397</v>
      </c>
      <c r="G832" s="4">
        <v>0.00646</v>
      </c>
      <c r="H832" s="4">
        <v>0.003641</v>
      </c>
      <c r="I832" s="4">
        <v>-0.009809</v>
      </c>
      <c r="J832" s="4">
        <v>-0.00608</v>
      </c>
      <c r="K832" s="4">
        <v>-0.002736</v>
      </c>
      <c r="L832" s="4">
        <v>-0.001199</v>
      </c>
      <c r="M832" s="4">
        <v>-0.002567</v>
      </c>
      <c r="N832" s="4">
        <v>0.001033</v>
      </c>
      <c r="O832" s="4">
        <v>0.011153</v>
      </c>
      <c r="P832" s="4">
        <v>-0.007874</v>
      </c>
      <c r="Q832" s="4">
        <v>0.023133</v>
      </c>
      <c r="R832" s="4">
        <v>-0.012652</v>
      </c>
      <c r="S832" s="4">
        <v>0.003863</v>
      </c>
      <c r="T832" s="4">
        <v>0.05501</v>
      </c>
      <c r="U832" s="4">
        <v>0.005526</v>
      </c>
      <c r="V832" s="4">
        <v>-0.0031359246466206</v>
      </c>
      <c r="W832" s="4">
        <v>-3.554860583544E-4</v>
      </c>
      <c r="X832" s="4">
        <v>0.0</v>
      </c>
      <c r="Y832" s="4">
        <v>-0.0057892257370034</v>
      </c>
      <c r="Z832" s="4">
        <v>-0.0112382746845105</v>
      </c>
      <c r="AA832" s="4">
        <v>-0.0195167180120607</v>
      </c>
      <c r="AB832" s="4">
        <v>-0.0077476842894352</v>
      </c>
      <c r="AC832" s="4">
        <v>0.0</v>
      </c>
      <c r="AD832" s="4">
        <v>0.0</v>
      </c>
      <c r="AE832" s="4">
        <v>-0.0045103334970088</v>
      </c>
      <c r="AF832" s="4">
        <v>-0.0276556274902756</v>
      </c>
      <c r="AG832" s="4">
        <v>0.0012988589996867</v>
      </c>
      <c r="AH832" s="4">
        <v>-0.058598731686036</v>
      </c>
      <c r="AI832" s="4">
        <v>0.0067566024237617</v>
      </c>
      <c r="AJ832" s="4">
        <v>-0.005953</v>
      </c>
      <c r="AK832" s="4">
        <f>Weights!E888</f>
        <v>-0.004854209869</v>
      </c>
      <c r="AL832" s="5">
        <v>-0.00150481705562144</v>
      </c>
      <c r="AM832" s="5">
        <v>4.85450620357763E-4</v>
      </c>
      <c r="AN832" s="5">
        <v>0.0019028630643525</v>
      </c>
      <c r="AO832" s="5">
        <v>0.00191326079741593</v>
      </c>
      <c r="AP832" s="6">
        <f t="shared" si="3"/>
        <v>1.586561087</v>
      </c>
      <c r="AQ832" s="4">
        <f t="shared" si="4"/>
        <v>1.278246654</v>
      </c>
      <c r="AR832" s="7">
        <f t="shared" si="5"/>
        <v>1.27548228</v>
      </c>
      <c r="AS832" s="7">
        <f t="shared" ref="AS832:AU832" si="834">AS831*(1+AM832)</f>
        <v>1.328923815</v>
      </c>
      <c r="AT832" s="5">
        <f t="shared" si="834"/>
        <v>1.353346301</v>
      </c>
      <c r="AU832" s="5">
        <f t="shared" si="834"/>
        <v>1.336726105</v>
      </c>
    </row>
    <row r="833" ht="15.75" customHeight="1">
      <c r="A833" s="3">
        <v>45037.0</v>
      </c>
      <c r="B833" s="4">
        <v>0.006167</v>
      </c>
      <c r="C833" s="4">
        <v>0.003496</v>
      </c>
      <c r="D833" s="4">
        <v>-0.003935</v>
      </c>
      <c r="E833" s="4">
        <v>4.32E-4</v>
      </c>
      <c r="F833" s="4">
        <v>0.001407</v>
      </c>
      <c r="G833" s="4">
        <v>-0.005441</v>
      </c>
      <c r="H833" s="4">
        <v>0.034604</v>
      </c>
      <c r="I833" s="4">
        <v>-0.001524</v>
      </c>
      <c r="J833" s="4">
        <v>0.001133</v>
      </c>
      <c r="K833" s="4">
        <v>-0.004035</v>
      </c>
      <c r="L833" s="4">
        <v>-6.0E-4</v>
      </c>
      <c r="M833" s="4">
        <v>-0.004117</v>
      </c>
      <c r="N833" s="4">
        <v>-0.005572</v>
      </c>
      <c r="O833" s="4">
        <v>0.014321</v>
      </c>
      <c r="P833" s="4">
        <v>-0.00543</v>
      </c>
      <c r="Q833" s="4">
        <v>-0.001292</v>
      </c>
      <c r="R833" s="4">
        <v>-0.041103</v>
      </c>
      <c r="S833" s="4">
        <v>-0.005266</v>
      </c>
      <c r="T833" s="4">
        <v>-0.014641</v>
      </c>
      <c r="U833" s="4">
        <v>0.009321</v>
      </c>
      <c r="V833" s="4">
        <v>-0.0129769226127492</v>
      </c>
      <c r="W833" s="4">
        <v>-0.0298720559666091</v>
      </c>
      <c r="X833" s="4">
        <v>0.0</v>
      </c>
      <c r="Y833" s="4">
        <v>-0.0010017965172199</v>
      </c>
      <c r="Z833" s="4">
        <v>-0.0045463424214801</v>
      </c>
      <c r="AA833" s="4">
        <v>0.016682370062329</v>
      </c>
      <c r="AB833" s="4">
        <v>-0.016174127754178</v>
      </c>
      <c r="AC833" s="4">
        <v>0.0</v>
      </c>
      <c r="AD833" s="4">
        <v>-0.0119045973193777</v>
      </c>
      <c r="AE833" s="4">
        <v>-0.00770218681393</v>
      </c>
      <c r="AF833" s="4">
        <v>-0.0417331623046697</v>
      </c>
      <c r="AG833" s="4">
        <v>-0.0106355650280393</v>
      </c>
      <c r="AH833" s="4">
        <v>-0.0487144334480817</v>
      </c>
      <c r="AI833" s="4">
        <v>0.0113576931708403</v>
      </c>
      <c r="AJ833" s="4">
        <v>9.03E-4</v>
      </c>
      <c r="AK833" s="4">
        <f>Weights!E889</f>
        <v>-0.00605545993</v>
      </c>
      <c r="AL833" s="5">
        <v>-0.00393493522300347</v>
      </c>
      <c r="AM833" s="5">
        <v>-0.0062105853222022</v>
      </c>
      <c r="AN833" s="5">
        <v>3.16616541609748E-4</v>
      </c>
      <c r="AO833" s="5">
        <v>-2.38652572793651E-4</v>
      </c>
      <c r="AP833" s="6">
        <f t="shared" si="3"/>
        <v>1.57695373</v>
      </c>
      <c r="AQ833" s="4">
        <f t="shared" si="4"/>
        <v>1.279400911</v>
      </c>
      <c r="AR833" s="7">
        <f t="shared" si="5"/>
        <v>1.27046334</v>
      </c>
      <c r="AS833" s="7">
        <f t="shared" ref="AS833:AU833" si="835">AS832*(1+AM833)</f>
        <v>1.32067042</v>
      </c>
      <c r="AT833" s="5">
        <f t="shared" si="835"/>
        <v>1.353774793</v>
      </c>
      <c r="AU833" s="5">
        <f t="shared" si="835"/>
        <v>1.336407092</v>
      </c>
    </row>
    <row r="834" ht="15.75" customHeight="1">
      <c r="A834" s="3">
        <v>45040.0</v>
      </c>
      <c r="B834" s="4">
        <v>0.002829</v>
      </c>
      <c r="C834" s="4">
        <v>-0.005895</v>
      </c>
      <c r="D834" s="4">
        <v>-0.010605</v>
      </c>
      <c r="E834" s="4">
        <v>4.85E-4</v>
      </c>
      <c r="F834" s="4">
        <v>-0.001561</v>
      </c>
      <c r="G834" s="4">
        <v>0.006085</v>
      </c>
      <c r="H834" s="4">
        <v>0.001794</v>
      </c>
      <c r="I834" s="4">
        <v>0.002798</v>
      </c>
      <c r="J834" s="4">
        <v>-0.002037</v>
      </c>
      <c r="K834" s="4">
        <v>-0.009561</v>
      </c>
      <c r="L834" s="4">
        <v>-0.002954</v>
      </c>
      <c r="M834" s="4">
        <v>0.00155</v>
      </c>
      <c r="N834" s="4">
        <v>0.001038</v>
      </c>
      <c r="O834" s="4">
        <v>0.006226</v>
      </c>
      <c r="P834" s="4">
        <v>0.0084</v>
      </c>
      <c r="Q834" s="4">
        <v>-0.003234</v>
      </c>
      <c r="R834" s="4">
        <v>-0.003278</v>
      </c>
      <c r="S834" s="4">
        <v>0.005091</v>
      </c>
      <c r="T834" s="4">
        <v>0.010362</v>
      </c>
      <c r="U834" s="4">
        <v>-0.020469</v>
      </c>
      <c r="V834" s="4">
        <v>0.00438251239511733</v>
      </c>
      <c r="W834" s="4">
        <v>0.0153958914735139</v>
      </c>
      <c r="X834" s="4">
        <v>-0.020242887526219</v>
      </c>
      <c r="Y834" s="4">
        <v>-0.0049516609560635</v>
      </c>
      <c r="Z834" s="4">
        <v>-0.0091342120989128</v>
      </c>
      <c r="AA834" s="4">
        <v>0.0173411062112707</v>
      </c>
      <c r="AB834" s="4">
        <v>0.0076530182004055</v>
      </c>
      <c r="AC834" s="4">
        <v>0.0037735815854849</v>
      </c>
      <c r="AD834" s="4">
        <v>0.0120480241959244</v>
      </c>
      <c r="AE834" s="4">
        <v>0.011947400121369</v>
      </c>
      <c r="AF834" s="4">
        <v>0.0319001352195553</v>
      </c>
      <c r="AG834" s="4">
        <v>-0.0094389939817718</v>
      </c>
      <c r="AH834" s="4">
        <v>0.0349928599911864</v>
      </c>
      <c r="AI834" s="4">
        <v>-0.0112301446338251</v>
      </c>
      <c r="AJ834" s="4">
        <v>8.52E-4</v>
      </c>
      <c r="AK834" s="4">
        <f>Weights!E890</f>
        <v>0.002177277404</v>
      </c>
      <c r="AL834" s="5">
        <v>0.00210134317383858</v>
      </c>
      <c r="AM834" s="5">
        <v>8.78753281909228E-4</v>
      </c>
      <c r="AN834" s="5">
        <v>-0.0018987122035271</v>
      </c>
      <c r="AO834" s="5">
        <v>-0.00238767551048935</v>
      </c>
      <c r="AP834" s="6">
        <f t="shared" si="3"/>
        <v>1.580387196</v>
      </c>
      <c r="AQ834" s="4">
        <f t="shared" si="4"/>
        <v>1.28049096</v>
      </c>
      <c r="AR834" s="7">
        <f t="shared" si="5"/>
        <v>1.27313302</v>
      </c>
      <c r="AS834" s="7">
        <f t="shared" ref="AS834:AU834" si="836">AS833*(1+AM834)</f>
        <v>1.321830964</v>
      </c>
      <c r="AT834" s="5">
        <f t="shared" si="836"/>
        <v>1.351204364</v>
      </c>
      <c r="AU834" s="5">
        <f t="shared" si="836"/>
        <v>1.333216185</v>
      </c>
    </row>
    <row r="835" ht="15.75" customHeight="1">
      <c r="A835" s="3">
        <v>45041.0</v>
      </c>
      <c r="B835" s="4">
        <v>-0.016455</v>
      </c>
      <c r="C835" s="4">
        <v>0.005391</v>
      </c>
      <c r="D835" s="4">
        <v>-0.004414</v>
      </c>
      <c r="E835" s="4">
        <v>0.022695</v>
      </c>
      <c r="F835" s="4">
        <v>-0.001564</v>
      </c>
      <c r="G835" s="4">
        <v>0.009164</v>
      </c>
      <c r="H835" s="4">
        <v>2.56E-4</v>
      </c>
      <c r="I835" s="4">
        <v>-0.004566</v>
      </c>
      <c r="J835" s="4">
        <v>-0.001134</v>
      </c>
      <c r="K835" s="4">
        <v>-0.026342</v>
      </c>
      <c r="L835" s="4">
        <v>-0.020574</v>
      </c>
      <c r="M835" s="4">
        <v>-0.022188</v>
      </c>
      <c r="N835" s="4">
        <v>-0.010158</v>
      </c>
      <c r="O835" s="4">
        <v>-0.01255</v>
      </c>
      <c r="P835" s="4">
        <v>0.003748</v>
      </c>
      <c r="Q835" s="4">
        <v>-0.002596</v>
      </c>
      <c r="R835" s="4">
        <v>-0.045029</v>
      </c>
      <c r="S835" s="4">
        <v>0.003849</v>
      </c>
      <c r="T835" s="4">
        <v>-0.04573</v>
      </c>
      <c r="U835" s="4">
        <v>-0.00584</v>
      </c>
      <c r="V835" s="4">
        <v>0.00555334350145897</v>
      </c>
      <c r="W835" s="4">
        <v>-0.0759928063708952</v>
      </c>
      <c r="X835" s="4">
        <v>-0.0247932648052405</v>
      </c>
      <c r="Y835" s="4">
        <v>-0.0015746927980661</v>
      </c>
      <c r="Z835" s="4">
        <v>0.0631263087554938</v>
      </c>
      <c r="AA835" s="4">
        <v>0.0089808491072556</v>
      </c>
      <c r="AB835" s="4">
        <v>-0.0126582352559749</v>
      </c>
      <c r="AC835" s="4">
        <v>-0.0056390928014727</v>
      </c>
      <c r="AD835" s="4">
        <v>-0.0026453286934706</v>
      </c>
      <c r="AE835" s="4">
        <v>0.0106030225170139</v>
      </c>
      <c r="AF835" s="4">
        <v>-0.0704300401429975</v>
      </c>
      <c r="AG835" s="4">
        <v>-0.0021177358465837</v>
      </c>
      <c r="AH835" s="4">
        <v>-0.0401319153347972</v>
      </c>
      <c r="AI835" s="4">
        <v>0.0015486693226596</v>
      </c>
      <c r="AJ835" s="4">
        <v>-0.015811</v>
      </c>
      <c r="AK835" s="4">
        <f>Weights!E891</f>
        <v>-0.009517246165</v>
      </c>
      <c r="AL835" s="5">
        <v>0.0011742740221794</v>
      </c>
      <c r="AM835" s="5">
        <v>3.90239643139445E-4</v>
      </c>
      <c r="AN835" s="5">
        <v>0.0031704758670481</v>
      </c>
      <c r="AO835" s="5">
        <v>0.00335090127188109</v>
      </c>
      <c r="AP835" s="6">
        <f t="shared" si="3"/>
        <v>1.565346262</v>
      </c>
      <c r="AQ835" s="4">
        <f t="shared" si="4"/>
        <v>1.260245118</v>
      </c>
      <c r="AR835" s="7">
        <f t="shared" si="5"/>
        <v>1.274628027</v>
      </c>
      <c r="AS835" s="7">
        <f t="shared" ref="AS835:AU835" si="837">AS834*(1+AM835)</f>
        <v>1.322346794</v>
      </c>
      <c r="AT835" s="5">
        <f t="shared" si="837"/>
        <v>1.355488325</v>
      </c>
      <c r="AU835" s="5">
        <f t="shared" si="837"/>
        <v>1.337683661</v>
      </c>
    </row>
    <row r="836" ht="15.75" customHeight="1">
      <c r="A836" s="3">
        <v>45042.0</v>
      </c>
      <c r="B836" s="4">
        <v>-0.001434</v>
      </c>
      <c r="C836" s="4">
        <v>-0.010188</v>
      </c>
      <c r="D836" s="4">
        <v>0.026388</v>
      </c>
      <c r="E836" s="4">
        <v>-0.006167</v>
      </c>
      <c r="F836" s="4">
        <v>-0.004699</v>
      </c>
      <c r="G836" s="4">
        <v>-0.015498</v>
      </c>
      <c r="H836" s="4">
        <v>-0.011574</v>
      </c>
      <c r="I836" s="4">
        <v>-0.003058</v>
      </c>
      <c r="J836" s="4">
        <v>-0.003632</v>
      </c>
      <c r="K836" s="4">
        <v>0.0</v>
      </c>
      <c r="L836" s="4">
        <v>0.003104</v>
      </c>
      <c r="M836" s="4">
        <v>0.001055</v>
      </c>
      <c r="N836" s="4">
        <v>0.001675</v>
      </c>
      <c r="O836" s="4">
        <v>-0.011871</v>
      </c>
      <c r="P836" s="4">
        <v>-0.021784</v>
      </c>
      <c r="Q836" s="4">
        <v>-0.002602</v>
      </c>
      <c r="R836" s="4">
        <v>-0.01245</v>
      </c>
      <c r="S836" s="4">
        <v>-0.015944</v>
      </c>
      <c r="T836" s="4">
        <v>-0.023319</v>
      </c>
      <c r="U836" s="4">
        <v>-0.007643</v>
      </c>
      <c r="V836" s="4">
        <v>0.00946753786663312</v>
      </c>
      <c r="W836" s="4">
        <v>-0.0312272997755487</v>
      </c>
      <c r="X836" s="4">
        <v>-0.0028249842204273</v>
      </c>
      <c r="Y836" s="4">
        <v>0.0257398636949321</v>
      </c>
      <c r="Z836" s="4">
        <v>0.0301601912810962</v>
      </c>
      <c r="AA836" s="4">
        <v>0.0089010685447508</v>
      </c>
      <c r="AB836" s="4">
        <v>0.0045584098946169</v>
      </c>
      <c r="AC836" s="4">
        <v>0.00945178750936</v>
      </c>
      <c r="AD836" s="4">
        <v>-0.0066311442893721</v>
      </c>
      <c r="AE836" s="4">
        <v>-0.0017113733615889</v>
      </c>
      <c r="AF836" s="4">
        <v>0.0075187741576507</v>
      </c>
      <c r="AG836" s="4">
        <v>0.0057032062749715</v>
      </c>
      <c r="AH836" s="4">
        <v>0.0266322830489993</v>
      </c>
      <c r="AI836" s="4">
        <v>-0.0056697449688639</v>
      </c>
      <c r="AJ836" s="4">
        <v>-0.003841</v>
      </c>
      <c r="AK836" s="4">
        <f>Weights!E892</f>
        <v>0.00063714425</v>
      </c>
      <c r="AL836" s="5">
        <v>-0.0156668698551606</v>
      </c>
      <c r="AM836" s="5">
        <v>-0.0166763710003119</v>
      </c>
      <c r="AN836" s="5">
        <v>0.0</v>
      </c>
      <c r="AO836" s="5">
        <v>0.0</v>
      </c>
      <c r="AP836" s="6">
        <f t="shared" si="3"/>
        <v>1.566343613</v>
      </c>
      <c r="AQ836" s="4">
        <f t="shared" si="4"/>
        <v>1.255404516</v>
      </c>
      <c r="AR836" s="7">
        <f t="shared" si="5"/>
        <v>1.254658595</v>
      </c>
      <c r="AS836" s="7">
        <f t="shared" ref="AS836:AU836" si="838">AS835*(1+AM836)</f>
        <v>1.300294849</v>
      </c>
      <c r="AT836" s="5">
        <f t="shared" si="838"/>
        <v>1.355488325</v>
      </c>
      <c r="AU836" s="5">
        <f t="shared" si="838"/>
        <v>1.337683661</v>
      </c>
    </row>
    <row r="837" ht="15.75" customHeight="1">
      <c r="A837" s="3">
        <v>45043.0</v>
      </c>
      <c r="B837" s="4">
        <v>0.01101</v>
      </c>
      <c r="C837" s="4">
        <v>0.05065</v>
      </c>
      <c r="D837" s="4">
        <v>0.010078</v>
      </c>
      <c r="E837" s="4">
        <v>0.0061</v>
      </c>
      <c r="F837" s="4">
        <v>0.002046</v>
      </c>
      <c r="G837" s="4">
        <v>0.002337</v>
      </c>
      <c r="H837" s="4">
        <v>0.012227</v>
      </c>
      <c r="I837" s="4">
        <v>0.004857</v>
      </c>
      <c r="J837" s="4">
        <v>0.004329</v>
      </c>
      <c r="K837" s="4">
        <v>0.014956</v>
      </c>
      <c r="L837" s="4">
        <v>0.015473</v>
      </c>
      <c r="M837" s="4">
        <v>0.024776</v>
      </c>
      <c r="N837" s="4">
        <v>0.016517</v>
      </c>
      <c r="O837" s="4">
        <v>0.006163</v>
      </c>
      <c r="P837" s="4">
        <v>0.023754</v>
      </c>
      <c r="Q837" s="4">
        <v>0.010437</v>
      </c>
      <c r="R837" s="4">
        <v>0.005097</v>
      </c>
      <c r="S837" s="4">
        <v>0.02338</v>
      </c>
      <c r="T837" s="4">
        <v>0.026228</v>
      </c>
      <c r="U837" s="4">
        <v>-0.023392</v>
      </c>
      <c r="V837" s="4">
        <v>-0.00117237883859055</v>
      </c>
      <c r="W837" s="4">
        <v>0.0100846638816507</v>
      </c>
      <c r="X837" s="4">
        <v>0.0</v>
      </c>
      <c r="Y837" s="4">
        <v>-0.0263852655984589</v>
      </c>
      <c r="Z837" s="4">
        <v>-0.0289112244764309</v>
      </c>
      <c r="AA837" s="4">
        <v>0.0068418684993076</v>
      </c>
      <c r="AB837" s="4">
        <v>-0.0294949180264029</v>
      </c>
      <c r="AC837" s="4">
        <v>0.0</v>
      </c>
      <c r="AD837" s="4">
        <v>0.0</v>
      </c>
      <c r="AE837" s="4">
        <v>0.0055157774278591</v>
      </c>
      <c r="AF837" s="4">
        <v>-0.0169345797301411</v>
      </c>
      <c r="AG837" s="4">
        <v>-0.0192537091389086</v>
      </c>
      <c r="AH837" s="4">
        <v>-0.0529986206969935</v>
      </c>
      <c r="AI837" s="4">
        <v>0.0020731689362951</v>
      </c>
      <c r="AJ837" s="4">
        <v>0.019566</v>
      </c>
      <c r="AK837" s="4">
        <f>Weights!E893</f>
        <v>0.0003644037071</v>
      </c>
      <c r="AL837" s="5">
        <v>-0.00323436237258689</v>
      </c>
      <c r="AM837" s="5">
        <v>-0.00451252561439907</v>
      </c>
      <c r="AN837" s="5">
        <v>-0.0120099757361709</v>
      </c>
      <c r="AO837" s="5">
        <v>-0.0119275641423147</v>
      </c>
      <c r="AP837" s="6">
        <f t="shared" si="3"/>
        <v>1.566914395</v>
      </c>
      <c r="AQ837" s="4">
        <f t="shared" si="4"/>
        <v>1.279967761</v>
      </c>
      <c r="AR837" s="7">
        <f t="shared" si="5"/>
        <v>1.250600575</v>
      </c>
      <c r="AS837" s="7">
        <f t="shared" ref="AS837:AU837" si="839">AS836*(1+AM837)</f>
        <v>1.294427235</v>
      </c>
      <c r="AT837" s="5">
        <f t="shared" si="839"/>
        <v>1.339208943</v>
      </c>
      <c r="AU837" s="5">
        <f t="shared" si="839"/>
        <v>1.321728353</v>
      </c>
    </row>
    <row r="838" ht="15.75" customHeight="1">
      <c r="A838" s="3">
        <v>45044.0</v>
      </c>
      <c r="B838" s="4">
        <v>0.004261</v>
      </c>
      <c r="C838" s="4">
        <v>0.001031</v>
      </c>
      <c r="D838" s="4">
        <v>0.005701</v>
      </c>
      <c r="E838" s="4">
        <v>0.006326</v>
      </c>
      <c r="F838" s="4">
        <v>0.007381</v>
      </c>
      <c r="G838" s="4">
        <v>0.004294</v>
      </c>
      <c r="H838" s="4">
        <v>-5.75E-4</v>
      </c>
      <c r="I838" s="4">
        <v>0.011447</v>
      </c>
      <c r="J838" s="4">
        <v>-0.003857</v>
      </c>
      <c r="K838" s="4">
        <v>0.003808</v>
      </c>
      <c r="L838" s="4">
        <v>0.008838</v>
      </c>
      <c r="M838" s="4">
        <v>0.015946</v>
      </c>
      <c r="N838" s="4">
        <v>0.009461</v>
      </c>
      <c r="O838" s="4">
        <v>0.069507</v>
      </c>
      <c r="P838" s="4">
        <v>-0.018024</v>
      </c>
      <c r="Q838" s="4">
        <v>0.004519</v>
      </c>
      <c r="R838" s="4">
        <v>0.011743</v>
      </c>
      <c r="S838" s="4">
        <v>-0.010421</v>
      </c>
      <c r="T838" s="4">
        <v>-7.42E-4</v>
      </c>
      <c r="U838" s="4">
        <v>0.016138</v>
      </c>
      <c r="V838" s="4">
        <v>-0.00195622634063596</v>
      </c>
      <c r="W838" s="4">
        <v>0.0487221092406284</v>
      </c>
      <c r="X838" s="4">
        <v>0.0467422826377559</v>
      </c>
      <c r="Y838" s="4">
        <v>-0.0042958346952192</v>
      </c>
      <c r="Z838" s="4">
        <v>-0.0032032452397148</v>
      </c>
      <c r="AA838" s="4">
        <v>-0.0132331606089339</v>
      </c>
      <c r="AB838" s="4">
        <v>0.0096433323994957</v>
      </c>
      <c r="AC838" s="4">
        <v>0.0</v>
      </c>
      <c r="AD838" s="4">
        <v>-0.0013317528809764</v>
      </c>
      <c r="AE838" s="4">
        <v>0.0010378569447875</v>
      </c>
      <c r="AF838" s="4">
        <v>0.0201459827156544</v>
      </c>
      <c r="AG838" s="4">
        <v>0.008202351448755</v>
      </c>
      <c r="AH838" s="4">
        <v>0.0253313596909814</v>
      </c>
      <c r="AI838" s="4">
        <v>5.1754167063E-4</v>
      </c>
      <c r="AJ838" s="4">
        <v>0.008253</v>
      </c>
      <c r="AK838" s="4">
        <f>Weights!E894</f>
        <v>0.007691914554</v>
      </c>
      <c r="AL838" s="5">
        <v>0.0176757283291899</v>
      </c>
      <c r="AM838" s="5">
        <v>0.0187795366060334</v>
      </c>
      <c r="AN838" s="5">
        <v>-0.00255934626735088</v>
      </c>
      <c r="AO838" s="5">
        <v>-0.00338012346243832</v>
      </c>
      <c r="AP838" s="6">
        <f t="shared" si="3"/>
        <v>1.578966966</v>
      </c>
      <c r="AQ838" s="4">
        <f t="shared" si="4"/>
        <v>1.290531335</v>
      </c>
      <c r="AR838" s="7">
        <f t="shared" si="5"/>
        <v>1.272705851</v>
      </c>
      <c r="AS838" s="7">
        <f t="shared" ref="AS838:AU838" si="840">AS837*(1+AM838)</f>
        <v>1.318735979</v>
      </c>
      <c r="AT838" s="5">
        <f t="shared" si="840"/>
        <v>1.335781444</v>
      </c>
      <c r="AU838" s="5">
        <f t="shared" si="840"/>
        <v>1.317260748</v>
      </c>
    </row>
    <row r="839" ht="15.75" customHeight="1">
      <c r="A839" s="3">
        <v>45047.0</v>
      </c>
      <c r="B839" s="4">
        <v>-0.004243</v>
      </c>
      <c r="C839" s="4">
        <v>-0.00309</v>
      </c>
      <c r="D839" s="4">
        <v>0.005467</v>
      </c>
      <c r="E839" s="4">
        <v>0.004138</v>
      </c>
      <c r="F839" s="4">
        <v>0.002338</v>
      </c>
      <c r="G839" s="4">
        <v>-6.11E-4</v>
      </c>
      <c r="H839" s="4">
        <v>0.001215</v>
      </c>
      <c r="I839" s="4">
        <v>-0.00503</v>
      </c>
      <c r="J839" s="4">
        <v>6.83E-4</v>
      </c>
      <c r="K839" s="4">
        <v>-0.001814</v>
      </c>
      <c r="L839" s="4">
        <v>-0.001208</v>
      </c>
      <c r="M839" s="4">
        <v>0.003544</v>
      </c>
      <c r="N839" s="4">
        <v>-0.001426</v>
      </c>
      <c r="O839" s="4">
        <v>-0.0271</v>
      </c>
      <c r="P839" s="4">
        <v>-0.009916</v>
      </c>
      <c r="Q839" s="4">
        <v>-0.008997</v>
      </c>
      <c r="R839" s="4">
        <v>-0.007386</v>
      </c>
      <c r="S839" s="4">
        <v>-0.009721</v>
      </c>
      <c r="T839" s="4">
        <v>-0.001147</v>
      </c>
      <c r="U839" s="4">
        <v>0.0</v>
      </c>
      <c r="V839" s="4">
        <v>0.0203841328094116</v>
      </c>
      <c r="W839" s="4">
        <v>-0.0093297348732361</v>
      </c>
      <c r="X839" s="4">
        <v>0.002706260963307</v>
      </c>
      <c r="Y839" s="4">
        <v>-0.0010149792233187</v>
      </c>
      <c r="Z839" s="4">
        <v>0.0016066963552343</v>
      </c>
      <c r="AA839" s="4">
        <v>-0.0212033308756124</v>
      </c>
      <c r="AB839" s="4">
        <v>0.0046309744544306</v>
      </c>
      <c r="AC839" s="4">
        <v>0.007490550775979</v>
      </c>
      <c r="AD839" s="4">
        <v>0.024000006344742</v>
      </c>
      <c r="AE839" s="4">
        <v>0.0077753415601993</v>
      </c>
      <c r="AF839" s="4">
        <v>0.0352032373646866</v>
      </c>
      <c r="AG839" s="4">
        <v>0.0077353219182092</v>
      </c>
      <c r="AH839" s="4">
        <v>0.035909222039</v>
      </c>
      <c r="AI839" s="4">
        <v>-0.0036193099462479</v>
      </c>
      <c r="AJ839" s="4">
        <v>-3.86E-4</v>
      </c>
      <c r="AK839" s="4">
        <f>Weights!E895</f>
        <v>0.002567299666</v>
      </c>
      <c r="AL839" s="5">
        <v>0.00511818750516379</v>
      </c>
      <c r="AM839" s="5">
        <v>0.00870322927854649</v>
      </c>
      <c r="AN839" s="5">
        <v>0.00865942806177</v>
      </c>
      <c r="AO839" s="5">
        <v>0.00847891957287405</v>
      </c>
      <c r="AP839" s="6">
        <f t="shared" si="3"/>
        <v>1.583020648</v>
      </c>
      <c r="AQ839" s="4">
        <f t="shared" si="4"/>
        <v>1.29003319</v>
      </c>
      <c r="AR839" s="7">
        <f t="shared" si="5"/>
        <v>1.279219798</v>
      </c>
      <c r="AS839" s="7">
        <f t="shared" ref="AS839:AU839" si="841">AS838*(1+AM839)</f>
        <v>1.33021324</v>
      </c>
      <c r="AT839" s="5">
        <f t="shared" si="841"/>
        <v>1.347348547</v>
      </c>
      <c r="AU839" s="5">
        <f t="shared" si="841"/>
        <v>1.328429696</v>
      </c>
    </row>
    <row r="840" ht="15.75" customHeight="1">
      <c r="A840" s="3">
        <v>45048.0</v>
      </c>
      <c r="B840" s="4">
        <v>-0.006155</v>
      </c>
      <c r="C840" s="4">
        <v>-0.026866</v>
      </c>
      <c r="D840" s="4">
        <v>-0.011881</v>
      </c>
      <c r="E840" s="4">
        <v>0.002974</v>
      </c>
      <c r="F840" s="4">
        <v>-0.00451</v>
      </c>
      <c r="G840" s="4">
        <v>0.008741</v>
      </c>
      <c r="H840" s="4">
        <v>-8.94E-4</v>
      </c>
      <c r="I840" s="4">
        <v>-0.025278</v>
      </c>
      <c r="J840" s="4">
        <v>-0.004324</v>
      </c>
      <c r="K840" s="4">
        <v>-0.016523</v>
      </c>
      <c r="L840" s="4">
        <v>-0.027221</v>
      </c>
      <c r="M840" s="4">
        <v>-0.010595</v>
      </c>
      <c r="N840" s="4">
        <v>-0.016731</v>
      </c>
      <c r="O840" s="4">
        <v>0.006441</v>
      </c>
      <c r="P840" s="4">
        <v>0.024078</v>
      </c>
      <c r="Q840" s="4">
        <v>0.066796</v>
      </c>
      <c r="R840" s="4">
        <v>-0.027372</v>
      </c>
      <c r="S840" s="4">
        <v>0.042945</v>
      </c>
      <c r="T840" s="4">
        <v>-0.009797</v>
      </c>
      <c r="U840" s="4">
        <v>-6.47E-4</v>
      </c>
      <c r="V840" s="4">
        <v>-0.0268920085089422</v>
      </c>
      <c r="W840" s="4">
        <v>9.609794460252E-4</v>
      </c>
      <c r="X840" s="4">
        <v>-0.0034316355764012</v>
      </c>
      <c r="Y840" s="4">
        <v>-0.0073668843865614</v>
      </c>
      <c r="Z840" s="4">
        <v>-0.016514166918782</v>
      </c>
      <c r="AA840" s="4">
        <v>-0.0068504074318269</v>
      </c>
      <c r="AB840" s="4">
        <v>-0.0031691263213883</v>
      </c>
      <c r="AC840" s="4">
        <v>0.0018588133915251</v>
      </c>
      <c r="AD840" s="4">
        <v>0.0130208612823472</v>
      </c>
      <c r="AE840" s="4">
        <v>-0.0128591148941219</v>
      </c>
      <c r="AF840" s="4">
        <v>0.0019353022534815</v>
      </c>
      <c r="AG840" s="4">
        <v>-0.0152198475208347</v>
      </c>
      <c r="AH840" s="4">
        <v>-0.0293954376495074</v>
      </c>
      <c r="AI840" s="4">
        <v>0.0087968775952267</v>
      </c>
      <c r="AJ840" s="4">
        <v>-0.011586</v>
      </c>
      <c r="AK840" s="4">
        <f>Weights!E896</f>
        <v>-0.006561406618</v>
      </c>
      <c r="AL840" s="5">
        <v>-0.00100165615487102</v>
      </c>
      <c r="AM840" s="5">
        <v>-4.84668625332695E-4</v>
      </c>
      <c r="AN840" s="5">
        <v>0.00508751108213578</v>
      </c>
      <c r="AO840" s="5">
        <v>0.00528441094394693</v>
      </c>
      <c r="AP840" s="6">
        <f t="shared" si="3"/>
        <v>1.572633805</v>
      </c>
      <c r="AQ840" s="4">
        <f t="shared" si="4"/>
        <v>1.275086865</v>
      </c>
      <c r="AR840" s="7">
        <f t="shared" si="5"/>
        <v>1.27793846</v>
      </c>
      <c r="AS840" s="7">
        <f t="shared" ref="AS840:AU840" si="842">AS839*(1+AM840)</f>
        <v>1.329568527</v>
      </c>
      <c r="AT840" s="5">
        <f t="shared" si="842"/>
        <v>1.354203198</v>
      </c>
      <c r="AU840" s="5">
        <f t="shared" si="842"/>
        <v>1.335449665</v>
      </c>
    </row>
    <row r="841" ht="15.75" customHeight="1">
      <c r="A841" s="3">
        <v>45049.0</v>
      </c>
      <c r="B841" s="4">
        <v>0.002858</v>
      </c>
      <c r="C841" s="4">
        <v>0.008229</v>
      </c>
      <c r="D841" s="4">
        <v>-0.008355</v>
      </c>
      <c r="E841" s="4">
        <v>-3.64E-4</v>
      </c>
      <c r="F841" s="4">
        <v>-0.005624</v>
      </c>
      <c r="G841" s="4">
        <v>-0.013089</v>
      </c>
      <c r="H841" s="4">
        <v>-0.001279</v>
      </c>
      <c r="I841" s="4">
        <v>0.00778</v>
      </c>
      <c r="J841" s="4">
        <v>0.014629</v>
      </c>
      <c r="K841" s="4">
        <v>0.004032</v>
      </c>
      <c r="L841" s="4">
        <v>-0.002591</v>
      </c>
      <c r="M841" s="4">
        <v>-0.00306</v>
      </c>
      <c r="N841" s="4">
        <v>-0.00249</v>
      </c>
      <c r="O841" s="4">
        <v>0.003645</v>
      </c>
      <c r="P841" s="4">
        <v>-0.01186</v>
      </c>
      <c r="Q841" s="4">
        <v>0.019453</v>
      </c>
      <c r="R841" s="4">
        <v>-0.007377</v>
      </c>
      <c r="S841" s="4">
        <v>-0.006471</v>
      </c>
      <c r="T841" s="4">
        <v>-0.002525</v>
      </c>
      <c r="U841" s="4">
        <v>-5.75E-4</v>
      </c>
      <c r="V841" s="4">
        <v>0.00394797844326211</v>
      </c>
      <c r="W841" s="4">
        <v>-0.0067204917592228</v>
      </c>
      <c r="X841" s="4">
        <v>0.012396691493852</v>
      </c>
      <c r="Y841" s="4">
        <v>-0.0108126557804248</v>
      </c>
      <c r="Z841" s="4">
        <v>-0.0156399173327776</v>
      </c>
      <c r="AA841" s="4">
        <v>-0.0095079941305372</v>
      </c>
      <c r="AB841" s="4">
        <v>-2.890401935432E-4</v>
      </c>
      <c r="AC841" s="4">
        <v>0.0055658578933848</v>
      </c>
      <c r="AD841" s="4">
        <v>0.0025705247802521</v>
      </c>
      <c r="AE841" s="4">
        <v>0.0014888333429408</v>
      </c>
      <c r="AF841" s="4">
        <v>-0.0066225536003813</v>
      </c>
      <c r="AG841" s="4">
        <v>-0.0274154974595892</v>
      </c>
      <c r="AH841" s="4">
        <v>-0.0268571717398506</v>
      </c>
      <c r="AI841" s="4">
        <v>-0.002580060520254</v>
      </c>
      <c r="AJ841" s="4">
        <v>-0.006998</v>
      </c>
      <c r="AK841" s="4">
        <f>Weights!E897</f>
        <v>-0.003126351594</v>
      </c>
      <c r="AL841" s="5">
        <v>-0.0108631872415736</v>
      </c>
      <c r="AM841" s="5">
        <v>-0.0122211251988005</v>
      </c>
      <c r="AN841" s="5">
        <v>-0.00126547196789017</v>
      </c>
      <c r="AO841" s="5">
        <v>-9.55619472074675E-4</v>
      </c>
      <c r="AP841" s="6">
        <f t="shared" si="3"/>
        <v>1.567717199</v>
      </c>
      <c r="AQ841" s="4">
        <f t="shared" si="4"/>
        <v>1.266163807</v>
      </c>
      <c r="AR841" s="7">
        <f t="shared" si="5"/>
        <v>1.264055975</v>
      </c>
      <c r="AS841" s="7">
        <f t="shared" ref="AS841:AU841" si="843">AS840*(1+AM841)</f>
        <v>1.313319704</v>
      </c>
      <c r="AT841" s="5">
        <f t="shared" si="843"/>
        <v>1.352489491</v>
      </c>
      <c r="AU841" s="5">
        <f t="shared" si="843"/>
        <v>1.334173483</v>
      </c>
    </row>
    <row r="842" ht="15.75" customHeight="1">
      <c r="A842" s="3">
        <v>45050.0</v>
      </c>
      <c r="B842" s="4">
        <v>-0.009501</v>
      </c>
      <c r="C842" s="4">
        <v>-0.016588</v>
      </c>
      <c r="D842" s="4">
        <v>-0.002261</v>
      </c>
      <c r="E842" s="4">
        <v>0.006244</v>
      </c>
      <c r="F842" s="4">
        <v>0.0011</v>
      </c>
      <c r="G842" s="4">
        <v>-0.004543</v>
      </c>
      <c r="H842" s="4">
        <v>-0.004609</v>
      </c>
      <c r="I842" s="4">
        <v>0.010551</v>
      </c>
      <c r="J842" s="4">
        <v>0.009912</v>
      </c>
      <c r="K842" s="4">
        <v>0.009538</v>
      </c>
      <c r="L842" s="4">
        <v>-0.007689</v>
      </c>
      <c r="M842" s="4">
        <v>-0.013811</v>
      </c>
      <c r="N842" s="4">
        <v>-0.010609</v>
      </c>
      <c r="O842" s="4">
        <v>-0.01989</v>
      </c>
      <c r="P842" s="4">
        <v>0.04043</v>
      </c>
      <c r="Q842" s="4">
        <v>0.037567</v>
      </c>
      <c r="R842" s="4">
        <v>-0.030553</v>
      </c>
      <c r="S842" s="4">
        <v>0.014604</v>
      </c>
      <c r="T842" s="4">
        <v>-0.043163</v>
      </c>
      <c r="U842" s="4">
        <v>0.002446</v>
      </c>
      <c r="V842" s="4">
        <v>-0.0200551654213161</v>
      </c>
      <c r="W842" s="4">
        <v>-0.0187512140929501</v>
      </c>
      <c r="X842" s="4">
        <v>0.0</v>
      </c>
      <c r="Y842" s="4">
        <v>0.0097018629627425</v>
      </c>
      <c r="Z842" s="4">
        <v>0.0058485354825434</v>
      </c>
      <c r="AA842" s="4">
        <v>0.0295502024546996</v>
      </c>
      <c r="AB842" s="4">
        <v>-5.782475238628E-4</v>
      </c>
      <c r="AC842" s="4">
        <v>0.0</v>
      </c>
      <c r="AD842" s="4">
        <v>0.0</v>
      </c>
      <c r="AE842" s="4">
        <v>-0.0048312933808393</v>
      </c>
      <c r="AF842" s="4">
        <v>-0.0313889440865098</v>
      </c>
      <c r="AG842" s="4">
        <v>0.0122977981758503</v>
      </c>
      <c r="AH842" s="4">
        <v>-0.0076335247331983</v>
      </c>
      <c r="AI842" s="4">
        <v>-0.0010348006926182</v>
      </c>
      <c r="AJ842" s="4">
        <v>-0.007219</v>
      </c>
      <c r="AK842" s="4">
        <f>Weights!E898</f>
        <v>-0.0005136318945</v>
      </c>
      <c r="AL842" s="5">
        <v>-0.00430857300264619</v>
      </c>
      <c r="AM842" s="5">
        <v>-0.00584242444425742</v>
      </c>
      <c r="AN842" s="5">
        <v>-0.0107697227345018</v>
      </c>
      <c r="AO842" s="5">
        <v>-0.00980628476537526</v>
      </c>
      <c r="AP842" s="6">
        <f t="shared" si="3"/>
        <v>1.56691197</v>
      </c>
      <c r="AQ842" s="4">
        <f t="shared" si="4"/>
        <v>1.257023371</v>
      </c>
      <c r="AR842" s="7">
        <f t="shared" si="5"/>
        <v>1.258609697</v>
      </c>
      <c r="AS842" s="7">
        <f t="shared" ref="AS842:AU842" si="844">AS841*(1+AM842)</f>
        <v>1.305646733</v>
      </c>
      <c r="AT842" s="5">
        <f t="shared" si="844"/>
        <v>1.337923555</v>
      </c>
      <c r="AU842" s="5">
        <f t="shared" si="844"/>
        <v>1.321090198</v>
      </c>
    </row>
    <row r="843" ht="15.75" customHeight="1">
      <c r="A843" s="3">
        <v>45051.0</v>
      </c>
      <c r="B843" s="4">
        <v>0.009113</v>
      </c>
      <c r="C843" s="4">
        <v>0.012851</v>
      </c>
      <c r="D843" s="4">
        <v>0.014418</v>
      </c>
      <c r="E843" s="4">
        <v>0.004602</v>
      </c>
      <c r="F843" s="4">
        <v>0.004708</v>
      </c>
      <c r="G843" s="4">
        <v>0.003392</v>
      </c>
      <c r="H843" s="4">
        <v>0.003344</v>
      </c>
      <c r="I843" s="4">
        <v>0.016297</v>
      </c>
      <c r="J843" s="4">
        <v>0.01383</v>
      </c>
      <c r="K843" s="4">
        <v>0.031825</v>
      </c>
      <c r="L843" s="4">
        <v>0.02555</v>
      </c>
      <c r="M843" s="4">
        <v>0.026452</v>
      </c>
      <c r="N843" s="4">
        <v>0.023129</v>
      </c>
      <c r="O843" s="4">
        <v>-0.001896</v>
      </c>
      <c r="P843" s="4">
        <v>-0.013965</v>
      </c>
      <c r="Q843" s="4">
        <v>-0.055172</v>
      </c>
      <c r="R843" s="4">
        <v>0.035491</v>
      </c>
      <c r="S843" s="4">
        <v>0.013227</v>
      </c>
      <c r="T843" s="4">
        <v>0.017444</v>
      </c>
      <c r="U843" s="4">
        <v>0.010767</v>
      </c>
      <c r="V843" s="4">
        <v>0.0252810087733275</v>
      </c>
      <c r="W843" s="4">
        <v>3.940091742351E-4</v>
      </c>
      <c r="X843" s="4">
        <v>0.0</v>
      </c>
      <c r="Y843" s="4">
        <v>0.0026263218393733</v>
      </c>
      <c r="Z843" s="4">
        <v>0.0031011171310828</v>
      </c>
      <c r="AA843" s="4">
        <v>0.0138937915280339</v>
      </c>
      <c r="AB843" s="4">
        <v>0.0098352936758461</v>
      </c>
      <c r="AC843" s="4">
        <v>0.0</v>
      </c>
      <c r="AD843" s="4">
        <v>0.0062499595044769</v>
      </c>
      <c r="AE843" s="4">
        <v>0.0035851349836324</v>
      </c>
      <c r="AF843" s="4">
        <v>0.0086034504435188</v>
      </c>
      <c r="AG843" s="4">
        <v>0.0042315789449969</v>
      </c>
      <c r="AH843" s="4">
        <v>0.043786981330274</v>
      </c>
      <c r="AI843" s="4">
        <v>-0.0067320482548184</v>
      </c>
      <c r="AJ843" s="4">
        <v>0.018475</v>
      </c>
      <c r="AK843" s="4">
        <f>Weights!E899</f>
        <v>0.01107319179</v>
      </c>
      <c r="AL843" s="5">
        <v>-0.00483624641672819</v>
      </c>
      <c r="AM843" s="5">
        <v>-0.00745722158672179</v>
      </c>
      <c r="AN843" s="5">
        <v>-0.002241538818741</v>
      </c>
      <c r="AO843" s="5">
        <v>-0.00314008345975269</v>
      </c>
      <c r="AP843" s="6">
        <f t="shared" si="3"/>
        <v>1.584262686</v>
      </c>
      <c r="AQ843" s="4">
        <f t="shared" si="4"/>
        <v>1.280246877</v>
      </c>
      <c r="AR843" s="7">
        <f t="shared" si="5"/>
        <v>1.252522751</v>
      </c>
      <c r="AS843" s="7">
        <f t="shared" ref="AS843:AU843" si="845">AS842*(1+AM843)</f>
        <v>1.295910236</v>
      </c>
      <c r="AT843" s="5">
        <f t="shared" si="845"/>
        <v>1.334924547</v>
      </c>
      <c r="AU843" s="5">
        <f t="shared" si="845"/>
        <v>1.316941864</v>
      </c>
    </row>
    <row r="844" ht="15.75" customHeight="1">
      <c r="A844" s="3">
        <v>45054.0</v>
      </c>
      <c r="B844" s="4">
        <v>-0.01711</v>
      </c>
      <c r="C844" s="4">
        <v>0.0</v>
      </c>
      <c r="D844" s="4">
        <v>0.004061</v>
      </c>
      <c r="E844" s="4">
        <v>-0.004736</v>
      </c>
      <c r="F844" s="4">
        <v>-0.001562</v>
      </c>
      <c r="G844" s="4">
        <v>-0.002274</v>
      </c>
      <c r="H844" s="4">
        <v>-0.004679</v>
      </c>
      <c r="I844" s="4">
        <v>-0.006264</v>
      </c>
      <c r="J844" s="4">
        <v>0.008141</v>
      </c>
      <c r="K844" s="4">
        <v>-0.011566</v>
      </c>
      <c r="L844" s="4">
        <v>0.002757</v>
      </c>
      <c r="M844" s="4">
        <v>0.009601</v>
      </c>
      <c r="N844" s="4">
        <v>0.002877</v>
      </c>
      <c r="O844" s="4">
        <v>0.004533</v>
      </c>
      <c r="P844" s="4">
        <v>-0.008826</v>
      </c>
      <c r="Q844" s="4">
        <v>0.022506</v>
      </c>
      <c r="R844" s="4">
        <v>0.002468</v>
      </c>
      <c r="S844" s="4">
        <v>-0.004799</v>
      </c>
      <c r="T844" s="4">
        <v>-0.004919</v>
      </c>
      <c r="U844" s="4">
        <v>0.007669</v>
      </c>
      <c r="V844" s="4">
        <v>-0.0136986563385287</v>
      </c>
      <c r="W844" s="4">
        <v>0.0112249349789772</v>
      </c>
      <c r="X844" s="4">
        <v>0.0</v>
      </c>
      <c r="Y844" s="4">
        <v>-0.001533473465347</v>
      </c>
      <c r="Z844" s="4">
        <v>-0.0015458771065826</v>
      </c>
      <c r="AA844" s="4">
        <v>-0.005228923568786</v>
      </c>
      <c r="AB844" s="4">
        <v>-0.002291668752494</v>
      </c>
      <c r="AC844" s="4">
        <v>0.0</v>
      </c>
      <c r="AD844" s="4">
        <v>-0.0012424180304938</v>
      </c>
      <c r="AE844" s="4">
        <v>-7.443243327621E-4</v>
      </c>
      <c r="AF844" s="4">
        <v>0.0079613175687522</v>
      </c>
      <c r="AG844" s="4">
        <v>-0.0061165249146761</v>
      </c>
      <c r="AH844" s="4">
        <v>0.0102040175015991</v>
      </c>
      <c r="AI844" s="4">
        <v>-0.0020854636021683</v>
      </c>
      <c r="AJ844" s="4">
        <v>4.52E-4</v>
      </c>
      <c r="AK844" s="4">
        <f>Weights!E900</f>
        <v>-0.0002998330728</v>
      </c>
      <c r="AL844" s="5">
        <v>0.0175633070708001</v>
      </c>
      <c r="AM844" s="5">
        <v>0.018459453374181</v>
      </c>
      <c r="AN844" s="5">
        <v>-0.00449282319954713</v>
      </c>
      <c r="AO844" s="5">
        <v>-0.00557294149608389</v>
      </c>
      <c r="AP844" s="6">
        <f t="shared" si="3"/>
        <v>1.583787672</v>
      </c>
      <c r="AQ844" s="4">
        <f t="shared" si="4"/>
        <v>1.280825549</v>
      </c>
      <c r="AR844" s="7">
        <f t="shared" si="5"/>
        <v>1.274521192</v>
      </c>
      <c r="AS844" s="7">
        <f t="shared" ref="AS844:AU844" si="846">AS843*(1+AM844)</f>
        <v>1.31983203</v>
      </c>
      <c r="AT844" s="5">
        <f t="shared" si="846"/>
        <v>1.328926967</v>
      </c>
      <c r="AU844" s="5">
        <f t="shared" si="846"/>
        <v>1.309602625</v>
      </c>
    </row>
    <row r="845" ht="15.75" customHeight="1">
      <c r="A845" s="3">
        <v>45055.0</v>
      </c>
      <c r="B845" s="4">
        <v>-0.006286</v>
      </c>
      <c r="C845" s="4">
        <v>-0.006873</v>
      </c>
      <c r="D845" s="4">
        <v>-0.00364</v>
      </c>
      <c r="E845" s="4">
        <v>0.004086</v>
      </c>
      <c r="F845" s="4">
        <v>-0.008292</v>
      </c>
      <c r="G845" s="4">
        <v>-0.007763</v>
      </c>
      <c r="H845" s="4">
        <v>-0.010238</v>
      </c>
      <c r="I845" s="4">
        <v>0.004539</v>
      </c>
      <c r="J845" s="4">
        <v>-0.001528</v>
      </c>
      <c r="K845" s="4">
        <v>-0.012027</v>
      </c>
      <c r="L845" s="4">
        <v>-0.014662</v>
      </c>
      <c r="M845" s="4">
        <v>-0.004004</v>
      </c>
      <c r="N845" s="4">
        <v>-0.001844</v>
      </c>
      <c r="O845" s="4">
        <v>-0.006747</v>
      </c>
      <c r="P845" s="4">
        <v>-0.002899</v>
      </c>
      <c r="Q845" s="4">
        <v>-0.009518</v>
      </c>
      <c r="R845" s="4">
        <v>0.002735</v>
      </c>
      <c r="S845" s="4">
        <v>0.001543</v>
      </c>
      <c r="T845" s="4">
        <v>-0.010239</v>
      </c>
      <c r="U845" s="4">
        <v>0.007858</v>
      </c>
      <c r="V845" s="4">
        <v>0.0</v>
      </c>
      <c r="W845" s="4">
        <v>0.0259006535288608</v>
      </c>
      <c r="X845" s="4">
        <v>-0.0163265270725186</v>
      </c>
      <c r="Y845" s="4">
        <v>0.0010878404147685</v>
      </c>
      <c r="Z845" s="4">
        <v>-0.0038703019801433</v>
      </c>
      <c r="AA845" s="4">
        <v>0.0076128924191964</v>
      </c>
      <c r="AB845" s="4">
        <v>0.002583884868331</v>
      </c>
      <c r="AC845" s="4">
        <v>0.0369004154709853</v>
      </c>
      <c r="AD845" s="4">
        <v>0.0049752200769164</v>
      </c>
      <c r="AE845" s="4">
        <v>0.0028301098934946</v>
      </c>
      <c r="AF845" s="4">
        <v>0.0220028242949441</v>
      </c>
      <c r="AG845" s="4">
        <v>0.013265859609419</v>
      </c>
      <c r="AH845" s="4">
        <v>5.611934683207E-4</v>
      </c>
      <c r="AI845" s="4">
        <v>0.0010450728846289</v>
      </c>
      <c r="AJ845" s="4">
        <v>-0.004579</v>
      </c>
      <c r="AK845" s="4">
        <f>Weights!E901</f>
        <v>0.000680362379</v>
      </c>
      <c r="AL845" s="5">
        <v>4.1891736217603E-4</v>
      </c>
      <c r="AM845" s="5">
        <v>0.00107484188808881</v>
      </c>
      <c r="AN845" s="5">
        <v>0.0145067335943547</v>
      </c>
      <c r="AO845" s="5">
        <v>0.0151070561653552</v>
      </c>
      <c r="AP845" s="6">
        <f t="shared" si="3"/>
        <v>1.584865222</v>
      </c>
      <c r="AQ845" s="4">
        <f t="shared" si="4"/>
        <v>1.274960649</v>
      </c>
      <c r="AR845" s="7">
        <f t="shared" si="5"/>
        <v>1.275055111</v>
      </c>
      <c r="AS845" s="7">
        <f t="shared" ref="AS845:AU845" si="847">AS844*(1+AM845)</f>
        <v>1.321250641</v>
      </c>
      <c r="AT845" s="5">
        <f t="shared" si="847"/>
        <v>1.348205356</v>
      </c>
      <c r="AU845" s="5">
        <f t="shared" si="847"/>
        <v>1.329386865</v>
      </c>
    </row>
    <row r="846" ht="15.75" customHeight="1">
      <c r="A846" s="3">
        <v>45056.0</v>
      </c>
      <c r="B846" s="4">
        <v>0.003893</v>
      </c>
      <c r="C846" s="4">
        <v>0.001597</v>
      </c>
      <c r="D846" s="4">
        <v>0.004059</v>
      </c>
      <c r="E846" s="4">
        <v>6.7E-4</v>
      </c>
      <c r="F846" s="4">
        <v>0.001735</v>
      </c>
      <c r="G846" s="4">
        <v>0.003725</v>
      </c>
      <c r="H846" s="4">
        <v>0.002082</v>
      </c>
      <c r="I846" s="4">
        <v>-0.003263</v>
      </c>
      <c r="J846" s="4">
        <v>0.002623</v>
      </c>
      <c r="K846" s="4">
        <v>0.010035</v>
      </c>
      <c r="L846" s="4">
        <v>-0.00372</v>
      </c>
      <c r="M846" s="4">
        <v>-0.01407</v>
      </c>
      <c r="N846" s="4">
        <v>-0.00698</v>
      </c>
      <c r="O846" s="4">
        <v>0.012158</v>
      </c>
      <c r="P846" s="4">
        <v>-0.007061</v>
      </c>
      <c r="Q846" s="4">
        <v>-0.021021</v>
      </c>
      <c r="R846" s="4">
        <v>-0.011457</v>
      </c>
      <c r="S846" s="4">
        <v>-0.001733</v>
      </c>
      <c r="T846" s="4">
        <v>-0.018192</v>
      </c>
      <c r="U846" s="4">
        <v>0.01478</v>
      </c>
      <c r="V846" s="4">
        <v>0.0123015197346756</v>
      </c>
      <c r="W846" s="4">
        <v>0.0203114029975202</v>
      </c>
      <c r="X846" s="4">
        <v>0.0165975067152412</v>
      </c>
      <c r="Y846" s="4">
        <v>0.0054329863357958</v>
      </c>
      <c r="Z846" s="4">
        <v>-3.89210437244E-4</v>
      </c>
      <c r="AA846" s="4">
        <v>0.0046772030982327</v>
      </c>
      <c r="AB846" s="4">
        <v>0.014604953697161</v>
      </c>
      <c r="AC846" s="4">
        <v>-0.003558791071605</v>
      </c>
      <c r="AD846" s="4">
        <v>-0.0086633744063109</v>
      </c>
      <c r="AE846" s="4">
        <v>0.004901543153321</v>
      </c>
      <c r="AF846" s="4">
        <v>0.0242893099491654</v>
      </c>
      <c r="AG846" s="4">
        <v>0.0082330145274862</v>
      </c>
      <c r="AH846" s="4">
        <v>-0.0042063562955074</v>
      </c>
      <c r="AI846" s="4">
        <v>0.0026092535254746</v>
      </c>
      <c r="AJ846" s="4">
        <v>0.004484</v>
      </c>
      <c r="AK846" s="4">
        <f>Weights!E902</f>
        <v>0.002276723023</v>
      </c>
      <c r="AL846" s="5">
        <v>-0.00410382951458554</v>
      </c>
      <c r="AM846" s="5">
        <v>-0.00409943091172737</v>
      </c>
      <c r="AN846" s="5">
        <v>0.00222444419883349</v>
      </c>
      <c r="AO846" s="5">
        <v>0.00216021703640101</v>
      </c>
      <c r="AP846" s="6">
        <f t="shared" si="3"/>
        <v>1.588473521</v>
      </c>
      <c r="AQ846" s="4">
        <f t="shared" si="4"/>
        <v>1.280677572</v>
      </c>
      <c r="AR846" s="7">
        <f t="shared" si="5"/>
        <v>1.269822503</v>
      </c>
      <c r="AS846" s="7">
        <f t="shared" ref="AS846:AU846" si="848">AS845*(1+AM846)</f>
        <v>1.315834266</v>
      </c>
      <c r="AT846" s="5">
        <f t="shared" si="848"/>
        <v>1.351204364</v>
      </c>
      <c r="AU846" s="5">
        <f t="shared" si="848"/>
        <v>1.332258629</v>
      </c>
    </row>
    <row r="847" ht="15.75" customHeight="1">
      <c r="A847" s="3">
        <v>45057.0</v>
      </c>
      <c r="B847" s="4">
        <v>-0.005332</v>
      </c>
      <c r="C847" s="4">
        <v>-7.97E-4</v>
      </c>
      <c r="D847" s="4">
        <v>-0.010714</v>
      </c>
      <c r="E847" s="4">
        <v>0.005508</v>
      </c>
      <c r="F847" s="4">
        <v>0.005669</v>
      </c>
      <c r="G847" s="4">
        <v>-0.004083</v>
      </c>
      <c r="H847" s="4">
        <v>0.002337</v>
      </c>
      <c r="I847" s="4">
        <v>-0.005792</v>
      </c>
      <c r="J847" s="4">
        <v>-0.012426</v>
      </c>
      <c r="K847" s="4">
        <v>-0.008306</v>
      </c>
      <c r="L847" s="4">
        <v>-0.001971</v>
      </c>
      <c r="M847" s="4">
        <v>-0.010194</v>
      </c>
      <c r="N847" s="4">
        <v>-0.012198</v>
      </c>
      <c r="O847" s="4">
        <v>0.011221</v>
      </c>
      <c r="P847" s="4">
        <v>-0.040368</v>
      </c>
      <c r="Q847" s="4">
        <v>-0.036196</v>
      </c>
      <c r="R847" s="4">
        <v>-0.04691</v>
      </c>
      <c r="S847" s="4">
        <v>-0.031063</v>
      </c>
      <c r="T847" s="4">
        <v>-7.99E-4</v>
      </c>
      <c r="U847" s="4">
        <v>-0.008835</v>
      </c>
      <c r="V847" s="4">
        <v>0.00940806129665161</v>
      </c>
      <c r="W847" s="4">
        <v>-0.0035350484672913</v>
      </c>
      <c r="X847" s="4">
        <v>0.0</v>
      </c>
      <c r="Y847" s="4">
        <v>0.0137954563666635</v>
      </c>
      <c r="Z847" s="4">
        <v>0.01314243316949</v>
      </c>
      <c r="AA847" s="4">
        <v>-0.0059087954897385</v>
      </c>
      <c r="AB847" s="4">
        <v>0.0110073743430361</v>
      </c>
      <c r="AC847" s="4">
        <v>0.0</v>
      </c>
      <c r="AD847" s="4">
        <v>0.0</v>
      </c>
      <c r="AE847" s="4">
        <v>0.0087946131488383</v>
      </c>
      <c r="AF847" s="4">
        <v>0.0018862808459667</v>
      </c>
      <c r="AG847" s="4">
        <v>-0.0052206231406307</v>
      </c>
      <c r="AH847" s="4">
        <v>-0.0160518609741093</v>
      </c>
      <c r="AI847" s="4">
        <v>0.0020824222668678</v>
      </c>
      <c r="AJ847" s="4">
        <v>-0.001697</v>
      </c>
      <c r="AK847" s="4">
        <f>Weights!E903</f>
        <v>-0.005057112524</v>
      </c>
      <c r="AL847" s="5">
        <v>0.0024388041486123</v>
      </c>
      <c r="AM847" s="5">
        <v>0.0044102997580413</v>
      </c>
      <c r="AN847" s="5">
        <v>-0.00158533455705967</v>
      </c>
      <c r="AO847" s="5">
        <v>-4.78808713833656E-4</v>
      </c>
      <c r="AP847" s="6">
        <f t="shared" si="3"/>
        <v>1.580440431</v>
      </c>
      <c r="AQ847" s="4">
        <f t="shared" si="4"/>
        <v>1.278504263</v>
      </c>
      <c r="AR847" s="7">
        <f t="shared" si="5"/>
        <v>1.272919351</v>
      </c>
      <c r="AS847" s="7">
        <f t="shared" ref="AS847:AU847" si="849">AS846*(1+AM847)</f>
        <v>1.321637489</v>
      </c>
      <c r="AT847" s="5">
        <f t="shared" si="849"/>
        <v>1.349062253</v>
      </c>
      <c r="AU847" s="5">
        <f t="shared" si="849"/>
        <v>1.331620732</v>
      </c>
    </row>
    <row r="848" ht="15.75" customHeight="1">
      <c r="A848" s="3">
        <v>45058.0</v>
      </c>
      <c r="B848" s="4">
        <v>-0.002924</v>
      </c>
      <c r="C848" s="4">
        <v>-2.66E-4</v>
      </c>
      <c r="D848" s="4">
        <v>-0.002861</v>
      </c>
      <c r="E848" s="4">
        <v>0.003993</v>
      </c>
      <c r="F848" s="4">
        <v>0.003915</v>
      </c>
      <c r="G848" s="4">
        <v>-0.001304</v>
      </c>
      <c r="H848" s="4">
        <v>0.010169</v>
      </c>
      <c r="I848" s="4">
        <v>-0.009613</v>
      </c>
      <c r="J848" s="4">
        <v>0.002649</v>
      </c>
      <c r="K848" s="4">
        <v>-0.002299</v>
      </c>
      <c r="L848" s="4">
        <v>-0.00343</v>
      </c>
      <c r="M848" s="4">
        <v>-0.027806</v>
      </c>
      <c r="N848" s="4">
        <v>0.003558</v>
      </c>
      <c r="O848" s="4">
        <v>-0.011096</v>
      </c>
      <c r="P848" s="4">
        <v>0.001308</v>
      </c>
      <c r="Q848" s="4">
        <v>-0.005729</v>
      </c>
      <c r="R848" s="4">
        <v>0.013028</v>
      </c>
      <c r="S848" s="4">
        <v>0.002589</v>
      </c>
      <c r="T848" s="4">
        <v>0.011417</v>
      </c>
      <c r="U848" s="4">
        <v>0.002089</v>
      </c>
      <c r="V848" s="4">
        <v>3.88396389783052E-4</v>
      </c>
      <c r="W848" s="4">
        <v>0.0</v>
      </c>
      <c r="X848" s="4">
        <v>0.0095237351895587</v>
      </c>
      <c r="Y848" s="4">
        <v>0.0034488395683307</v>
      </c>
      <c r="Z848" s="4">
        <v>-0.0039395237569336</v>
      </c>
      <c r="AA848" s="4">
        <v>-0.0066643278958732</v>
      </c>
      <c r="AB848" s="4">
        <v>0.0064212121405724</v>
      </c>
      <c r="AC848" s="4">
        <v>0.0107142767923726</v>
      </c>
      <c r="AD848" s="4">
        <v>0.0086635847385456</v>
      </c>
      <c r="AE848" s="4">
        <v>-4.395093167962E-4</v>
      </c>
      <c r="AF848" s="4">
        <v>-0.0102206441245813</v>
      </c>
      <c r="AG848" s="4">
        <v>0.0239537024502203</v>
      </c>
      <c r="AH848" s="4">
        <v>-0.018317084158484</v>
      </c>
      <c r="AI848" s="4">
        <v>0.0067532444666982</v>
      </c>
      <c r="AJ848" s="4">
        <v>-0.001583</v>
      </c>
      <c r="AK848" s="4">
        <f>Weights!E904</f>
        <v>0.0003151076235</v>
      </c>
      <c r="AL848" s="5">
        <v>-0.00234900840258101</v>
      </c>
      <c r="AM848" s="5">
        <v>-0.00131728032630806</v>
      </c>
      <c r="AN848" s="5">
        <v>-0.0028580171678455</v>
      </c>
      <c r="AO848" s="5">
        <v>-0.0033549160834343</v>
      </c>
      <c r="AP848" s="6">
        <f t="shared" si="3"/>
        <v>1.58093844</v>
      </c>
      <c r="AQ848" s="4">
        <f t="shared" si="4"/>
        <v>1.27648039</v>
      </c>
      <c r="AR848" s="7">
        <f t="shared" si="5"/>
        <v>1.269929253</v>
      </c>
      <c r="AS848" s="7">
        <f t="shared" ref="AS848:AU848" si="850">AS847*(1+AM848)</f>
        <v>1.319896522</v>
      </c>
      <c r="AT848" s="5">
        <f t="shared" si="850"/>
        <v>1.34520661</v>
      </c>
      <c r="AU848" s="5">
        <f t="shared" si="850"/>
        <v>1.327153256</v>
      </c>
    </row>
    <row r="849" ht="15.75" customHeight="1">
      <c r="A849" s="3">
        <v>45061.0</v>
      </c>
      <c r="B849" s="4">
        <v>0.006354</v>
      </c>
      <c r="C849" s="4">
        <v>-0.021814</v>
      </c>
      <c r="D849" s="4">
        <v>0.006148</v>
      </c>
      <c r="E849" s="4">
        <v>-0.009433</v>
      </c>
      <c r="F849" s="4">
        <v>-0.002652</v>
      </c>
      <c r="G849" s="4">
        <v>-0.00765</v>
      </c>
      <c r="H849" s="4">
        <v>3.21E-4</v>
      </c>
      <c r="I849" s="4">
        <v>0.005203</v>
      </c>
      <c r="J849" s="4">
        <v>0.002422</v>
      </c>
      <c r="K849" s="4">
        <v>0.013663</v>
      </c>
      <c r="L849" s="4">
        <v>0.01387</v>
      </c>
      <c r="M849" s="4">
        <v>0.023305</v>
      </c>
      <c r="N849" s="4">
        <v>0.02732</v>
      </c>
      <c r="O849" s="4">
        <v>-0.004325</v>
      </c>
      <c r="P849" s="4">
        <v>0.025033</v>
      </c>
      <c r="Q849" s="4">
        <v>0.012804</v>
      </c>
      <c r="R849" s="4">
        <v>0.032581</v>
      </c>
      <c r="S849" s="4">
        <v>0.008739</v>
      </c>
      <c r="T849" s="4">
        <v>0.010066</v>
      </c>
      <c r="U849" s="4">
        <v>-0.001946</v>
      </c>
      <c r="V849" s="4">
        <v>-0.00931675604631099</v>
      </c>
      <c r="W849" s="4">
        <v>-0.0164300953420912</v>
      </c>
      <c r="X849" s="4">
        <v>0.0202156305288021</v>
      </c>
      <c r="Y849" s="4">
        <v>0.0108736938244951</v>
      </c>
      <c r="Z849" s="4">
        <v>0.0015433992651621</v>
      </c>
      <c r="AA849" s="4">
        <v>0.0141434009948202</v>
      </c>
      <c r="AB849" s="4">
        <v>-0.0013870144194327</v>
      </c>
      <c r="AC849" s="4">
        <v>-0.0017667829966704</v>
      </c>
      <c r="AD849" s="4">
        <v>0.0110427888387891</v>
      </c>
      <c r="AE849" s="4">
        <v>-1.465189508893E-4</v>
      </c>
      <c r="AF849" s="4">
        <v>0.001630460644455</v>
      </c>
      <c r="AG849" s="4">
        <v>0.0021027677295217</v>
      </c>
      <c r="AH849" s="4">
        <v>-0.0271137526993255</v>
      </c>
      <c r="AI849" s="4">
        <v>0.0</v>
      </c>
      <c r="AJ849" s="4">
        <v>0.002958</v>
      </c>
      <c r="AK849" s="4">
        <f>Weights!E905</f>
        <v>0.004424192791</v>
      </c>
      <c r="AL849" s="5">
        <v>-0.00142948248796115</v>
      </c>
      <c r="AM849" s="5">
        <v>-0.00234486947238443</v>
      </c>
      <c r="AN849" s="5">
        <v>-0.0031848058968148</v>
      </c>
      <c r="AO849" s="5">
        <v>-0.00384715212801567</v>
      </c>
      <c r="AP849" s="6">
        <f t="shared" si="3"/>
        <v>1.587932817</v>
      </c>
      <c r="AQ849" s="4">
        <f t="shared" si="4"/>
        <v>1.280256219</v>
      </c>
      <c r="AR849" s="7">
        <f t="shared" si="5"/>
        <v>1.268113911</v>
      </c>
      <c r="AS849" s="7">
        <f t="shared" ref="AS849:AU849" si="851">AS848*(1+AM849)</f>
        <v>1.316801537</v>
      </c>
      <c r="AT849" s="5">
        <f t="shared" si="851"/>
        <v>1.340922388</v>
      </c>
      <c r="AU849" s="5">
        <f t="shared" si="851"/>
        <v>1.322047496</v>
      </c>
    </row>
    <row r="850" ht="15.75" customHeight="1">
      <c r="A850" s="3">
        <v>45062.0</v>
      </c>
      <c r="B850" s="4">
        <v>-0.01117</v>
      </c>
      <c r="C850" s="4">
        <v>-0.019581</v>
      </c>
      <c r="D850" s="4">
        <v>0.0</v>
      </c>
      <c r="E850" s="4">
        <v>-0.004324</v>
      </c>
      <c r="F850" s="4">
        <v>-0.011261</v>
      </c>
      <c r="G850" s="4">
        <v>-0.001316</v>
      </c>
      <c r="H850" s="4">
        <v>-0.001731</v>
      </c>
      <c r="I850" s="4">
        <v>-0.039079</v>
      </c>
      <c r="J850" s="4">
        <v>-0.020244</v>
      </c>
      <c r="K850" s="4">
        <v>-0.01835</v>
      </c>
      <c r="L850" s="4">
        <v>-0.02088</v>
      </c>
      <c r="M850" s="4">
        <v>-0.010352</v>
      </c>
      <c r="N850" s="4">
        <v>-0.004872</v>
      </c>
      <c r="O850" s="4">
        <v>-0.016173</v>
      </c>
      <c r="P850" s="4">
        <v>-0.041835</v>
      </c>
      <c r="Q850" s="4">
        <v>-0.008217</v>
      </c>
      <c r="R850" s="4">
        <v>-0.024357</v>
      </c>
      <c r="S850" s="4">
        <v>-0.022839</v>
      </c>
      <c r="T850" s="4">
        <v>-0.026338</v>
      </c>
      <c r="U850" s="4">
        <v>-0.010236</v>
      </c>
      <c r="V850" s="4">
        <v>0.00744517753413509</v>
      </c>
      <c r="W850" s="4">
        <v>-0.0089218424898367</v>
      </c>
      <c r="X850" s="4">
        <v>0.0013211441158564</v>
      </c>
      <c r="Y850" s="4">
        <v>-0.025531746167616</v>
      </c>
      <c r="Z850" s="4">
        <v>-0.0173378051928824</v>
      </c>
      <c r="AA850" s="4">
        <v>0.0228855495875877</v>
      </c>
      <c r="AB850" s="4">
        <v>0.0075001883975758</v>
      </c>
      <c r="AC850" s="4">
        <v>-0.0070796401745645</v>
      </c>
      <c r="AD850" s="4">
        <v>-0.0048543584193929</v>
      </c>
      <c r="AE850" s="4">
        <v>0.0046913338428364</v>
      </c>
      <c r="AF850" s="4">
        <v>-0.0330981372491334</v>
      </c>
      <c r="AG850" s="4">
        <v>0.0196719193014169</v>
      </c>
      <c r="AH850" s="4">
        <v>-0.0149835043202564</v>
      </c>
      <c r="AI850" s="4">
        <v>-0.0015479296760491</v>
      </c>
      <c r="AJ850" s="4">
        <v>-0.006378</v>
      </c>
      <c r="AK850" s="4">
        <f>Weights!E906</f>
        <v>-0.00914058131</v>
      </c>
      <c r="AL850" s="5">
        <v>0.00597892161259339</v>
      </c>
      <c r="AM850" s="5">
        <v>0.00426020937533611</v>
      </c>
      <c r="AN850" s="5">
        <v>9.58455441850469E-4</v>
      </c>
      <c r="AO850" s="5">
        <v>7.24004684138357E-4</v>
      </c>
      <c r="AP850" s="6">
        <f t="shared" si="3"/>
        <v>1.573418188</v>
      </c>
      <c r="AQ850" s="4">
        <f t="shared" si="4"/>
        <v>1.272090745</v>
      </c>
      <c r="AR850" s="7">
        <f t="shared" si="5"/>
        <v>1.275695865</v>
      </c>
      <c r="AS850" s="7">
        <f t="shared" ref="AS850:AU850" si="852">AS849*(1+AM850)</f>
        <v>1.322411387</v>
      </c>
      <c r="AT850" s="5">
        <f t="shared" si="852"/>
        <v>1.342207602</v>
      </c>
      <c r="AU850" s="5">
        <f t="shared" si="852"/>
        <v>1.323004664</v>
      </c>
    </row>
    <row r="851" ht="15.75" customHeight="1">
      <c r="A851" s="3">
        <v>45063.0</v>
      </c>
      <c r="B851" s="4">
        <v>-0.005894</v>
      </c>
      <c r="C851" s="4">
        <v>0.003606</v>
      </c>
      <c r="D851" s="4">
        <v>-0.001629</v>
      </c>
      <c r="E851" s="4">
        <v>-0.007083</v>
      </c>
      <c r="F851" s="4">
        <v>-0.001107</v>
      </c>
      <c r="G851" s="4">
        <v>-0.002197</v>
      </c>
      <c r="H851" s="4">
        <v>-0.004238</v>
      </c>
      <c r="I851" s="4">
        <v>0.001616</v>
      </c>
      <c r="J851" s="4">
        <v>-0.013578</v>
      </c>
      <c r="K851" s="4">
        <v>0.012076</v>
      </c>
      <c r="L851" s="4">
        <v>0.005043</v>
      </c>
      <c r="M851" s="4">
        <v>0.013075</v>
      </c>
      <c r="N851" s="4">
        <v>0.008772</v>
      </c>
      <c r="O851" s="4">
        <v>-0.020811</v>
      </c>
      <c r="P851" s="4">
        <v>-0.0082</v>
      </c>
      <c r="Q851" s="4">
        <v>-0.014022</v>
      </c>
      <c r="R851" s="4">
        <v>0.01617</v>
      </c>
      <c r="S851" s="4">
        <v>-0.007657</v>
      </c>
      <c r="T851" s="4">
        <v>0.020909</v>
      </c>
      <c r="U851" s="4">
        <v>-0.010834</v>
      </c>
      <c r="V851" s="4">
        <v>0.00777896705080127</v>
      </c>
      <c r="W851" s="4">
        <v>-0.0038306658556209</v>
      </c>
      <c r="X851" s="4">
        <v>0.0013191907673884</v>
      </c>
      <c r="Y851" s="4">
        <v>0.0140202027830598</v>
      </c>
      <c r="Z851" s="4">
        <v>0.0039208661444447</v>
      </c>
      <c r="AA851" s="4">
        <v>0.0080407127298895</v>
      </c>
      <c r="AB851" s="4">
        <v>0.0090981709242845</v>
      </c>
      <c r="AC851" s="4">
        <v>0.010695178275641</v>
      </c>
      <c r="AD851" s="4">
        <v>0.0036585545305454</v>
      </c>
      <c r="AE851" s="4">
        <v>0.0010214283082512</v>
      </c>
      <c r="AF851" s="4">
        <v>0.0058922459706887</v>
      </c>
      <c r="AG851" s="4">
        <v>-0.0027009849302299</v>
      </c>
      <c r="AH851" s="4">
        <v>3.042792690364E-4</v>
      </c>
      <c r="AI851" s="4">
        <v>0.0036175778483593</v>
      </c>
      <c r="AJ851" s="4">
        <v>0.011891</v>
      </c>
      <c r="AK851" s="4">
        <f>Weights!E907</f>
        <v>0.002252206604</v>
      </c>
      <c r="AL851" s="5">
        <v>-0.00862213411925594</v>
      </c>
      <c r="AM851" s="5">
        <v>-0.00775275224044313</v>
      </c>
      <c r="AN851" s="5">
        <v>0.00606453503102266</v>
      </c>
      <c r="AO851" s="5">
        <v>0.00554759826419282</v>
      </c>
      <c r="AP851" s="6">
        <f t="shared" si="3"/>
        <v>1.576961851</v>
      </c>
      <c r="AQ851" s="4">
        <f t="shared" si="4"/>
        <v>1.287217176</v>
      </c>
      <c r="AR851" s="7">
        <f t="shared" si="5"/>
        <v>1.264696644</v>
      </c>
      <c r="AS851" s="7">
        <f t="shared" ref="AS851:AU851" si="853">AS850*(1+AM851)</f>
        <v>1.312159059</v>
      </c>
      <c r="AT851" s="5">
        <f t="shared" si="853"/>
        <v>1.350347467</v>
      </c>
      <c r="AU851" s="5">
        <f t="shared" si="853"/>
        <v>1.330344163</v>
      </c>
    </row>
    <row r="852" ht="15.75" customHeight="1">
      <c r="A852" s="3">
        <v>45064.0</v>
      </c>
      <c r="B852" s="4">
        <v>0.0</v>
      </c>
      <c r="C852" s="4">
        <v>-0.001382</v>
      </c>
      <c r="D852" s="4">
        <v>-0.008772</v>
      </c>
      <c r="E852" s="4">
        <v>-0.002603</v>
      </c>
      <c r="F852" s="4">
        <v>-0.005542</v>
      </c>
      <c r="G852" s="4">
        <v>-0.003208</v>
      </c>
      <c r="H852" s="4">
        <v>-0.016443</v>
      </c>
      <c r="I852" s="4">
        <v>-0.003764</v>
      </c>
      <c r="J852" s="4">
        <v>-0.014682</v>
      </c>
      <c r="K852" s="4">
        <v>-0.004086</v>
      </c>
      <c r="L852" s="4">
        <v>-0.009094</v>
      </c>
      <c r="M852" s="4">
        <v>-0.003614</v>
      </c>
      <c r="N852" s="4">
        <v>0.002629</v>
      </c>
      <c r="O852" s="4">
        <v>0.001072</v>
      </c>
      <c r="P852" s="4">
        <v>-0.033073</v>
      </c>
      <c r="Q852" s="4">
        <v>-0.021332</v>
      </c>
      <c r="R852" s="4">
        <v>-0.003908</v>
      </c>
      <c r="S852" s="4">
        <v>-0.028426</v>
      </c>
      <c r="T852" s="4">
        <v>0.004583</v>
      </c>
      <c r="U852" s="4">
        <v>-0.00825</v>
      </c>
      <c r="V852" s="4">
        <v>0.0227712390119545</v>
      </c>
      <c r="W852" s="4">
        <v>0.0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0.0</v>
      </c>
      <c r="AD852" s="4">
        <v>0.0</v>
      </c>
      <c r="AE852" s="4">
        <v>0.0</v>
      </c>
      <c r="AF852" s="4">
        <v>0.0</v>
      </c>
      <c r="AG852" s="4">
        <v>0.0</v>
      </c>
      <c r="AH852" s="4">
        <v>0.0</v>
      </c>
      <c r="AI852" s="4">
        <v>0.0</v>
      </c>
      <c r="AJ852" s="4">
        <v>0.009445</v>
      </c>
      <c r="AK852" s="4">
        <f>Weights!E908</f>
        <v>-0.003202639837</v>
      </c>
      <c r="AL852" s="5">
        <v>0.00954146514993747</v>
      </c>
      <c r="AM852" s="5">
        <v>0.0129729082443119</v>
      </c>
      <c r="AN852" s="5">
        <v>-0.0158629545098423</v>
      </c>
      <c r="AO852" s="5">
        <v>-0.0143918284336245</v>
      </c>
      <c r="AP852" s="6">
        <f t="shared" si="3"/>
        <v>1.57191141</v>
      </c>
      <c r="AQ852" s="4">
        <f t="shared" si="4"/>
        <v>1.299374942</v>
      </c>
      <c r="AR852" s="7">
        <f t="shared" si="5"/>
        <v>1.276763703</v>
      </c>
      <c r="AS852" s="7">
        <f t="shared" ref="AS852:AU852" si="854">AS851*(1+AM852)</f>
        <v>1.329181578</v>
      </c>
      <c r="AT852" s="5">
        <f t="shared" si="854"/>
        <v>1.328926967</v>
      </c>
      <c r="AU852" s="5">
        <f t="shared" si="854"/>
        <v>1.311198078</v>
      </c>
    </row>
    <row r="853" ht="15.75" customHeight="1">
      <c r="A853" s="3">
        <v>45065.0</v>
      </c>
      <c r="B853" s="4">
        <v>0.001976</v>
      </c>
      <c r="C853" s="4">
        <v>-0.002214</v>
      </c>
      <c r="D853" s="4">
        <v>0.004528</v>
      </c>
      <c r="E853" s="4">
        <v>0.001462</v>
      </c>
      <c r="F853" s="4">
        <v>4.78E-4</v>
      </c>
      <c r="G853" s="4">
        <v>0.002713</v>
      </c>
      <c r="H853" s="4">
        <v>0.004196</v>
      </c>
      <c r="I853" s="4">
        <v>0.00108</v>
      </c>
      <c r="J853" s="4">
        <v>0.010943</v>
      </c>
      <c r="K853" s="4">
        <v>-1.64E-4</v>
      </c>
      <c r="L853" s="4">
        <v>-0.006329</v>
      </c>
      <c r="M853" s="4">
        <v>0.002073</v>
      </c>
      <c r="N853" s="4">
        <v>0.003227</v>
      </c>
      <c r="O853" s="4">
        <v>0.001338</v>
      </c>
      <c r="P853" s="4">
        <v>0.009013</v>
      </c>
      <c r="Q853" s="4">
        <v>0.009908</v>
      </c>
      <c r="R853" s="4">
        <v>0.001401</v>
      </c>
      <c r="S853" s="4">
        <v>0.004807</v>
      </c>
      <c r="T853" s="4">
        <v>-0.011477</v>
      </c>
      <c r="U853" s="4">
        <v>0.006168</v>
      </c>
      <c r="V853" s="4">
        <v>0.0305660359265005</v>
      </c>
      <c r="W853" s="4">
        <v>0.0</v>
      </c>
      <c r="X853" s="4">
        <v>-0.0156453688688033</v>
      </c>
      <c r="Y853" s="4">
        <v>-0.004754688748209</v>
      </c>
      <c r="Z853" s="4">
        <v>-3.905025084016E-4</v>
      </c>
      <c r="AA853" s="4">
        <v>0.0031211772986246</v>
      </c>
      <c r="AB853" s="4">
        <v>0.005737874702397</v>
      </c>
      <c r="AC853" s="4">
        <v>0.0051723361657438</v>
      </c>
      <c r="AD853" s="4">
        <v>0.0012122991196155</v>
      </c>
      <c r="AE853" s="4">
        <v>-0.0040087267896226</v>
      </c>
      <c r="AF853" s="4">
        <v>0.0</v>
      </c>
      <c r="AG853" s="4">
        <v>-0.0193445439307717</v>
      </c>
      <c r="AH853" s="4">
        <v>0.0386252587943678</v>
      </c>
      <c r="AI853" s="4">
        <v>-0.0066943399109699</v>
      </c>
      <c r="AJ853" s="4">
        <v>-0.001446</v>
      </c>
      <c r="AK853" s="4">
        <f>Weights!E909</f>
        <v>0.002611998888</v>
      </c>
      <c r="AL853" s="5">
        <v>0.00644040507037568</v>
      </c>
      <c r="AM853" s="5">
        <v>0.00994471342291425</v>
      </c>
      <c r="AN853" s="5">
        <v>0.00193427917596156</v>
      </c>
      <c r="AO853" s="5">
        <v>0.00243348227223694</v>
      </c>
      <c r="AP853" s="6">
        <f t="shared" si="3"/>
        <v>1.576017241</v>
      </c>
      <c r="AQ853" s="4">
        <f t="shared" si="4"/>
        <v>1.297496046</v>
      </c>
      <c r="AR853" s="7">
        <f t="shared" si="5"/>
        <v>1.284986578</v>
      </c>
      <c r="AS853" s="7">
        <f t="shared" ref="AS853:AU853" si="855">AS852*(1+AM853)</f>
        <v>1.342399908</v>
      </c>
      <c r="AT853" s="5">
        <f t="shared" si="855"/>
        <v>1.331497483</v>
      </c>
      <c r="AU853" s="5">
        <f t="shared" si="855"/>
        <v>1.314388855</v>
      </c>
    </row>
    <row r="854" ht="15.75" customHeight="1">
      <c r="A854" s="3">
        <v>45068.0</v>
      </c>
      <c r="B854" s="4">
        <v>-0.001972</v>
      </c>
      <c r="C854" s="4">
        <v>-0.002497</v>
      </c>
      <c r="D854" s="4">
        <v>0.002868</v>
      </c>
      <c r="E854" s="4">
        <v>-0.027106</v>
      </c>
      <c r="F854" s="4">
        <v>-0.021009</v>
      </c>
      <c r="G854" s="4">
        <v>-0.005349</v>
      </c>
      <c r="H854" s="4">
        <v>-0.02618</v>
      </c>
      <c r="I854" s="4">
        <v>-0.005932</v>
      </c>
      <c r="J854" s="4">
        <v>-0.005527</v>
      </c>
      <c r="K854" s="4">
        <v>0.003283</v>
      </c>
      <c r="L854" s="4">
        <v>-4.25E-4</v>
      </c>
      <c r="M854" s="4">
        <v>0.0</v>
      </c>
      <c r="N854" s="4">
        <v>0.003217</v>
      </c>
      <c r="O854" s="4">
        <v>0.004231</v>
      </c>
      <c r="P854" s="4">
        <v>-0.007558</v>
      </c>
      <c r="Q854" s="4">
        <v>-0.005886</v>
      </c>
      <c r="R854" s="4">
        <v>-0.003079</v>
      </c>
      <c r="S854" s="4">
        <v>-0.006032</v>
      </c>
      <c r="T854" s="4">
        <v>0.009303</v>
      </c>
      <c r="U854" s="4">
        <v>-0.007199</v>
      </c>
      <c r="V854" s="4">
        <v>-3.66299874693942E-4</v>
      </c>
      <c r="W854" s="4">
        <v>0.0417228314627806</v>
      </c>
      <c r="X854" s="4">
        <v>-0.0119205277046525</v>
      </c>
      <c r="Y854" s="4">
        <v>0.0064746867730083</v>
      </c>
      <c r="Z854" s="4">
        <v>0.0052744468737786</v>
      </c>
      <c r="AA854" s="4">
        <v>0.0074329669997654</v>
      </c>
      <c r="AB854" s="4">
        <v>0.0051615397353894</v>
      </c>
      <c r="AC854" s="4">
        <v>-0.0068609125477607</v>
      </c>
      <c r="AD854" s="4">
        <v>0.0145280201469151</v>
      </c>
      <c r="AE854" s="4">
        <v>7.318326544605E-4</v>
      </c>
      <c r="AF854" s="4">
        <v>0.0167363249955667</v>
      </c>
      <c r="AG854" s="4">
        <v>0.0032874362761445</v>
      </c>
      <c r="AH854" s="4">
        <v>0.0055637053054171</v>
      </c>
      <c r="AI854" s="4">
        <v>-0.0015549377039288</v>
      </c>
      <c r="AJ854" s="4">
        <v>1.55E-4</v>
      </c>
      <c r="AK854" s="4">
        <f>Weights!E910</f>
        <v>-0.000159347994</v>
      </c>
      <c r="AL854" s="5">
        <v>4.98514937824268E-4</v>
      </c>
      <c r="AM854" s="5">
        <v>-0.00240156962179971</v>
      </c>
      <c r="AN854" s="5">
        <v>-3.2181196807135E-4</v>
      </c>
      <c r="AO854" s="5">
        <v>0.0</v>
      </c>
      <c r="AP854" s="6">
        <f t="shared" si="3"/>
        <v>1.575766105</v>
      </c>
      <c r="AQ854" s="4">
        <f t="shared" si="4"/>
        <v>1.297697158</v>
      </c>
      <c r="AR854" s="7">
        <f t="shared" si="5"/>
        <v>1.285627163</v>
      </c>
      <c r="AS854" s="7">
        <f t="shared" ref="AS854:AU854" si="856">AS853*(1+AM854)</f>
        <v>1.339176041</v>
      </c>
      <c r="AT854" s="5">
        <f t="shared" si="856"/>
        <v>1.331068991</v>
      </c>
      <c r="AU854" s="5">
        <f t="shared" si="856"/>
        <v>1.314388855</v>
      </c>
    </row>
    <row r="855" ht="15.75" customHeight="1">
      <c r="A855" s="3">
        <v>45069.0</v>
      </c>
      <c r="B855" s="4">
        <v>-0.014822</v>
      </c>
      <c r="C855" s="4">
        <v>0.007787</v>
      </c>
      <c r="D855" s="4">
        <v>-0.025741</v>
      </c>
      <c r="E855" s="4">
        <v>-0.003054</v>
      </c>
      <c r="F855" s="4">
        <v>-0.001788</v>
      </c>
      <c r="G855" s="4">
        <v>-3.82E-4</v>
      </c>
      <c r="H855" s="4">
        <v>-0.010794</v>
      </c>
      <c r="I855" s="4">
        <v>-0.00434</v>
      </c>
      <c r="J855" s="4">
        <v>-0.004169</v>
      </c>
      <c r="K855" s="4">
        <v>0.001473</v>
      </c>
      <c r="L855" s="4">
        <v>-0.008709</v>
      </c>
      <c r="M855" s="4">
        <v>-0.007741</v>
      </c>
      <c r="N855" s="4">
        <v>-0.007816</v>
      </c>
      <c r="O855" s="4">
        <v>-0.012907</v>
      </c>
      <c r="P855" s="4">
        <v>-0.019386</v>
      </c>
      <c r="Q855" s="4">
        <v>-0.010526</v>
      </c>
      <c r="R855" s="4">
        <v>-0.02639</v>
      </c>
      <c r="S855" s="4">
        <v>-0.034735</v>
      </c>
      <c r="T855" s="4">
        <v>-0.021721</v>
      </c>
      <c r="U855" s="4">
        <v>-0.012492</v>
      </c>
      <c r="V855" s="4">
        <v>-0.0285712981496331</v>
      </c>
      <c r="W855" s="4">
        <v>-0.0123663080208019</v>
      </c>
      <c r="X855" s="4">
        <v>0.0080427872049799</v>
      </c>
      <c r="Y855" s="4">
        <v>0.0135532396086561</v>
      </c>
      <c r="Z855" s="4">
        <v>0.0069957974631977</v>
      </c>
      <c r="AA855" s="4">
        <v>-5.147391403144E-4</v>
      </c>
      <c r="AB855" s="4">
        <v>0.0059460786458136</v>
      </c>
      <c r="AC855" s="4">
        <v>-0.0051814886524014</v>
      </c>
      <c r="AD855" s="4">
        <v>0.0131263856474301</v>
      </c>
      <c r="AE855" s="4">
        <v>0.0124314753919128</v>
      </c>
      <c r="AF855" s="4">
        <v>0.0148147815603847</v>
      </c>
      <c r="AG855" s="4">
        <v>-0.0179577783974881</v>
      </c>
      <c r="AH855" s="4">
        <v>-0.0037856760006775</v>
      </c>
      <c r="AI855" s="4">
        <v>0.0010383468342385</v>
      </c>
      <c r="AJ855" s="4">
        <v>-0.011222</v>
      </c>
      <c r="AK855" s="4">
        <f>Weights!E911</f>
        <v>-0.005405587692</v>
      </c>
      <c r="AL855" s="5">
        <v>6.64530016253772E-4</v>
      </c>
      <c r="AM855" s="5">
        <v>0.00173329577493741</v>
      </c>
      <c r="AN855" s="5">
        <v>0.00289658617796706</v>
      </c>
      <c r="AO855" s="5">
        <v>0.0033989979458755</v>
      </c>
      <c r="AP855" s="6">
        <f t="shared" si="3"/>
        <v>1.567248164</v>
      </c>
      <c r="AQ855" s="4">
        <f t="shared" si="4"/>
        <v>1.283134401</v>
      </c>
      <c r="AR855" s="7">
        <f t="shared" si="5"/>
        <v>1.286481501</v>
      </c>
      <c r="AS855" s="7">
        <f t="shared" ref="AS855:AU855" si="857">AS854*(1+AM855)</f>
        <v>1.34149723</v>
      </c>
      <c r="AT855" s="5">
        <f t="shared" si="857"/>
        <v>1.334924547</v>
      </c>
      <c r="AU855" s="5">
        <f t="shared" si="857"/>
        <v>1.31885646</v>
      </c>
    </row>
    <row r="856" ht="15.75" customHeight="1">
      <c r="A856" s="3">
        <v>45070.0</v>
      </c>
      <c r="B856" s="4">
        <v>-0.013039</v>
      </c>
      <c r="C856" s="4">
        <v>-0.01021</v>
      </c>
      <c r="D856" s="4">
        <v>-0.009436</v>
      </c>
      <c r="E856" s="4">
        <v>-0.006342</v>
      </c>
      <c r="F856" s="4">
        <v>-0.008469</v>
      </c>
      <c r="G856" s="4">
        <v>-9.57E-4</v>
      </c>
      <c r="H856" s="4">
        <v>-0.008268</v>
      </c>
      <c r="I856" s="4">
        <v>-0.002996</v>
      </c>
      <c r="J856" s="4">
        <v>-0.003721</v>
      </c>
      <c r="K856" s="4">
        <v>-0.024996</v>
      </c>
      <c r="L856" s="4">
        <v>-0.023998</v>
      </c>
      <c r="M856" s="4">
        <v>-0.027484</v>
      </c>
      <c r="N856" s="4">
        <v>-0.020198</v>
      </c>
      <c r="O856" s="4">
        <v>-0.009661</v>
      </c>
      <c r="P856" s="4">
        <v>-0.016004</v>
      </c>
      <c r="Q856" s="4">
        <v>-0.019947</v>
      </c>
      <c r="R856" s="4">
        <v>-0.042388</v>
      </c>
      <c r="S856" s="4">
        <v>-0.02558</v>
      </c>
      <c r="T856" s="4">
        <v>-0.025928</v>
      </c>
      <c r="U856" s="4">
        <v>-0.002763</v>
      </c>
      <c r="V856" s="4">
        <v>0.00603308091610976</v>
      </c>
      <c r="W856" s="4">
        <v>0.0115867479651341</v>
      </c>
      <c r="X856" s="4">
        <v>0.0053192898317904</v>
      </c>
      <c r="Y856" s="4">
        <v>-0.0019103705789397</v>
      </c>
      <c r="Z856" s="4">
        <v>0.0018331636953248</v>
      </c>
      <c r="AA856" s="4">
        <v>-0.0041202566821502</v>
      </c>
      <c r="AB856" s="4">
        <v>-0.0010746640542927</v>
      </c>
      <c r="AC856" s="4">
        <v>-0.0017361097055884</v>
      </c>
      <c r="AD856" s="4">
        <v>0.0011778287156003</v>
      </c>
      <c r="AE856" s="4">
        <v>0.0054171695129536</v>
      </c>
      <c r="AF856" s="4">
        <v>0.002162781031626</v>
      </c>
      <c r="AG856" s="4">
        <v>0.0066738250089333</v>
      </c>
      <c r="AH856" s="4">
        <v>0.0090616483121763</v>
      </c>
      <c r="AI856" s="4">
        <v>0.0</v>
      </c>
      <c r="AJ856" s="4">
        <v>-0.007319</v>
      </c>
      <c r="AK856" s="4">
        <f>Weights!E912</f>
        <v>-0.006471924256</v>
      </c>
      <c r="AL856" s="5">
        <v>-0.0119532041265901</v>
      </c>
      <c r="AM856" s="5">
        <v>-0.0105743789456095</v>
      </c>
      <c r="AN856" s="5">
        <v>-0.0118740622021321</v>
      </c>
      <c r="AO856" s="5">
        <v>-0.0111298003846469</v>
      </c>
      <c r="AP856" s="6">
        <f t="shared" si="3"/>
        <v>1.557105052</v>
      </c>
      <c r="AQ856" s="4">
        <f t="shared" si="4"/>
        <v>1.27374314</v>
      </c>
      <c r="AR856" s="7">
        <f t="shared" si="5"/>
        <v>1.271103925</v>
      </c>
      <c r="AS856" s="7">
        <f t="shared" ref="AS856:AU856" si="858">AS855*(1+AM856)</f>
        <v>1.32731173</v>
      </c>
      <c r="AT856" s="5">
        <f t="shared" si="858"/>
        <v>1.31907357</v>
      </c>
      <c r="AU856" s="5">
        <f t="shared" si="858"/>
        <v>1.304177851</v>
      </c>
    </row>
    <row r="857" ht="15.75" customHeight="1">
      <c r="A857" s="3">
        <v>45071.0</v>
      </c>
      <c r="B857" s="4">
        <v>-0.019817</v>
      </c>
      <c r="C857" s="4">
        <v>-0.029272</v>
      </c>
      <c r="D857" s="4">
        <v>-0.034505</v>
      </c>
      <c r="E857" s="4">
        <v>-0.005895</v>
      </c>
      <c r="F857" s="4">
        <v>-0.00772</v>
      </c>
      <c r="G857" s="4">
        <v>-0.014362</v>
      </c>
      <c r="H857" s="4">
        <v>-0.006424</v>
      </c>
      <c r="I857" s="4">
        <v>-0.018852</v>
      </c>
      <c r="J857" s="4">
        <v>-0.016106</v>
      </c>
      <c r="K857" s="4">
        <v>-0.043901</v>
      </c>
      <c r="L857" s="4">
        <v>-0.021954</v>
      </c>
      <c r="M857" s="4">
        <v>0.005435</v>
      </c>
      <c r="N857" s="4">
        <v>0.002886</v>
      </c>
      <c r="O857" s="4">
        <v>-0.015563</v>
      </c>
      <c r="P857" s="4">
        <v>-0.027984</v>
      </c>
      <c r="Q857" s="4">
        <v>-0.010855</v>
      </c>
      <c r="R857" s="4">
        <v>0.012647</v>
      </c>
      <c r="S857" s="4">
        <v>-0.014905</v>
      </c>
      <c r="T857" s="4">
        <v>0.009897</v>
      </c>
      <c r="U857" s="4">
        <v>0.003135</v>
      </c>
      <c r="V857" s="4">
        <v>0.0104948288301853</v>
      </c>
      <c r="W857" s="4">
        <v>-0.0110844636109102</v>
      </c>
      <c r="X857" s="4">
        <v>0.0</v>
      </c>
      <c r="Y857" s="4">
        <v>0.0098784785887198</v>
      </c>
      <c r="Z857" s="4">
        <v>0.0058750739452166</v>
      </c>
      <c r="AA857" s="4">
        <v>-0.0055162802796914</v>
      </c>
      <c r="AB857" s="4">
        <v>0.002689494542448</v>
      </c>
      <c r="AC857" s="4">
        <v>0.0</v>
      </c>
      <c r="AD857" s="4">
        <v>0.0</v>
      </c>
      <c r="AE857" s="4">
        <v>-0.0075432603592801</v>
      </c>
      <c r="AF857" s="4">
        <v>0.0205017488717769</v>
      </c>
      <c r="AG857" s="4">
        <v>-0.0095466263414976</v>
      </c>
      <c r="AH857" s="4">
        <v>0.0202781499518913</v>
      </c>
      <c r="AI857" s="4">
        <v>-0.0020746467660646</v>
      </c>
      <c r="AJ857" s="4">
        <v>0.008758</v>
      </c>
      <c r="AK857" s="4">
        <f>Weights!E913</f>
        <v>-0.005474223408</v>
      </c>
      <c r="AL857" s="5">
        <v>-0.00940932082157131</v>
      </c>
      <c r="AM857" s="5">
        <v>-0.00772405334313741</v>
      </c>
      <c r="AN857" s="5">
        <v>-0.00959623063338843</v>
      </c>
      <c r="AO857" s="5">
        <v>-0.0105212412207406</v>
      </c>
      <c r="AP857" s="6">
        <f t="shared" si="3"/>
        <v>1.548581111</v>
      </c>
      <c r="AQ857" s="4">
        <f t="shared" si="4"/>
        <v>1.284898582</v>
      </c>
      <c r="AR857" s="7">
        <f t="shared" si="5"/>
        <v>1.259143701</v>
      </c>
      <c r="AS857" s="7">
        <f t="shared" ref="AS857:AU857" si="859">AS856*(1+AM857)</f>
        <v>1.317059503</v>
      </c>
      <c r="AT857" s="5">
        <f t="shared" si="859"/>
        <v>1.306415436</v>
      </c>
      <c r="AU857" s="5">
        <f t="shared" si="859"/>
        <v>1.290456281</v>
      </c>
    </row>
    <row r="858" ht="15.75" customHeight="1">
      <c r="A858" s="3">
        <v>45072.0</v>
      </c>
      <c r="B858" s="4">
        <v>0.00311</v>
      </c>
      <c r="C858" s="4">
        <v>0.005169</v>
      </c>
      <c r="D858" s="4">
        <v>-0.009209</v>
      </c>
      <c r="E858" s="4">
        <v>-0.001197</v>
      </c>
      <c r="F858" s="4">
        <v>-0.002483</v>
      </c>
      <c r="G858" s="4">
        <v>-3.89E-4</v>
      </c>
      <c r="H858" s="4">
        <v>6.9E-5</v>
      </c>
      <c r="I858" s="4">
        <v>-8.35E-4</v>
      </c>
      <c r="J858" s="4">
        <v>0.001423</v>
      </c>
      <c r="K858" s="4">
        <v>0.007711</v>
      </c>
      <c r="L858" s="4">
        <v>0.014703</v>
      </c>
      <c r="M858" s="4">
        <v>0.012973</v>
      </c>
      <c r="N858" s="4">
        <v>0.0111</v>
      </c>
      <c r="O858" s="4">
        <v>-0.007052</v>
      </c>
      <c r="P858" s="4">
        <v>9.84E-4</v>
      </c>
      <c r="Q858" s="4">
        <v>0.004115</v>
      </c>
      <c r="R858" s="4">
        <v>0.033898</v>
      </c>
      <c r="S858" s="4">
        <v>0.008356</v>
      </c>
      <c r="T858" s="4">
        <v>0.010765</v>
      </c>
      <c r="U858" s="4">
        <v>0.006177</v>
      </c>
      <c r="V858" s="4">
        <v>0.03931753747282</v>
      </c>
      <c r="W858" s="4">
        <v>0.0130767173195913</v>
      </c>
      <c r="X858" s="4">
        <v>0.0</v>
      </c>
      <c r="Y858" s="4">
        <v>0.0020173184055858</v>
      </c>
      <c r="Z858" s="4">
        <v>0.0081386050026481</v>
      </c>
      <c r="AA858" s="4">
        <v>0.0026000922267435</v>
      </c>
      <c r="AB858" s="4">
        <v>-5.36634693299E-4</v>
      </c>
      <c r="AC858" s="4">
        <v>0.007168537721871</v>
      </c>
      <c r="AD858" s="4">
        <v>0.0118905297702767</v>
      </c>
      <c r="AE858" s="4">
        <v>-0.0047049032308944</v>
      </c>
      <c r="AF858" s="4">
        <v>0.0240549444362954</v>
      </c>
      <c r="AG858" s="4">
        <v>0.0147258117811575</v>
      </c>
      <c r="AH858" s="4">
        <v>0.0195911426078159</v>
      </c>
      <c r="AI858" s="4">
        <v>-0.0020791746975061</v>
      </c>
      <c r="AJ858" s="4">
        <v>0.013049</v>
      </c>
      <c r="AK858" s="4">
        <f>Weights!E914</f>
        <v>0.007587143471</v>
      </c>
      <c r="AL858" s="5">
        <v>0.00424053515135058</v>
      </c>
      <c r="AM858" s="5">
        <v>0.00680500679878037</v>
      </c>
      <c r="AN858" s="5">
        <v>-0.00826711896440557</v>
      </c>
      <c r="AO858" s="5">
        <v>-0.00717117975128456</v>
      </c>
      <c r="AP858" s="6">
        <f t="shared" si="3"/>
        <v>1.560330418</v>
      </c>
      <c r="AQ858" s="4">
        <f t="shared" si="4"/>
        <v>1.301665224</v>
      </c>
      <c r="AR858" s="7">
        <f t="shared" si="5"/>
        <v>1.264483144</v>
      </c>
      <c r="AS858" s="7">
        <f t="shared" ref="AS858:AU858" si="860">AS857*(1+AM858)</f>
        <v>1.326022102</v>
      </c>
      <c r="AT858" s="5">
        <f t="shared" si="860"/>
        <v>1.295615144</v>
      </c>
      <c r="AU858" s="5">
        <f t="shared" si="860"/>
        <v>1.281202187</v>
      </c>
    </row>
    <row r="859" ht="15.75" customHeight="1">
      <c r="A859" s="3">
        <v>45076.0</v>
      </c>
      <c r="B859" s="4">
        <v>-0.004651</v>
      </c>
      <c r="C859" s="4">
        <v>-0.002857</v>
      </c>
      <c r="D859" s="4">
        <v>-0.017703</v>
      </c>
      <c r="E859" s="4">
        <v>-0.010731</v>
      </c>
      <c r="F859" s="4">
        <v>-0.007965</v>
      </c>
      <c r="G859" s="4">
        <v>1.3E-4</v>
      </c>
      <c r="H859" s="4">
        <v>-0.015268</v>
      </c>
      <c r="I859" s="4">
        <v>-0.007525</v>
      </c>
      <c r="J859" s="4">
        <v>-0.010187</v>
      </c>
      <c r="K859" s="4">
        <v>-0.008696</v>
      </c>
      <c r="L859" s="4">
        <v>0.001438</v>
      </c>
      <c r="M859" s="4">
        <v>0.002668</v>
      </c>
      <c r="N859" s="4">
        <v>-0.005457</v>
      </c>
      <c r="O859" s="4">
        <v>-0.025344</v>
      </c>
      <c r="P859" s="4">
        <v>-0.006883</v>
      </c>
      <c r="Q859" s="4">
        <v>-0.002049</v>
      </c>
      <c r="R859" s="4">
        <v>-0.015531</v>
      </c>
      <c r="S859" s="4">
        <v>-0.011646</v>
      </c>
      <c r="T859" s="4">
        <v>-0.022991</v>
      </c>
      <c r="U859" s="4">
        <v>-0.011051</v>
      </c>
      <c r="V859" s="4">
        <v>-0.00642405999091499</v>
      </c>
      <c r="W859" s="4">
        <v>0.0326388781915898</v>
      </c>
      <c r="X859" s="4">
        <v>0.0</v>
      </c>
      <c r="Y859" s="4">
        <v>0.002318357761784</v>
      </c>
      <c r="Z859" s="4">
        <v>0.0132016481941257</v>
      </c>
      <c r="AA859" s="4">
        <v>-8.643001622087E-4</v>
      </c>
      <c r="AB859" s="4">
        <v>0.0056362379130945</v>
      </c>
      <c r="AC859" s="4">
        <v>0.0</v>
      </c>
      <c r="AD859" s="4">
        <v>0.0</v>
      </c>
      <c r="AE859" s="4">
        <v>-0.0154182179509434</v>
      </c>
      <c r="AF859" s="4">
        <v>0.0059370788044086</v>
      </c>
      <c r="AG859" s="4">
        <v>0.0044853135865436</v>
      </c>
      <c r="AH859" s="4">
        <v>-0.0052910200450864</v>
      </c>
      <c r="AI859" s="4">
        <v>-5.20634487358E-4</v>
      </c>
      <c r="AJ859" s="4">
        <v>1.7E-5</v>
      </c>
      <c r="AK859" s="4">
        <f>Weights!E915</f>
        <v>-0.003531246273</v>
      </c>
      <c r="AL859" s="5">
        <v>0.0126678202558092</v>
      </c>
      <c r="AM859" s="5">
        <v>0.0131776524593247</v>
      </c>
      <c r="AN859" s="5">
        <v>0.00800255497028779</v>
      </c>
      <c r="AO859" s="5">
        <v>0.00747197216256467</v>
      </c>
      <c r="AP859" s="6">
        <f t="shared" si="3"/>
        <v>1.554820507</v>
      </c>
      <c r="AQ859" s="4">
        <f t="shared" si="4"/>
        <v>1.301687352</v>
      </c>
      <c r="AR859" s="7">
        <f t="shared" si="5"/>
        <v>1.280501389</v>
      </c>
      <c r="AS859" s="7">
        <f t="shared" ref="AS859:AU859" si="861">AS858*(1+AM859)</f>
        <v>1.34349596</v>
      </c>
      <c r="AT859" s="5">
        <f t="shared" si="861"/>
        <v>1.305983375</v>
      </c>
      <c r="AU859" s="5">
        <f t="shared" si="861"/>
        <v>1.290775294</v>
      </c>
    </row>
    <row r="860" ht="15.75" customHeight="1">
      <c r="A860" s="3">
        <v>45077.0</v>
      </c>
      <c r="B860" s="4">
        <v>-0.015057</v>
      </c>
      <c r="C860" s="4">
        <v>0.020917</v>
      </c>
      <c r="D860" s="4">
        <v>-0.001126</v>
      </c>
      <c r="E860" s="4">
        <v>0.004075</v>
      </c>
      <c r="F860" s="4">
        <v>-0.002007</v>
      </c>
      <c r="G860" s="4">
        <v>0.00447</v>
      </c>
      <c r="H860" s="4">
        <v>-0.004749</v>
      </c>
      <c r="I860" s="4">
        <v>-0.011514</v>
      </c>
      <c r="J860" s="4">
        <v>0.006702</v>
      </c>
      <c r="K860" s="4">
        <v>-0.007018</v>
      </c>
      <c r="L860" s="4">
        <v>-0.011708</v>
      </c>
      <c r="M860" s="4">
        <v>-0.014369</v>
      </c>
      <c r="N860" s="4">
        <v>4.13E-4</v>
      </c>
      <c r="O860" s="4">
        <v>0.003857</v>
      </c>
      <c r="P860" s="4">
        <v>0.013614</v>
      </c>
      <c r="Q860" s="4">
        <v>0.034908</v>
      </c>
      <c r="R860" s="4">
        <v>0.003214</v>
      </c>
      <c r="S860" s="4">
        <v>0.02538</v>
      </c>
      <c r="T860" s="4">
        <v>-0.007142</v>
      </c>
      <c r="U860" s="4">
        <v>-0.001972</v>
      </c>
      <c r="V860" s="4">
        <v>-0.00143669169635385</v>
      </c>
      <c r="W860" s="4">
        <v>-0.0137501084988512</v>
      </c>
      <c r="X860" s="4">
        <v>0.0</v>
      </c>
      <c r="Y860" s="4">
        <v>0.0031045968979412</v>
      </c>
      <c r="Z860" s="4">
        <v>0.0115297833428582</v>
      </c>
      <c r="AA860" s="4">
        <v>0.0019034795285366</v>
      </c>
      <c r="AB860" s="4">
        <v>0.0029356362094223</v>
      </c>
      <c r="AC860" s="4">
        <v>0.0</v>
      </c>
      <c r="AD860" s="4">
        <v>0.0</v>
      </c>
      <c r="AE860" s="4">
        <v>0.0109322155056514</v>
      </c>
      <c r="AF860" s="4">
        <v>2.566430438077E-4</v>
      </c>
      <c r="AG860" s="4">
        <v>-0.0253480111065276</v>
      </c>
      <c r="AH860" s="4">
        <v>0.0083986481426379</v>
      </c>
      <c r="AI860" s="4">
        <v>-5.212287645047E-4</v>
      </c>
      <c r="AJ860" s="4">
        <v>-0.006109</v>
      </c>
      <c r="AK860" s="6">
        <f>Weights!E916</f>
        <v>-0.00004523356031</v>
      </c>
      <c r="AL860" s="5">
        <v>-0.00325245308071808</v>
      </c>
      <c r="AM860" s="5">
        <v>3.36019302383583E-4</v>
      </c>
      <c r="AN860" s="5">
        <v>0.00165409076059108</v>
      </c>
      <c r="AO860" s="5">
        <v>0.0029664822045603</v>
      </c>
      <c r="AP860" s="6">
        <f t="shared" si="3"/>
        <v>1.554750177</v>
      </c>
      <c r="AQ860" s="4">
        <f t="shared" si="4"/>
        <v>1.293735344</v>
      </c>
      <c r="AR860" s="7">
        <f t="shared" si="5"/>
        <v>1.276336618</v>
      </c>
      <c r="AS860" s="7">
        <f t="shared" ref="AS860:AU860" si="862">AS859*(1+AM860)</f>
        <v>1.343947401</v>
      </c>
      <c r="AT860" s="5">
        <f t="shared" si="862"/>
        <v>1.30814359</v>
      </c>
      <c r="AU860" s="5">
        <f t="shared" si="862"/>
        <v>1.294604356</v>
      </c>
    </row>
    <row r="861" ht="15.75" customHeight="1">
      <c r="A861" s="3">
        <v>45078.0</v>
      </c>
      <c r="B861" s="4">
        <v>0.005799</v>
      </c>
      <c r="C861" s="4">
        <v>0.002526</v>
      </c>
      <c r="D861" s="4">
        <v>0.003834</v>
      </c>
      <c r="E861" s="4">
        <v>0.00606</v>
      </c>
      <c r="F861" s="4">
        <v>0.005699</v>
      </c>
      <c r="G861" s="4">
        <v>-0.003354</v>
      </c>
      <c r="H861" s="4">
        <v>0.010246</v>
      </c>
      <c r="I861" s="4">
        <v>0.028977</v>
      </c>
      <c r="J861" s="4">
        <v>0.003804</v>
      </c>
      <c r="K861" s="4">
        <v>0.015194</v>
      </c>
      <c r="L861" s="4">
        <v>0.010058</v>
      </c>
      <c r="M861" s="4">
        <v>0.013499</v>
      </c>
      <c r="N861" s="4">
        <v>0.011366</v>
      </c>
      <c r="O861" s="4">
        <v>0.037478</v>
      </c>
      <c r="P861" s="4">
        <v>0.047349</v>
      </c>
      <c r="Q861" s="4">
        <v>0.044312</v>
      </c>
      <c r="R861" s="4">
        <v>0.032906</v>
      </c>
      <c r="S861" s="4">
        <v>0.021878</v>
      </c>
      <c r="T861" s="4">
        <v>0.007345</v>
      </c>
      <c r="U861" s="4">
        <v>0.006879</v>
      </c>
      <c r="V861" s="4">
        <v>0.0276978418530868</v>
      </c>
      <c r="W861" s="4">
        <v>-0.0172008044838529</v>
      </c>
      <c r="X861" s="4">
        <v>0.0</v>
      </c>
      <c r="Y861" s="4">
        <v>0.0029735877148495</v>
      </c>
      <c r="Z861" s="4">
        <v>0.0084329931929207</v>
      </c>
      <c r="AA861" s="4">
        <v>-0.0012090649760529</v>
      </c>
      <c r="AB861" s="4">
        <v>0.0031932188609398</v>
      </c>
      <c r="AC861" s="4">
        <v>0.0</v>
      </c>
      <c r="AD861" s="4">
        <v>0.0</v>
      </c>
      <c r="AE861" s="4">
        <v>-0.0056993174764977</v>
      </c>
      <c r="AF861" s="4">
        <v>-0.0134990306143899</v>
      </c>
      <c r="AG861" s="4">
        <v>-0.0048228407531767</v>
      </c>
      <c r="AH861" s="4">
        <v>-0.0158245202190142</v>
      </c>
      <c r="AI861" s="4">
        <v>0.0052138206275031</v>
      </c>
      <c r="AJ861" s="4">
        <v>0.009854</v>
      </c>
      <c r="AK861" s="4">
        <f>Weights!E917</f>
        <v>0.007474145071</v>
      </c>
      <c r="AL861" s="5">
        <v>-0.00769752466065298</v>
      </c>
      <c r="AM861" s="5">
        <v>-0.00599712381530648</v>
      </c>
      <c r="AN861" s="5">
        <v>-0.0108982126210049</v>
      </c>
      <c r="AO861" s="5">
        <v>-0.0113383971506995</v>
      </c>
      <c r="AP861" s="6">
        <f t="shared" si="3"/>
        <v>1.566370606</v>
      </c>
      <c r="AQ861" s="4">
        <f t="shared" si="4"/>
        <v>1.306483812</v>
      </c>
      <c r="AR861" s="7">
        <f t="shared" si="5"/>
        <v>1.266511986</v>
      </c>
      <c r="AS861" s="7">
        <f t="shared" ref="AS861:AU861" si="863">AS860*(1+AM861)</f>
        <v>1.335887582</v>
      </c>
      <c r="AT861" s="5">
        <f t="shared" si="863"/>
        <v>1.293887163</v>
      </c>
      <c r="AU861" s="5">
        <f t="shared" si="863"/>
        <v>1.279925618</v>
      </c>
    </row>
    <row r="862" ht="15.75" customHeight="1">
      <c r="A862" s="3">
        <v>45079.0</v>
      </c>
      <c r="B862" s="4">
        <v>0.005241</v>
      </c>
      <c r="C862" s="4">
        <v>-0.031915</v>
      </c>
      <c r="D862" s="4">
        <v>-0.002921</v>
      </c>
      <c r="E862" s="4">
        <v>0.010264</v>
      </c>
      <c r="F862" s="4">
        <v>0.019333</v>
      </c>
      <c r="G862" s="4">
        <v>0.015724</v>
      </c>
      <c r="H862" s="4">
        <v>0.017783</v>
      </c>
      <c r="I862" s="4">
        <v>0.033407</v>
      </c>
      <c r="J862" s="4">
        <v>0.016817</v>
      </c>
      <c r="K862" s="4">
        <v>0.022798</v>
      </c>
      <c r="L862" s="4">
        <v>0.022682</v>
      </c>
      <c r="M862" s="4">
        <v>0.027704</v>
      </c>
      <c r="N862" s="4">
        <v>0.025541</v>
      </c>
      <c r="O862" s="4">
        <v>0.008917</v>
      </c>
      <c r="P862" s="4">
        <v>-0.008948</v>
      </c>
      <c r="Q862" s="4">
        <v>-0.004433</v>
      </c>
      <c r="R862" s="4">
        <v>0.048492</v>
      </c>
      <c r="S862" s="4">
        <v>-0.019031</v>
      </c>
      <c r="T862" s="4">
        <v>0.062091</v>
      </c>
      <c r="U862" s="4">
        <v>0.013809</v>
      </c>
      <c r="V862" s="4">
        <v>-0.00455034860148451</v>
      </c>
      <c r="W862" s="4">
        <v>-0.0595062553279727</v>
      </c>
      <c r="X862" s="4">
        <v>0.0</v>
      </c>
      <c r="Y862" s="4">
        <v>0.007562868875222</v>
      </c>
      <c r="Z862" s="4">
        <v>0.0113948926980229</v>
      </c>
      <c r="AA862" s="4">
        <v>0.0098565200815625</v>
      </c>
      <c r="AB862" s="4">
        <v>0.004774471636654</v>
      </c>
      <c r="AC862" s="4">
        <v>0.0</v>
      </c>
      <c r="AD862" s="4">
        <v>0.0</v>
      </c>
      <c r="AE862" s="4">
        <v>0.004115210103782</v>
      </c>
      <c r="AF862" s="4">
        <v>-0.0057217483791174</v>
      </c>
      <c r="AG862" s="4">
        <v>-0.0055974662782604</v>
      </c>
      <c r="AH862" s="4">
        <v>0.0070521456730088</v>
      </c>
      <c r="AI862" s="4">
        <v>0.0036307122325054</v>
      </c>
      <c r="AJ862" s="4">
        <v>0.014534</v>
      </c>
      <c r="AK862" s="4">
        <f>Weights!E918</f>
        <v>0.008658437422</v>
      </c>
      <c r="AL862" s="5">
        <v>0.0120573210823344</v>
      </c>
      <c r="AM862" s="5">
        <v>0.00999126861009624</v>
      </c>
      <c r="AN862" s="5">
        <v>-0.00901521716887721</v>
      </c>
      <c r="AO862" s="5">
        <v>-0.00872594482360955</v>
      </c>
      <c r="AP862" s="6">
        <f t="shared" si="3"/>
        <v>1.579932927</v>
      </c>
      <c r="AQ862" s="4">
        <f t="shared" si="4"/>
        <v>1.325472248</v>
      </c>
      <c r="AR862" s="7">
        <f t="shared" si="5"/>
        <v>1.281782727</v>
      </c>
      <c r="AS862" s="7">
        <f t="shared" ref="AS862:AU862" si="864">AS861*(1+AM862)</f>
        <v>1.349234794</v>
      </c>
      <c r="AT862" s="5">
        <f t="shared" si="864"/>
        <v>1.28222249</v>
      </c>
      <c r="AU862" s="5">
        <f t="shared" si="864"/>
        <v>1.268757058</v>
      </c>
    </row>
    <row r="863" ht="15.75" customHeight="1">
      <c r="A863" s="3">
        <v>45082.0</v>
      </c>
      <c r="B863" s="4">
        <v>-0.001564</v>
      </c>
      <c r="C863" s="4">
        <v>-0.00347</v>
      </c>
      <c r="D863" s="4">
        <v>-0.01059</v>
      </c>
      <c r="E863" s="4">
        <v>7.06E-4</v>
      </c>
      <c r="F863" s="4">
        <v>-0.006704</v>
      </c>
      <c r="G863" s="4">
        <v>0.0086</v>
      </c>
      <c r="H863" s="4">
        <v>-0.003959</v>
      </c>
      <c r="I863" s="4">
        <v>-0.003206</v>
      </c>
      <c r="J863" s="4">
        <v>-9.32E-4</v>
      </c>
      <c r="K863" s="4">
        <v>-0.018207</v>
      </c>
      <c r="L863" s="4">
        <v>-0.010494</v>
      </c>
      <c r="M863" s="4">
        <v>-0.009331</v>
      </c>
      <c r="N863" s="4">
        <v>-7.97E-4</v>
      </c>
      <c r="O863" s="4">
        <v>0.006708</v>
      </c>
      <c r="P863" s="4">
        <v>-0.004039</v>
      </c>
      <c r="Q863" s="4">
        <v>-0.004453</v>
      </c>
      <c r="R863" s="4">
        <v>-0.004033</v>
      </c>
      <c r="S863" s="4">
        <v>0.009921</v>
      </c>
      <c r="T863" s="4">
        <v>-0.002477</v>
      </c>
      <c r="U863" s="4">
        <v>-0.009893</v>
      </c>
      <c r="V863" s="4">
        <v>0.0168776983967899</v>
      </c>
      <c r="W863" s="4">
        <v>-0.0158667228581402</v>
      </c>
      <c r="X863" s="4">
        <v>0.0</v>
      </c>
      <c r="Y863" s="4">
        <v>0.0104486190455801</v>
      </c>
      <c r="Z863" s="4">
        <v>0.0</v>
      </c>
      <c r="AA863" s="4">
        <v>-0.0053083129343629</v>
      </c>
      <c r="AB863" s="4">
        <v>2.64177198421E-4</v>
      </c>
      <c r="AC863" s="4">
        <v>0.0</v>
      </c>
      <c r="AD863" s="4">
        <v>0.0</v>
      </c>
      <c r="AE863" s="4">
        <v>0.0026345721222937</v>
      </c>
      <c r="AF863" s="4">
        <v>0.0049699206161828</v>
      </c>
      <c r="AG863" s="4">
        <v>0.0082372574673639</v>
      </c>
      <c r="AH863" s="4">
        <v>-0.0154061146686532</v>
      </c>
      <c r="AI863" s="4">
        <v>-0.0010886269192349</v>
      </c>
      <c r="AJ863" s="4">
        <v>-0.002004</v>
      </c>
      <c r="AK863" s="4">
        <f>Weights!E919</f>
        <v>-0.002080365849</v>
      </c>
      <c r="AL863" s="5">
        <v>0.0149963107405985</v>
      </c>
      <c r="AM863" s="5">
        <v>0.0165353081076375</v>
      </c>
      <c r="AN863" s="5">
        <v>0.00438010033651403</v>
      </c>
      <c r="AO863" s="5">
        <v>0.0055331529378626</v>
      </c>
      <c r="AP863" s="6">
        <f t="shared" si="3"/>
        <v>1.576646089</v>
      </c>
      <c r="AQ863" s="4">
        <f t="shared" si="4"/>
        <v>1.322816002</v>
      </c>
      <c r="AR863" s="7">
        <f t="shared" si="5"/>
        <v>1.301004739</v>
      </c>
      <c r="AS863" s="7">
        <f t="shared" ref="AS863:AU863" si="865">AS862*(1+AM863)</f>
        <v>1.371544807</v>
      </c>
      <c r="AT863" s="5">
        <f t="shared" si="865"/>
        <v>1.287838753</v>
      </c>
      <c r="AU863" s="5">
        <f t="shared" si="865"/>
        <v>1.275777284</v>
      </c>
    </row>
    <row r="864" ht="15.75" customHeight="1">
      <c r="A864" s="3">
        <v>45083.0</v>
      </c>
      <c r="B864" s="4">
        <v>0.001567</v>
      </c>
      <c r="C864" s="4">
        <v>0.006965</v>
      </c>
      <c r="D864" s="4">
        <v>0.005466</v>
      </c>
      <c r="E864" s="4">
        <v>-0.014279</v>
      </c>
      <c r="F864" s="4">
        <v>-0.007243</v>
      </c>
      <c r="G864" s="4">
        <v>-8.84E-4</v>
      </c>
      <c r="H864" s="4">
        <v>-0.009936</v>
      </c>
      <c r="I864" s="4">
        <v>0.009917</v>
      </c>
      <c r="J864" s="4">
        <v>-0.006528</v>
      </c>
      <c r="K864" s="4">
        <v>0.007799</v>
      </c>
      <c r="L864" s="4">
        <v>0.008966</v>
      </c>
      <c r="M864" s="4">
        <v>0.008373</v>
      </c>
      <c r="N864" s="4">
        <v>0.007577</v>
      </c>
      <c r="O864" s="4">
        <v>-5.85E-4</v>
      </c>
      <c r="P864" s="4">
        <v>0.00167</v>
      </c>
      <c r="Q864" s="4">
        <v>-6.39E-4</v>
      </c>
      <c r="R864" s="4">
        <v>0.018899</v>
      </c>
      <c r="S864" s="4">
        <v>0.00633</v>
      </c>
      <c r="T864" s="4">
        <v>0.018235</v>
      </c>
      <c r="U864" s="4">
        <v>-0.010499</v>
      </c>
      <c r="V864" s="4">
        <v>0.00138312376093407</v>
      </c>
      <c r="W864" s="4">
        <v>-0.0342357001440173</v>
      </c>
      <c r="X864" s="4">
        <v>0.0078432405910016</v>
      </c>
      <c r="Y864" s="4">
        <v>-0.0394604389728867</v>
      </c>
      <c r="Z864" s="4">
        <v>-0.0176266986072589</v>
      </c>
      <c r="AA864" s="4">
        <v>0.012566708949679</v>
      </c>
      <c r="AB864" s="4">
        <v>-2.641074272609E-4</v>
      </c>
      <c r="AC864" s="4">
        <v>0.0035586480677121</v>
      </c>
      <c r="AD864" s="4">
        <v>0.0223266520895768</v>
      </c>
      <c r="AE864" s="4">
        <v>0.007080351592593</v>
      </c>
      <c r="AF864" s="4">
        <v>-5.205188942193E-4</v>
      </c>
      <c r="AG864" s="4">
        <v>-0.0077612552467271</v>
      </c>
      <c r="AH864" s="4">
        <v>-0.0338549624197389</v>
      </c>
      <c r="AI864" s="4">
        <v>0.0067460866474826</v>
      </c>
      <c r="AJ864" s="4">
        <v>0.002354</v>
      </c>
      <c r="AK864" s="4">
        <f>Weights!E920</f>
        <v>-0.0006978547641</v>
      </c>
      <c r="AL864" s="5">
        <v>-0.00303696206469938</v>
      </c>
      <c r="AM864" s="5">
        <v>-0.00263273728277391</v>
      </c>
      <c r="AN864" s="5">
        <v>0.0184502700431841</v>
      </c>
      <c r="AO864" s="5">
        <v>0.0182590007767977</v>
      </c>
      <c r="AP864" s="6">
        <f t="shared" si="3"/>
        <v>1.575545819</v>
      </c>
      <c r="AQ864" s="4">
        <f t="shared" si="4"/>
        <v>1.325929911</v>
      </c>
      <c r="AR864" s="7">
        <f t="shared" si="5"/>
        <v>1.297053637</v>
      </c>
      <c r="AS864" s="7">
        <f t="shared" ref="AS864:AU864" si="866">AS863*(1+AM864)</f>
        <v>1.367933889</v>
      </c>
      <c r="AT864" s="5">
        <f t="shared" si="866"/>
        <v>1.311599725</v>
      </c>
      <c r="AU864" s="5">
        <f t="shared" si="866"/>
        <v>1.299071703</v>
      </c>
    </row>
    <row r="865" ht="15.75" customHeight="1">
      <c r="A865" s="3">
        <v>45084.0</v>
      </c>
      <c r="B865" s="4">
        <v>0.006778</v>
      </c>
      <c r="C865" s="4">
        <v>0.016138</v>
      </c>
      <c r="D865" s="4">
        <v>-0.005436</v>
      </c>
      <c r="E865" s="4">
        <v>-0.007986</v>
      </c>
      <c r="F865" s="4">
        <v>-0.001492</v>
      </c>
      <c r="G865" s="4">
        <v>0.00215</v>
      </c>
      <c r="H865" s="4">
        <v>0.002145</v>
      </c>
      <c r="I865" s="4">
        <v>0.005839</v>
      </c>
      <c r="J865" s="4">
        <v>0.003286</v>
      </c>
      <c r="K865" s="4">
        <v>0.001548</v>
      </c>
      <c r="L865" s="4">
        <v>-0.002818</v>
      </c>
      <c r="M865" s="4">
        <v>0.005708</v>
      </c>
      <c r="N865" s="4">
        <v>5.94E-4</v>
      </c>
      <c r="O865" s="4">
        <v>-0.032524</v>
      </c>
      <c r="P865" s="4">
        <v>-0.002143</v>
      </c>
      <c r="Q865" s="4">
        <v>-0.003197</v>
      </c>
      <c r="R865" s="4">
        <v>-0.004505</v>
      </c>
      <c r="S865" s="4">
        <v>-0.024512</v>
      </c>
      <c r="T865" s="4">
        <v>0.030799</v>
      </c>
      <c r="U865" s="4">
        <v>-0.011854</v>
      </c>
      <c r="V865" s="4">
        <v>0.00587011464324116</v>
      </c>
      <c r="W865" s="4">
        <v>0.0</v>
      </c>
      <c r="X865" s="4">
        <v>0.0129700970364901</v>
      </c>
      <c r="Y865" s="4">
        <v>-0.014786902489058</v>
      </c>
      <c r="Z865" s="4">
        <v>-0.0222900170462612</v>
      </c>
      <c r="AA865" s="4">
        <v>-0.0020399806792095</v>
      </c>
      <c r="AB865" s="4">
        <v>0.0073916889963221</v>
      </c>
      <c r="AC865" s="4">
        <v>-0.0035460289984686</v>
      </c>
      <c r="AD865" s="4">
        <v>0.0091955783321202</v>
      </c>
      <c r="AE865" s="4">
        <v>-0.0121040295344863</v>
      </c>
      <c r="AF865" s="4">
        <v>-0.0140625376609249</v>
      </c>
      <c r="AG865" s="4">
        <v>-0.0083712397603223</v>
      </c>
      <c r="AH865" s="4">
        <v>0.010600710931085</v>
      </c>
      <c r="AI865" s="4">
        <v>-0.0020613686765843</v>
      </c>
      <c r="AJ865" s="4">
        <v>-0.003812</v>
      </c>
      <c r="AK865" s="4">
        <f>Weights!E921</f>
        <v>-0.0007358037911</v>
      </c>
      <c r="AL865" s="5">
        <v>0.00428119796693238</v>
      </c>
      <c r="AM865" s="5">
        <v>0.00457219583596169</v>
      </c>
      <c r="AN865" s="5">
        <v>-0.00461134324475609</v>
      </c>
      <c r="AO865" s="5">
        <v>-0.00466692533247692</v>
      </c>
      <c r="AP865" s="6">
        <f t="shared" si="3"/>
        <v>1.574386526</v>
      </c>
      <c r="AQ865" s="4">
        <f t="shared" si="4"/>
        <v>1.320875466</v>
      </c>
      <c r="AR865" s="7">
        <f t="shared" si="5"/>
        <v>1.302606581</v>
      </c>
      <c r="AS865" s="7">
        <f t="shared" ref="AS865:AU865" si="867">AS864*(1+AM865)</f>
        <v>1.374188351</v>
      </c>
      <c r="AT865" s="5">
        <f t="shared" si="867"/>
        <v>1.305551489</v>
      </c>
      <c r="AU865" s="5">
        <f t="shared" si="867"/>
        <v>1.293009032</v>
      </c>
    </row>
    <row r="866" ht="15.75" customHeight="1">
      <c r="A866" s="3">
        <v>45085.0</v>
      </c>
      <c r="B866" s="4">
        <v>-0.002755</v>
      </c>
      <c r="C866" s="4">
        <v>0.004821</v>
      </c>
      <c r="D866" s="4">
        <v>-0.008882</v>
      </c>
      <c r="E866" s="4">
        <v>0.011049</v>
      </c>
      <c r="F866" s="4">
        <v>0.002491</v>
      </c>
      <c r="G866" s="4">
        <v>0.010976</v>
      </c>
      <c r="H866" s="4">
        <v>0.011326</v>
      </c>
      <c r="I866" s="4">
        <v>0.008443</v>
      </c>
      <c r="J866" s="4">
        <v>0.004912</v>
      </c>
      <c r="K866" s="4">
        <v>0.015968</v>
      </c>
      <c r="L866" s="4">
        <v>0.003478</v>
      </c>
      <c r="M866" s="4">
        <v>-0.006708</v>
      </c>
      <c r="N866" s="4">
        <v>-0.002176</v>
      </c>
      <c r="O866" s="4">
        <v>7.45E-4</v>
      </c>
      <c r="P866" s="4">
        <v>0.003341</v>
      </c>
      <c r="Q866" s="4">
        <v>0.003849</v>
      </c>
      <c r="R866" s="4">
        <v>0.007187</v>
      </c>
      <c r="S866" s="4">
        <v>0.007561</v>
      </c>
      <c r="T866" s="4">
        <v>-0.007368</v>
      </c>
      <c r="U866" s="4">
        <v>0.007109</v>
      </c>
      <c r="V866" s="4">
        <v>0.0140748582179881</v>
      </c>
      <c r="W866" s="4">
        <v>4.121992035714E-4</v>
      </c>
      <c r="X866" s="4">
        <v>-0.0166452562274588</v>
      </c>
      <c r="Y866" s="4">
        <v>0.0101106008442009</v>
      </c>
      <c r="Z866" s="4">
        <v>0.002648807740589</v>
      </c>
      <c r="AA866" s="4">
        <v>-8.518584414395E-4</v>
      </c>
      <c r="AB866" s="4">
        <v>0.0128408695642692</v>
      </c>
      <c r="AC866" s="4">
        <v>0.0</v>
      </c>
      <c r="AD866" s="4">
        <v>0.025056842228736</v>
      </c>
      <c r="AE866" s="4">
        <v>0.005135618546836</v>
      </c>
      <c r="AF866" s="4">
        <v>-0.0134706893803656</v>
      </c>
      <c r="AG866" s="4">
        <v>0.011071127665325</v>
      </c>
      <c r="AH866" s="4">
        <v>0.0279720852963327</v>
      </c>
      <c r="AI866" s="4">
        <v>-0.0025832572070257</v>
      </c>
      <c r="AJ866" s="4">
        <v>0.006189</v>
      </c>
      <c r="AK866" s="4">
        <f>Weights!E922</f>
        <v>0.004873475737</v>
      </c>
      <c r="AL866" s="5">
        <v>-0.00538027541281282</v>
      </c>
      <c r="AM866" s="5">
        <v>-0.00197064397651025</v>
      </c>
      <c r="AN866" s="5">
        <v>0.00562532900754519</v>
      </c>
      <c r="AO866" s="5">
        <v>0.00616973619586236</v>
      </c>
      <c r="AP866" s="6">
        <f t="shared" si="3"/>
        <v>1.582059261</v>
      </c>
      <c r="AQ866" s="4">
        <f t="shared" si="4"/>
        <v>1.329050364</v>
      </c>
      <c r="AR866" s="7">
        <f t="shared" si="5"/>
        <v>1.295598199</v>
      </c>
      <c r="AS866" s="7">
        <f t="shared" ref="AS866:AU866" si="868">AS865*(1+AM866)</f>
        <v>1.371480315</v>
      </c>
      <c r="AT866" s="5">
        <f t="shared" si="868"/>
        <v>1.312895646</v>
      </c>
      <c r="AU866" s="5">
        <f t="shared" si="868"/>
        <v>1.300986557</v>
      </c>
    </row>
    <row r="867" ht="15.75" customHeight="1">
      <c r="A867" s="3">
        <v>45086.0</v>
      </c>
      <c r="B867" s="4">
        <v>-0.001053</v>
      </c>
      <c r="C867" s="4">
        <v>0.001129</v>
      </c>
      <c r="D867" s="4">
        <v>-0.009421</v>
      </c>
      <c r="E867" s="4">
        <v>0.001373</v>
      </c>
      <c r="F867" s="4">
        <v>0.001656</v>
      </c>
      <c r="G867" s="4">
        <v>-0.00156</v>
      </c>
      <c r="H867" s="4">
        <v>8.19E-4</v>
      </c>
      <c r="I867" s="4">
        <v>-0.007326</v>
      </c>
      <c r="J867" s="4">
        <v>0.001397</v>
      </c>
      <c r="K867" s="4">
        <v>0.00169</v>
      </c>
      <c r="L867" s="4">
        <v>0.005307</v>
      </c>
      <c r="M867" s="4">
        <v>0.0</v>
      </c>
      <c r="N867" s="4">
        <v>9.91E-4</v>
      </c>
      <c r="O867" s="4">
        <v>-0.006514</v>
      </c>
      <c r="P867" s="4">
        <v>-0.013796</v>
      </c>
      <c r="Q867" s="4">
        <v>-0.010224</v>
      </c>
      <c r="R867" s="4">
        <v>0.001321</v>
      </c>
      <c r="S867" s="4">
        <v>-0.009932</v>
      </c>
      <c r="T867" s="4">
        <v>-0.008785</v>
      </c>
      <c r="U867" s="4">
        <v>-0.00125</v>
      </c>
      <c r="V867" s="4">
        <v>0.00406228237403727</v>
      </c>
      <c r="W867" s="4">
        <v>0.0074165285771148</v>
      </c>
      <c r="X867" s="4">
        <v>0.0</v>
      </c>
      <c r="Y867" s="4">
        <v>0.0040411216432825</v>
      </c>
      <c r="Z867" s="4">
        <v>0.0076422360509171</v>
      </c>
      <c r="AA867" s="4">
        <v>-0.0053484606264897</v>
      </c>
      <c r="AB867" s="4">
        <v>-0.0033636228772001</v>
      </c>
      <c r="AC867" s="4">
        <v>0.0</v>
      </c>
      <c r="AD867" s="4">
        <v>0.0</v>
      </c>
      <c r="AE867" s="4">
        <v>0.0016059913279518</v>
      </c>
      <c r="AF867" s="4">
        <v>-0.014725618746416</v>
      </c>
      <c r="AG867" s="4">
        <v>0.0034218647331034</v>
      </c>
      <c r="AH867" s="4">
        <v>-0.0215420099537049</v>
      </c>
      <c r="AI867" s="4">
        <v>0.0067326477024536</v>
      </c>
      <c r="AJ867" s="4">
        <v>0.001148</v>
      </c>
      <c r="AK867" s="4">
        <f>Weights!E923</f>
        <v>-0.001705998085</v>
      </c>
      <c r="AL867" s="5">
        <v>0.00657446845977749</v>
      </c>
      <c r="AM867" s="5">
        <v>0.0047012950965859</v>
      </c>
      <c r="AN867" s="5">
        <v>-0.00394861215507735</v>
      </c>
      <c r="AO867" s="5">
        <v>-0.00318860595271996</v>
      </c>
      <c r="AP867" s="6">
        <f t="shared" si="3"/>
        <v>1.579360271</v>
      </c>
      <c r="AQ867" s="4">
        <f t="shared" si="4"/>
        <v>1.330576114</v>
      </c>
      <c r="AR867" s="7">
        <f t="shared" si="5"/>
        <v>1.304116068</v>
      </c>
      <c r="AS867" s="7">
        <f t="shared" ref="AS867:AU867" si="869">AS866*(1+AM867)</f>
        <v>1.377928049</v>
      </c>
      <c r="AT867" s="5">
        <f t="shared" si="869"/>
        <v>1.30771153</v>
      </c>
      <c r="AU867" s="5">
        <f t="shared" si="869"/>
        <v>1.296838223</v>
      </c>
    </row>
    <row r="868" ht="15.75" customHeight="1">
      <c r="A868" s="3">
        <v>45089.0</v>
      </c>
      <c r="B868" s="4">
        <v>0.005799</v>
      </c>
      <c r="C868" s="4">
        <v>0.003947</v>
      </c>
      <c r="D868" s="4">
        <v>-0.002784</v>
      </c>
      <c r="E868" s="4">
        <v>-0.002468</v>
      </c>
      <c r="F868" s="4">
        <v>-0.0043</v>
      </c>
      <c r="G868" s="4">
        <v>-6.87E-4</v>
      </c>
      <c r="H868" s="4">
        <v>-0.007847</v>
      </c>
      <c r="I868" s="4">
        <v>-0.011597</v>
      </c>
      <c r="J868" s="4">
        <v>9.3E-4</v>
      </c>
      <c r="K868" s="4">
        <v>-0.004724</v>
      </c>
      <c r="L868" s="4">
        <v>-6.46E-4</v>
      </c>
      <c r="M868" s="4">
        <v>0.001558</v>
      </c>
      <c r="N868" s="4">
        <v>-0.003168</v>
      </c>
      <c r="O868" s="4">
        <v>0.005479</v>
      </c>
      <c r="P868" s="4">
        <v>0.013989</v>
      </c>
      <c r="Q868" s="4">
        <v>-0.012912</v>
      </c>
      <c r="R868" s="4">
        <v>-0.001847</v>
      </c>
      <c r="S868" s="4">
        <v>0.004012</v>
      </c>
      <c r="T868" s="4">
        <v>0.02013</v>
      </c>
      <c r="U868" s="4">
        <v>-7.36E-4</v>
      </c>
      <c r="V868" s="4">
        <v>0.00472023721795333</v>
      </c>
      <c r="W868" s="4">
        <v>0.0</v>
      </c>
      <c r="X868" s="4">
        <v>0.0</v>
      </c>
      <c r="Y868" s="4">
        <v>0.0052630998038718</v>
      </c>
      <c r="Z868" s="4">
        <v>0.0056179629010062</v>
      </c>
      <c r="AA868" s="4">
        <v>1.733917397006E-4</v>
      </c>
      <c r="AB868" s="4">
        <v>0.005711446332993</v>
      </c>
      <c r="AC868" s="4">
        <v>0.0</v>
      </c>
      <c r="AD868" s="4">
        <v>0.0011260996169464</v>
      </c>
      <c r="AE868" s="4">
        <v>0.0057570271983096</v>
      </c>
      <c r="AF868" s="4">
        <v>0.0</v>
      </c>
      <c r="AG868" s="4">
        <v>0.0079116803690062</v>
      </c>
      <c r="AH868" s="4">
        <v>0.0353418257407396</v>
      </c>
      <c r="AI868" s="4">
        <v>-0.0092594015510162</v>
      </c>
      <c r="AJ868" s="4">
        <v>0.009321</v>
      </c>
      <c r="AK868" s="4">
        <f>Weights!E924</f>
        <v>0.002255245817</v>
      </c>
      <c r="AL868" s="5">
        <v>0.00115747928512321</v>
      </c>
      <c r="AM868" s="5">
        <v>0.00107632779791222</v>
      </c>
      <c r="AN868" s="5">
        <v>-6.60655451941605E-4</v>
      </c>
      <c r="AO868" s="5">
        <v>-0.00196834252427868</v>
      </c>
      <c r="AP868" s="6">
        <f t="shared" si="3"/>
        <v>1.582922116</v>
      </c>
      <c r="AQ868" s="4">
        <f t="shared" si="4"/>
        <v>1.342978414</v>
      </c>
      <c r="AR868" s="7">
        <f t="shared" si="5"/>
        <v>1.305625555</v>
      </c>
      <c r="AS868" s="7">
        <f t="shared" ref="AS868:AU868" si="870">AS867*(1+AM868)</f>
        <v>1.379411151</v>
      </c>
      <c r="AT868" s="5">
        <f t="shared" si="870"/>
        <v>1.306847583</v>
      </c>
      <c r="AU868" s="5">
        <f t="shared" si="870"/>
        <v>1.294285602</v>
      </c>
    </row>
    <row r="869" ht="15.75" customHeight="1">
      <c r="A869" s="3">
        <v>45090.0</v>
      </c>
      <c r="B869" s="4">
        <v>0.010482</v>
      </c>
      <c r="C869" s="4">
        <v>-0.003651</v>
      </c>
      <c r="D869" s="4">
        <v>0.007444</v>
      </c>
      <c r="E869" s="4">
        <v>-0.001979</v>
      </c>
      <c r="F869" s="4">
        <v>0.003986</v>
      </c>
      <c r="G869" s="4">
        <v>0.005253</v>
      </c>
      <c r="H869" s="4">
        <v>-0.002407</v>
      </c>
      <c r="I869" s="4">
        <v>2.67E-4</v>
      </c>
      <c r="J869" s="4">
        <v>-0.008593</v>
      </c>
      <c r="K869" s="4">
        <v>0.016443</v>
      </c>
      <c r="L869" s="4">
        <v>0.010779</v>
      </c>
      <c r="M869" s="4">
        <v>0.004668</v>
      </c>
      <c r="N869" s="4">
        <v>0.010926</v>
      </c>
      <c r="O869" s="4">
        <v>3.26E-4</v>
      </c>
      <c r="P869" s="4">
        <v>0.009515</v>
      </c>
      <c r="Q869" s="4">
        <v>-0.023545</v>
      </c>
      <c r="R869" s="4">
        <v>0.052882</v>
      </c>
      <c r="S869" s="4">
        <v>-0.002664</v>
      </c>
      <c r="T869" s="4">
        <v>0.039669</v>
      </c>
      <c r="U869" s="4">
        <v>-0.002947</v>
      </c>
      <c r="V869" s="4">
        <v>0.0104026273589419</v>
      </c>
      <c r="W869" s="4">
        <v>-0.0304704043815923</v>
      </c>
      <c r="X869" s="4">
        <v>-0.0208334673387479</v>
      </c>
      <c r="Y869" s="4">
        <v>-0.0068369799415715</v>
      </c>
      <c r="Z869" s="4">
        <v>-0.0090317022948629</v>
      </c>
      <c r="AA869" s="4">
        <v>0.0069372107425516</v>
      </c>
      <c r="AB869" s="4">
        <v>0.0038718967041673</v>
      </c>
      <c r="AC869" s="4">
        <v>0.0142348116786377</v>
      </c>
      <c r="AD869" s="4">
        <v>-0.0101237832391097</v>
      </c>
      <c r="AE869" s="4">
        <v>0.0150713960550654</v>
      </c>
      <c r="AF869" s="4">
        <v>-0.0130433891058425</v>
      </c>
      <c r="AG869" s="4">
        <v>-0.0152930497678248</v>
      </c>
      <c r="AH869" s="4">
        <v>-0.0377728021628714</v>
      </c>
      <c r="AI869" s="4">
        <v>0.0077879797058746</v>
      </c>
      <c r="AJ869" s="4">
        <v>0.006933</v>
      </c>
      <c r="AK869" s="4">
        <f>Weights!E925</f>
        <v>0.0002988215006</v>
      </c>
      <c r="AL869" s="5">
        <v>0.00776291022051922</v>
      </c>
      <c r="AM869" s="5">
        <v>0.00897494754974648</v>
      </c>
      <c r="AN869" s="5">
        <v>-0.00198347642456342</v>
      </c>
      <c r="AO869" s="5">
        <v>-0.00246567998869928</v>
      </c>
      <c r="AP869" s="6">
        <f t="shared" si="3"/>
        <v>1.583395128</v>
      </c>
      <c r="AQ869" s="4">
        <f t="shared" si="4"/>
        <v>1.352289283</v>
      </c>
      <c r="AR869" s="7">
        <f t="shared" si="5"/>
        <v>1.315761009</v>
      </c>
      <c r="AS869" s="7">
        <f t="shared" ref="AS869:AU869" si="871">AS868*(1+AM869)</f>
        <v>1.391791294</v>
      </c>
      <c r="AT869" s="5">
        <f t="shared" si="871"/>
        <v>1.304255482</v>
      </c>
      <c r="AU869" s="5">
        <f t="shared" si="871"/>
        <v>1.291094307</v>
      </c>
    </row>
    <row r="870" ht="15.75" customHeight="1">
      <c r="A870" s="3">
        <v>45091.0</v>
      </c>
      <c r="B870" s="4">
        <v>-0.008299</v>
      </c>
      <c r="C870" s="4">
        <v>0.007046</v>
      </c>
      <c r="D870" s="4">
        <v>0.011083</v>
      </c>
      <c r="E870" s="4">
        <v>0.008979</v>
      </c>
      <c r="F870" s="4">
        <v>0.006782</v>
      </c>
      <c r="G870" s="4">
        <v>0.005101</v>
      </c>
      <c r="H870" s="4">
        <v>0.009375</v>
      </c>
      <c r="I870" s="4">
        <v>-0.017329</v>
      </c>
      <c r="J870" s="4">
        <v>-0.007964</v>
      </c>
      <c r="K870" s="4">
        <v>0.0</v>
      </c>
      <c r="L870" s="4">
        <v>0.001173</v>
      </c>
      <c r="M870" s="4">
        <v>-0.006711</v>
      </c>
      <c r="N870" s="4">
        <v>-0.007664</v>
      </c>
      <c r="O870" s="4">
        <v>0.008707</v>
      </c>
      <c r="P870" s="4">
        <v>-0.008011</v>
      </c>
      <c r="Q870" s="4">
        <v>0.012726</v>
      </c>
      <c r="R870" s="4">
        <v>0.006027</v>
      </c>
      <c r="S870" s="4">
        <v>-0.007792</v>
      </c>
      <c r="T870" s="4">
        <v>-0.024163</v>
      </c>
      <c r="U870" s="4">
        <v>0.011084</v>
      </c>
      <c r="V870" s="4">
        <v>-0.0631092495895325</v>
      </c>
      <c r="W870" s="4">
        <v>0.017928829973234</v>
      </c>
      <c r="X870" s="4">
        <v>-0.014627623223398</v>
      </c>
      <c r="Y870" s="4">
        <v>-0.0030389574445277</v>
      </c>
      <c r="Z870" s="4">
        <v>0.0094898793417081</v>
      </c>
      <c r="AA870" s="4">
        <v>0.0167067838121188</v>
      </c>
      <c r="AB870" s="4">
        <v>-0.0102854841607096</v>
      </c>
      <c r="AC870" s="4">
        <v>-0.0122807466646667</v>
      </c>
      <c r="AD870" s="4">
        <v>-0.0329546412480471</v>
      </c>
      <c r="AE870" s="4">
        <v>-0.0090655516983034</v>
      </c>
      <c r="AF870" s="4">
        <v>5.506149553449E-4</v>
      </c>
      <c r="AG870" s="4">
        <v>-0.036833302134369</v>
      </c>
      <c r="AH870" s="4">
        <v>-0.0104680942340624</v>
      </c>
      <c r="AI870" s="4">
        <v>0.0046371232894595</v>
      </c>
      <c r="AJ870" s="4">
        <v>8.19E-4</v>
      </c>
      <c r="AK870" s="4">
        <f>Weights!E926</f>
        <v>-0.00627775394</v>
      </c>
      <c r="AL870" s="5">
        <v>0.0075390563840183</v>
      </c>
      <c r="AM870" s="5">
        <v>0.00736613701059929</v>
      </c>
      <c r="AN870" s="5">
        <v>0.00132481214588198</v>
      </c>
      <c r="AO870" s="5">
        <v>0.00197739965990217</v>
      </c>
      <c r="AP870" s="6">
        <f t="shared" si="3"/>
        <v>1.573454963</v>
      </c>
      <c r="AQ870" s="4">
        <f t="shared" si="4"/>
        <v>1.353396808</v>
      </c>
      <c r="AR870" s="7">
        <f t="shared" si="5"/>
        <v>1.325680606</v>
      </c>
      <c r="AS870" s="7">
        <f t="shared" ref="AS870:AU870" si="872">AS869*(1+AM870)</f>
        <v>1.402043419</v>
      </c>
      <c r="AT870" s="5">
        <f t="shared" si="872"/>
        <v>1.305983375</v>
      </c>
      <c r="AU870" s="5">
        <f t="shared" si="872"/>
        <v>1.293647317</v>
      </c>
    </row>
    <row r="871" ht="15.75" customHeight="1">
      <c r="A871" s="3">
        <v>45092.0</v>
      </c>
      <c r="B871" s="4">
        <v>0.006799</v>
      </c>
      <c r="C871" s="4">
        <v>0.019871</v>
      </c>
      <c r="D871" s="4">
        <v>0.009363</v>
      </c>
      <c r="E871" s="4">
        <v>0.013867</v>
      </c>
      <c r="F871" s="4">
        <v>0.013638</v>
      </c>
      <c r="G871" s="4">
        <v>0.013432</v>
      </c>
      <c r="H871" s="4">
        <v>0.013864</v>
      </c>
      <c r="I871" s="4">
        <v>0.010581</v>
      </c>
      <c r="J871" s="4">
        <v>0.007556</v>
      </c>
      <c r="K871" s="4">
        <v>0.017011</v>
      </c>
      <c r="L871" s="4">
        <v>0.01438</v>
      </c>
      <c r="M871" s="4">
        <v>0.003118</v>
      </c>
      <c r="N871" s="4">
        <v>0.007129</v>
      </c>
      <c r="O871" s="4">
        <v>0.010801</v>
      </c>
      <c r="P871" s="4">
        <v>0.014252</v>
      </c>
      <c r="Q871" s="4">
        <v>0.0</v>
      </c>
      <c r="R871" s="4">
        <v>4.99E-4</v>
      </c>
      <c r="S871" s="4">
        <v>0.002468</v>
      </c>
      <c r="T871" s="4">
        <v>0.003585</v>
      </c>
      <c r="U871" s="4">
        <v>0.004385</v>
      </c>
      <c r="V871" s="4">
        <v>-0.00886523624778801</v>
      </c>
      <c r="W871" s="4">
        <v>-0.0149191167531425</v>
      </c>
      <c r="X871" s="4">
        <v>0.004048582560622</v>
      </c>
      <c r="Y871" s="4">
        <v>-8.086874096439E-4</v>
      </c>
      <c r="Z871" s="4">
        <v>-0.0124721095035743</v>
      </c>
      <c r="AA871" s="4">
        <v>-0.0015246234288773</v>
      </c>
      <c r="AB871" s="4">
        <v>-7.793227059762E-4</v>
      </c>
      <c r="AC871" s="4">
        <v>0.0017762367988662</v>
      </c>
      <c r="AD871" s="4">
        <v>0.0188014700640113</v>
      </c>
      <c r="AE871" s="4">
        <v>0.0063391705442683</v>
      </c>
      <c r="AF871" s="4">
        <v>-0.0118326812449266</v>
      </c>
      <c r="AG871" s="4">
        <v>-0.0184075341465768</v>
      </c>
      <c r="AH871" s="4">
        <v>-0.0152806476633824</v>
      </c>
      <c r="AI871" s="4">
        <v>-0.0041026505785284</v>
      </c>
      <c r="AJ871" s="4">
        <v>0.012178</v>
      </c>
      <c r="AK871" s="4">
        <f>Weights!E927</f>
        <v>0.002223513896</v>
      </c>
      <c r="AL871" s="5">
        <v>0.00187074045835355</v>
      </c>
      <c r="AM871" s="5">
        <v>0.0</v>
      </c>
      <c r="AN871" s="5">
        <v>0.00396971119158107</v>
      </c>
      <c r="AO871" s="5">
        <v>0.00345329561259166</v>
      </c>
      <c r="AP871" s="6">
        <f t="shared" si="3"/>
        <v>1.576953562</v>
      </c>
      <c r="AQ871" s="4">
        <f t="shared" si="4"/>
        <v>1.369878474</v>
      </c>
      <c r="AR871" s="7">
        <f t="shared" si="5"/>
        <v>1.32816061</v>
      </c>
      <c r="AS871" s="7">
        <f t="shared" ref="AS871:AU871" si="873">AS870*(1+AM871)</f>
        <v>1.402043419</v>
      </c>
      <c r="AT871" s="5">
        <f t="shared" si="873"/>
        <v>1.311167752</v>
      </c>
      <c r="AU871" s="5">
        <f t="shared" si="873"/>
        <v>1.298114663</v>
      </c>
    </row>
    <row r="872" ht="15.75" customHeight="1">
      <c r="A872" s="3">
        <v>45093.0</v>
      </c>
      <c r="B872" s="4">
        <v>0.012987</v>
      </c>
      <c r="C872" s="4">
        <v>5.49E-4</v>
      </c>
      <c r="D872" s="4">
        <v>-0.005204</v>
      </c>
      <c r="E872" s="4">
        <v>0.001777</v>
      </c>
      <c r="F872" s="4">
        <v>0.007186</v>
      </c>
      <c r="G872" s="4">
        <v>0.003054</v>
      </c>
      <c r="H872" s="4">
        <v>0.007343</v>
      </c>
      <c r="I872" s="4">
        <v>0.006174</v>
      </c>
      <c r="J872" s="4">
        <v>0.004687</v>
      </c>
      <c r="K872" s="4">
        <v>0.002952</v>
      </c>
      <c r="L872" s="4">
        <v>0.00231</v>
      </c>
      <c r="M872" s="4">
        <v>-0.016062</v>
      </c>
      <c r="N872" s="4">
        <v>9.83E-4</v>
      </c>
      <c r="O872" s="4">
        <v>2.74E-4</v>
      </c>
      <c r="P872" s="4">
        <v>0.026464</v>
      </c>
      <c r="Q872" s="4">
        <v>-0.009259</v>
      </c>
      <c r="R872" s="4">
        <v>-0.004741</v>
      </c>
      <c r="S872" s="4">
        <v>0.004252</v>
      </c>
      <c r="T872" s="4">
        <v>0.001521</v>
      </c>
      <c r="U872" s="4">
        <v>8.0E-4</v>
      </c>
      <c r="V872" s="4">
        <v>-0.00679780209293023</v>
      </c>
      <c r="W872" s="4">
        <v>0.0294488456797703</v>
      </c>
      <c r="X872" s="4">
        <v>0.0</v>
      </c>
      <c r="Y872" s="4">
        <v>0.0152533404675911</v>
      </c>
      <c r="Z872" s="4">
        <v>0.0215832942154903</v>
      </c>
      <c r="AA872" s="4">
        <v>-0.0030539029096803</v>
      </c>
      <c r="AB872" s="4">
        <v>0.0018199460767136</v>
      </c>
      <c r="AC872" s="4">
        <v>0.0</v>
      </c>
      <c r="AD872" s="4">
        <v>0.0</v>
      </c>
      <c r="AE872" s="4">
        <v>0.0081603902106626</v>
      </c>
      <c r="AF872" s="4">
        <v>0.0083542038248918</v>
      </c>
      <c r="AG872" s="4">
        <v>0.027474829444686</v>
      </c>
      <c r="AH872" s="4">
        <v>0.0283497542851487</v>
      </c>
      <c r="AI872" s="4">
        <v>-0.0046344160479824</v>
      </c>
      <c r="AJ872" s="4">
        <v>-0.003672</v>
      </c>
      <c r="AK872" s="4">
        <f>Weights!E928</f>
        <v>0.005421343588</v>
      </c>
      <c r="AL872" s="5">
        <v>0.0123395649284578</v>
      </c>
      <c r="AM872" s="5">
        <v>0.0121873637022722</v>
      </c>
      <c r="AN872" s="5">
        <v>0.00263585503680197</v>
      </c>
      <c r="AO872" s="5">
        <v>0.0012291537064224</v>
      </c>
      <c r="AP872" s="6">
        <f t="shared" si="3"/>
        <v>1.585502769</v>
      </c>
      <c r="AQ872" s="4">
        <f t="shared" si="4"/>
        <v>1.364848281</v>
      </c>
      <c r="AR872" s="7">
        <f t="shared" si="5"/>
        <v>1.344549534</v>
      </c>
      <c r="AS872" s="7">
        <f t="shared" ref="AS872:AU872" si="874">AS871*(1+AM872)</f>
        <v>1.419130632</v>
      </c>
      <c r="AT872" s="5">
        <f t="shared" si="874"/>
        <v>1.3146238</v>
      </c>
      <c r="AU872" s="5">
        <f t="shared" si="874"/>
        <v>1.299710246</v>
      </c>
    </row>
    <row r="873" ht="15.75" customHeight="1">
      <c r="A873" s="3">
        <v>45097.0</v>
      </c>
      <c r="B873" s="4">
        <v>-0.012308</v>
      </c>
      <c r="C873" s="4">
        <v>-0.017828</v>
      </c>
      <c r="D873" s="4">
        <v>-0.001365</v>
      </c>
      <c r="E873" s="4">
        <v>-0.003924</v>
      </c>
      <c r="F873" s="4">
        <v>-0.006648</v>
      </c>
      <c r="G873" s="4">
        <v>-6.09E-4</v>
      </c>
      <c r="H873" s="4">
        <v>-0.009228</v>
      </c>
      <c r="I873" s="4">
        <v>-0.015742</v>
      </c>
      <c r="J873" s="4">
        <v>-0.00933</v>
      </c>
      <c r="K873" s="4">
        <v>-0.008993</v>
      </c>
      <c r="L873" s="4">
        <v>-0.01142</v>
      </c>
      <c r="M873" s="4">
        <v>-0.014218</v>
      </c>
      <c r="N873" s="4">
        <v>-0.010607</v>
      </c>
      <c r="O873" s="4">
        <v>-0.010181</v>
      </c>
      <c r="P873" s="4">
        <v>-0.016655</v>
      </c>
      <c r="Q873" s="4">
        <v>-0.032043</v>
      </c>
      <c r="R873" s="4">
        <v>-0.012284</v>
      </c>
      <c r="S873" s="4">
        <v>-0.041899</v>
      </c>
      <c r="T873" s="4">
        <v>-0.012483</v>
      </c>
      <c r="U873" s="4">
        <v>-0.006107</v>
      </c>
      <c r="V873" s="4">
        <v>-0.0158500794298998</v>
      </c>
      <c r="W873" s="4">
        <v>0.0</v>
      </c>
      <c r="X873" s="4">
        <v>0.0093333677538118</v>
      </c>
      <c r="Y873" s="4">
        <v>-0.0083399626921062</v>
      </c>
      <c r="Z873" s="4">
        <v>-2.768524421379E-4</v>
      </c>
      <c r="AA873" s="4">
        <v>0.0032335196366466</v>
      </c>
      <c r="AB873" s="4">
        <v>0.0036336037558721</v>
      </c>
      <c r="AC873" s="4">
        <v>0.0053097749429167</v>
      </c>
      <c r="AD873" s="4">
        <v>0.0</v>
      </c>
      <c r="AE873" s="4">
        <v>0.0066742161771555</v>
      </c>
      <c r="AF873" s="4">
        <v>0.0</v>
      </c>
      <c r="AG873" s="4">
        <v>-0.0141483541299269</v>
      </c>
      <c r="AH873" s="4">
        <v>0.0217643085044998</v>
      </c>
      <c r="AI873" s="4">
        <v>-0.0046561004465951</v>
      </c>
      <c r="AJ873" s="4">
        <v>-0.004735</v>
      </c>
      <c r="AK873" s="4">
        <f>Weights!E929</f>
        <v>-0.006157351889</v>
      </c>
      <c r="AL873" s="5">
        <v>-0.00328780555305974</v>
      </c>
      <c r="AM873" s="5">
        <v>-0.00377124141274232</v>
      </c>
      <c r="AN873" s="5">
        <v>0.00131449588910514</v>
      </c>
      <c r="AO873" s="5">
        <v>0.00196409241026462</v>
      </c>
      <c r="AP873" s="6">
        <f t="shared" si="3"/>
        <v>1.57574027</v>
      </c>
      <c r="AQ873" s="4">
        <f t="shared" si="4"/>
        <v>1.358385724</v>
      </c>
      <c r="AR873" s="7">
        <f t="shared" si="5"/>
        <v>1.340128917</v>
      </c>
      <c r="AS873" s="7">
        <f t="shared" ref="AS873:AU873" si="875">AS872*(1+AM873)</f>
        <v>1.413778748</v>
      </c>
      <c r="AT873" s="5">
        <f t="shared" si="875"/>
        <v>1.316351868</v>
      </c>
      <c r="AU873" s="5">
        <f t="shared" si="875"/>
        <v>1.302262997</v>
      </c>
    </row>
    <row r="874" ht="15.75" customHeight="1">
      <c r="A874" s="3">
        <v>45098.0</v>
      </c>
      <c r="B874" s="4">
        <v>0.005192</v>
      </c>
      <c r="C874" s="4">
        <v>5.59E-4</v>
      </c>
      <c r="D874" s="4">
        <v>0.00706</v>
      </c>
      <c r="E874" s="4">
        <v>6.48E-4</v>
      </c>
      <c r="F874" s="4">
        <v>0.002775</v>
      </c>
      <c r="G874" s="4">
        <v>-0.001523</v>
      </c>
      <c r="H874" s="4">
        <v>0.008639</v>
      </c>
      <c r="I874" s="4">
        <v>0.001084</v>
      </c>
      <c r="J874" s="4">
        <v>0.009183</v>
      </c>
      <c r="K874" s="4">
        <v>-1.65E-4</v>
      </c>
      <c r="L874" s="4">
        <v>0.003497</v>
      </c>
      <c r="M874" s="4">
        <v>-0.001068</v>
      </c>
      <c r="N874" s="4">
        <v>0.003772</v>
      </c>
      <c r="O874" s="4">
        <v>-2.77E-4</v>
      </c>
      <c r="P874" s="4">
        <v>-0.012065</v>
      </c>
      <c r="Q874" s="4">
        <v>-0.005517</v>
      </c>
      <c r="R874" s="4">
        <v>0.009391</v>
      </c>
      <c r="S874" s="4">
        <v>-0.007444</v>
      </c>
      <c r="T874" s="4">
        <v>0.015918</v>
      </c>
      <c r="U874" s="4">
        <v>3.66E-4</v>
      </c>
      <c r="V874" s="4">
        <v>-0.00915088113072559</v>
      </c>
      <c r="W874" s="4">
        <v>0.0</v>
      </c>
      <c r="X874" s="4">
        <v>-0.002641972470691</v>
      </c>
      <c r="Y874" s="4">
        <v>-0.0037104957100623</v>
      </c>
      <c r="Z874" s="4">
        <v>3.693813774332E-4</v>
      </c>
      <c r="AA874" s="4">
        <v>-0.003731946772761</v>
      </c>
      <c r="AB874" s="4">
        <v>0.004913381251614</v>
      </c>
      <c r="AC874" s="4">
        <v>0.0052816577811682</v>
      </c>
      <c r="AD874" s="4">
        <v>-0.0045455410119827</v>
      </c>
      <c r="AE874" s="4">
        <v>0.0076174603580823</v>
      </c>
      <c r="AF874" s="4">
        <v>-0.0132559829364762</v>
      </c>
      <c r="AG874" s="4">
        <v>0.0041619209256169</v>
      </c>
      <c r="AH874" s="4">
        <v>0.0</v>
      </c>
      <c r="AI874" s="4">
        <v>0.0010395767333559</v>
      </c>
      <c r="AJ874" s="4">
        <v>-0.005245</v>
      </c>
      <c r="AK874" s="4">
        <f>Weights!E930</f>
        <v>0.0008672424436</v>
      </c>
      <c r="AL874" s="5">
        <v>-0.00844799886621239</v>
      </c>
      <c r="AM874" s="5">
        <v>-0.00492556970205326</v>
      </c>
      <c r="AN874" s="5">
        <v>-0.00295376614109355</v>
      </c>
      <c r="AO874" s="5">
        <v>-0.00269534558287165</v>
      </c>
      <c r="AP874" s="6">
        <f t="shared" si="3"/>
        <v>1.577106819</v>
      </c>
      <c r="AQ874" s="4">
        <f t="shared" si="4"/>
        <v>1.351260991</v>
      </c>
      <c r="AR874" s="7">
        <f t="shared" si="5"/>
        <v>1.328807509</v>
      </c>
      <c r="AS874" s="7">
        <f t="shared" ref="AS874:AU874" si="876">AS873*(1+AM874)</f>
        <v>1.406815082</v>
      </c>
      <c r="AT874" s="5">
        <f t="shared" si="876"/>
        <v>1.312463672</v>
      </c>
      <c r="AU874" s="5">
        <f t="shared" si="876"/>
        <v>1.298752948</v>
      </c>
    </row>
    <row r="875" ht="15.75" customHeight="1">
      <c r="A875" s="3">
        <v>45099.0</v>
      </c>
      <c r="B875" s="4">
        <v>5.17E-4</v>
      </c>
      <c r="C875" s="4">
        <v>5.58E-4</v>
      </c>
      <c r="D875" s="4">
        <v>0.014699</v>
      </c>
      <c r="E875" s="4">
        <v>0.010354</v>
      </c>
      <c r="F875" s="4">
        <v>0.006837</v>
      </c>
      <c r="G875" s="4">
        <v>0.010617</v>
      </c>
      <c r="H875" s="4">
        <v>0.003413</v>
      </c>
      <c r="I875" s="4">
        <v>-0.006499</v>
      </c>
      <c r="J875" s="4">
        <v>-0.0056</v>
      </c>
      <c r="K875" s="4">
        <v>-0.013366</v>
      </c>
      <c r="L875" s="4">
        <v>-0.007076</v>
      </c>
      <c r="M875" s="4">
        <v>-0.011765</v>
      </c>
      <c r="N875" s="4">
        <v>0.00534</v>
      </c>
      <c r="O875" s="4">
        <v>-0.001061</v>
      </c>
      <c r="P875" s="4">
        <v>-0.010099</v>
      </c>
      <c r="Q875" s="4">
        <v>-0.011096</v>
      </c>
      <c r="R875" s="4">
        <v>-0.001257</v>
      </c>
      <c r="S875" s="4">
        <v>0.002578</v>
      </c>
      <c r="T875" s="4">
        <v>0.009414</v>
      </c>
      <c r="U875" s="4">
        <v>0.00234</v>
      </c>
      <c r="V875" s="4">
        <v>-0.00849655444734764</v>
      </c>
      <c r="W875" s="4">
        <v>-0.0012260849549204</v>
      </c>
      <c r="X875" s="4">
        <v>-0.0039736147673721</v>
      </c>
      <c r="Y875" s="4">
        <v>0.0083174486137223</v>
      </c>
      <c r="Z875" s="4">
        <v>0.0074721874516132</v>
      </c>
      <c r="AA875" s="4">
        <v>3.404791984462E-4</v>
      </c>
      <c r="AB875" s="4">
        <v>-0.0205867422300881</v>
      </c>
      <c r="AC875" s="4">
        <v>0.0</v>
      </c>
      <c r="AD875" s="4">
        <v>0.0148403207330596</v>
      </c>
      <c r="AE875" s="4">
        <v>0.007979746445065</v>
      </c>
      <c r="AF875" s="4">
        <v>-0.0053176619893859</v>
      </c>
      <c r="AG875" s="4">
        <v>-0.0037159322187759</v>
      </c>
      <c r="AH875" s="4">
        <v>-0.0232888438790954</v>
      </c>
      <c r="AI875" s="4">
        <v>0.0036345260289658</v>
      </c>
      <c r="AJ875" s="4">
        <v>0.003711</v>
      </c>
      <c r="AK875" s="4">
        <f>Weights!E931</f>
        <v>-0.002399909738</v>
      </c>
      <c r="AL875" s="5">
        <v>-0.00267761068150174</v>
      </c>
      <c r="AM875" s="5">
        <v>-0.00550005753664983</v>
      </c>
      <c r="AN875" s="5">
        <v>-0.00230418704176138</v>
      </c>
      <c r="AO875" s="5">
        <v>-0.00147427944952538</v>
      </c>
      <c r="AP875" s="6">
        <f t="shared" si="3"/>
        <v>1.573321905</v>
      </c>
      <c r="AQ875" s="4">
        <f t="shared" si="4"/>
        <v>1.35627552</v>
      </c>
      <c r="AR875" s="7">
        <f t="shared" si="5"/>
        <v>1.32524948</v>
      </c>
      <c r="AS875" s="7">
        <f t="shared" ref="AS875:AU875" si="877">AS874*(1+AM875)</f>
        <v>1.399077518</v>
      </c>
      <c r="AT875" s="5">
        <f t="shared" si="877"/>
        <v>1.30943951</v>
      </c>
      <c r="AU875" s="5">
        <f t="shared" si="877"/>
        <v>1.296838223</v>
      </c>
    </row>
    <row r="876" ht="15.75" customHeight="1">
      <c r="A876" s="3">
        <v>45100.0</v>
      </c>
      <c r="B876" s="4">
        <v>-0.007744</v>
      </c>
      <c r="C876" s="4">
        <v>-0.009484</v>
      </c>
      <c r="D876" s="4">
        <v>-0.010252</v>
      </c>
      <c r="E876" s="4">
        <v>-0.006832</v>
      </c>
      <c r="F876" s="4">
        <v>-0.010509</v>
      </c>
      <c r="G876" s="4">
        <v>-8.45E-4</v>
      </c>
      <c r="H876" s="4">
        <v>-0.009937</v>
      </c>
      <c r="I876" s="4">
        <v>-0.013628</v>
      </c>
      <c r="J876" s="4">
        <v>-0.014547</v>
      </c>
      <c r="K876" s="4">
        <v>-0.011039</v>
      </c>
      <c r="L876" s="4">
        <v>-0.013401</v>
      </c>
      <c r="M876" s="4">
        <v>-0.015693</v>
      </c>
      <c r="N876" s="4">
        <v>-0.00964</v>
      </c>
      <c r="O876" s="4">
        <v>-0.005773</v>
      </c>
      <c r="P876" s="4">
        <v>-0.013523</v>
      </c>
      <c r="Q876" s="4">
        <v>0.001402</v>
      </c>
      <c r="R876" s="4">
        <v>-0.033988</v>
      </c>
      <c r="S876" s="4">
        <v>-0.004208</v>
      </c>
      <c r="T876" s="4">
        <v>0.003</v>
      </c>
      <c r="U876" s="4">
        <v>-0.007077</v>
      </c>
      <c r="V876" s="4">
        <v>-0.0197466421844147</v>
      </c>
      <c r="W876" s="4">
        <v>-0.0394844661332351</v>
      </c>
      <c r="X876" s="4">
        <v>0.0053192898317904</v>
      </c>
      <c r="Y876" s="4">
        <v>-0.0030164199878653</v>
      </c>
      <c r="Z876" s="4">
        <v>2.747029685743E-4</v>
      </c>
      <c r="AA876" s="4">
        <v>-0.0049362504683905</v>
      </c>
      <c r="AB876" s="4">
        <v>-0.0039410744377553</v>
      </c>
      <c r="AC876" s="4">
        <v>-0.0017512788172069</v>
      </c>
      <c r="AD876" s="4">
        <v>0.0269964685521828</v>
      </c>
      <c r="AE876" s="4">
        <v>0.0136111616399223</v>
      </c>
      <c r="AF876" s="4">
        <v>0.0059087900664767</v>
      </c>
      <c r="AG876" s="4">
        <v>-0.0106153176147039</v>
      </c>
      <c r="AH876" s="4">
        <v>-0.0122127997157002</v>
      </c>
      <c r="AI876" s="4">
        <v>0.0051732554545358</v>
      </c>
      <c r="AJ876" s="4">
        <v>-0.007659</v>
      </c>
      <c r="AK876" s="4">
        <f>Weights!E932</f>
        <v>-0.007018963901</v>
      </c>
      <c r="AL876" s="5">
        <v>-1.6275362360274E-4</v>
      </c>
      <c r="AM876" s="5">
        <v>0.00267304625891839</v>
      </c>
      <c r="AN876" s="5">
        <v>-0.00890794310094056</v>
      </c>
      <c r="AO876" s="5">
        <v>-0.00910433141962274</v>
      </c>
      <c r="AP876" s="6">
        <f t="shared" si="3"/>
        <v>1.562278815</v>
      </c>
      <c r="AQ876" s="4">
        <f t="shared" si="4"/>
        <v>1.345887806</v>
      </c>
      <c r="AR876" s="7">
        <f t="shared" si="5"/>
        <v>1.325033791</v>
      </c>
      <c r="AS876" s="7">
        <f t="shared" ref="AS876:AU876" si="878">AS875*(1+AM876)</f>
        <v>1.402817317</v>
      </c>
      <c r="AT876" s="5">
        <f t="shared" si="878"/>
        <v>1.297775098</v>
      </c>
      <c r="AU876" s="5">
        <f t="shared" si="878"/>
        <v>1.285031378</v>
      </c>
    </row>
    <row r="877" ht="15.75" customHeight="1">
      <c r="A877" s="3">
        <v>45103.0</v>
      </c>
      <c r="B877" s="4">
        <v>-0.002081</v>
      </c>
      <c r="C877" s="4">
        <v>0.016897</v>
      </c>
      <c r="D877" s="4">
        <v>0.008331</v>
      </c>
      <c r="E877" s="4">
        <v>-0.006342</v>
      </c>
      <c r="F877" s="4">
        <v>3.27E-4</v>
      </c>
      <c r="G877" s="4">
        <v>-0.01118</v>
      </c>
      <c r="H877" s="4">
        <v>0.00101</v>
      </c>
      <c r="I877" s="4">
        <v>0.018237</v>
      </c>
      <c r="J877" s="4">
        <v>0.015714</v>
      </c>
      <c r="K877" s="4">
        <v>0.019618</v>
      </c>
      <c r="L877" s="4">
        <v>0.01326</v>
      </c>
      <c r="M877" s="4">
        <v>0.006597</v>
      </c>
      <c r="N877" s="4">
        <v>0.017282</v>
      </c>
      <c r="O877" s="4">
        <v>-0.003623</v>
      </c>
      <c r="P877" s="4">
        <v>0.028138</v>
      </c>
      <c r="Q877" s="4">
        <v>-0.005602</v>
      </c>
      <c r="R877" s="4">
        <v>0.023456</v>
      </c>
      <c r="S877" s="4">
        <v>0.00892</v>
      </c>
      <c r="T877" s="4">
        <v>0.010274</v>
      </c>
      <c r="U877" s="4">
        <v>0.012417</v>
      </c>
      <c r="V877" s="4">
        <v>0.00266063374294112</v>
      </c>
      <c r="W877" s="4">
        <v>-0.0042598309594192</v>
      </c>
      <c r="X877" s="4">
        <v>0.0</v>
      </c>
      <c r="Y877" s="4">
        <v>0.0089527240824405</v>
      </c>
      <c r="Z877" s="4">
        <v>0.0164775102398451</v>
      </c>
      <c r="AA877" s="4">
        <v>0.0090661635768041</v>
      </c>
      <c r="AB877" s="4">
        <v>0.0079134456794787</v>
      </c>
      <c r="AC877" s="4">
        <v>0.0</v>
      </c>
      <c r="AD877" s="4">
        <v>0.0</v>
      </c>
      <c r="AE877" s="4">
        <v>0.0037682052505876</v>
      </c>
      <c r="AF877" s="4">
        <v>-0.0019579815773627</v>
      </c>
      <c r="AG877" s="4">
        <v>-0.0056545957201119</v>
      </c>
      <c r="AH877" s="4">
        <v>0.0194289029425851</v>
      </c>
      <c r="AI877" s="4">
        <v>-0.003087914749334</v>
      </c>
      <c r="AJ877" s="4">
        <v>-0.004487</v>
      </c>
      <c r="AK877" s="4">
        <f>Weights!E933</f>
        <v>0.007370280904</v>
      </c>
      <c r="AL877" s="5">
        <v>-0.00895112739844139</v>
      </c>
      <c r="AM877" s="5">
        <v>-0.00827294795815591</v>
      </c>
      <c r="AN877" s="5">
        <v>-0.0019972083749824</v>
      </c>
      <c r="AO877" s="5">
        <v>-0.00273158934721384</v>
      </c>
      <c r="AP877" s="6">
        <f t="shared" si="3"/>
        <v>1.573793249</v>
      </c>
      <c r="AQ877" s="4">
        <f t="shared" si="4"/>
        <v>1.339848808</v>
      </c>
      <c r="AR877" s="7">
        <f t="shared" si="5"/>
        <v>1.313173245</v>
      </c>
      <c r="AS877" s="7">
        <f t="shared" ref="AS877:AU877" si="879">AS876*(1+AM877)</f>
        <v>1.391211883</v>
      </c>
      <c r="AT877" s="5">
        <f t="shared" si="879"/>
        <v>1.29518317</v>
      </c>
      <c r="AU877" s="5">
        <f t="shared" si="879"/>
        <v>1.2815212</v>
      </c>
    </row>
    <row r="878" ht="15.75" customHeight="1">
      <c r="A878" s="3">
        <v>45104.0</v>
      </c>
      <c r="B878" s="4">
        <v>-0.002607</v>
      </c>
      <c r="C878" s="4">
        <v>0.012185</v>
      </c>
      <c r="D878" s="4">
        <v>0.008709</v>
      </c>
      <c r="E878" s="4">
        <v>0.007193</v>
      </c>
      <c r="F878" s="4">
        <v>-0.002124</v>
      </c>
      <c r="G878" s="4">
        <v>-0.002078</v>
      </c>
      <c r="H878" s="4">
        <v>0.009488</v>
      </c>
      <c r="I878" s="4">
        <v>-0.002985</v>
      </c>
      <c r="J878" s="4">
        <v>0.003516</v>
      </c>
      <c r="K878" s="4">
        <v>0.007796</v>
      </c>
      <c r="L878" s="4">
        <v>0.011278</v>
      </c>
      <c r="M878" s="4">
        <v>0.015838</v>
      </c>
      <c r="N878" s="4">
        <v>0.003124</v>
      </c>
      <c r="O878" s="4">
        <v>-0.001818</v>
      </c>
      <c r="P878" s="4">
        <v>-0.006784</v>
      </c>
      <c r="Q878" s="4">
        <v>-0.035211</v>
      </c>
      <c r="R878" s="4">
        <v>0.02903</v>
      </c>
      <c r="S878" s="4">
        <v>-4.65E-4</v>
      </c>
      <c r="T878" s="4">
        <v>0.034756</v>
      </c>
      <c r="U878" s="4">
        <v>0.007257</v>
      </c>
      <c r="V878" s="4">
        <v>-0.00151623515154386</v>
      </c>
      <c r="W878" s="4">
        <v>0.0181818371810398</v>
      </c>
      <c r="X878" s="4">
        <v>-0.0105959894488618</v>
      </c>
      <c r="Y878" s="4">
        <v>0.0010403751661804</v>
      </c>
      <c r="Z878" s="4">
        <v>0.0056735506749872</v>
      </c>
      <c r="AA878" s="4">
        <v>-0.0054247436497516</v>
      </c>
      <c r="AB878" s="4">
        <v>0.0039257118115902</v>
      </c>
      <c r="AC878" s="4">
        <v>0.0017762367988662</v>
      </c>
      <c r="AD878" s="4">
        <v>0.0011137490762129</v>
      </c>
      <c r="AE878" s="4">
        <v>-0.0027302557032143</v>
      </c>
      <c r="AF878" s="4">
        <v>0.001961822790244</v>
      </c>
      <c r="AG878" s="4">
        <v>0.0039369178893833</v>
      </c>
      <c r="AH878" s="4">
        <v>0.0129944663895558</v>
      </c>
      <c r="AI878" s="4">
        <v>-0.0025814988329008</v>
      </c>
      <c r="AJ878" s="4">
        <v>0.011456</v>
      </c>
      <c r="AK878" s="4">
        <f>Weights!E934</f>
        <v>0.003404920367</v>
      </c>
      <c r="AL878" s="5">
        <v>-0.0020526805085298</v>
      </c>
      <c r="AM878" s="5">
        <v>-0.00348924350650814</v>
      </c>
      <c r="AN878" s="5">
        <v>-0.0060040860095536</v>
      </c>
      <c r="AO878" s="5">
        <v>-0.00622524468597263</v>
      </c>
      <c r="AP878" s="6">
        <f t="shared" si="3"/>
        <v>1.57915189</v>
      </c>
      <c r="AQ878" s="4">
        <f t="shared" si="4"/>
        <v>1.355198116</v>
      </c>
      <c r="AR878" s="7">
        <f t="shared" si="5"/>
        <v>1.310477719</v>
      </c>
      <c r="AS878" s="7">
        <f t="shared" ref="AS878:AU878" si="880">AS877*(1+AM878)</f>
        <v>1.386357606</v>
      </c>
      <c r="AT878" s="5">
        <f t="shared" si="880"/>
        <v>1.287406779</v>
      </c>
      <c r="AU878" s="5">
        <f t="shared" si="880"/>
        <v>1.273543417</v>
      </c>
    </row>
    <row r="879" ht="15.75" customHeight="1">
      <c r="A879" s="3">
        <v>45105.0</v>
      </c>
      <c r="B879" s="4">
        <v>0.00575</v>
      </c>
      <c r="C879" s="4">
        <v>0.007387</v>
      </c>
      <c r="D879" s="4">
        <v>0.006199</v>
      </c>
      <c r="E879" s="4">
        <v>-0.013532</v>
      </c>
      <c r="F879" s="4">
        <v>-0.00933</v>
      </c>
      <c r="G879" s="4">
        <v>-0.002021</v>
      </c>
      <c r="H879" s="4">
        <v>-2.0E-4</v>
      </c>
      <c r="I879" s="4">
        <v>-5.44E-4</v>
      </c>
      <c r="J879" s="4">
        <v>-0.008876</v>
      </c>
      <c r="K879" s="4">
        <v>-1.65E-4</v>
      </c>
      <c r="L879" s="4">
        <v>-0.007996</v>
      </c>
      <c r="M879" s="4">
        <v>0.00215</v>
      </c>
      <c r="N879" s="4">
        <v>-0.003893</v>
      </c>
      <c r="O879" s="4">
        <v>0.002709</v>
      </c>
      <c r="P879" s="4">
        <v>-0.030146</v>
      </c>
      <c r="Q879" s="4">
        <v>-0.008029</v>
      </c>
      <c r="R879" s="4">
        <v>-0.029448</v>
      </c>
      <c r="S879" s="4">
        <v>-0.009311</v>
      </c>
      <c r="T879" s="4">
        <v>0.002177</v>
      </c>
      <c r="U879" s="4">
        <v>5.76E-4</v>
      </c>
      <c r="V879" s="4">
        <v>0.0398632119866451</v>
      </c>
      <c r="W879" s="4">
        <v>-0.0060924082125946</v>
      </c>
      <c r="X879" s="4">
        <v>0.0</v>
      </c>
      <c r="Y879" s="4">
        <v>-0.0113093507652947</v>
      </c>
      <c r="Z879" s="4">
        <v>-8.93660488696657E-5</v>
      </c>
      <c r="AA879" s="4">
        <v>-0.0103970949289293</v>
      </c>
      <c r="AB879" s="4">
        <v>0.0023461080465789</v>
      </c>
      <c r="AC879" s="4">
        <v>0.0053191892508783</v>
      </c>
      <c r="AD879" s="4">
        <v>-0.0144604562708891</v>
      </c>
      <c r="AE879" s="4">
        <v>-0.0066387530062883</v>
      </c>
      <c r="AF879" s="4">
        <v>-0.0044754254970693</v>
      </c>
      <c r="AG879" s="4">
        <v>-0.0254175417589312</v>
      </c>
      <c r="AH879" s="4">
        <v>0.0116876080376695</v>
      </c>
      <c r="AI879" s="4">
        <v>-0.0067287353588394</v>
      </c>
      <c r="AJ879" s="4">
        <v>-3.54E-4</v>
      </c>
      <c r="AK879" s="4">
        <f>Weights!E935</f>
        <v>-0.003326511383</v>
      </c>
      <c r="AL879" s="5">
        <v>0.0103669359415956</v>
      </c>
      <c r="AM879" s="5">
        <v>0.0121853353437382</v>
      </c>
      <c r="AN879" s="5">
        <v>-0.00738257079941306</v>
      </c>
      <c r="AO879" s="5">
        <v>-0.00826838434138577</v>
      </c>
      <c r="AP879" s="6">
        <f t="shared" si="3"/>
        <v>1.573898823</v>
      </c>
      <c r="AQ879" s="4">
        <f t="shared" si="4"/>
        <v>1.354718375</v>
      </c>
      <c r="AR879" s="7">
        <f t="shared" si="5"/>
        <v>1.324063358</v>
      </c>
      <c r="AS879" s="7">
        <f t="shared" ref="AS879:AU879" si="881">AS878*(1+AM879)</f>
        <v>1.403250838</v>
      </c>
      <c r="AT879" s="5">
        <f t="shared" si="881"/>
        <v>1.277902408</v>
      </c>
      <c r="AU879" s="5">
        <f t="shared" si="881"/>
        <v>1.263013271</v>
      </c>
    </row>
    <row r="880" ht="15.75" customHeight="1">
      <c r="A880" s="3">
        <v>45106.0</v>
      </c>
      <c r="B880" s="4">
        <v>0.005198</v>
      </c>
      <c r="C880" s="4">
        <v>0.004617</v>
      </c>
      <c r="D880" s="4">
        <v>0.005501</v>
      </c>
      <c r="E880" s="4">
        <v>9.8E-4</v>
      </c>
      <c r="F880" s="4">
        <v>-0.008262</v>
      </c>
      <c r="G880" s="4">
        <v>0.006996</v>
      </c>
      <c r="H880" s="4">
        <v>-0.004067</v>
      </c>
      <c r="I880" s="4">
        <v>0.007625</v>
      </c>
      <c r="J880" s="4">
        <v>9.43E-4</v>
      </c>
      <c r="K880" s="4">
        <v>0.01251</v>
      </c>
      <c r="L880" s="4">
        <v>0.004985</v>
      </c>
      <c r="M880" s="4">
        <v>0.001609</v>
      </c>
      <c r="N880" s="4">
        <v>0.006058</v>
      </c>
      <c r="O880" s="4">
        <v>0.00722</v>
      </c>
      <c r="P880" s="4">
        <v>0.018698</v>
      </c>
      <c r="Q880" s="4">
        <v>0.00883</v>
      </c>
      <c r="R880" s="4">
        <v>0.003315</v>
      </c>
      <c r="S880" s="4">
        <v>-7.05E-4</v>
      </c>
      <c r="T880" s="4">
        <v>0.016882</v>
      </c>
      <c r="U880" s="4">
        <v>0.010081</v>
      </c>
      <c r="V880" s="4">
        <v>-0.00219053117638734</v>
      </c>
      <c r="W880" s="4">
        <v>0.0019023371910482</v>
      </c>
      <c r="X880" s="4">
        <v>0.0040159567376152</v>
      </c>
      <c r="Y880" s="4">
        <v>-0.0091510508917974</v>
      </c>
      <c r="Z880" s="4">
        <v>-0.0077915897095345</v>
      </c>
      <c r="AA880" s="4">
        <v>-0.0177403031985786</v>
      </c>
      <c r="AB880" s="4">
        <v>0.0039010999892108</v>
      </c>
      <c r="AC880" s="4">
        <v>0.0017636333994135</v>
      </c>
      <c r="AD880" s="4">
        <v>-0.0033861167677997</v>
      </c>
      <c r="AE880" s="4">
        <v>0.0027558900068593</v>
      </c>
      <c r="AF880" s="4">
        <v>0.0019667837716013</v>
      </c>
      <c r="AG880" s="4">
        <v>0.0347242142287689</v>
      </c>
      <c r="AH880" s="4">
        <v>0.0090166426109556</v>
      </c>
      <c r="AI880" s="4">
        <v>-0.0015631059330386</v>
      </c>
      <c r="AJ880" s="4">
        <v>0.004474</v>
      </c>
      <c r="AK880" s="4">
        <f>Weights!E936</f>
        <v>0.004150189531</v>
      </c>
      <c r="AL880" s="5">
        <v>1.62835838584785E-4</v>
      </c>
      <c r="AM880" s="5">
        <v>8.30358046002732E-4</v>
      </c>
      <c r="AN880" s="5">
        <v>0.0091278485916626</v>
      </c>
      <c r="AO880" s="5">
        <v>0.00859020839004642</v>
      </c>
      <c r="AP880" s="6">
        <f t="shared" si="3"/>
        <v>1.580430802</v>
      </c>
      <c r="AQ880" s="4">
        <f t="shared" si="4"/>
        <v>1.360779385</v>
      </c>
      <c r="AR880" s="7">
        <f t="shared" si="5"/>
        <v>1.324278963</v>
      </c>
      <c r="AS880" s="7">
        <f t="shared" ref="AS880:AU880" si="882">AS879*(1+AM880)</f>
        <v>1.404416038</v>
      </c>
      <c r="AT880" s="5">
        <f t="shared" si="882"/>
        <v>1.289566907</v>
      </c>
      <c r="AU880" s="5">
        <f t="shared" si="882"/>
        <v>1.273862818</v>
      </c>
    </row>
    <row r="881" ht="15.75" customHeight="1">
      <c r="A881" s="3">
        <v>45107.0</v>
      </c>
      <c r="B881" s="4">
        <v>0.006205</v>
      </c>
      <c r="C881" s="4">
        <v>0.005407</v>
      </c>
      <c r="D881" s="4">
        <v>-0.001313</v>
      </c>
      <c r="E881" s="4">
        <v>0.007287</v>
      </c>
      <c r="F881" s="4">
        <v>0.003332</v>
      </c>
      <c r="G881" s="4">
        <v>0.008653</v>
      </c>
      <c r="H881" s="4">
        <v>0.015799</v>
      </c>
      <c r="I881" s="4">
        <v>0.004054</v>
      </c>
      <c r="J881" s="4">
        <v>0.014599</v>
      </c>
      <c r="K881" s="4">
        <v>0.008129</v>
      </c>
      <c r="L881" s="4">
        <v>0.007915</v>
      </c>
      <c r="M881" s="4">
        <v>0.012855</v>
      </c>
      <c r="N881" s="4">
        <v>0.012432</v>
      </c>
      <c r="O881" s="4">
        <v>0.010498</v>
      </c>
      <c r="P881" s="4">
        <v>0.016925</v>
      </c>
      <c r="Q881" s="4">
        <v>0.008753</v>
      </c>
      <c r="R881" s="4">
        <v>0.016518</v>
      </c>
      <c r="S881" s="4">
        <v>0.016224</v>
      </c>
      <c r="T881" s="4">
        <v>0.00398</v>
      </c>
      <c r="U881" s="4">
        <v>0.018963</v>
      </c>
      <c r="V881" s="4">
        <v>0.00804964008773501</v>
      </c>
      <c r="W881" s="4">
        <v>-0.0175104655076778</v>
      </c>
      <c r="X881" s="4">
        <v>-0.001333262367655</v>
      </c>
      <c r="Y881" s="4">
        <v>0.0046801532759135</v>
      </c>
      <c r="Z881" s="4">
        <v>0.0075818505209062</v>
      </c>
      <c r="AA881" s="4">
        <v>-0.0049096241272614</v>
      </c>
      <c r="AB881" s="4">
        <v>0.0077723122774551</v>
      </c>
      <c r="AC881" s="4">
        <v>0.0017606008359705</v>
      </c>
      <c r="AD881" s="4">
        <v>0.0022650489294644</v>
      </c>
      <c r="AE881" s="4">
        <v>0.0042856844274572</v>
      </c>
      <c r="AF881" s="4">
        <v>0.0145821842486495</v>
      </c>
      <c r="AG881" s="4">
        <v>-0.0017282940240755</v>
      </c>
      <c r="AH881" s="4">
        <v>0.0187098326123185</v>
      </c>
      <c r="AI881" s="4">
        <v>0.0</v>
      </c>
      <c r="AJ881" s="4">
        <v>0.012269</v>
      </c>
      <c r="AK881" s="4">
        <f>Weights!E937</f>
        <v>0.006938993858</v>
      </c>
      <c r="AL881" s="5">
        <v>0.0029311400460914</v>
      </c>
      <c r="AM881" s="5">
        <v>0.0047931792532978</v>
      </c>
      <c r="AN881" s="5">
        <v>0.00770504495576984</v>
      </c>
      <c r="AO881" s="5">
        <v>0.00826671689461444</v>
      </c>
      <c r="AP881" s="6">
        <f t="shared" si="3"/>
        <v>1.591397401</v>
      </c>
      <c r="AQ881" s="4">
        <f t="shared" si="4"/>
        <v>1.377474788</v>
      </c>
      <c r="AR881" s="7">
        <f t="shared" si="5"/>
        <v>1.32816061</v>
      </c>
      <c r="AS881" s="7">
        <f t="shared" ref="AS881:AU881" si="883">AS880*(1+AM881)</f>
        <v>1.411147656</v>
      </c>
      <c r="AT881" s="5">
        <f t="shared" si="883"/>
        <v>1.299503078</v>
      </c>
      <c r="AU881" s="5">
        <f t="shared" si="883"/>
        <v>1.284393481</v>
      </c>
    </row>
    <row r="882" ht="15.75" customHeight="1">
      <c r="A882" s="3">
        <v>45110.0</v>
      </c>
      <c r="B882" s="4">
        <v>0.008736</v>
      </c>
      <c r="C882" s="4">
        <v>0.00242</v>
      </c>
      <c r="D882" s="4">
        <v>0.007669</v>
      </c>
      <c r="E882" s="4">
        <v>0.002052</v>
      </c>
      <c r="F882" s="4">
        <v>0.005978</v>
      </c>
      <c r="G882" s="4">
        <v>-0.01311</v>
      </c>
      <c r="H882" s="4">
        <v>0.005009</v>
      </c>
      <c r="I882" s="4">
        <v>0.004576</v>
      </c>
      <c r="J882" s="4">
        <v>0.00789</v>
      </c>
      <c r="K882" s="4">
        <v>0.012579</v>
      </c>
      <c r="L882" s="4">
        <v>0.006701</v>
      </c>
      <c r="M882" s="4">
        <v>0.001058</v>
      </c>
      <c r="N882" s="4">
        <v>0.00307</v>
      </c>
      <c r="O882" s="4">
        <v>-0.01762</v>
      </c>
      <c r="P882" s="4">
        <v>0.008908</v>
      </c>
      <c r="Q882" s="4">
        <v>0.006508</v>
      </c>
      <c r="R882" s="4">
        <v>0.019</v>
      </c>
      <c r="S882" s="4">
        <v>0.017122</v>
      </c>
      <c r="T882" s="4">
        <v>0.00994</v>
      </c>
      <c r="U882" s="4">
        <v>-0.010914</v>
      </c>
      <c r="V882" s="4">
        <v>-0.00290368696428078</v>
      </c>
      <c r="W882" s="4">
        <v>0.0092332626135209</v>
      </c>
      <c r="X882" s="4">
        <v>0.0</v>
      </c>
      <c r="Y882" s="4">
        <v>0.0024222953185664</v>
      </c>
      <c r="Z882" s="4">
        <v>-4.478206591735E-4</v>
      </c>
      <c r="AA882" s="4">
        <v>0.0044052720724301</v>
      </c>
      <c r="AB882" s="4">
        <v>0.0038558637731715</v>
      </c>
      <c r="AC882" s="4">
        <v>0.0</v>
      </c>
      <c r="AD882" s="4">
        <v>0.0</v>
      </c>
      <c r="AE882" s="4">
        <v>0.00977342097687</v>
      </c>
      <c r="AF882" s="4">
        <v>0.0013819652255591</v>
      </c>
      <c r="AG882" s="4">
        <v>0.0010097201209349</v>
      </c>
      <c r="AH882" s="4">
        <v>0.0120613789286208</v>
      </c>
      <c r="AI882" s="4">
        <v>0.0015655530583125</v>
      </c>
      <c r="AJ882" s="4">
        <v>0.001171</v>
      </c>
      <c r="AK882" s="4">
        <f>Weights!E938</f>
        <v>0.004229405013</v>
      </c>
      <c r="AL882" s="5">
        <v>0.0108783732217794</v>
      </c>
      <c r="AM882" s="5">
        <v>0.0103659094357735</v>
      </c>
      <c r="AN882" s="5">
        <v>0.00432178746852418</v>
      </c>
      <c r="AO882" s="5">
        <v>0.00397492896523377</v>
      </c>
      <c r="AP882" s="6">
        <f t="shared" si="3"/>
        <v>1.598128065</v>
      </c>
      <c r="AQ882" s="4">
        <f t="shared" si="4"/>
        <v>1.379087811</v>
      </c>
      <c r="AR882" s="7">
        <f t="shared" si="5"/>
        <v>1.342608837</v>
      </c>
      <c r="AS882" s="7">
        <f t="shared" ref="AS882:AU882" si="884">AS881*(1+AM882)</f>
        <v>1.425775485</v>
      </c>
      <c r="AT882" s="5">
        <f t="shared" si="884"/>
        <v>1.305119254</v>
      </c>
      <c r="AU882" s="5">
        <f t="shared" si="884"/>
        <v>1.289498854</v>
      </c>
    </row>
    <row r="883" ht="15.75" customHeight="1">
      <c r="A883" s="3">
        <v>45112.0</v>
      </c>
      <c r="B883" s="4">
        <v>-0.003566</v>
      </c>
      <c r="C883" s="4">
        <v>0.005365</v>
      </c>
      <c r="D883" s="4">
        <v>-0.005436</v>
      </c>
      <c r="E883" s="4">
        <v>0.00528</v>
      </c>
      <c r="F883" s="4">
        <v>0.007428</v>
      </c>
      <c r="G883" s="4">
        <v>-0.003306</v>
      </c>
      <c r="H883" s="4">
        <v>-0.001705</v>
      </c>
      <c r="I883" s="4">
        <v>-0.014201</v>
      </c>
      <c r="J883" s="4">
        <v>-0.00944</v>
      </c>
      <c r="K883" s="4">
        <v>-0.002707</v>
      </c>
      <c r="L883" s="4">
        <v>-0.004784</v>
      </c>
      <c r="M883" s="4">
        <v>-0.01215</v>
      </c>
      <c r="N883" s="4">
        <v>-0.012242</v>
      </c>
      <c r="O883" s="4">
        <v>0.008339</v>
      </c>
      <c r="P883" s="4">
        <v>-0.020678</v>
      </c>
      <c r="Q883" s="4">
        <v>-0.020115</v>
      </c>
      <c r="R883" s="4">
        <v>-0.038763</v>
      </c>
      <c r="S883" s="4">
        <v>-0.02707</v>
      </c>
      <c r="T883" s="4">
        <v>-0.031158</v>
      </c>
      <c r="U883" s="4">
        <v>-0.001061</v>
      </c>
      <c r="V883" s="4">
        <v>-0.00145616037824602</v>
      </c>
      <c r="W883" s="4">
        <v>0.0065958177704996</v>
      </c>
      <c r="X883" s="4">
        <v>-0.0026774467086562</v>
      </c>
      <c r="Y883" s="4">
        <v>0.0</v>
      </c>
      <c r="Z883" s="4">
        <v>0.0</v>
      </c>
      <c r="AA883" s="4">
        <v>0.0</v>
      </c>
      <c r="AB883" s="4">
        <v>0.0</v>
      </c>
      <c r="AC883" s="4">
        <v>0.0052724474691183</v>
      </c>
      <c r="AD883" s="4">
        <v>0.0079095681807175</v>
      </c>
      <c r="AE883" s="4">
        <v>0.0</v>
      </c>
      <c r="AF883" s="4">
        <v>-0.0046922242755402</v>
      </c>
      <c r="AG883" s="4">
        <v>5.766705838896E-4</v>
      </c>
      <c r="AH883" s="4">
        <v>0.0073131607446255</v>
      </c>
      <c r="AI883" s="4">
        <v>0.0</v>
      </c>
      <c r="AJ883" s="4">
        <v>-0.001968</v>
      </c>
      <c r="AK883" s="4">
        <f>Weights!E939</f>
        <v>-0.004523066689</v>
      </c>
      <c r="AL883" s="5">
        <v>0.0022486511134494</v>
      </c>
      <c r="AM883" s="5">
        <v>0.00299607293111692</v>
      </c>
      <c r="AN883" s="5">
        <v>0.00529640826185806</v>
      </c>
      <c r="AO883" s="5">
        <v>0.0059392380893597</v>
      </c>
      <c r="AP883" s="6">
        <f t="shared" si="3"/>
        <v>1.590899625</v>
      </c>
      <c r="AQ883" s="4">
        <f t="shared" si="4"/>
        <v>1.376373766</v>
      </c>
      <c r="AR883" s="7">
        <f t="shared" si="5"/>
        <v>1.345627896</v>
      </c>
      <c r="AS883" s="7">
        <f t="shared" ref="AS883:AU883" si="885">AS882*(1+AM883)</f>
        <v>1.430047212</v>
      </c>
      <c r="AT883" s="5">
        <f t="shared" si="885"/>
        <v>1.312031699</v>
      </c>
      <c r="AU883" s="5">
        <f t="shared" si="885"/>
        <v>1.297157495</v>
      </c>
    </row>
    <row r="884" ht="15.75" customHeight="1">
      <c r="A884" s="3">
        <v>45113.0</v>
      </c>
      <c r="B884" s="4">
        <v>-0.013292</v>
      </c>
      <c r="C884" s="4">
        <v>-0.009338</v>
      </c>
      <c r="D884" s="4">
        <v>-0.013774</v>
      </c>
      <c r="E884" s="4">
        <v>1.07E-4</v>
      </c>
      <c r="F884" s="4">
        <v>-0.007701</v>
      </c>
      <c r="G884" s="4">
        <v>-0.007432</v>
      </c>
      <c r="H884" s="4">
        <v>-0.001642</v>
      </c>
      <c r="I884" s="4">
        <v>-0.013863</v>
      </c>
      <c r="J884" s="4">
        <v>-0.014412</v>
      </c>
      <c r="K884" s="4">
        <v>-0.026988</v>
      </c>
      <c r="L884" s="4">
        <v>-0.018497</v>
      </c>
      <c r="M884" s="4">
        <v>-0.016578</v>
      </c>
      <c r="N884" s="4">
        <v>-0.016073</v>
      </c>
      <c r="O884" s="4">
        <v>-0.006653</v>
      </c>
      <c r="P884" s="4">
        <v>-0.014472</v>
      </c>
      <c r="Q884" s="4">
        <v>-0.039589</v>
      </c>
      <c r="R884" s="4">
        <v>-0.032415</v>
      </c>
      <c r="S884" s="4">
        <v>-0.03133</v>
      </c>
      <c r="T884" s="4">
        <v>-0.002057</v>
      </c>
      <c r="U884" s="4">
        <v>-0.008214</v>
      </c>
      <c r="V884" s="4">
        <v>-0.0182281922177722</v>
      </c>
      <c r="W884" s="4">
        <v>-0.0082435644200267</v>
      </c>
      <c r="X884" s="4">
        <v>-0.0053691624008261</v>
      </c>
      <c r="Y884" s="4">
        <v>-0.0325918894369317</v>
      </c>
      <c r="Z884" s="4">
        <v>-0.0433770726349673</v>
      </c>
      <c r="AA884" s="4">
        <v>-0.0059648720394945</v>
      </c>
      <c r="AB884" s="4">
        <v>0.0069140662377094</v>
      </c>
      <c r="AC884" s="4">
        <v>-0.0017483606648671</v>
      </c>
      <c r="AD884" s="4">
        <v>-0.0123318497831313</v>
      </c>
      <c r="AE884" s="4">
        <v>-0.0085882386459422</v>
      </c>
      <c r="AF884" s="4">
        <v>-0.0213533174463815</v>
      </c>
      <c r="AG884" s="4">
        <v>0.0036014064633596</v>
      </c>
      <c r="AH884" s="4">
        <v>-0.0056467185520356</v>
      </c>
      <c r="AI884" s="4">
        <v>-0.0067743179515721</v>
      </c>
      <c r="AJ884" s="4">
        <v>-0.007923</v>
      </c>
      <c r="AK884" s="4">
        <f>Weights!E940</f>
        <v>-0.01261785003</v>
      </c>
      <c r="AL884" s="5">
        <v>-0.00512817978178192</v>
      </c>
      <c r="AM884" s="5">
        <v>-0.00303243315149681</v>
      </c>
      <c r="AN884" s="5">
        <v>0.0118537693905338</v>
      </c>
      <c r="AO884" s="5">
        <v>0.0123445341338108</v>
      </c>
      <c r="AP884" s="6">
        <f t="shared" si="3"/>
        <v>1.570825893</v>
      </c>
      <c r="AQ884" s="4">
        <f t="shared" si="4"/>
        <v>1.365468757</v>
      </c>
      <c r="AR884" s="7">
        <f t="shared" si="5"/>
        <v>1.338727274</v>
      </c>
      <c r="AS884" s="7">
        <f t="shared" ref="AS884:AU884" si="886">AS883*(1+AM884)</f>
        <v>1.42571069</v>
      </c>
      <c r="AT884" s="5">
        <f t="shared" si="886"/>
        <v>1.32758422</v>
      </c>
      <c r="AU884" s="5">
        <f t="shared" si="886"/>
        <v>1.3131703</v>
      </c>
    </row>
    <row r="885" ht="15.75" customHeight="1">
      <c r="A885" s="3">
        <v>45114.0</v>
      </c>
      <c r="B885" s="4">
        <v>0.004663</v>
      </c>
      <c r="C885" s="4">
        <v>-0.033127</v>
      </c>
      <c r="D885" s="4">
        <v>0.005099</v>
      </c>
      <c r="E885" s="4">
        <v>-0.018864</v>
      </c>
      <c r="F885" s="4">
        <v>-0.01321</v>
      </c>
      <c r="G885" s="4">
        <v>-0.014542</v>
      </c>
      <c r="H885" s="4">
        <v>-0.020988</v>
      </c>
      <c r="I885" s="4">
        <v>0.003859</v>
      </c>
      <c r="J885" s="4">
        <v>-0.005896</v>
      </c>
      <c r="K885" s="4">
        <v>0.011169</v>
      </c>
      <c r="L885" s="4">
        <v>0.006388</v>
      </c>
      <c r="M885" s="4">
        <v>0.007613</v>
      </c>
      <c r="N885" s="4">
        <v>0.002558</v>
      </c>
      <c r="O885" s="4">
        <v>0.003721</v>
      </c>
      <c r="P885" s="4">
        <v>0.016851</v>
      </c>
      <c r="Q885" s="4">
        <v>0.010687</v>
      </c>
      <c r="R885" s="4">
        <v>0.019256</v>
      </c>
      <c r="S885" s="4">
        <v>0.003379</v>
      </c>
      <c r="T885" s="4">
        <v>0.011429</v>
      </c>
      <c r="U885" s="4">
        <v>-0.008996</v>
      </c>
      <c r="V885" s="4">
        <v>-0.030820661006652</v>
      </c>
      <c r="W885" s="4">
        <v>-0.0287723478273725</v>
      </c>
      <c r="X885" s="4">
        <v>-0.0107961843195382</v>
      </c>
      <c r="Y885" s="4">
        <v>-0.0142187128887475</v>
      </c>
      <c r="Z885" s="4">
        <v>-0.0220160780043431</v>
      </c>
      <c r="AA885" s="4">
        <v>-0.0012355531435751</v>
      </c>
      <c r="AB885" s="4">
        <v>-0.0094098148386837</v>
      </c>
      <c r="AC885" s="4">
        <v>0.0052539804179831</v>
      </c>
      <c r="AD885" s="4">
        <v>-0.0079455759113614</v>
      </c>
      <c r="AE885" s="4">
        <v>-0.0147130966533667</v>
      </c>
      <c r="AF885" s="4">
        <v>-0.0167186445660426</v>
      </c>
      <c r="AG885" s="4">
        <v>-0.0122003013507917</v>
      </c>
      <c r="AH885" s="4">
        <v>0.0056787850529471</v>
      </c>
      <c r="AI885" s="4">
        <v>-0.0016312741114495</v>
      </c>
      <c r="AJ885" s="4">
        <v>-0.002865</v>
      </c>
      <c r="AK885" s="4">
        <f>Weights!E941</f>
        <v>-0.004596397575</v>
      </c>
      <c r="AL885" s="5">
        <v>-0.0111952972004147</v>
      </c>
      <c r="AM885" s="5">
        <v>-0.00889815800566506</v>
      </c>
      <c r="AN885" s="5">
        <v>0.00260326092408114</v>
      </c>
      <c r="AO885" s="5">
        <v>0.00293822669134247</v>
      </c>
      <c r="AP885" s="6">
        <f t="shared" si="3"/>
        <v>1.563605752</v>
      </c>
      <c r="AQ885" s="4">
        <f t="shared" si="4"/>
        <v>1.361556689</v>
      </c>
      <c r="AR885" s="7">
        <f t="shared" si="5"/>
        <v>1.323739824</v>
      </c>
      <c r="AS885" s="7">
        <f t="shared" ref="AS885:AU885" si="887">AS884*(1+AM885)</f>
        <v>1.413024491</v>
      </c>
      <c r="AT885" s="5">
        <f t="shared" si="887"/>
        <v>1.331040268</v>
      </c>
      <c r="AU885" s="5">
        <f t="shared" si="887"/>
        <v>1.317028692</v>
      </c>
    </row>
    <row r="886" ht="15.75" customHeight="1">
      <c r="A886" s="3">
        <v>45117.0</v>
      </c>
      <c r="B886" s="4">
        <v>-0.012893</v>
      </c>
      <c r="C886" s="4">
        <v>-0.02117</v>
      </c>
      <c r="D886" s="4">
        <v>-0.024261</v>
      </c>
      <c r="E886" s="4">
        <v>0.006664</v>
      </c>
      <c r="F886" s="4">
        <v>-0.00753</v>
      </c>
      <c r="G886" s="4">
        <v>0.001633</v>
      </c>
      <c r="H886" s="4">
        <v>4.03E-4</v>
      </c>
      <c r="I886" s="4">
        <v>-0.006864</v>
      </c>
      <c r="J886" s="4">
        <v>-0.015896</v>
      </c>
      <c r="K886" s="4">
        <v>0.002463</v>
      </c>
      <c r="L886" s="4">
        <v>-0.00201</v>
      </c>
      <c r="M886" s="4">
        <v>-0.009174</v>
      </c>
      <c r="N886" s="4">
        <v>-0.008834</v>
      </c>
      <c r="O886" s="4">
        <v>0.003753</v>
      </c>
      <c r="P886" s="4">
        <v>0.008759</v>
      </c>
      <c r="Q886" s="4">
        <v>0.009819</v>
      </c>
      <c r="R886" s="4">
        <v>0.008799</v>
      </c>
      <c r="S886" s="4">
        <v>0.016598</v>
      </c>
      <c r="T886" s="4">
        <v>0.013646</v>
      </c>
      <c r="U886" s="4">
        <v>-7.93E-4</v>
      </c>
      <c r="V886" s="4">
        <v>0.00727963848130852</v>
      </c>
      <c r="W886" s="4">
        <v>-0.0050471563555031</v>
      </c>
      <c r="X886" s="4">
        <v>-0.0068212451791591</v>
      </c>
      <c r="Y886" s="4">
        <v>0.0073417793249273</v>
      </c>
      <c r="Z886" s="4">
        <v>0.0050771427207851</v>
      </c>
      <c r="AA886" s="4">
        <v>-0.0114860316455359</v>
      </c>
      <c r="AB886" s="4">
        <v>-7.704393159924E-4</v>
      </c>
      <c r="AC886" s="4">
        <v>0.008710843434748</v>
      </c>
      <c r="AD886" s="4">
        <v>-0.0240274484897626</v>
      </c>
      <c r="AE886" s="4">
        <v>0.0115833523466815</v>
      </c>
      <c r="AF886" s="4">
        <v>-0.0161383232164576</v>
      </c>
      <c r="AG886" s="4">
        <v>-0.0167103164550187</v>
      </c>
      <c r="AH886" s="4">
        <v>0.0255444441003969</v>
      </c>
      <c r="AI886" s="4">
        <v>-0.0021084976548187</v>
      </c>
      <c r="AJ886" s="4">
        <v>0.002405</v>
      </c>
      <c r="AK886" s="4">
        <f>Weights!E942</f>
        <v>-0.00151576201</v>
      </c>
      <c r="AL886" s="5">
        <v>8.1463257933767E-4</v>
      </c>
      <c r="AM886" s="5">
        <v>-0.00123674277448382</v>
      </c>
      <c r="AN886" s="5">
        <v>-0.00519313388916131</v>
      </c>
      <c r="AO886" s="5">
        <v>-0.00585943382482423</v>
      </c>
      <c r="AP886" s="6">
        <f t="shared" si="3"/>
        <v>1.561235698</v>
      </c>
      <c r="AQ886" s="4">
        <f t="shared" si="4"/>
        <v>1.364831232</v>
      </c>
      <c r="AR886" s="7">
        <f t="shared" si="5"/>
        <v>1.324818186</v>
      </c>
      <c r="AS886" s="7">
        <f t="shared" ref="AS886:AU886" si="888">AS885*(1+AM886)</f>
        <v>1.411276943</v>
      </c>
      <c r="AT886" s="5">
        <f t="shared" si="888"/>
        <v>1.324127998</v>
      </c>
      <c r="AU886" s="5">
        <f t="shared" si="888"/>
        <v>1.309311649</v>
      </c>
    </row>
    <row r="887" ht="15.75" customHeight="1">
      <c r="A887" s="3">
        <v>45118.0</v>
      </c>
      <c r="B887" s="4">
        <v>-5.22E-4</v>
      </c>
      <c r="C887" s="4">
        <v>-0.004269</v>
      </c>
      <c r="D887" s="4">
        <v>0.009946</v>
      </c>
      <c r="E887" s="4">
        <v>-0.001736</v>
      </c>
      <c r="F887" s="4">
        <v>0.003541</v>
      </c>
      <c r="G887" s="4">
        <v>-0.005517</v>
      </c>
      <c r="H887" s="4">
        <v>-0.00524</v>
      </c>
      <c r="I887" s="4">
        <v>0.006082</v>
      </c>
      <c r="J887" s="4">
        <v>0.010125</v>
      </c>
      <c r="K887" s="4">
        <v>0.008355</v>
      </c>
      <c r="L887" s="4">
        <v>0.007951</v>
      </c>
      <c r="M887" s="4">
        <v>0.010893</v>
      </c>
      <c r="N887" s="4">
        <v>-1.98E-4</v>
      </c>
      <c r="O887" s="4">
        <v>0.001385</v>
      </c>
      <c r="P887" s="4">
        <v>0.016428</v>
      </c>
      <c r="Q887" s="4">
        <v>0.02543</v>
      </c>
      <c r="R887" s="4">
        <v>0.018728</v>
      </c>
      <c r="S887" s="4">
        <v>-0.004496</v>
      </c>
      <c r="T887" s="4">
        <v>0.025463</v>
      </c>
      <c r="U887" s="4">
        <v>-4.33E-4</v>
      </c>
      <c r="V887" s="4">
        <v>-3.80379692146992E-4</v>
      </c>
      <c r="W887" s="4">
        <v>0.0227172475111361</v>
      </c>
      <c r="X887" s="4">
        <v>0.0</v>
      </c>
      <c r="Y887" s="4">
        <v>7.74209999381E-4</v>
      </c>
      <c r="Z887" s="4">
        <v>0.0</v>
      </c>
      <c r="AA887" s="4">
        <v>0.0078655844357835</v>
      </c>
      <c r="AB887" s="4">
        <v>0.007965099515367</v>
      </c>
      <c r="AC887" s="4">
        <v>0.0</v>
      </c>
      <c r="AD887" s="4">
        <v>0.0</v>
      </c>
      <c r="AE887" s="4">
        <v>0.0101400985156936</v>
      </c>
      <c r="AF887" s="4">
        <v>0.0155243435056873</v>
      </c>
      <c r="AG887" s="4">
        <v>-4.433715469893E-4</v>
      </c>
      <c r="AH887" s="4">
        <v>-0.0010487542253818</v>
      </c>
      <c r="AI887" s="4">
        <v>-0.0015850943624283</v>
      </c>
      <c r="AJ887" s="4">
        <v>0.006742</v>
      </c>
      <c r="AK887" s="4">
        <f>Weights!E943</f>
        <v>0.005163048024</v>
      </c>
      <c r="AL887" s="5">
        <v>0.00309262653829045</v>
      </c>
      <c r="AM887" s="5">
        <v>0.00435702355640721</v>
      </c>
      <c r="AN887" s="5">
        <v>-0.0153343661285246</v>
      </c>
      <c r="AO887" s="5">
        <v>-0.0137524302038929</v>
      </c>
      <c r="AP887" s="6">
        <f t="shared" si="3"/>
        <v>1.569296433</v>
      </c>
      <c r="AQ887" s="4">
        <f t="shared" si="4"/>
        <v>1.374032925</v>
      </c>
      <c r="AR887" s="7">
        <f t="shared" si="5"/>
        <v>1.328915354</v>
      </c>
      <c r="AS887" s="7">
        <f t="shared" ref="AS887:AU887" si="889">AS886*(1+AM887)</f>
        <v>1.41742591</v>
      </c>
      <c r="AT887" s="5">
        <f t="shared" si="889"/>
        <v>1.303823334</v>
      </c>
      <c r="AU887" s="5">
        <f t="shared" si="889"/>
        <v>1.291305432</v>
      </c>
    </row>
    <row r="888" ht="15.75" customHeight="1">
      <c r="A888" s="3">
        <v>45119.0</v>
      </c>
      <c r="B888" s="4">
        <v>0.005227</v>
      </c>
      <c r="C888" s="4">
        <v>-0.003715</v>
      </c>
      <c r="D888" s="4">
        <v>-0.001567</v>
      </c>
      <c r="E888" s="4">
        <v>-0.004403</v>
      </c>
      <c r="F888" s="4">
        <v>0.005376</v>
      </c>
      <c r="G888" s="4">
        <v>-0.003467</v>
      </c>
      <c r="H888" s="4">
        <v>0.0052</v>
      </c>
      <c r="I888" s="4">
        <v>0.012641</v>
      </c>
      <c r="J888" s="4">
        <v>0.019332</v>
      </c>
      <c r="K888" s="4">
        <v>0.01121</v>
      </c>
      <c r="L888" s="4">
        <v>0.00631</v>
      </c>
      <c r="M888" s="4">
        <v>0.005388</v>
      </c>
      <c r="N888" s="4">
        <v>0.006537</v>
      </c>
      <c r="O888" s="4">
        <v>-1.38E-4</v>
      </c>
      <c r="P888" s="4">
        <v>0.04387</v>
      </c>
      <c r="Q888" s="4">
        <v>0.086798</v>
      </c>
      <c r="R888" s="4">
        <v>0.025434</v>
      </c>
      <c r="S888" s="4">
        <v>0.048253</v>
      </c>
      <c r="T888" s="4">
        <v>0.007901</v>
      </c>
      <c r="U888" s="4">
        <v>0.003967</v>
      </c>
      <c r="V888" s="4">
        <v>0.0140792182351325</v>
      </c>
      <c r="W888" s="4">
        <v>0.0</v>
      </c>
      <c r="X888" s="4">
        <v>0.0</v>
      </c>
      <c r="Y888" s="4">
        <v>0.0056714040343273</v>
      </c>
      <c r="Z888" s="4">
        <v>0.0</v>
      </c>
      <c r="AA888" s="4">
        <v>1.772975156963E-4</v>
      </c>
      <c r="AB888" s="4">
        <v>0.0089219726725739</v>
      </c>
      <c r="AC888" s="4">
        <v>0.0103985493205924</v>
      </c>
      <c r="AD888" s="4">
        <v>-0.0024095116766966</v>
      </c>
      <c r="AE888" s="4">
        <v>8.194482934809E-4</v>
      </c>
      <c r="AF888" s="4">
        <v>0.0</v>
      </c>
      <c r="AG888" s="4">
        <v>0.0</v>
      </c>
      <c r="AH888" s="4">
        <v>0.0</v>
      </c>
      <c r="AI888" s="4">
        <v>0.0037039182332039</v>
      </c>
      <c r="AJ888" s="4">
        <v>0.007411</v>
      </c>
      <c r="AK888" s="4">
        <f>Weights!E944</f>
        <v>0.008709547897</v>
      </c>
      <c r="AL888" s="5">
        <v>0.00754564628518394</v>
      </c>
      <c r="AM888" s="5">
        <v>0.00785426194887151</v>
      </c>
      <c r="AN888" s="5">
        <v>6.62825894683027E-4</v>
      </c>
      <c r="AO888" s="5">
        <v>0.00124504079927567</v>
      </c>
      <c r="AP888" s="6">
        <f t="shared" si="3"/>
        <v>1.582964295</v>
      </c>
      <c r="AQ888" s="4">
        <f t="shared" si="4"/>
        <v>1.384215883</v>
      </c>
      <c r="AR888" s="7">
        <f t="shared" si="5"/>
        <v>1.338942879</v>
      </c>
      <c r="AS888" s="7">
        <f t="shared" ref="AS888:AU888" si="890">AS887*(1+AM888)</f>
        <v>1.428558744</v>
      </c>
      <c r="AT888" s="5">
        <f t="shared" si="890"/>
        <v>1.304687542</v>
      </c>
      <c r="AU888" s="5">
        <f t="shared" si="890"/>
        <v>1.29291316</v>
      </c>
    </row>
    <row r="889" ht="15.75" customHeight="1">
      <c r="A889" s="3">
        <v>45120.0</v>
      </c>
      <c r="B889" s="4">
        <v>0.013001</v>
      </c>
      <c r="C889" s="4">
        <v>-0.006311</v>
      </c>
      <c r="D889" s="4">
        <v>0.016588</v>
      </c>
      <c r="E889" s="4">
        <v>0.023803</v>
      </c>
      <c r="F889" s="4">
        <v>0.008523</v>
      </c>
      <c r="G889" s="4">
        <v>0.004618</v>
      </c>
      <c r="H889" s="4">
        <v>6.72E-4</v>
      </c>
      <c r="I889" s="4">
        <v>0.013026</v>
      </c>
      <c r="J889" s="4">
        <v>0.014517</v>
      </c>
      <c r="K889" s="4">
        <v>0.020084</v>
      </c>
      <c r="L889" s="4">
        <v>0.015677</v>
      </c>
      <c r="M889" s="4">
        <v>0.017685</v>
      </c>
      <c r="N889" s="4">
        <v>0.009447</v>
      </c>
      <c r="O889" s="4">
        <v>0.008346</v>
      </c>
      <c r="P889" s="4">
        <v>0.005751</v>
      </c>
      <c r="Q889" s="4">
        <v>0.009396</v>
      </c>
      <c r="R889" s="4">
        <v>0.033399</v>
      </c>
      <c r="S889" s="4">
        <v>0.011565</v>
      </c>
      <c r="T889" s="4">
        <v>-0.002416</v>
      </c>
      <c r="U889" s="4">
        <v>0.013939</v>
      </c>
      <c r="V889" s="4">
        <v>0.0521575368330438</v>
      </c>
      <c r="W889" s="4">
        <v>-0.0230752601352889</v>
      </c>
      <c r="X889" s="4">
        <v>-0.00693477490189</v>
      </c>
      <c r="Y889" s="4">
        <v>-0.0039092747972946</v>
      </c>
      <c r="Z889" s="4">
        <v>0.0</v>
      </c>
      <c r="AA889" s="4">
        <v>-0.0026599011373841</v>
      </c>
      <c r="AB889" s="4">
        <v>-0.0099847544789893</v>
      </c>
      <c r="AC889" s="4">
        <v>0.0154373689728941</v>
      </c>
      <c r="AD889" s="4">
        <v>0.0144927005632753</v>
      </c>
      <c r="AE889" s="4">
        <v>-0.0012283008664247</v>
      </c>
      <c r="AF889" s="4">
        <v>-0.0043265344130404</v>
      </c>
      <c r="AG889" s="4">
        <v>-0.0072443020755796</v>
      </c>
      <c r="AH889" s="4">
        <v>-0.0288713639758156</v>
      </c>
      <c r="AI889" s="4">
        <v>0.0010541405549613</v>
      </c>
      <c r="AJ889" s="4">
        <v>0.00847</v>
      </c>
      <c r="AK889" s="4">
        <f>Weights!E945</f>
        <v>0.005756173698</v>
      </c>
      <c r="AL889" s="5">
        <v>0.0108713161862894</v>
      </c>
      <c r="AM889" s="5">
        <v>0.00765698205823151</v>
      </c>
      <c r="AN889" s="5">
        <v>-0.00198682698087293</v>
      </c>
      <c r="AO889" s="5">
        <v>-9.94953976383161E-4</v>
      </c>
      <c r="AP889" s="6">
        <f t="shared" si="3"/>
        <v>1.592076113</v>
      </c>
      <c r="AQ889" s="4">
        <f t="shared" si="4"/>
        <v>1.395940191</v>
      </c>
      <c r="AR889" s="7">
        <f t="shared" si="5"/>
        <v>1.35349895</v>
      </c>
      <c r="AS889" s="7">
        <f t="shared" ref="AS889:AU889" si="891">AS888*(1+AM889)</f>
        <v>1.439497193</v>
      </c>
      <c r="AT889" s="5">
        <f t="shared" si="891"/>
        <v>1.302095354</v>
      </c>
      <c r="AU889" s="5">
        <f t="shared" si="891"/>
        <v>1.291626771</v>
      </c>
    </row>
    <row r="890" ht="15.75" customHeight="1">
      <c r="A890" s="3">
        <v>45121.0</v>
      </c>
      <c r="B890" s="4">
        <v>-0.056981</v>
      </c>
      <c r="C890" s="4">
        <v>-0.018187</v>
      </c>
      <c r="D890" s="4">
        <v>-0.01742</v>
      </c>
      <c r="E890" s="4">
        <v>0.003626</v>
      </c>
      <c r="F890" s="4">
        <v>0.009114</v>
      </c>
      <c r="G890" s="4">
        <v>0.006675</v>
      </c>
      <c r="H890" s="4">
        <v>0.007385</v>
      </c>
      <c r="I890" s="4">
        <v>-0.014734</v>
      </c>
      <c r="J890" s="4">
        <v>4.61E-4</v>
      </c>
      <c r="K890" s="4">
        <v>-9.45E-4</v>
      </c>
      <c r="L890" s="4">
        <v>-0.003293</v>
      </c>
      <c r="M890" s="4">
        <v>-0.006846</v>
      </c>
      <c r="N890" s="4">
        <v>-0.003899</v>
      </c>
      <c r="O890" s="4">
        <v>0.016736</v>
      </c>
      <c r="P890" s="4">
        <v>-0.010776</v>
      </c>
      <c r="Q890" s="4">
        <v>0.021277</v>
      </c>
      <c r="R890" s="4">
        <v>-0.023764</v>
      </c>
      <c r="S890" s="4">
        <v>0.002466</v>
      </c>
      <c r="T890" s="4">
        <v>-0.014711</v>
      </c>
      <c r="U890" s="4">
        <v>0.002126</v>
      </c>
      <c r="V890" s="4">
        <v>0.00213975213093187</v>
      </c>
      <c r="W890" s="4">
        <v>-0.0183222088667753</v>
      </c>
      <c r="X890" s="4">
        <v>-0.0125698300709337</v>
      </c>
      <c r="Y890" s="4">
        <v>-0.0152478259373699</v>
      </c>
      <c r="Z890" s="4">
        <v>-0.01410593527354</v>
      </c>
      <c r="AA890" s="4">
        <v>-0.0048009256408443</v>
      </c>
      <c r="AB890" s="4">
        <v>-0.0062062216400328</v>
      </c>
      <c r="AC890" s="4">
        <v>-0.0084459176814803</v>
      </c>
      <c r="AD890" s="4">
        <v>0.0297618391250749</v>
      </c>
      <c r="AE890" s="4">
        <v>0.0094275193296347</v>
      </c>
      <c r="AF890" s="4">
        <v>-0.0182502923513252</v>
      </c>
      <c r="AG890" s="4">
        <v>0.0131048986125641</v>
      </c>
      <c r="AH890" s="4">
        <v>-0.0170270170130985</v>
      </c>
      <c r="AI890" s="4">
        <v>0.0047391780997341</v>
      </c>
      <c r="AJ890" s="4">
        <v>-0.001024</v>
      </c>
      <c r="AK890" s="4">
        <f>Weights!E946</f>
        <v>-0.004366357634</v>
      </c>
      <c r="AL890" s="5">
        <v>0.0115510608915592</v>
      </c>
      <c r="AM890" s="5">
        <v>0.00845333067572551</v>
      </c>
      <c r="AN890" s="5">
        <v>0.00232233427549344</v>
      </c>
      <c r="AO890" s="5">
        <v>0.00323642077251351</v>
      </c>
      <c r="AP890" s="6">
        <f t="shared" si="3"/>
        <v>1.585124539</v>
      </c>
      <c r="AQ890" s="4">
        <f t="shared" si="4"/>
        <v>1.394510748</v>
      </c>
      <c r="AR890" s="7">
        <f t="shared" si="5"/>
        <v>1.369133299</v>
      </c>
      <c r="AS890" s="7">
        <f t="shared" ref="AS890:AU890" si="892">AS889*(1+AM890)</f>
        <v>1.451665739</v>
      </c>
      <c r="AT890" s="5">
        <f t="shared" si="892"/>
        <v>1.305119254</v>
      </c>
      <c r="AU890" s="5">
        <f t="shared" si="892"/>
        <v>1.295807019</v>
      </c>
    </row>
    <row r="891" ht="15.75" customHeight="1">
      <c r="A891" s="3">
        <v>45124.0</v>
      </c>
      <c r="B891" s="4">
        <v>-0.013065</v>
      </c>
      <c r="C891" s="4">
        <v>-0.074978</v>
      </c>
      <c r="D891" s="4">
        <v>-0.013914</v>
      </c>
      <c r="E891" s="4">
        <v>-0.013708</v>
      </c>
      <c r="F891" s="4">
        <v>-0.001478</v>
      </c>
      <c r="G891" s="4">
        <v>-0.005004</v>
      </c>
      <c r="H891" s="4">
        <v>-0.007064</v>
      </c>
      <c r="I891" s="4">
        <v>-0.008157</v>
      </c>
      <c r="J891" s="4">
        <v>-0.011765</v>
      </c>
      <c r="K891" s="4">
        <v>0.007252</v>
      </c>
      <c r="L891" s="4">
        <v>0.010221</v>
      </c>
      <c r="M891" s="4">
        <v>0.019618</v>
      </c>
      <c r="N891" s="4">
        <v>0.009395</v>
      </c>
      <c r="O891" s="4">
        <v>-0.007106</v>
      </c>
      <c r="P891" s="4">
        <v>-0.008004</v>
      </c>
      <c r="Q891" s="4">
        <v>6.51E-4</v>
      </c>
      <c r="R891" s="4">
        <v>-0.015093</v>
      </c>
      <c r="S891" s="4">
        <v>-0.006485</v>
      </c>
      <c r="T891" s="4">
        <v>0.003957</v>
      </c>
      <c r="U891" s="4">
        <v>4.24E-4</v>
      </c>
      <c r="V891" s="4">
        <v>-7.11756764862125E-4</v>
      </c>
      <c r="W891" s="4">
        <v>0.034180290941951</v>
      </c>
      <c r="X891" s="4">
        <v>0.0226308678270812</v>
      </c>
      <c r="Y891" s="4">
        <v>0.0111719319377481</v>
      </c>
      <c r="Z891" s="4">
        <v>-0.0078307818147302</v>
      </c>
      <c r="AA891" s="4">
        <v>-8.935161299636E-4</v>
      </c>
      <c r="AB891" s="4">
        <v>0.0020815529382902</v>
      </c>
      <c r="AC891" s="4">
        <v>0.0221465589592508</v>
      </c>
      <c r="AD891" s="4">
        <v>-0.0231213377651372</v>
      </c>
      <c r="AE891" s="4">
        <v>-0.0107606282997294</v>
      </c>
      <c r="AF891" s="4">
        <v>0.0123930141168222</v>
      </c>
      <c r="AG891" s="4">
        <v>0.0124945969724998</v>
      </c>
      <c r="AH891" s="4">
        <v>-0.0079736164970708</v>
      </c>
      <c r="AI891" s="4">
        <v>0.0041932230462458</v>
      </c>
      <c r="AJ891" s="4">
        <v>0.003855</v>
      </c>
      <c r="AK891" s="4">
        <f>Weights!E947</f>
        <v>0.0001595143431</v>
      </c>
      <c r="AL891" s="5">
        <v>-0.00267763711222501</v>
      </c>
      <c r="AM891" s="5">
        <v>-0.00147142381001963</v>
      </c>
      <c r="AN891" s="5">
        <v>0.0092686144228391</v>
      </c>
      <c r="AO891" s="5">
        <v>0.00967734215850413</v>
      </c>
      <c r="AP891" s="6">
        <f t="shared" si="3"/>
        <v>1.585377389</v>
      </c>
      <c r="AQ891" s="4">
        <f t="shared" si="4"/>
        <v>1.399886587</v>
      </c>
      <c r="AR891" s="7">
        <f t="shared" si="5"/>
        <v>1.365467257</v>
      </c>
      <c r="AS891" s="7">
        <f t="shared" ref="AS891:AU891" si="893">AS890*(1+AM891)</f>
        <v>1.449529723</v>
      </c>
      <c r="AT891" s="5">
        <f t="shared" si="893"/>
        <v>1.317215902</v>
      </c>
      <c r="AU891" s="5">
        <f t="shared" si="893"/>
        <v>1.308346987</v>
      </c>
    </row>
    <row r="892" ht="15.75" customHeight="1">
      <c r="A892" s="3">
        <v>45125.0</v>
      </c>
      <c r="B892" s="4">
        <v>-0.003309</v>
      </c>
      <c r="C892" s="4">
        <v>0.025747</v>
      </c>
      <c r="D892" s="4">
        <v>0.020255</v>
      </c>
      <c r="E892" s="4">
        <v>-0.006357</v>
      </c>
      <c r="F892" s="4">
        <v>-0.003947</v>
      </c>
      <c r="G892" s="4">
        <v>-6.3E-5</v>
      </c>
      <c r="H892" s="4">
        <v>0.001879</v>
      </c>
      <c r="I892" s="4">
        <v>0.004112</v>
      </c>
      <c r="J892" s="4">
        <v>-0.006769</v>
      </c>
      <c r="K892" s="4">
        <v>0.01033</v>
      </c>
      <c r="L892" s="4">
        <v>0.00603</v>
      </c>
      <c r="M892" s="4">
        <v>0.0026</v>
      </c>
      <c r="N892" s="4">
        <v>0.005429</v>
      </c>
      <c r="O892" s="4">
        <v>0.001585</v>
      </c>
      <c r="P892" s="4">
        <v>0.008068</v>
      </c>
      <c r="Q892" s="4">
        <v>0.033182</v>
      </c>
      <c r="R892" s="4">
        <v>-0.001236</v>
      </c>
      <c r="S892" s="4">
        <v>0.011029</v>
      </c>
      <c r="T892" s="4">
        <v>0.022995</v>
      </c>
      <c r="U892" s="4">
        <v>-0.010673</v>
      </c>
      <c r="V892" s="4">
        <v>-0.0206551260458002</v>
      </c>
      <c r="W892" s="4">
        <v>0.0515328018382448</v>
      </c>
      <c r="X892" s="4">
        <v>0.0</v>
      </c>
      <c r="Y892" s="4">
        <v>0.0207403323064165</v>
      </c>
      <c r="Z892" s="4">
        <v>0.0295236142025774</v>
      </c>
      <c r="AA892" s="4">
        <v>0.0112662920844044</v>
      </c>
      <c r="AB892" s="4">
        <v>0.0080498091403837</v>
      </c>
      <c r="AC892" s="4">
        <v>0.0</v>
      </c>
      <c r="AD892" s="4">
        <v>0.0</v>
      </c>
      <c r="AE892" s="4">
        <v>0.0131353244726581</v>
      </c>
      <c r="AF892" s="4">
        <v>0.0390556947706941</v>
      </c>
      <c r="AG892" s="4">
        <v>0.0161149658610133</v>
      </c>
      <c r="AH892" s="4">
        <v>0.0230044190037317</v>
      </c>
      <c r="AI892" s="4">
        <v>-0.0046973425212677</v>
      </c>
      <c r="AJ892" s="4">
        <v>0.007117</v>
      </c>
      <c r="AK892" s="4">
        <f>Weights!E948</f>
        <v>0.008381257041</v>
      </c>
      <c r="AL892" s="5">
        <v>0.00221100787333616</v>
      </c>
      <c r="AM892" s="5">
        <v>0.00379559270384022</v>
      </c>
      <c r="AN892" s="5">
        <v>0.0118071161853006</v>
      </c>
      <c r="AO892" s="5">
        <v>0.010321902858825</v>
      </c>
      <c r="AP892" s="6">
        <f t="shared" si="3"/>
        <v>1.598664845</v>
      </c>
      <c r="AQ892" s="4">
        <f t="shared" si="4"/>
        <v>1.40984958</v>
      </c>
      <c r="AR892" s="7">
        <f t="shared" si="5"/>
        <v>1.368486316</v>
      </c>
      <c r="AS892" s="7">
        <f t="shared" ref="AS892:AU892" si="894">AS891*(1+AM892)</f>
        <v>1.455031548</v>
      </c>
      <c r="AT892" s="5">
        <f t="shared" si="894"/>
        <v>1.332768423</v>
      </c>
      <c r="AU892" s="5">
        <f t="shared" si="894"/>
        <v>1.321851617</v>
      </c>
    </row>
    <row r="893" ht="15.75" customHeight="1">
      <c r="A893" s="3">
        <v>45126.0</v>
      </c>
      <c r="B893" s="4">
        <v>0.021029</v>
      </c>
      <c r="C893" s="4">
        <v>0.052681</v>
      </c>
      <c r="D893" s="4">
        <v>0.004238</v>
      </c>
      <c r="E893" s="4">
        <v>0.009813</v>
      </c>
      <c r="F893" s="4">
        <v>0.017666</v>
      </c>
      <c r="G893" s="4">
        <v>-0.002012</v>
      </c>
      <c r="H893" s="4">
        <v>0.006833</v>
      </c>
      <c r="I893" s="4">
        <v>0.005733</v>
      </c>
      <c r="J893" s="4">
        <v>0.012221</v>
      </c>
      <c r="K893" s="4">
        <v>0.012393</v>
      </c>
      <c r="L893" s="4">
        <v>0.004368</v>
      </c>
      <c r="M893" s="4">
        <v>0.001556</v>
      </c>
      <c r="N893" s="4">
        <v>0.0027</v>
      </c>
      <c r="O893" s="4">
        <v>-0.013884</v>
      </c>
      <c r="P893" s="4">
        <v>0.004446</v>
      </c>
      <c r="Q893" s="4">
        <v>-0.005038</v>
      </c>
      <c r="R893" s="4">
        <v>0.006434</v>
      </c>
      <c r="S893" s="4">
        <v>-0.001781</v>
      </c>
      <c r="T893" s="4">
        <v>-0.024288</v>
      </c>
      <c r="U893" s="4">
        <v>0.006287</v>
      </c>
      <c r="V893" s="4">
        <v>0.0327272439807941</v>
      </c>
      <c r="W893" s="4">
        <v>-0.0014473695109713</v>
      </c>
      <c r="X893" s="4">
        <v>-0.0107961843195382</v>
      </c>
      <c r="Y893" s="4">
        <v>-0.0054435351849183</v>
      </c>
      <c r="Z893" s="4">
        <v>-0.0086124252209873</v>
      </c>
      <c r="AA893" s="4">
        <v>-0.0033598868223182</v>
      </c>
      <c r="AB893" s="4">
        <v>-0.0056671073688157</v>
      </c>
      <c r="AC893" s="4">
        <v>0.0016805697523833</v>
      </c>
      <c r="AD893" s="4">
        <v>0.005854886491875</v>
      </c>
      <c r="AE893" s="4">
        <v>0.0099939913409921</v>
      </c>
      <c r="AF893" s="4">
        <v>-0.0072931373910329</v>
      </c>
      <c r="AG893" s="4">
        <v>0.0107158783028753</v>
      </c>
      <c r="AH893" s="4">
        <v>5.418838982258E-4</v>
      </c>
      <c r="AI893" s="4">
        <v>0.0010487205383251</v>
      </c>
      <c r="AJ893" s="4">
        <v>0.002358</v>
      </c>
      <c r="AK893" s="4">
        <f>Weights!E949</f>
        <v>0.004180684527</v>
      </c>
      <c r="AL893" s="5">
        <v>0.00795778030128402</v>
      </c>
      <c r="AM893" s="5">
        <v>0.00796243293608611</v>
      </c>
      <c r="AN893" s="5">
        <v>3.24247968388924E-4</v>
      </c>
      <c r="AO893" s="5">
        <v>-7.29683566587757E-4</v>
      </c>
      <c r="AP893" s="6">
        <f t="shared" si="3"/>
        <v>1.605348358</v>
      </c>
      <c r="AQ893" s="4">
        <f t="shared" si="4"/>
        <v>1.413174005</v>
      </c>
      <c r="AR893" s="7">
        <f t="shared" si="5"/>
        <v>1.379376429</v>
      </c>
      <c r="AS893" s="7">
        <f t="shared" ref="AS893:AU893" si="895">AS892*(1+AM893)</f>
        <v>1.466617139</v>
      </c>
      <c r="AT893" s="5">
        <f t="shared" si="895"/>
        <v>1.33320057</v>
      </c>
      <c r="AU893" s="5">
        <f t="shared" si="895"/>
        <v>1.320887084</v>
      </c>
    </row>
    <row r="894" ht="15.75" customHeight="1">
      <c r="A894" s="3">
        <v>45127.0</v>
      </c>
      <c r="B894" s="4">
        <v>0.002168</v>
      </c>
      <c r="C894" s="4">
        <v>-0.009715</v>
      </c>
      <c r="D894" s="4">
        <v>-0.005553</v>
      </c>
      <c r="E894" s="4">
        <v>0.016321</v>
      </c>
      <c r="F894" s="4">
        <v>0.012167</v>
      </c>
      <c r="G894" s="4">
        <v>0.060728</v>
      </c>
      <c r="H894" s="4">
        <v>0.008056</v>
      </c>
      <c r="I894" s="4">
        <v>0.011672</v>
      </c>
      <c r="J894" s="4">
        <v>0.013002</v>
      </c>
      <c r="K894" s="4">
        <v>-0.003519</v>
      </c>
      <c r="L894" s="4">
        <v>0.001416</v>
      </c>
      <c r="M894" s="4">
        <v>0.00725</v>
      </c>
      <c r="N894" s="4">
        <v>0.007117</v>
      </c>
      <c r="O894" s="4">
        <v>0.005687</v>
      </c>
      <c r="P894" s="4">
        <v>-0.060425</v>
      </c>
      <c r="Q894" s="4">
        <v>-0.013291</v>
      </c>
      <c r="R894" s="4">
        <v>0.029998</v>
      </c>
      <c r="S894" s="4">
        <v>-0.019179</v>
      </c>
      <c r="T894" s="4">
        <v>-0.006582</v>
      </c>
      <c r="U894" s="4">
        <v>0.020589</v>
      </c>
      <c r="V894" s="4">
        <v>0.0397886803955258</v>
      </c>
      <c r="W894" s="4">
        <v>0.0165665993256456</v>
      </c>
      <c r="X894" s="4">
        <v>-0.001364292515794</v>
      </c>
      <c r="Y894" s="4">
        <v>-0.0179482135556726</v>
      </c>
      <c r="Z894" s="4">
        <v>-0.0185203783594933</v>
      </c>
      <c r="AA894" s="4">
        <v>-0.0159688871262421</v>
      </c>
      <c r="AB894" s="4">
        <v>-0.0018134571991867</v>
      </c>
      <c r="AC894" s="4">
        <v>-0.0083893025909475</v>
      </c>
      <c r="AD894" s="4">
        <v>0.0</v>
      </c>
      <c r="AE894" s="4">
        <v>-0.0095607420535367</v>
      </c>
      <c r="AF894" s="4">
        <v>0.0093246858654585</v>
      </c>
      <c r="AG894" s="4">
        <v>-0.0032512966887199</v>
      </c>
      <c r="AH894" s="4">
        <v>0.0016246421381103</v>
      </c>
      <c r="AI894" s="4">
        <v>5.238647338006E-4</v>
      </c>
      <c r="AJ894" s="4">
        <v>-0.006757</v>
      </c>
      <c r="AK894" s="4">
        <f>Weights!E950</f>
        <v>0.002014806891</v>
      </c>
      <c r="AL894" s="5">
        <v>0.00132887660520464</v>
      </c>
      <c r="AM894" s="5">
        <v>0.00260386249728372</v>
      </c>
      <c r="AN894" s="5">
        <v>-0.00259242478449228</v>
      </c>
      <c r="AO894" s="5">
        <v>-9.73687070435436E-4</v>
      </c>
      <c r="AP894" s="6">
        <f t="shared" si="3"/>
        <v>1.608582825</v>
      </c>
      <c r="AQ894" s="4">
        <f t="shared" si="4"/>
        <v>1.403625189</v>
      </c>
      <c r="AR894" s="7">
        <f t="shared" si="5"/>
        <v>1.38120945</v>
      </c>
      <c r="AS894" s="7">
        <f t="shared" ref="AS894:AU894" si="896">AS893*(1+AM894)</f>
        <v>1.470436008</v>
      </c>
      <c r="AT894" s="5">
        <f t="shared" si="896"/>
        <v>1.329744348</v>
      </c>
      <c r="AU894" s="5">
        <f t="shared" si="896"/>
        <v>1.319600953</v>
      </c>
    </row>
    <row r="895" ht="15.75" customHeight="1">
      <c r="A895" s="3">
        <v>45128.0</v>
      </c>
      <c r="B895" s="4">
        <v>0.014603</v>
      </c>
      <c r="C895" s="4">
        <v>0.007134</v>
      </c>
      <c r="D895" s="4">
        <v>6.7E-4</v>
      </c>
      <c r="E895" s="4">
        <v>0.004543</v>
      </c>
      <c r="F895" s="4">
        <v>8.01E-4</v>
      </c>
      <c r="G895" s="4">
        <v>0.010749</v>
      </c>
      <c r="H895" s="4">
        <v>0.015741</v>
      </c>
      <c r="I895" s="4">
        <v>0.003488</v>
      </c>
      <c r="J895" s="4">
        <v>-0.003667</v>
      </c>
      <c r="K895" s="4">
        <v>0.00215</v>
      </c>
      <c r="L895" s="4">
        <v>0.00101</v>
      </c>
      <c r="M895" s="4">
        <v>0.004113</v>
      </c>
      <c r="N895" s="4">
        <v>0.004202</v>
      </c>
      <c r="O895" s="4">
        <v>0.002964</v>
      </c>
      <c r="P895" s="4">
        <v>0.017903</v>
      </c>
      <c r="Q895" s="4">
        <v>0.001283</v>
      </c>
      <c r="R895" s="4">
        <v>-0.030556</v>
      </c>
      <c r="S895" s="4">
        <v>0.004775</v>
      </c>
      <c r="T895" s="4">
        <v>-0.013191</v>
      </c>
      <c r="U895" s="4">
        <v>0.006191</v>
      </c>
      <c r="V895" s="4">
        <v>-0.00474094497294397</v>
      </c>
      <c r="W895" s="4">
        <v>6.111195090423E-4</v>
      </c>
      <c r="X895" s="4">
        <v>-0.0013660475042747</v>
      </c>
      <c r="Y895" s="4">
        <v>0.0115359935851779</v>
      </c>
      <c r="Z895" s="4">
        <v>0.0301527460250798</v>
      </c>
      <c r="AA895" s="4">
        <v>-0.0072123210458836</v>
      </c>
      <c r="AB895" s="4">
        <v>-0.0041528343651386</v>
      </c>
      <c r="AC895" s="4">
        <v>0.0084602784266725</v>
      </c>
      <c r="AD895" s="4">
        <v>0.0011639848158504</v>
      </c>
      <c r="AE895" s="4">
        <v>-0.0037125712874652</v>
      </c>
      <c r="AF895" s="4">
        <v>0.0137177918489324</v>
      </c>
      <c r="AG895" s="4">
        <v>0.013756894205785</v>
      </c>
      <c r="AH895" s="4">
        <v>0.0229791946105408</v>
      </c>
      <c r="AI895" s="4">
        <v>-0.0083772320206795</v>
      </c>
      <c r="AJ895" s="4">
        <v>3.24E-4</v>
      </c>
      <c r="AK895" s="4">
        <f>Weights!E951</f>
        <v>0.003497178581</v>
      </c>
      <c r="AL895" s="5">
        <v>-0.00601098761578566</v>
      </c>
      <c r="AM895" s="5">
        <v>-0.00721886392435311</v>
      </c>
      <c r="AN895" s="5">
        <v>0.00617282374842509</v>
      </c>
      <c r="AO895" s="5">
        <v>0.00657884236852823</v>
      </c>
      <c r="AP895" s="6">
        <f t="shared" si="3"/>
        <v>1.614208326</v>
      </c>
      <c r="AQ895" s="4">
        <f t="shared" si="4"/>
        <v>1.404079963</v>
      </c>
      <c r="AR895" s="7">
        <f t="shared" si="5"/>
        <v>1.372907018</v>
      </c>
      <c r="AS895" s="7">
        <f t="shared" ref="AS895:AU895" si="897">AS894*(1+AM895)</f>
        <v>1.459821131</v>
      </c>
      <c r="AT895" s="5">
        <f t="shared" si="897"/>
        <v>1.337952625</v>
      </c>
      <c r="AU895" s="5">
        <f t="shared" si="897"/>
        <v>1.3282824</v>
      </c>
    </row>
    <row r="896" ht="15.75" customHeight="1">
      <c r="A896" s="3">
        <v>45131.0</v>
      </c>
      <c r="B896" s="4">
        <v>-0.002665</v>
      </c>
      <c r="C896" s="4">
        <v>0.002952</v>
      </c>
      <c r="D896" s="4">
        <v>0.008259</v>
      </c>
      <c r="E896" s="4">
        <v>0.003997</v>
      </c>
      <c r="F896" s="4">
        <v>3.2E-4</v>
      </c>
      <c r="G896" s="4">
        <v>0.005229</v>
      </c>
      <c r="H896" s="4">
        <v>0.003204</v>
      </c>
      <c r="I896" s="4">
        <v>0.008556</v>
      </c>
      <c r="J896" s="4">
        <v>-0.00253</v>
      </c>
      <c r="K896" s="4">
        <v>0.004444</v>
      </c>
      <c r="L896" s="4">
        <v>0.011805</v>
      </c>
      <c r="M896" s="4">
        <v>0.00768</v>
      </c>
      <c r="N896" s="4">
        <v>0.001141</v>
      </c>
      <c r="O896" s="4">
        <v>-0.008093</v>
      </c>
      <c r="P896" s="4">
        <v>4.63E-4</v>
      </c>
      <c r="Q896" s="4">
        <v>-0.022421</v>
      </c>
      <c r="R896" s="4">
        <v>0.03669</v>
      </c>
      <c r="S896" s="4">
        <v>0.00792</v>
      </c>
      <c r="T896" s="4">
        <v>0.017213</v>
      </c>
      <c r="U896" s="4">
        <v>0.004217</v>
      </c>
      <c r="V896" s="4">
        <v>-3.4017486800042E-4</v>
      </c>
      <c r="W896" s="4">
        <v>0.0014249751763117</v>
      </c>
      <c r="X896" s="4">
        <v>-0.0109438741281714</v>
      </c>
      <c r="Y896" s="4">
        <v>-0.0108184155036321</v>
      </c>
      <c r="Z896" s="4">
        <v>-0.0175620436689235</v>
      </c>
      <c r="AA896" s="4">
        <v>0.0092625989710466</v>
      </c>
      <c r="AB896" s="4">
        <v>-0.0018240068799433</v>
      </c>
      <c r="AC896" s="4">
        <v>0.0067114834510095</v>
      </c>
      <c r="AD896" s="4">
        <v>0.006976670408942</v>
      </c>
      <c r="AE896" s="4">
        <v>0.0146350039782787</v>
      </c>
      <c r="AF896" s="4">
        <v>0.0</v>
      </c>
      <c r="AG896" s="4">
        <v>0.0037771368993124</v>
      </c>
      <c r="AH896" s="4">
        <v>-0.0184989256672095</v>
      </c>
      <c r="AI896" s="4">
        <v>0.0026400686840788</v>
      </c>
      <c r="AJ896" s="4">
        <v>0.004034</v>
      </c>
      <c r="AK896" s="4">
        <f>Weights!E952</f>
        <v>0.001939056912</v>
      </c>
      <c r="AL896" s="5">
        <v>5.49741284331828E-4</v>
      </c>
      <c r="AM896" s="7">
        <v>-8.87021235662643E-5</v>
      </c>
      <c r="AN896" s="5">
        <v>0.00516623918799452</v>
      </c>
      <c r="AO896" s="5">
        <v>0.00605190563287827</v>
      </c>
      <c r="AP896" s="6">
        <f t="shared" si="3"/>
        <v>1.617338368</v>
      </c>
      <c r="AQ896" s="4">
        <f t="shared" si="4"/>
        <v>1.409744022</v>
      </c>
      <c r="AR896" s="7">
        <f t="shared" si="5"/>
        <v>1.373661761</v>
      </c>
      <c r="AS896" s="7">
        <f t="shared" ref="AS896:AU896" si="898">AS895*(1+AM896)</f>
        <v>1.459691641</v>
      </c>
      <c r="AT896" s="5">
        <f t="shared" si="898"/>
        <v>1.344864809</v>
      </c>
      <c r="AU896" s="5">
        <f t="shared" si="898"/>
        <v>1.33632104</v>
      </c>
    </row>
    <row r="897" ht="15.75" customHeight="1">
      <c r="A897" s="3">
        <v>45132.0</v>
      </c>
      <c r="B897" s="4">
        <v>-0.008552</v>
      </c>
      <c r="C897" s="4">
        <v>0.007652</v>
      </c>
      <c r="D897" s="4">
        <v>-0.006863</v>
      </c>
      <c r="E897" s="4">
        <v>0.002305</v>
      </c>
      <c r="F897" s="4">
        <v>-0.003362</v>
      </c>
      <c r="G897" s="4">
        <v>0.007657</v>
      </c>
      <c r="H897" s="4">
        <v>0.002347</v>
      </c>
      <c r="I897" s="4">
        <v>-0.006628</v>
      </c>
      <c r="J897" s="4">
        <v>0.005074</v>
      </c>
      <c r="K897" s="4">
        <v>-0.012967</v>
      </c>
      <c r="L897" s="4">
        <v>-0.005451</v>
      </c>
      <c r="M897" s="4">
        <v>0.007622</v>
      </c>
      <c r="N897" s="4">
        <v>0.00304</v>
      </c>
      <c r="O897" s="4">
        <v>0.008388</v>
      </c>
      <c r="P897" s="4">
        <v>0.00879</v>
      </c>
      <c r="Q897" s="4">
        <v>0.015727</v>
      </c>
      <c r="R897" s="4">
        <v>0.037767</v>
      </c>
      <c r="S897" s="4">
        <v>0.024248</v>
      </c>
      <c r="T897" s="4">
        <v>0.037384</v>
      </c>
      <c r="U897" s="4">
        <v>-0.015146</v>
      </c>
      <c r="V897" s="4">
        <v>-0.0142954487521319</v>
      </c>
      <c r="W897" s="4">
        <v>-0.0010163627046331</v>
      </c>
      <c r="X897" s="4">
        <v>0.0</v>
      </c>
      <c r="Y897" s="4">
        <v>-0.007812040952524</v>
      </c>
      <c r="Z897" s="4">
        <v>-0.0193176861357412</v>
      </c>
      <c r="AA897" s="4">
        <v>-0.0043187801886835</v>
      </c>
      <c r="AB897" s="4">
        <v>-0.0060054342028422</v>
      </c>
      <c r="AC897" s="4">
        <v>0.0</v>
      </c>
      <c r="AD897" s="4">
        <v>0.0</v>
      </c>
      <c r="AE897" s="4">
        <v>-0.0179632744908542</v>
      </c>
      <c r="AF897" s="4">
        <v>-0.008837344438526</v>
      </c>
      <c r="AG897" s="4">
        <v>1.392914956894E-4</v>
      </c>
      <c r="AH897" s="4">
        <v>0.0083467687188916</v>
      </c>
      <c r="AI897" s="4">
        <v>-0.0010530305127921</v>
      </c>
      <c r="AJ897" s="4">
        <v>0.002815</v>
      </c>
      <c r="AK897" s="4">
        <f>Weights!E953</f>
        <v>-0.0001517125954</v>
      </c>
      <c r="AL897" s="5">
        <v>0.00149136133207838</v>
      </c>
      <c r="AM897" s="5">
        <v>0.00354742866908575</v>
      </c>
      <c r="AN897" s="5">
        <v>-0.00160613984606639</v>
      </c>
      <c r="AO897" s="5">
        <v>-0.00204545384226251</v>
      </c>
      <c r="AP897" s="6">
        <f t="shared" si="3"/>
        <v>1.617092998</v>
      </c>
      <c r="AQ897" s="4">
        <f t="shared" si="4"/>
        <v>1.413712451</v>
      </c>
      <c r="AR897" s="7">
        <f t="shared" si="5"/>
        <v>1.375710387</v>
      </c>
      <c r="AS897" s="7">
        <f t="shared" ref="AS897:AU897" si="899">AS896*(1+AM897)</f>
        <v>1.464869793</v>
      </c>
      <c r="AT897" s="5">
        <f t="shared" si="899"/>
        <v>1.342704768</v>
      </c>
      <c r="AU897" s="5">
        <f t="shared" si="899"/>
        <v>1.333587657</v>
      </c>
    </row>
    <row r="898" ht="15.75" customHeight="1">
      <c r="A898" s="3">
        <v>45133.0</v>
      </c>
      <c r="B898" s="4">
        <v>-0.016172</v>
      </c>
      <c r="C898" s="4">
        <v>0.002921</v>
      </c>
      <c r="D898" s="4">
        <v>0.027196</v>
      </c>
      <c r="E898" s="4">
        <v>0.001254</v>
      </c>
      <c r="F898" s="4">
        <v>0.012851</v>
      </c>
      <c r="G898" s="4">
        <v>0.001914</v>
      </c>
      <c r="H898" s="4">
        <v>0.00104</v>
      </c>
      <c r="I898" s="4">
        <v>-0.002936</v>
      </c>
      <c r="J898" s="4">
        <v>-0.003671</v>
      </c>
      <c r="K898" s="4">
        <v>0.006492</v>
      </c>
      <c r="L898" s="4">
        <v>-0.001216</v>
      </c>
      <c r="M898" s="4">
        <v>0.002521</v>
      </c>
      <c r="N898" s="4">
        <v>-0.001326</v>
      </c>
      <c r="O898" s="4">
        <v>0.007455</v>
      </c>
      <c r="P898" s="4">
        <v>-0.003669</v>
      </c>
      <c r="Q898" s="4">
        <v>-0.001935</v>
      </c>
      <c r="R898" s="4">
        <v>-0.006409</v>
      </c>
      <c r="S898" s="4">
        <v>-0.013371</v>
      </c>
      <c r="T898" s="4">
        <v>-0.022964</v>
      </c>
      <c r="U898" s="4">
        <v>-0.001258</v>
      </c>
      <c r="V898" s="4">
        <v>-3.45310129234888E-4</v>
      </c>
      <c r="W898" s="4">
        <v>-0.0164835372401607</v>
      </c>
      <c r="X898" s="4">
        <v>0.0</v>
      </c>
      <c r="Y898" s="4">
        <v>-9.843105633853E-4</v>
      </c>
      <c r="Z898" s="4">
        <v>-9.80270300262598E-5</v>
      </c>
      <c r="AA898" s="4">
        <v>0.0036146327641137</v>
      </c>
      <c r="AB898" s="4">
        <v>0.0</v>
      </c>
      <c r="AC898" s="4">
        <v>-0.001715234623889</v>
      </c>
      <c r="AD898" s="4">
        <v>-0.0023201611364657</v>
      </c>
      <c r="AE898" s="4">
        <v>0.0028559775359868</v>
      </c>
      <c r="AF898" s="4">
        <v>0.0100306993904555</v>
      </c>
      <c r="AG898" s="4">
        <v>-0.0036231276543396</v>
      </c>
      <c r="AH898" s="4">
        <v>0.0053405126719001</v>
      </c>
      <c r="AI898" s="4">
        <v>0.0031625299373319</v>
      </c>
      <c r="AJ898" s="4">
        <v>-1.55E-4</v>
      </c>
      <c r="AK898" s="4">
        <f>Weights!E954</f>
        <v>-0.0001764391436</v>
      </c>
      <c r="AL898" s="5">
        <v>0.00258650496267964</v>
      </c>
      <c r="AM898" s="5">
        <v>0.00251857205859207</v>
      </c>
      <c r="AN898" s="5">
        <v>0.00611324074167107</v>
      </c>
      <c r="AO898" s="5">
        <v>0.00518394352335516</v>
      </c>
      <c r="AP898" s="6">
        <f t="shared" si="3"/>
        <v>1.616807679</v>
      </c>
      <c r="AQ898" s="4">
        <f t="shared" si="4"/>
        <v>1.413493326</v>
      </c>
      <c r="AR898" s="7">
        <f t="shared" si="5"/>
        <v>1.379268669</v>
      </c>
      <c r="AS898" s="7">
        <f t="shared" ref="AS898:AU898" si="900">AS897*(1+AM898)</f>
        <v>1.468559174</v>
      </c>
      <c r="AT898" s="5">
        <f t="shared" si="900"/>
        <v>1.350913045</v>
      </c>
      <c r="AU898" s="5">
        <f t="shared" si="900"/>
        <v>1.3405009</v>
      </c>
    </row>
    <row r="899" ht="15.75" customHeight="1">
      <c r="A899" s="3">
        <v>45134.0</v>
      </c>
      <c r="B899" s="4">
        <v>-0.012055</v>
      </c>
      <c r="C899" s="4">
        <v>-0.023005</v>
      </c>
      <c r="D899" s="4">
        <v>-0.057292</v>
      </c>
      <c r="E899" s="4">
        <v>-0.016023</v>
      </c>
      <c r="F899" s="4">
        <v>-0.009675</v>
      </c>
      <c r="G899" s="4">
        <v>0.005616</v>
      </c>
      <c r="H899" s="4">
        <v>-0.011888</v>
      </c>
      <c r="I899" s="4">
        <v>-0.015792</v>
      </c>
      <c r="J899" s="4">
        <v>-0.014049</v>
      </c>
      <c r="K899" s="4">
        <v>-0.003839</v>
      </c>
      <c r="L899" s="4">
        <v>-0.002739</v>
      </c>
      <c r="M899" s="4">
        <v>-5.03E-4</v>
      </c>
      <c r="N899" s="4">
        <v>-0.004362</v>
      </c>
      <c r="O899" s="4">
        <v>-5.87E-4</v>
      </c>
      <c r="P899" s="4">
        <v>-0.03084</v>
      </c>
      <c r="Q899" s="4">
        <v>-0.038785</v>
      </c>
      <c r="R899" s="4">
        <v>-0.002764</v>
      </c>
      <c r="S899" s="4">
        <v>-0.027327</v>
      </c>
      <c r="T899" s="4">
        <v>-0.002842</v>
      </c>
      <c r="U899" s="4">
        <v>-0.013859</v>
      </c>
      <c r="V899" s="4">
        <v>3.45429409508879E-4</v>
      </c>
      <c r="W899" s="4">
        <v>0.0275191095942888</v>
      </c>
      <c r="X899" s="4">
        <v>-0.0040817401722454</v>
      </c>
      <c r="Y899" s="4">
        <v>0.0062394851166398</v>
      </c>
      <c r="Z899" s="4">
        <v>0.0046065108290365</v>
      </c>
      <c r="AA899" s="4">
        <v>-0.0037818566507019</v>
      </c>
      <c r="AB899" s="4">
        <v>0.0039402645071486</v>
      </c>
      <c r="AC899" s="4">
        <v>0.0051546139771379</v>
      </c>
      <c r="AD899" s="4">
        <v>0.0023255568029807</v>
      </c>
      <c r="AE899" s="4">
        <v>0.0020341743978917</v>
      </c>
      <c r="AF899" s="4">
        <v>0.022068947583361</v>
      </c>
      <c r="AG899" s="4">
        <v>0.0106294647420959</v>
      </c>
      <c r="AH899" s="4">
        <v>0.0196546825185994</v>
      </c>
      <c r="AI899" s="4">
        <v>-0.0063055514691636</v>
      </c>
      <c r="AJ899" s="4">
        <v>-0.006425</v>
      </c>
      <c r="AK899" s="4">
        <f>Weights!E955</f>
        <v>-0.003827961792</v>
      </c>
      <c r="AL899" s="5">
        <v>7.03462978864477E-4</v>
      </c>
      <c r="AM899" s="5">
        <v>7.4917165068844E-4</v>
      </c>
      <c r="AN899" s="5">
        <v>0.00223860580571089</v>
      </c>
      <c r="AO899" s="5">
        <v>0.0021588854067327</v>
      </c>
      <c r="AP899" s="6">
        <f t="shared" si="3"/>
        <v>1.610618601</v>
      </c>
      <c r="AQ899" s="4">
        <f t="shared" si="4"/>
        <v>1.404411631</v>
      </c>
      <c r="AR899" s="7">
        <f t="shared" si="5"/>
        <v>1.380238933</v>
      </c>
      <c r="AS899" s="7">
        <f t="shared" ref="AS899:AU899" si="901">AS898*(1+AM899)</f>
        <v>1.469659376</v>
      </c>
      <c r="AT899" s="5">
        <f t="shared" si="901"/>
        <v>1.353937207</v>
      </c>
      <c r="AU899" s="5">
        <f t="shared" si="901"/>
        <v>1.343394888</v>
      </c>
    </row>
    <row r="900" ht="15.75" customHeight="1">
      <c r="A900" s="3">
        <v>45135.0</v>
      </c>
      <c r="B900" s="4">
        <v>-0.010538</v>
      </c>
      <c r="C900" s="4">
        <v>0.014307</v>
      </c>
      <c r="D900" s="4">
        <v>0.015193</v>
      </c>
      <c r="E900" s="4">
        <v>0.009441</v>
      </c>
      <c r="F900" s="4">
        <v>6.41E-4</v>
      </c>
      <c r="G900" s="4">
        <v>0.004548</v>
      </c>
      <c r="H900" s="4">
        <v>0.028269</v>
      </c>
      <c r="I900" s="4">
        <v>-0.009519</v>
      </c>
      <c r="J900" s="4">
        <v>-0.010044</v>
      </c>
      <c r="K900" s="4">
        <v>0.002466</v>
      </c>
      <c r="L900" s="4">
        <v>0.002034</v>
      </c>
      <c r="M900" s="4">
        <v>5.03E-4</v>
      </c>
      <c r="N900" s="4">
        <v>0.002667</v>
      </c>
      <c r="O900" s="4">
        <v>0.007539</v>
      </c>
      <c r="P900" s="4">
        <v>0.007362</v>
      </c>
      <c r="Q900" s="4">
        <v>0.031607</v>
      </c>
      <c r="R900" s="4">
        <v>0.007854</v>
      </c>
      <c r="S900" s="4">
        <v>0.005254</v>
      </c>
      <c r="T900" s="4">
        <v>0.003028</v>
      </c>
      <c r="U900" s="4">
        <v>0.003904</v>
      </c>
      <c r="V900" s="4">
        <v>-0.0113951499193362</v>
      </c>
      <c r="W900" s="4">
        <v>0.0400725988519936</v>
      </c>
      <c r="X900" s="4">
        <v>0.010929141973045</v>
      </c>
      <c r="Y900" s="4">
        <v>0.014881557429446</v>
      </c>
      <c r="Z900" s="4">
        <v>0.0108292296511671</v>
      </c>
      <c r="AA900" s="4">
        <v>-0.0093998382866732</v>
      </c>
      <c r="AB900" s="4">
        <v>0.0065411180549168</v>
      </c>
      <c r="AC900" s="4">
        <v>0.0068376192492318</v>
      </c>
      <c r="AD900" s="4">
        <v>-0.0011601294116737</v>
      </c>
      <c r="AE900" s="4">
        <v>0.0099473539006216</v>
      </c>
      <c r="AF900" s="4">
        <v>5.397661452795E-4</v>
      </c>
      <c r="AG900" s="4">
        <v>-0.0776362020448798</v>
      </c>
      <c r="AH900" s="4">
        <v>-0.0112008291178459</v>
      </c>
      <c r="AI900" s="4">
        <v>0.0031729991059816</v>
      </c>
      <c r="AJ900" s="4">
        <v>0.009878</v>
      </c>
      <c r="AK900" s="4">
        <f>Weights!E956</f>
        <v>-0.0003843493455</v>
      </c>
      <c r="AL900" s="5">
        <v>-0.00617136169292131</v>
      </c>
      <c r="AM900" s="5">
        <v>-0.00770717117078889</v>
      </c>
      <c r="AN900" s="5">
        <v>-0.00223360564315044</v>
      </c>
      <c r="AO900" s="5">
        <v>-9.57469687019485E-4</v>
      </c>
      <c r="AP900" s="6">
        <f t="shared" si="3"/>
        <v>1.609999561</v>
      </c>
      <c r="AQ900" s="4">
        <f t="shared" si="4"/>
        <v>1.418284409</v>
      </c>
      <c r="AR900" s="7">
        <f t="shared" si="5"/>
        <v>1.37172098</v>
      </c>
      <c r="AS900" s="7">
        <f t="shared" ref="AS900:AU900" si="902">AS899*(1+AM900)</f>
        <v>1.45833246</v>
      </c>
      <c r="AT900" s="5">
        <f t="shared" si="902"/>
        <v>1.350913045</v>
      </c>
      <c r="AU900" s="5">
        <f t="shared" si="902"/>
        <v>1.342108628</v>
      </c>
    </row>
    <row r="901" ht="15.75" customHeight="1">
      <c r="A901" s="3">
        <v>45138.0</v>
      </c>
      <c r="B901" s="4">
        <v>-0.002803</v>
      </c>
      <c r="C901" s="4">
        <v>0.001469</v>
      </c>
      <c r="D901" s="4">
        <v>-0.007256</v>
      </c>
      <c r="E901" s="4">
        <v>-0.014976</v>
      </c>
      <c r="F901" s="4">
        <v>-0.008803</v>
      </c>
      <c r="G901" s="4">
        <v>-0.039833</v>
      </c>
      <c r="H901" s="4">
        <v>-7.03E-4</v>
      </c>
      <c r="I901" s="4">
        <v>0.010434</v>
      </c>
      <c r="J901" s="4">
        <v>0.005899</v>
      </c>
      <c r="K901" s="4">
        <v>0.013994</v>
      </c>
      <c r="L901" s="4">
        <v>0.006192</v>
      </c>
      <c r="M901" s="4">
        <v>0.006036</v>
      </c>
      <c r="N901" s="4">
        <v>-5.7E-4</v>
      </c>
      <c r="O901" s="4">
        <v>-0.003674</v>
      </c>
      <c r="P901" s="4">
        <v>0.011787</v>
      </c>
      <c r="Q901" s="4">
        <v>0.008475</v>
      </c>
      <c r="R901" s="4">
        <v>0.023378</v>
      </c>
      <c r="S901" s="4">
        <v>0.018632</v>
      </c>
      <c r="T901" s="4">
        <v>0.018646</v>
      </c>
      <c r="U901" s="4">
        <v>-0.001909</v>
      </c>
      <c r="V901" s="4">
        <v>-0.0125741111524806</v>
      </c>
      <c r="W901" s="4">
        <v>-9.680495414368E-4</v>
      </c>
      <c r="X901" s="4">
        <v>0.0040539452183883</v>
      </c>
      <c r="Y901" s="4">
        <v>0.0025723253275109</v>
      </c>
      <c r="Z901" s="4">
        <v>-0.0010615852121179</v>
      </c>
      <c r="AA901" s="4">
        <v>-0.0063867475592797</v>
      </c>
      <c r="AB901" s="4">
        <v>-0.0010397476938703</v>
      </c>
      <c r="AC901" s="4">
        <v>0.0067911837206982</v>
      </c>
      <c r="AD901" s="4">
        <v>0.0243903297759109</v>
      </c>
      <c r="AE901" s="4">
        <v>-0.0107204004210776</v>
      </c>
      <c r="AF901" s="4">
        <v>-0.0164553366253887</v>
      </c>
      <c r="AG901" s="4">
        <v>0.042760537697609</v>
      </c>
      <c r="AH901" s="4">
        <v>-0.0179136138390301</v>
      </c>
      <c r="AI901" s="4">
        <v>0.0052714606819432</v>
      </c>
      <c r="AJ901" s="4">
        <v>0.001469</v>
      </c>
      <c r="AK901" s="4">
        <f>Weights!E957</f>
        <v>0.002562096849</v>
      </c>
      <c r="AL901" s="5">
        <v>0.00958972621307419</v>
      </c>
      <c r="AM901" s="5">
        <v>0.0104300494947982</v>
      </c>
      <c r="AN901" s="5">
        <v>3.19828442064906E-4</v>
      </c>
      <c r="AO901" s="5">
        <v>2.39620896443915E-4</v>
      </c>
      <c r="AP901" s="6">
        <f t="shared" si="3"/>
        <v>1.614124536</v>
      </c>
      <c r="AQ901" s="4">
        <f t="shared" si="4"/>
        <v>1.420367869</v>
      </c>
      <c r="AR901" s="7">
        <f t="shared" si="5"/>
        <v>1.384875408</v>
      </c>
      <c r="AS901" s="7">
        <f t="shared" ref="AS901:AU901" si="903">AS900*(1+AM901)</f>
        <v>1.47354294</v>
      </c>
      <c r="AT901" s="5">
        <f t="shared" si="903"/>
        <v>1.351345106</v>
      </c>
      <c r="AU901" s="5">
        <f t="shared" si="903"/>
        <v>1.342430225</v>
      </c>
    </row>
    <row r="902" ht="15.75" customHeight="1">
      <c r="A902" s="3">
        <v>45139.0</v>
      </c>
      <c r="B902" s="4">
        <v>-0.003935</v>
      </c>
      <c r="C902" s="4">
        <v>-0.019073</v>
      </c>
      <c r="D902" s="4">
        <v>-0.001142</v>
      </c>
      <c r="E902" s="4">
        <v>-0.003414</v>
      </c>
      <c r="F902" s="4">
        <v>-0.002584</v>
      </c>
      <c r="G902" s="4">
        <v>0.008118</v>
      </c>
      <c r="H902" s="4">
        <v>-3.2E-4</v>
      </c>
      <c r="I902" s="4">
        <v>-0.011956</v>
      </c>
      <c r="J902" s="4">
        <v>-0.01947</v>
      </c>
      <c r="K902" s="4">
        <v>-0.010009</v>
      </c>
      <c r="L902" s="4">
        <v>-0.015333</v>
      </c>
      <c r="M902" s="4">
        <v>-0.011</v>
      </c>
      <c r="N902" s="4">
        <v>-0.005892</v>
      </c>
      <c r="O902" s="4">
        <v>0.013492</v>
      </c>
      <c r="P902" s="4">
        <v>-0.028192</v>
      </c>
      <c r="Q902" s="4">
        <v>-0.120233</v>
      </c>
      <c r="R902" s="4">
        <v>-0.020157</v>
      </c>
      <c r="S902" s="4">
        <v>-0.022976</v>
      </c>
      <c r="T902" s="4">
        <v>0.005288</v>
      </c>
      <c r="U902" s="4">
        <v>0.012113</v>
      </c>
      <c r="V902" s="4">
        <v>-0.00601355092414346</v>
      </c>
      <c r="W902" s="4">
        <v>-0.0135660153195656</v>
      </c>
      <c r="X902" s="4">
        <v>0.0</v>
      </c>
      <c r="Y902" s="4">
        <v>0.0070565321984372</v>
      </c>
      <c r="Z902" s="4">
        <v>2.897834288655E-4</v>
      </c>
      <c r="AA902" s="4">
        <v>-0.0020201859987636</v>
      </c>
      <c r="AB902" s="4">
        <v>-7.806491333682E-4</v>
      </c>
      <c r="AC902" s="4">
        <v>0.0</v>
      </c>
      <c r="AD902" s="4">
        <v>0.0</v>
      </c>
      <c r="AE902" s="4">
        <v>-0.0054181525611594</v>
      </c>
      <c r="AF902" s="4">
        <v>-0.0057596929199735</v>
      </c>
      <c r="AG902" s="4">
        <v>-0.0256114630890347</v>
      </c>
      <c r="AH902" s="4">
        <v>0.0109978885757655</v>
      </c>
      <c r="AI902" s="4">
        <v>0.0</v>
      </c>
      <c r="AJ902" s="4">
        <v>-0.002665</v>
      </c>
      <c r="AK902" s="4">
        <f>Weights!E958</f>
        <v>-0.008445833343</v>
      </c>
      <c r="AL902" s="5">
        <v>7.78488099028917E-4</v>
      </c>
      <c r="AM902" s="5">
        <v>0.003030798552758</v>
      </c>
      <c r="AN902" s="5">
        <v>-0.00767259111214024</v>
      </c>
      <c r="AO902" s="5">
        <v>-0.0076646842603224</v>
      </c>
      <c r="AP902" s="6">
        <f t="shared" si="3"/>
        <v>1.600491909</v>
      </c>
      <c r="AQ902" s="4">
        <f t="shared" si="4"/>
        <v>1.416582589</v>
      </c>
      <c r="AR902" s="7">
        <f t="shared" si="5"/>
        <v>1.385953517</v>
      </c>
      <c r="AS902" s="7">
        <f t="shared" ref="AS902:AU902" si="904">AS901*(1+AM902)</f>
        <v>1.478008952</v>
      </c>
      <c r="AT902" s="5">
        <f t="shared" si="904"/>
        <v>1.340976787</v>
      </c>
      <c r="AU902" s="5">
        <f t="shared" si="904"/>
        <v>1.332140921</v>
      </c>
    </row>
    <row r="903" ht="15.75" customHeight="1">
      <c r="A903" s="3">
        <v>45140.0</v>
      </c>
      <c r="B903" s="4">
        <v>-0.023138</v>
      </c>
      <c r="C903" s="4">
        <v>-0.00329</v>
      </c>
      <c r="D903" s="4">
        <v>-0.032243</v>
      </c>
      <c r="E903" s="4">
        <v>0.007976</v>
      </c>
      <c r="F903" s="4">
        <v>0.003076</v>
      </c>
      <c r="G903" s="4">
        <v>0.006039</v>
      </c>
      <c r="H903" s="4">
        <v>0.002176</v>
      </c>
      <c r="I903" s="4">
        <v>-0.0044</v>
      </c>
      <c r="J903" s="4">
        <v>-0.006459</v>
      </c>
      <c r="K903" s="4">
        <v>-0.013787</v>
      </c>
      <c r="L903" s="4">
        <v>-0.013831</v>
      </c>
      <c r="M903" s="4">
        <v>-0.025278</v>
      </c>
      <c r="N903" s="4">
        <v>-0.016635</v>
      </c>
      <c r="O903" s="4">
        <v>-0.0142</v>
      </c>
      <c r="P903" s="4">
        <v>-0.025174</v>
      </c>
      <c r="Q903" s="4">
        <v>-0.019838</v>
      </c>
      <c r="R903" s="4">
        <v>-0.026971</v>
      </c>
      <c r="S903" s="4">
        <v>-0.034931</v>
      </c>
      <c r="T903" s="4">
        <v>-0.019711</v>
      </c>
      <c r="U903" s="4">
        <v>-0.009099</v>
      </c>
      <c r="V903" s="4">
        <v>-0.037722326196352</v>
      </c>
      <c r="W903" s="4">
        <v>-0.0239685490713896</v>
      </c>
      <c r="X903" s="4">
        <v>-0.0135501685633325</v>
      </c>
      <c r="Y903" s="4">
        <v>-0.0042041510153719</v>
      </c>
      <c r="Z903" s="4">
        <v>-0.0084998409002989</v>
      </c>
      <c r="AA903" s="4">
        <v>-0.0036807224825256</v>
      </c>
      <c r="AB903" s="4">
        <v>-0.0049480450987278</v>
      </c>
      <c r="AC903" s="4">
        <v>-0.0033899044120579</v>
      </c>
      <c r="AD903" s="4">
        <v>-0.0068183007766767</v>
      </c>
      <c r="AE903" s="4">
        <v>-0.0040858694027724</v>
      </c>
      <c r="AF903" s="4">
        <v>-0.0264827775209551</v>
      </c>
      <c r="AG903" s="4">
        <v>0.0</v>
      </c>
      <c r="AH903" s="4">
        <v>0.0</v>
      </c>
      <c r="AI903" s="4">
        <v>-0.0036707911458561</v>
      </c>
      <c r="AJ903" s="4">
        <v>-0.01384</v>
      </c>
      <c r="AK903" s="4">
        <f>Weights!E959</f>
        <v>-0.01119183883</v>
      </c>
      <c r="AL903" s="5">
        <v>-0.00490115801596824</v>
      </c>
      <c r="AM903" s="5">
        <v>-0.00271510625746473</v>
      </c>
      <c r="AN903" s="5">
        <v>0.0061211182539087</v>
      </c>
      <c r="AO903" s="5">
        <v>0.00675822999126296</v>
      </c>
      <c r="AP903" s="6">
        <f t="shared" si="3"/>
        <v>1.582579461</v>
      </c>
      <c r="AQ903" s="4">
        <f t="shared" si="4"/>
        <v>1.396977086</v>
      </c>
      <c r="AR903" s="7">
        <f t="shared" si="5"/>
        <v>1.37916074</v>
      </c>
      <c r="AS903" s="7">
        <f t="shared" ref="AS903:AU903" si="905">AS902*(1+AM903)</f>
        <v>1.473996</v>
      </c>
      <c r="AT903" s="5">
        <f t="shared" si="905"/>
        <v>1.349185065</v>
      </c>
      <c r="AU903" s="5">
        <f t="shared" si="905"/>
        <v>1.341143836</v>
      </c>
    </row>
    <row r="904" ht="15.75" customHeight="1">
      <c r="A904" s="3">
        <v>45141.0</v>
      </c>
      <c r="B904" s="4">
        <v>-0.001733</v>
      </c>
      <c r="C904" s="4">
        <v>-0.007803</v>
      </c>
      <c r="D904" s="4">
        <v>-0.008979</v>
      </c>
      <c r="E904" s="4">
        <v>-0.006319</v>
      </c>
      <c r="F904" s="4">
        <v>-0.005165</v>
      </c>
      <c r="G904" s="4">
        <v>0.004296</v>
      </c>
      <c r="H904" s="4">
        <v>0.002618</v>
      </c>
      <c r="I904" s="4">
        <v>-0.005801</v>
      </c>
      <c r="J904" s="4">
        <v>-0.041657</v>
      </c>
      <c r="K904" s="4">
        <v>-3.11E-4</v>
      </c>
      <c r="L904" s="4">
        <v>-0.006856</v>
      </c>
      <c r="M904" s="4">
        <v>-0.003112</v>
      </c>
      <c r="N904" s="4">
        <v>-0.005055</v>
      </c>
      <c r="O904" s="4">
        <v>-0.009903</v>
      </c>
      <c r="P904" s="4">
        <v>-0.005411</v>
      </c>
      <c r="Q904" s="4">
        <v>-0.008995</v>
      </c>
      <c r="R904" s="4">
        <v>0.011276</v>
      </c>
      <c r="S904" s="4">
        <v>0.003312</v>
      </c>
      <c r="T904" s="4">
        <v>0.012914</v>
      </c>
      <c r="U904" s="4">
        <v>-0.006286</v>
      </c>
      <c r="V904" s="4">
        <v>-0.0240384463379547</v>
      </c>
      <c r="W904" s="4">
        <v>-0.0400562699763136</v>
      </c>
      <c r="X904" s="4">
        <v>0.0</v>
      </c>
      <c r="Y904" s="4">
        <v>-0.0065886606200129</v>
      </c>
      <c r="Z904" s="4">
        <v>-5.846669621857E-4</v>
      </c>
      <c r="AA904" s="4">
        <v>0.0046177226289729</v>
      </c>
      <c r="AB904" s="4">
        <v>-0.0031405758008876</v>
      </c>
      <c r="AC904" s="4">
        <v>0.0034014349514071</v>
      </c>
      <c r="AD904" s="4">
        <v>-0.001144008225606</v>
      </c>
      <c r="AE904" s="4">
        <v>-0.010256411642365</v>
      </c>
      <c r="AF904" s="4">
        <v>-0.0136016314234894</v>
      </c>
      <c r="AG904" s="4">
        <v>0.0140284443938407</v>
      </c>
      <c r="AH904" s="4">
        <v>-0.0106128843953935</v>
      </c>
      <c r="AI904" s="4">
        <v>0.002631406838393</v>
      </c>
      <c r="AJ904" s="4">
        <v>-0.002548</v>
      </c>
      <c r="AK904" s="4">
        <f>Weights!E960</f>
        <v>-0.005269771636</v>
      </c>
      <c r="AL904" s="5">
        <v>-0.0157141205499661</v>
      </c>
      <c r="AM904" s="5">
        <v>-0.0141833381356138</v>
      </c>
      <c r="AN904" s="5">
        <v>0.00512329294531799</v>
      </c>
      <c r="AO904" s="5">
        <v>0.00335672048350965</v>
      </c>
      <c r="AP904" s="6">
        <f t="shared" si="3"/>
        <v>1.574239629</v>
      </c>
      <c r="AQ904" s="4">
        <f t="shared" si="4"/>
        <v>1.393417588</v>
      </c>
      <c r="AR904" s="7">
        <f t="shared" si="5"/>
        <v>1.357488442</v>
      </c>
      <c r="AS904" s="7">
        <f t="shared" ref="AS904:AU904" si="906">AS903*(1+AM904)</f>
        <v>1.453089817</v>
      </c>
      <c r="AT904" s="5">
        <f t="shared" si="906"/>
        <v>1.356097335</v>
      </c>
      <c r="AU904" s="5">
        <f t="shared" si="906"/>
        <v>1.345645681</v>
      </c>
    </row>
    <row r="905" ht="15.75" customHeight="1">
      <c r="A905" s="3">
        <v>45142.0</v>
      </c>
      <c r="B905" s="4">
        <v>-0.006944</v>
      </c>
      <c r="C905" s="4">
        <v>-0.013309</v>
      </c>
      <c r="D905" s="4">
        <v>-0.001431</v>
      </c>
      <c r="E905" s="4">
        <v>-0.013467</v>
      </c>
      <c r="F905" s="4">
        <v>-0.015088</v>
      </c>
      <c r="G905" s="4">
        <v>-0.009377</v>
      </c>
      <c r="H905" s="4">
        <v>-0.010955</v>
      </c>
      <c r="I905" s="4">
        <v>-0.001389</v>
      </c>
      <c r="J905" s="4">
        <v>0.009045</v>
      </c>
      <c r="K905" s="4">
        <v>0.002952</v>
      </c>
      <c r="L905" s="4">
        <v>0.002301</v>
      </c>
      <c r="M905" s="4">
        <v>0.009365</v>
      </c>
      <c r="N905" s="4">
        <v>0.007817</v>
      </c>
      <c r="O905" s="4">
        <v>-0.185042</v>
      </c>
      <c r="P905" s="4">
        <v>0.010633</v>
      </c>
      <c r="Q905" s="4">
        <v>0.01059</v>
      </c>
      <c r="R905" s="4">
        <v>-0.012544</v>
      </c>
      <c r="S905" s="4">
        <v>0.036076</v>
      </c>
      <c r="T905" s="4">
        <v>-0.023402</v>
      </c>
      <c r="U905" s="4">
        <v>0.009027</v>
      </c>
      <c r="V905" s="4">
        <v>0.00909433378965141</v>
      </c>
      <c r="W905" s="4">
        <v>-0.0203398008028936</v>
      </c>
      <c r="X905" s="4">
        <v>0.0013736626052176</v>
      </c>
      <c r="Y905" s="4">
        <v>0.0066323589824583</v>
      </c>
      <c r="Z905" s="4">
        <v>0.0174481756942388</v>
      </c>
      <c r="AA905" s="4">
        <v>0.0023902194612459</v>
      </c>
      <c r="AB905" s="4">
        <v>-0.0052507116155579</v>
      </c>
      <c r="AC905" s="4">
        <v>0.0033898364944346</v>
      </c>
      <c r="AD905" s="4">
        <v>0.0045817561974423</v>
      </c>
      <c r="AE905" s="4">
        <v>-0.0044905014766498</v>
      </c>
      <c r="AF905" s="4">
        <v>-0.0031599942192233</v>
      </c>
      <c r="AG905" s="4">
        <v>0.0014561051523427</v>
      </c>
      <c r="AH905" s="4">
        <v>-0.0016090216718581</v>
      </c>
      <c r="AI905" s="4">
        <v>-0.0036743225565496</v>
      </c>
      <c r="AJ905" s="4">
        <v>-0.0053</v>
      </c>
      <c r="AK905" s="4">
        <f>Weights!E961</f>
        <v>-0.00112142844</v>
      </c>
      <c r="AL905" s="5">
        <v>-0.00301832128274659</v>
      </c>
      <c r="AM905" s="5">
        <v>-0.0028953721771846</v>
      </c>
      <c r="AN905" s="5">
        <v>-0.00477863703487668</v>
      </c>
      <c r="AO905" s="5">
        <v>-0.00310630752012364</v>
      </c>
      <c r="AP905" s="6">
        <f t="shared" si="3"/>
        <v>1.572474232</v>
      </c>
      <c r="AQ905" s="4">
        <f t="shared" si="4"/>
        <v>1.386032475</v>
      </c>
      <c r="AR905" s="7">
        <f t="shared" si="5"/>
        <v>1.353391106</v>
      </c>
      <c r="AS905" s="7">
        <f t="shared" ref="AS905:AU905" si="907">AS904*(1+AM905)</f>
        <v>1.448882581</v>
      </c>
      <c r="AT905" s="5">
        <f t="shared" si="907"/>
        <v>1.349617038</v>
      </c>
      <c r="AU905" s="5">
        <f t="shared" si="907"/>
        <v>1.341465692</v>
      </c>
    </row>
    <row r="906" ht="15.75" customHeight="1">
      <c r="A906" s="3">
        <v>45145.0</v>
      </c>
      <c r="B906" s="4">
        <v>0.004662</v>
      </c>
      <c r="C906" s="4">
        <v>-0.002759</v>
      </c>
      <c r="D906" s="4">
        <v>0.00382</v>
      </c>
      <c r="E906" s="4">
        <v>0.012405</v>
      </c>
      <c r="F906" s="4">
        <v>0.007906</v>
      </c>
      <c r="G906" s="4">
        <v>0.024018</v>
      </c>
      <c r="H906" s="4">
        <v>0.010562</v>
      </c>
      <c r="I906" s="4">
        <v>0.001391</v>
      </c>
      <c r="J906" s="4">
        <v>-0.007221</v>
      </c>
      <c r="K906" s="4">
        <v>0.003718</v>
      </c>
      <c r="L906" s="4">
        <v>0.005531</v>
      </c>
      <c r="M906" s="4">
        <v>0.010309</v>
      </c>
      <c r="N906" s="4">
        <v>0.006787</v>
      </c>
      <c r="O906" s="4">
        <v>0.041395</v>
      </c>
      <c r="P906" s="4">
        <v>-0.009542</v>
      </c>
      <c r="Q906" s="4">
        <v>-7.48E-4</v>
      </c>
      <c r="R906" s="4">
        <v>-0.005175</v>
      </c>
      <c r="S906" s="4">
        <v>-0.010014</v>
      </c>
      <c r="T906" s="4">
        <v>0.008941</v>
      </c>
      <c r="U906" s="4">
        <v>0.008664</v>
      </c>
      <c r="V906" s="4">
        <v>0.0153961741767016</v>
      </c>
      <c r="W906" s="4">
        <v>-0.002140400887571</v>
      </c>
      <c r="X906" s="4">
        <v>0.0013717782447402</v>
      </c>
      <c r="Y906" s="4">
        <v>0.0090834522486955</v>
      </c>
      <c r="Z906" s="4">
        <v>0.0167656398658209</v>
      </c>
      <c r="AA906" s="4">
        <v>-0.0088042244593384</v>
      </c>
      <c r="AB906" s="4">
        <v>-0.010292965384503</v>
      </c>
      <c r="AC906" s="4">
        <v>0.0033783166357894</v>
      </c>
      <c r="AD906" s="4">
        <v>-0.0079817200760869</v>
      </c>
      <c r="AE906" s="4">
        <v>-0.0065926449013841</v>
      </c>
      <c r="AF906" s="4">
        <v>-0.006051897597715</v>
      </c>
      <c r="AG906" s="4">
        <v>0.0093064277314645</v>
      </c>
      <c r="AH906" s="4">
        <v>0.0204136379780104</v>
      </c>
      <c r="AI906" s="4">
        <v>-0.0057952599052811</v>
      </c>
      <c r="AJ906" s="4">
        <v>0.009024</v>
      </c>
      <c r="AK906" s="4">
        <f>Weights!E962</f>
        <v>0.003438181031</v>
      </c>
      <c r="AL906" s="5">
        <v>-0.00239004365366024</v>
      </c>
      <c r="AM906" s="5">
        <v>-0.00424393733968186</v>
      </c>
      <c r="AN906" s="5">
        <v>-0.0156850304570553</v>
      </c>
      <c r="AO906" s="5">
        <v>-0.0148610153950029</v>
      </c>
      <c r="AP906" s="6">
        <f t="shared" si="3"/>
        <v>1.577880683</v>
      </c>
      <c r="AQ906" s="4">
        <f t="shared" si="4"/>
        <v>1.398540032</v>
      </c>
      <c r="AR906" s="7">
        <f t="shared" si="5"/>
        <v>1.350156442</v>
      </c>
      <c r="AS906" s="7">
        <f t="shared" ref="AS906:AU906" si="908">AS905*(1+AM906)</f>
        <v>1.442733614</v>
      </c>
      <c r="AT906" s="5">
        <f t="shared" si="908"/>
        <v>1.328448254</v>
      </c>
      <c r="AU906" s="5">
        <f t="shared" si="908"/>
        <v>1.321530149</v>
      </c>
    </row>
    <row r="907" ht="15.75" customHeight="1">
      <c r="A907" s="3">
        <v>45146.0</v>
      </c>
      <c r="B907" s="4">
        <v>-0.007541</v>
      </c>
      <c r="C907" s="4">
        <v>0.00123</v>
      </c>
      <c r="D907" s="4">
        <v>-0.016651</v>
      </c>
      <c r="E907" s="4">
        <v>-0.013109</v>
      </c>
      <c r="F907" s="4">
        <v>-0.004412</v>
      </c>
      <c r="G907" s="4">
        <v>4.62E-4</v>
      </c>
      <c r="H907" s="4">
        <v>0.001083</v>
      </c>
      <c r="I907" s="4">
        <v>8.34E-4</v>
      </c>
      <c r="J907" s="4">
        <v>0.006772</v>
      </c>
      <c r="K907" s="4">
        <v>-0.017132</v>
      </c>
      <c r="L907" s="4">
        <v>-0.013908</v>
      </c>
      <c r="M907" s="4">
        <v>-0.007653</v>
      </c>
      <c r="N907" s="4">
        <v>-0.016757</v>
      </c>
      <c r="O907" s="4">
        <v>-0.039642</v>
      </c>
      <c r="P907" s="4">
        <v>-0.01581</v>
      </c>
      <c r="Q907" s="4">
        <v>-0.012734</v>
      </c>
      <c r="R907" s="4">
        <v>0.009458</v>
      </c>
      <c r="S907" s="4">
        <v>0.005747</v>
      </c>
      <c r="T907" s="4">
        <v>0.00384</v>
      </c>
      <c r="U907" s="4">
        <v>-0.021091</v>
      </c>
      <c r="V907" s="4">
        <v>0.00147922646618448</v>
      </c>
      <c r="W907" s="4">
        <v>-0.0356069724920228</v>
      </c>
      <c r="X907" s="4">
        <v>0.0</v>
      </c>
      <c r="Y907" s="4">
        <v>-0.0154041584000393</v>
      </c>
      <c r="Z907" s="4">
        <v>-0.0052765052504866</v>
      </c>
      <c r="AA907" s="4">
        <v>-0.012213080468051</v>
      </c>
      <c r="AB907" s="4">
        <v>-0.0082666175229209</v>
      </c>
      <c r="AC907" s="4">
        <v>0.0</v>
      </c>
      <c r="AD907" s="4">
        <v>0.0</v>
      </c>
      <c r="AE907" s="4">
        <v>-0.0055886132858528</v>
      </c>
      <c r="AF907" s="4">
        <v>0.0057987956614355</v>
      </c>
      <c r="AG907" s="4">
        <v>0.0027375290539639</v>
      </c>
      <c r="AH907" s="4">
        <v>-0.0157936147375439</v>
      </c>
      <c r="AI907" s="4">
        <v>0.0079483851305202</v>
      </c>
      <c r="AJ907" s="4">
        <v>-0.004218</v>
      </c>
      <c r="AK907" s="4">
        <f>Weights!E963</f>
        <v>-0.006031352148</v>
      </c>
      <c r="AL907" s="5">
        <v>0.00854500735310859</v>
      </c>
      <c r="AM907" s="5">
        <v>0.00767157501879967</v>
      </c>
      <c r="AN907" s="5">
        <v>-0.00650408315162698</v>
      </c>
      <c r="AO907" s="5">
        <v>-0.00462290967888656</v>
      </c>
      <c r="AP907" s="6">
        <f t="shared" si="3"/>
        <v>1.568363929</v>
      </c>
      <c r="AQ907" s="4">
        <f t="shared" si="4"/>
        <v>1.39264099</v>
      </c>
      <c r="AR907" s="7">
        <f t="shared" si="5"/>
        <v>1.361693539</v>
      </c>
      <c r="AS907" s="7">
        <f t="shared" ref="AS907:AU907" si="909">AS906*(1+AM907)</f>
        <v>1.453801653</v>
      </c>
      <c r="AT907" s="5">
        <f t="shared" si="909"/>
        <v>1.319807916</v>
      </c>
      <c r="AU907" s="5">
        <f t="shared" si="909"/>
        <v>1.315420835</v>
      </c>
    </row>
    <row r="908" ht="15.75" customHeight="1">
      <c r="A908" s="3">
        <v>45147.0</v>
      </c>
      <c r="B908" s="4">
        <v>0.025716</v>
      </c>
      <c r="C908" s="4">
        <v>0.004298</v>
      </c>
      <c r="D908" s="4">
        <v>0.013062</v>
      </c>
      <c r="E908" s="4">
        <v>-0.002494</v>
      </c>
      <c r="F908" s="4">
        <v>0.002298</v>
      </c>
      <c r="G908" s="4">
        <v>-6.35E-4</v>
      </c>
      <c r="H908" s="4">
        <v>-0.001273</v>
      </c>
      <c r="I908" s="4">
        <v>0.013048</v>
      </c>
      <c r="J908" s="4">
        <v>0.014948</v>
      </c>
      <c r="K908" s="4">
        <v>-0.00267</v>
      </c>
      <c r="L908" s="4">
        <v>-3.16E-4</v>
      </c>
      <c r="M908" s="4">
        <v>-0.009769</v>
      </c>
      <c r="N908" s="4">
        <v>-0.004114</v>
      </c>
      <c r="O908" s="4">
        <v>-0.013109</v>
      </c>
      <c r="P908" s="4">
        <v>0.001757</v>
      </c>
      <c r="Q908" s="4">
        <v>-0.001517</v>
      </c>
      <c r="R908" s="4">
        <v>-0.00609</v>
      </c>
      <c r="S908" s="4">
        <v>0.010514</v>
      </c>
      <c r="T908" s="4">
        <v>-0.003119</v>
      </c>
      <c r="U908" s="4">
        <v>0.016195</v>
      </c>
      <c r="V908" s="4">
        <v>-0.0118167837024809</v>
      </c>
      <c r="W908" s="4">
        <v>0.0120106187351658</v>
      </c>
      <c r="X908" s="4">
        <v>0.0</v>
      </c>
      <c r="Y908" s="4">
        <v>0.0059232616475943</v>
      </c>
      <c r="Z908" s="4">
        <v>-0.0043572214838608</v>
      </c>
      <c r="AA908" s="4">
        <v>0.0029973100139806</v>
      </c>
      <c r="AB908" s="4">
        <v>0.0064533125521217</v>
      </c>
      <c r="AC908" s="4">
        <v>0.0</v>
      </c>
      <c r="AD908" s="4">
        <v>0.0</v>
      </c>
      <c r="AE908" s="4">
        <v>0.0031612924140296</v>
      </c>
      <c r="AF908" s="4">
        <v>2.882787344908E-4</v>
      </c>
      <c r="AG908" s="4">
        <v>0.0035916211500619</v>
      </c>
      <c r="AH908" s="4">
        <v>-0.0053490185845971</v>
      </c>
      <c r="AI908" s="4">
        <v>2.15975747730468E-7</v>
      </c>
      <c r="AJ908" s="4">
        <v>-0.007039</v>
      </c>
      <c r="AK908" s="4">
        <f>Weights!E964</f>
        <v>0.001883923304</v>
      </c>
      <c r="AL908" s="5">
        <v>-0.00506773790184844</v>
      </c>
      <c r="AM908" s="5">
        <v>-0.00463021576521338</v>
      </c>
      <c r="AN908" s="5">
        <v>0.00589199687406227</v>
      </c>
      <c r="AO908" s="5">
        <v>0.00513314862419456</v>
      </c>
      <c r="AP908" s="6">
        <f t="shared" si="3"/>
        <v>1.571318606</v>
      </c>
      <c r="AQ908" s="4">
        <f t="shared" si="4"/>
        <v>1.38283819</v>
      </c>
      <c r="AR908" s="7">
        <f t="shared" si="5"/>
        <v>1.354792833</v>
      </c>
      <c r="AS908" s="7">
        <f t="shared" ref="AS908:AU908" si="910">AS907*(1+AM908)</f>
        <v>1.447070238</v>
      </c>
      <c r="AT908" s="5">
        <f t="shared" si="910"/>
        <v>1.32758422</v>
      </c>
      <c r="AU908" s="5">
        <f t="shared" si="910"/>
        <v>1.322173085</v>
      </c>
    </row>
    <row r="909" ht="15.75" customHeight="1">
      <c r="A909" s="3">
        <v>45148.0</v>
      </c>
      <c r="B909" s="4">
        <v>0.010256</v>
      </c>
      <c r="C909" s="4">
        <v>0.009477</v>
      </c>
      <c r="D909" s="4">
        <v>0.009073</v>
      </c>
      <c r="E909" s="4">
        <v>-0.00125</v>
      </c>
      <c r="F909" s="4">
        <v>-0.002293</v>
      </c>
      <c r="G909" s="4">
        <v>-0.0052</v>
      </c>
      <c r="H909" s="4">
        <v>-0.004972</v>
      </c>
      <c r="I909" s="4">
        <v>-0.001096</v>
      </c>
      <c r="J909" s="4">
        <v>-0.005891</v>
      </c>
      <c r="K909" s="4">
        <v>0.005353</v>
      </c>
      <c r="L909" s="4">
        <v>2.11E-4</v>
      </c>
      <c r="M909" s="4">
        <v>0.013499</v>
      </c>
      <c r="N909" s="4">
        <v>-0.006294</v>
      </c>
      <c r="O909" s="4">
        <v>0.001187</v>
      </c>
      <c r="P909" s="4">
        <v>-0.001754</v>
      </c>
      <c r="Q909" s="4">
        <v>0.00304</v>
      </c>
      <c r="R909" s="4">
        <v>-0.001178</v>
      </c>
      <c r="S909" s="4">
        <v>-0.004071</v>
      </c>
      <c r="T909" s="4">
        <v>-0.01842</v>
      </c>
      <c r="U909" s="4">
        <v>-0.018183</v>
      </c>
      <c r="V909" s="4">
        <v>0.00822119248640729</v>
      </c>
      <c r="W909" s="4">
        <v>0.0021976844486313</v>
      </c>
      <c r="X909" s="4">
        <v>0.0</v>
      </c>
      <c r="Y909" s="4">
        <v>0.0087684208339309</v>
      </c>
      <c r="Z909" s="4">
        <v>0.0073255623745323</v>
      </c>
      <c r="AA909" s="4">
        <v>-0.0014942563523263</v>
      </c>
      <c r="AB909" s="4">
        <v>0.0109538354331255</v>
      </c>
      <c r="AC909" s="4">
        <v>0.0</v>
      </c>
      <c r="AD909" s="4">
        <v>0.0</v>
      </c>
      <c r="AE909" s="4">
        <v>0.0101541322275733</v>
      </c>
      <c r="AF909" s="4">
        <v>-0.0017291035454258</v>
      </c>
      <c r="AG909" s="4">
        <v>-0.0167501321823779</v>
      </c>
      <c r="AH909" s="4">
        <v>0.0131755270355058</v>
      </c>
      <c r="AI909" s="4">
        <v>0.0010551492872639</v>
      </c>
      <c r="AJ909" s="4">
        <v>2.51E-4</v>
      </c>
      <c r="AK909" s="4">
        <f>Weights!E965</f>
        <v>0.0007905801678</v>
      </c>
      <c r="AL909" s="5">
        <v>-0.00509355068169303</v>
      </c>
      <c r="AM909" s="5">
        <v>-0.00715652907255537</v>
      </c>
      <c r="AN909" s="5">
        <v>-0.00162711183453412</v>
      </c>
      <c r="AO909" s="5">
        <v>-0.00170224617534531</v>
      </c>
      <c r="AP909" s="6">
        <f t="shared" si="3"/>
        <v>1.57256086</v>
      </c>
      <c r="AQ909" s="4">
        <f t="shared" si="4"/>
        <v>1.383185282</v>
      </c>
      <c r="AR909" s="7">
        <f t="shared" si="5"/>
        <v>1.347892127</v>
      </c>
      <c r="AS909" s="7">
        <f t="shared" ref="AS909:AU909" si="911">AS908*(1+AM909)</f>
        <v>1.436714238</v>
      </c>
      <c r="AT909" s="5">
        <f t="shared" si="911"/>
        <v>1.325424092</v>
      </c>
      <c r="AU909" s="5">
        <f t="shared" si="911"/>
        <v>1.319922421</v>
      </c>
    </row>
    <row r="910" ht="15.75" customHeight="1">
      <c r="A910" s="3">
        <v>45149.0</v>
      </c>
      <c r="B910" s="4">
        <v>-0.001692</v>
      </c>
      <c r="C910" s="4">
        <v>0.010297</v>
      </c>
      <c r="D910" s="4">
        <v>-0.001656</v>
      </c>
      <c r="E910" s="4">
        <v>0.001578</v>
      </c>
      <c r="F910" s="4">
        <v>0.004104</v>
      </c>
      <c r="G910" s="4">
        <v>0.009758</v>
      </c>
      <c r="H910" s="4">
        <v>0.005829</v>
      </c>
      <c r="I910" s="4">
        <v>0.007407</v>
      </c>
      <c r="J910" s="4">
        <v>9.88E-4</v>
      </c>
      <c r="K910" s="4">
        <v>0.004385</v>
      </c>
      <c r="L910" s="4">
        <v>-0.001684</v>
      </c>
      <c r="M910" s="4">
        <v>-0.003074</v>
      </c>
      <c r="N910" s="4">
        <v>-0.001386</v>
      </c>
      <c r="O910" s="4">
        <v>0.013211</v>
      </c>
      <c r="P910" s="4">
        <v>0.008785</v>
      </c>
      <c r="Q910" s="4">
        <v>-0.008333</v>
      </c>
      <c r="R910" s="4">
        <v>-0.022652</v>
      </c>
      <c r="S910" s="4">
        <v>0.027708</v>
      </c>
      <c r="T910" s="4">
        <v>0.001564</v>
      </c>
      <c r="U910" s="4">
        <v>0.005935</v>
      </c>
      <c r="V910" s="4">
        <v>0.00815415560362575</v>
      </c>
      <c r="W910" s="4">
        <v>-0.0186402650079068</v>
      </c>
      <c r="X910" s="4">
        <v>0.0</v>
      </c>
      <c r="Y910" s="4">
        <v>0.0012056179384696</v>
      </c>
      <c r="Z910" s="4">
        <v>-0.0104836016953573</v>
      </c>
      <c r="AA910" s="4">
        <v>-0.0026186219425051</v>
      </c>
      <c r="AB910" s="4">
        <v>0.002907046775141</v>
      </c>
      <c r="AC910" s="4">
        <v>0.0</v>
      </c>
      <c r="AD910" s="4">
        <v>0.0</v>
      </c>
      <c r="AE910" s="4">
        <v>0.005199170111122</v>
      </c>
      <c r="AF910" s="4">
        <v>0.0031755022091675</v>
      </c>
      <c r="AG910" s="4">
        <v>-0.0078623131925207</v>
      </c>
      <c r="AH910" s="4">
        <v>-0.0153927417865336</v>
      </c>
      <c r="AI910" s="4">
        <v>0.0042147461206343</v>
      </c>
      <c r="AJ910" s="4">
        <v>-0.00107</v>
      </c>
      <c r="AK910" s="4">
        <f>Weights!E966</f>
        <v>0.0002703844509</v>
      </c>
      <c r="AL910" s="5">
        <v>0.00127990694129653</v>
      </c>
      <c r="AM910" s="5">
        <v>1.80046062195238E-4</v>
      </c>
      <c r="AN910" s="5">
        <v>0.00488929092673195</v>
      </c>
      <c r="AO910" s="5">
        <v>0.00377601516749348</v>
      </c>
      <c r="AP910" s="6">
        <f t="shared" si="3"/>
        <v>1.572986056</v>
      </c>
      <c r="AQ910" s="4">
        <f t="shared" si="4"/>
        <v>1.381705274</v>
      </c>
      <c r="AR910" s="7">
        <f t="shared" si="5"/>
        <v>1.349617303</v>
      </c>
      <c r="AS910" s="7">
        <f t="shared" ref="AS910:AU910" si="912">AS909*(1+AM910)</f>
        <v>1.436972912</v>
      </c>
      <c r="AT910" s="5">
        <f t="shared" si="912"/>
        <v>1.331904476</v>
      </c>
      <c r="AU910" s="5">
        <f t="shared" si="912"/>
        <v>1.324906468</v>
      </c>
    </row>
    <row r="911" ht="15.75" customHeight="1">
      <c r="A911" s="3">
        <v>45152.0</v>
      </c>
      <c r="B911" s="4">
        <v>-0.006215</v>
      </c>
      <c r="C911" s="4">
        <v>0.005995</v>
      </c>
      <c r="D911" s="4">
        <v>-0.010903</v>
      </c>
      <c r="E911" s="4">
        <v>-0.002282</v>
      </c>
      <c r="F911" s="4">
        <v>-0.004741</v>
      </c>
      <c r="G911" s="4">
        <v>-0.002358</v>
      </c>
      <c r="H911" s="4">
        <v>-0.007833</v>
      </c>
      <c r="I911" s="4">
        <v>-0.012801</v>
      </c>
      <c r="J911" s="4">
        <v>-0.0074</v>
      </c>
      <c r="K911" s="4">
        <v>-0.005302</v>
      </c>
      <c r="L911" s="4">
        <v>-0.00601</v>
      </c>
      <c r="M911" s="4">
        <v>-0.00925</v>
      </c>
      <c r="N911" s="4">
        <v>-0.008722</v>
      </c>
      <c r="O911" s="4">
        <v>0.007689</v>
      </c>
      <c r="P911" s="4">
        <v>-0.018164</v>
      </c>
      <c r="Q911" s="4">
        <v>-0.003056</v>
      </c>
      <c r="R911" s="4">
        <v>-0.00507</v>
      </c>
      <c r="S911" s="4">
        <v>-0.021657</v>
      </c>
      <c r="T911" s="4">
        <v>0.033149</v>
      </c>
      <c r="U911" s="4">
        <v>0.005189</v>
      </c>
      <c r="V911" s="4">
        <v>-0.00808820313669544</v>
      </c>
      <c r="W911" s="4">
        <v>-0.0015642384672756</v>
      </c>
      <c r="X911" s="4">
        <v>0.0</v>
      </c>
      <c r="Y911" s="4">
        <v>0.0055132748282507</v>
      </c>
      <c r="Z911" s="4">
        <v>0.0049721757801228</v>
      </c>
      <c r="AA911" s="4">
        <v>0.0056264203768663</v>
      </c>
      <c r="AB911" s="4">
        <v>7.904147843595E-4</v>
      </c>
      <c r="AC911" s="4">
        <v>0.0</v>
      </c>
      <c r="AD911" s="4">
        <v>0.0</v>
      </c>
      <c r="AE911" s="4">
        <v>0.0106897255056002</v>
      </c>
      <c r="AF911" s="4">
        <v>-0.0014388346633921</v>
      </c>
      <c r="AG911" s="4">
        <v>0.0090989480949796</v>
      </c>
      <c r="AH911" s="4">
        <v>0.0388140301684969</v>
      </c>
      <c r="AI911" s="4">
        <v>-0.0047218095156557</v>
      </c>
      <c r="AJ911" s="4">
        <v>0.00575</v>
      </c>
      <c r="AK911" s="4">
        <f>Weights!E967</f>
        <v>0.0001041803466</v>
      </c>
      <c r="AL911" s="5">
        <v>-0.00239672669836399</v>
      </c>
      <c r="AM911" s="5">
        <v>-9.45934749243426E-4</v>
      </c>
      <c r="AN911" s="5">
        <v>0.00421658548456593</v>
      </c>
      <c r="AO911" s="5">
        <v>0.00327615135596914</v>
      </c>
      <c r="AP911" s="6">
        <f t="shared" si="3"/>
        <v>1.57314993</v>
      </c>
      <c r="AQ911" s="4">
        <f t="shared" si="4"/>
        <v>1.38965008</v>
      </c>
      <c r="AR911" s="7">
        <f t="shared" si="5"/>
        <v>1.346382639</v>
      </c>
      <c r="AS911" s="7">
        <f t="shared" ref="AS911:AU911" si="913">AS910*(1+AM911)</f>
        <v>1.43561363</v>
      </c>
      <c r="AT911" s="5">
        <f t="shared" si="913"/>
        <v>1.337520565</v>
      </c>
      <c r="AU911" s="5">
        <f t="shared" si="913"/>
        <v>1.329247062</v>
      </c>
    </row>
    <row r="912" ht="15.75" customHeight="1">
      <c r="A912" s="3">
        <v>45153.0</v>
      </c>
      <c r="B912" s="4">
        <v>-0.026151</v>
      </c>
      <c r="C912" s="4">
        <v>-0.008939</v>
      </c>
      <c r="D912" s="4">
        <v>-0.028756</v>
      </c>
      <c r="E912" s="4">
        <v>-0.012362</v>
      </c>
      <c r="F912" s="4">
        <v>-0.006735</v>
      </c>
      <c r="G912" s="4">
        <v>-0.002883</v>
      </c>
      <c r="H912" s="4">
        <v>-0.006419</v>
      </c>
      <c r="I912" s="4">
        <v>-0.024445</v>
      </c>
      <c r="J912" s="4">
        <v>-0.013917</v>
      </c>
      <c r="K912" s="4">
        <v>-0.02132</v>
      </c>
      <c r="L912" s="4">
        <v>-0.025141</v>
      </c>
      <c r="M912" s="4">
        <v>-0.025934</v>
      </c>
      <c r="N912" s="4">
        <v>-0.022396</v>
      </c>
      <c r="O912" s="4">
        <v>0.013824</v>
      </c>
      <c r="P912" s="4">
        <v>-0.025089</v>
      </c>
      <c r="Q912" s="4">
        <v>-0.012261</v>
      </c>
      <c r="R912" s="4">
        <v>-0.033002</v>
      </c>
      <c r="S912" s="4">
        <v>-0.041337</v>
      </c>
      <c r="T912" s="4">
        <v>-0.016217</v>
      </c>
      <c r="U912" s="4">
        <v>-0.019836</v>
      </c>
      <c r="V912" s="4">
        <v>0.00185334887040422</v>
      </c>
      <c r="W912" s="4">
        <v>-4.476254693425E-4</v>
      </c>
      <c r="X912" s="4">
        <v>0.0</v>
      </c>
      <c r="Y912" s="4">
        <v>0.0110291622722733</v>
      </c>
      <c r="Z912" s="4">
        <v>0.0180781680699702</v>
      </c>
      <c r="AA912" s="4">
        <v>0.0175306765709857</v>
      </c>
      <c r="AB912" s="4">
        <v>0.0129016417263685</v>
      </c>
      <c r="AC912" s="4">
        <v>0.0</v>
      </c>
      <c r="AD912" s="4">
        <v>0.0</v>
      </c>
      <c r="AE912" s="4">
        <v>0.0170589590973089</v>
      </c>
      <c r="AF912" s="4">
        <v>0.0121037951954301</v>
      </c>
      <c r="AG912" s="4">
        <v>0.0053808701862985</v>
      </c>
      <c r="AH912" s="4">
        <v>-0.0090814958482752</v>
      </c>
      <c r="AI912" s="4">
        <v>0.0057984798364025</v>
      </c>
      <c r="AJ912" s="4">
        <v>-0.011551</v>
      </c>
      <c r="AK912" s="4">
        <f>Weights!E968</f>
        <v>-0.006933900328</v>
      </c>
      <c r="AL912" s="5">
        <v>0.00240248479782123</v>
      </c>
      <c r="AM912" s="5">
        <v>0.00495954073719051</v>
      </c>
      <c r="AN912" s="5">
        <v>0.00290695234116999</v>
      </c>
      <c r="AO912" s="5">
        <v>0.00266094488184376</v>
      </c>
      <c r="AP912" s="6">
        <f t="shared" si="3"/>
        <v>1.562241865</v>
      </c>
      <c r="AQ912" s="4">
        <f t="shared" si="4"/>
        <v>1.373598231</v>
      </c>
      <c r="AR912" s="7">
        <f t="shared" si="5"/>
        <v>1.349617303</v>
      </c>
      <c r="AS912" s="7">
        <f t="shared" ref="AS912:AU912" si="914">AS911*(1+AM912)</f>
        <v>1.442733614</v>
      </c>
      <c r="AT912" s="5">
        <f t="shared" si="914"/>
        <v>1.341408674</v>
      </c>
      <c r="AU912" s="5">
        <f t="shared" si="914"/>
        <v>1.332784116</v>
      </c>
    </row>
    <row r="913" ht="15.75" customHeight="1">
      <c r="A913" s="3">
        <v>45154.0</v>
      </c>
      <c r="B913" s="4">
        <v>-0.002335</v>
      </c>
      <c r="C913" s="4">
        <v>3.01E-4</v>
      </c>
      <c r="D913" s="4">
        <v>-0.006662</v>
      </c>
      <c r="E913" s="4">
        <v>-7.72E-4</v>
      </c>
      <c r="F913" s="4">
        <v>1.65E-4</v>
      </c>
      <c r="G913" s="4">
        <v>-0.00318</v>
      </c>
      <c r="H913" s="4">
        <v>-0.010207</v>
      </c>
      <c r="I913" s="4">
        <v>-0.003168</v>
      </c>
      <c r="J913" s="4">
        <v>0.003276</v>
      </c>
      <c r="K913" s="4">
        <v>-0.003524</v>
      </c>
      <c r="L913" s="4">
        <v>-0.008052</v>
      </c>
      <c r="M913" s="4">
        <v>-0.005325</v>
      </c>
      <c r="N913" s="4">
        <v>-0.0045</v>
      </c>
      <c r="O913" s="4">
        <v>-0.049959</v>
      </c>
      <c r="P913" s="4">
        <v>-0.004679</v>
      </c>
      <c r="Q913" s="4">
        <v>-0.012413</v>
      </c>
      <c r="R913" s="4">
        <v>-0.021079</v>
      </c>
      <c r="S913" s="4">
        <v>-0.022149</v>
      </c>
      <c r="T913" s="4">
        <v>-0.00455</v>
      </c>
      <c r="U913" s="4">
        <v>0.004987</v>
      </c>
      <c r="V913" s="4">
        <v>-0.0177581868304759</v>
      </c>
      <c r="W913" s="4">
        <v>0.0432155301743775</v>
      </c>
      <c r="X913" s="4">
        <v>-0.0013717782447403</v>
      </c>
      <c r="Y913" s="4">
        <v>0.0</v>
      </c>
      <c r="Z913" s="4">
        <v>0.0</v>
      </c>
      <c r="AA913" s="4">
        <v>0.0</v>
      </c>
      <c r="AB913" s="4">
        <v>0.0</v>
      </c>
      <c r="AC913" s="4">
        <v>0.0151770591580209</v>
      </c>
      <c r="AD913" s="4">
        <v>-0.0034091982327055</v>
      </c>
      <c r="AE913" s="4">
        <v>0.0</v>
      </c>
      <c r="AF913" s="4">
        <v>0.0022778537997247</v>
      </c>
      <c r="AG913" s="4">
        <v>0.0092579633996083</v>
      </c>
      <c r="AH913" s="4">
        <v>0.0102121063822573</v>
      </c>
      <c r="AI913" s="4">
        <v>0.0</v>
      </c>
      <c r="AJ913" s="4">
        <v>-0.007555</v>
      </c>
      <c r="AK913" s="4">
        <f>Weights!E969</f>
        <v>-0.001418833082</v>
      </c>
      <c r="AL913" s="5">
        <v>-0.0119037883464887</v>
      </c>
      <c r="AM913" s="5">
        <v>-0.0113503830243754</v>
      </c>
      <c r="AN913" s="5">
        <v>-0.00547502326815141</v>
      </c>
      <c r="AO913" s="5">
        <v>-0.00530766914517533</v>
      </c>
      <c r="AP913" s="6">
        <f t="shared" si="3"/>
        <v>1.560025305</v>
      </c>
      <c r="AQ913" s="4">
        <f t="shared" si="4"/>
        <v>1.363220697</v>
      </c>
      <c r="AR913" s="7">
        <f t="shared" si="5"/>
        <v>1.333551745</v>
      </c>
      <c r="AS913" s="7">
        <f t="shared" ref="AS913:AU913" si="915">AS912*(1+AM913)</f>
        <v>1.426358035</v>
      </c>
      <c r="AT913" s="5">
        <f t="shared" si="915"/>
        <v>1.33406443</v>
      </c>
      <c r="AU913" s="5">
        <f t="shared" si="915"/>
        <v>1.325710139</v>
      </c>
    </row>
    <row r="914" ht="15.75" customHeight="1">
      <c r="A914" s="3">
        <v>45155.0</v>
      </c>
      <c r="B914" s="4">
        <v>-0.006437</v>
      </c>
      <c r="C914" s="4">
        <v>-0.006312</v>
      </c>
      <c r="D914" s="4">
        <v>-0.009687</v>
      </c>
      <c r="E914" s="4">
        <v>-0.015231</v>
      </c>
      <c r="F914" s="4">
        <v>0.002149</v>
      </c>
      <c r="G914" s="4">
        <v>0.009397</v>
      </c>
      <c r="H914" s="4">
        <v>-0.00718</v>
      </c>
      <c r="I914" s="4">
        <v>0.007223</v>
      </c>
      <c r="J914" s="4">
        <v>5.02E-4</v>
      </c>
      <c r="K914" s="4">
        <v>-0.003536</v>
      </c>
      <c r="L914" s="4">
        <v>-0.007459</v>
      </c>
      <c r="M914" s="4">
        <v>-0.005353</v>
      </c>
      <c r="N914" s="4">
        <v>-0.009451</v>
      </c>
      <c r="O914" s="4">
        <v>-0.051292</v>
      </c>
      <c r="P914" s="4">
        <v>0.009663</v>
      </c>
      <c r="Q914" s="4">
        <v>-0.102906</v>
      </c>
      <c r="R914" s="4">
        <v>0.015637</v>
      </c>
      <c r="S914" s="4">
        <v>-0.006988</v>
      </c>
      <c r="T914" s="4">
        <v>-0.003265</v>
      </c>
      <c r="U914" s="4">
        <v>-0.012083</v>
      </c>
      <c r="V914" s="4">
        <v>0.00903952868666202</v>
      </c>
      <c r="W914" s="4">
        <v>0.001073081641129</v>
      </c>
      <c r="X914" s="4">
        <v>0.0013736626052176</v>
      </c>
      <c r="Y914" s="4">
        <v>0.0019946973899549</v>
      </c>
      <c r="Z914" s="4">
        <v>0.0078504344803462</v>
      </c>
      <c r="AA914" s="4">
        <v>-1.834468703072E-4</v>
      </c>
      <c r="AB914" s="4">
        <v>0.0093579427234686</v>
      </c>
      <c r="AC914" s="4">
        <v>0.0</v>
      </c>
      <c r="AD914" s="4">
        <v>0.0193843007768756</v>
      </c>
      <c r="AE914" s="4">
        <v>-0.0140892346035896</v>
      </c>
      <c r="AF914" s="4">
        <v>-0.0068181696770721</v>
      </c>
      <c r="AG914" s="4">
        <v>0.0</v>
      </c>
      <c r="AH914" s="4">
        <v>0.0</v>
      </c>
      <c r="AI914" s="4">
        <v>-0.0047168601567285</v>
      </c>
      <c r="AJ914" s="4">
        <v>-0.007713</v>
      </c>
      <c r="AK914" s="4">
        <f>Weights!E970</f>
        <v>-0.003553427185</v>
      </c>
      <c r="AL914" s="5">
        <v>-0.00792363682758823</v>
      </c>
      <c r="AM914" s="5">
        <v>-0.00825892169526365</v>
      </c>
      <c r="AN914" s="5">
        <v>-0.0200777112912333</v>
      </c>
      <c r="AO914" s="5">
        <v>-0.0181907493183695</v>
      </c>
      <c r="AP914" s="6">
        <f t="shared" si="3"/>
        <v>1.554481868</v>
      </c>
      <c r="AQ914" s="4">
        <f t="shared" si="4"/>
        <v>1.352706176</v>
      </c>
      <c r="AR914" s="7">
        <f t="shared" si="5"/>
        <v>1.322985165</v>
      </c>
      <c r="AS914" s="7">
        <f t="shared" ref="AS914:AU914" si="916">AS913*(1+AM914)</f>
        <v>1.414577855</v>
      </c>
      <c r="AT914" s="5">
        <f t="shared" si="916"/>
        <v>1.307279469</v>
      </c>
      <c r="AU914" s="5">
        <f t="shared" si="916"/>
        <v>1.301594478</v>
      </c>
    </row>
    <row r="915" ht="15.75" customHeight="1">
      <c r="A915" s="3">
        <v>45156.0</v>
      </c>
      <c r="B915" s="4">
        <v>-0.007656</v>
      </c>
      <c r="C915" s="4">
        <v>0.00363</v>
      </c>
      <c r="D915" s="4">
        <v>-0.007274</v>
      </c>
      <c r="E915" s="4">
        <v>-0.001513</v>
      </c>
      <c r="F915" s="4">
        <v>0.00561</v>
      </c>
      <c r="G915" s="4">
        <v>-0.008735</v>
      </c>
      <c r="H915" s="4">
        <v>0.002827</v>
      </c>
      <c r="I915" s="4">
        <v>2.87E-4</v>
      </c>
      <c r="J915" s="4">
        <v>0.005964</v>
      </c>
      <c r="K915" s="4">
        <v>-0.001129</v>
      </c>
      <c r="L915" s="4">
        <v>-0.00851</v>
      </c>
      <c r="M915" s="4">
        <v>-0.029063</v>
      </c>
      <c r="N915" s="4">
        <v>-0.012031</v>
      </c>
      <c r="O915" s="4">
        <v>0.005279</v>
      </c>
      <c r="P915" s="4">
        <v>-0.011899</v>
      </c>
      <c r="Q915" s="4">
        <v>0.003503</v>
      </c>
      <c r="R915" s="4">
        <v>-0.019687</v>
      </c>
      <c r="S915" s="4">
        <v>-0.004853</v>
      </c>
      <c r="T915" s="4">
        <v>0.002442</v>
      </c>
      <c r="U915" s="4">
        <v>0.004659</v>
      </c>
      <c r="V915" s="4">
        <v>-0.016050602017246</v>
      </c>
      <c r="W915" s="4">
        <v>-0.0272298220231516</v>
      </c>
      <c r="X915" s="4">
        <v>-0.0013717782447403</v>
      </c>
      <c r="Y915" s="4">
        <v>-0.0098916685416746</v>
      </c>
      <c r="Z915" s="4">
        <v>-0.0113130809630089</v>
      </c>
      <c r="AA915" s="4">
        <v>0.0031166609333901</v>
      </c>
      <c r="AB915" s="4">
        <v>0.0010302137519047</v>
      </c>
      <c r="AC915" s="4">
        <v>-0.0033222651070505</v>
      </c>
      <c r="AD915" s="4">
        <v>0.0022371128650802</v>
      </c>
      <c r="AE915" s="4">
        <v>-0.0030622666946489</v>
      </c>
      <c r="AF915" s="4">
        <v>-0.0163043535207102</v>
      </c>
      <c r="AG915" s="4">
        <v>-0.0025801593919773</v>
      </c>
      <c r="AH915" s="4">
        <v>0.022550516403637</v>
      </c>
      <c r="AI915" s="4">
        <v>-0.0031593684282026</v>
      </c>
      <c r="AJ915" s="4">
        <v>-1.49E-4</v>
      </c>
      <c r="AK915" s="4">
        <f>Weights!E971</f>
        <v>-0.00371936945</v>
      </c>
      <c r="AL915" s="5">
        <v>-0.0069275313052648</v>
      </c>
      <c r="AM915" s="5">
        <v>-0.00819035502441067</v>
      </c>
      <c r="AN915" s="5">
        <v>3.30503480506561E-4</v>
      </c>
      <c r="AO915" s="5">
        <v>-4.93960400973492E-4</v>
      </c>
      <c r="AP915" s="6">
        <f t="shared" si="3"/>
        <v>1.548700176</v>
      </c>
      <c r="AQ915" s="4">
        <f t="shared" si="4"/>
        <v>1.352504622</v>
      </c>
      <c r="AR915" s="7">
        <f t="shared" si="5"/>
        <v>1.313820144</v>
      </c>
      <c r="AS915" s="7">
        <f t="shared" ref="AS915:AU915" si="917">AS914*(1+AM915)</f>
        <v>1.402991961</v>
      </c>
      <c r="AT915" s="5">
        <f t="shared" si="917"/>
        <v>1.30771153</v>
      </c>
      <c r="AU915" s="5">
        <f t="shared" si="917"/>
        <v>1.300951542</v>
      </c>
    </row>
    <row r="916" ht="15.75" customHeight="1">
      <c r="A916" s="3">
        <v>45159.0</v>
      </c>
      <c r="B916" s="4">
        <v>0.007715</v>
      </c>
      <c r="C916" s="4">
        <v>-0.005425</v>
      </c>
      <c r="D916" s="4">
        <v>-0.003285</v>
      </c>
      <c r="E916" s="4">
        <v>-0.006342</v>
      </c>
      <c r="F916" s="4">
        <v>-0.008532</v>
      </c>
      <c r="G916" s="4">
        <v>-0.029799</v>
      </c>
      <c r="H916" s="4">
        <v>-0.005048</v>
      </c>
      <c r="I916" s="4">
        <v>-0.004015</v>
      </c>
      <c r="J916" s="4">
        <v>-0.009836</v>
      </c>
      <c r="K916" s="4">
        <v>-0.003876</v>
      </c>
      <c r="L916" s="4">
        <v>-0.001561</v>
      </c>
      <c r="M916" s="4">
        <v>-0.007761</v>
      </c>
      <c r="N916" s="4">
        <v>-0.007558</v>
      </c>
      <c r="O916" s="4">
        <v>0.001328</v>
      </c>
      <c r="P916" s="4">
        <v>0.001309</v>
      </c>
      <c r="Q916" s="4">
        <v>0.010471</v>
      </c>
      <c r="R916" s="4">
        <v>-0.002832</v>
      </c>
      <c r="S916" s="4">
        <v>0.006828</v>
      </c>
      <c r="T916" s="4">
        <v>-0.004039</v>
      </c>
      <c r="U916" s="4">
        <v>0.0</v>
      </c>
      <c r="V916" s="4">
        <v>-0.0284523437651303</v>
      </c>
      <c r="W916" s="4">
        <v>-0.044081999008752</v>
      </c>
      <c r="X916" s="4">
        <v>-0.0041208783691863</v>
      </c>
      <c r="Y916" s="4">
        <v>-0.015394416504314</v>
      </c>
      <c r="Z916" s="4">
        <v>-0.0128493186366209</v>
      </c>
      <c r="AA916" s="4">
        <v>-0.0093202294123768</v>
      </c>
      <c r="AB916" s="4">
        <v>-0.0033448017078328</v>
      </c>
      <c r="AC916" s="4">
        <v>0.0083333817529407</v>
      </c>
      <c r="AD916" s="4">
        <v>-0.0111605968106941</v>
      </c>
      <c r="AE916" s="4">
        <v>-6.825265447786E-4</v>
      </c>
      <c r="AF916" s="4">
        <v>-0.0151206239214631</v>
      </c>
      <c r="AG916" s="4">
        <v>-7.184277300871E-4</v>
      </c>
      <c r="AH916" s="4">
        <v>0.0243345900520888</v>
      </c>
      <c r="AI916" s="4">
        <v>-0.0031694898315446</v>
      </c>
      <c r="AJ916" s="4">
        <v>0.006879</v>
      </c>
      <c r="AK916" s="4">
        <f>Weights!E972</f>
        <v>-0.004935631581</v>
      </c>
      <c r="AL916" s="5">
        <v>-2.46190124520762E-4</v>
      </c>
      <c r="AM916" s="5">
        <v>0.00115343574693937</v>
      </c>
      <c r="AN916" s="5">
        <v>-0.00429465978607035</v>
      </c>
      <c r="AO916" s="5">
        <v>-0.00395443068851153</v>
      </c>
      <c r="AP916" s="6">
        <f t="shared" si="3"/>
        <v>1.541056362</v>
      </c>
      <c r="AQ916" s="4">
        <f t="shared" si="4"/>
        <v>1.361808502</v>
      </c>
      <c r="AR916" s="7">
        <f t="shared" si="5"/>
        <v>1.313496694</v>
      </c>
      <c r="AS916" s="7">
        <f t="shared" ref="AS916:AU916" si="918">AS915*(1+AM916)</f>
        <v>1.404610222</v>
      </c>
      <c r="AT916" s="5">
        <f t="shared" si="918"/>
        <v>1.302095354</v>
      </c>
      <c r="AU916" s="5">
        <f t="shared" si="918"/>
        <v>1.295807019</v>
      </c>
    </row>
    <row r="917" ht="15.75" customHeight="1">
      <c r="A917" s="3">
        <v>45160.0</v>
      </c>
      <c r="B917" s="4">
        <v>-0.009423</v>
      </c>
      <c r="C917" s="4">
        <v>0.006061</v>
      </c>
      <c r="D917" s="4">
        <v>-0.004563</v>
      </c>
      <c r="E917" s="4">
        <v>-0.007625</v>
      </c>
      <c r="F917" s="4">
        <v>-0.006123</v>
      </c>
      <c r="G917" s="4">
        <v>-0.007947</v>
      </c>
      <c r="H917" s="4">
        <v>3.95E-4</v>
      </c>
      <c r="I917" s="4">
        <v>-0.012381</v>
      </c>
      <c r="J917" s="4">
        <v>0.00433</v>
      </c>
      <c r="K917" s="4">
        <v>-0.013294</v>
      </c>
      <c r="L917" s="4">
        <v>-0.014402</v>
      </c>
      <c r="M917" s="4">
        <v>-0.003377</v>
      </c>
      <c r="N917" s="4">
        <v>-0.007404</v>
      </c>
      <c r="O917" s="4">
        <v>-0.019953</v>
      </c>
      <c r="P917" s="4">
        <v>0.00915</v>
      </c>
      <c r="Q917" s="4">
        <v>0.012953</v>
      </c>
      <c r="R917" s="4">
        <v>0.004131</v>
      </c>
      <c r="S917" s="4">
        <v>0.00775</v>
      </c>
      <c r="T917" s="4">
        <v>0.004533</v>
      </c>
      <c r="U917" s="4">
        <v>-0.006159</v>
      </c>
      <c r="V917" s="4">
        <v>-0.0183521589829904</v>
      </c>
      <c r="W917" s="4">
        <v>0.0149872475199881</v>
      </c>
      <c r="X917" s="4">
        <v>0.0</v>
      </c>
      <c r="Y917" s="4">
        <v>-0.0202934882441099</v>
      </c>
      <c r="Z917" s="4">
        <v>-0.0115915470403521</v>
      </c>
      <c r="AA917" s="4">
        <v>-0.0083009932862362</v>
      </c>
      <c r="AB917" s="4">
        <v>-7.742965349037E-4</v>
      </c>
      <c r="AC917" s="4">
        <v>0.0</v>
      </c>
      <c r="AD917" s="4">
        <v>0.0</v>
      </c>
      <c r="AE917" s="4">
        <v>-0.0017076505037432</v>
      </c>
      <c r="AF917" s="4">
        <v>0.0118098875885359</v>
      </c>
      <c r="AG917" s="4">
        <v>-0.0053206346530888</v>
      </c>
      <c r="AH917" s="4">
        <v>0.0022272461290462</v>
      </c>
      <c r="AI917" s="4">
        <v>-0.0037098208531187</v>
      </c>
      <c r="AJ917" s="4">
        <v>-0.002777</v>
      </c>
      <c r="AK917" s="4">
        <f>Weights!E973</f>
        <v>-0.003558888848</v>
      </c>
      <c r="AL917" s="5">
        <v>0.0061566532920847</v>
      </c>
      <c r="AM917" s="5">
        <v>0.00576017393469219</v>
      </c>
      <c r="AN917" s="5">
        <v>3.31752490048797E-4</v>
      </c>
      <c r="AO917" s="5">
        <v>2.47983575450527E-4</v>
      </c>
      <c r="AP917" s="6">
        <f t="shared" si="3"/>
        <v>1.535571914</v>
      </c>
      <c r="AQ917" s="4">
        <f t="shared" si="4"/>
        <v>1.358026759</v>
      </c>
      <c r="AR917" s="7">
        <f t="shared" si="5"/>
        <v>1.321583438</v>
      </c>
      <c r="AS917" s="7">
        <f t="shared" ref="AS917:AU917" si="919">AS916*(1+AM917)</f>
        <v>1.412701021</v>
      </c>
      <c r="AT917" s="5">
        <f t="shared" si="919"/>
        <v>1.302527327</v>
      </c>
      <c r="AU917" s="5">
        <f t="shared" si="919"/>
        <v>1.296128358</v>
      </c>
    </row>
    <row r="918" ht="15.75" customHeight="1">
      <c r="A918" s="3">
        <v>45161.0</v>
      </c>
      <c r="B918" s="4">
        <v>0.008323</v>
      </c>
      <c r="C918" s="4">
        <v>-3.01E-4</v>
      </c>
      <c r="D918" s="4">
        <v>0.004838</v>
      </c>
      <c r="E918" s="4">
        <v>0.013773</v>
      </c>
      <c r="F918" s="4">
        <v>0.003496</v>
      </c>
      <c r="G918" s="4">
        <v>-0.008975</v>
      </c>
      <c r="H918" s="4">
        <v>0.009353</v>
      </c>
      <c r="I918" s="4">
        <v>0.004082</v>
      </c>
      <c r="J918" s="4">
        <v>0.00558</v>
      </c>
      <c r="K918" s="4">
        <v>0.011009</v>
      </c>
      <c r="L918" s="4">
        <v>0.00657</v>
      </c>
      <c r="M918" s="4">
        <v>0.014798</v>
      </c>
      <c r="N918" s="4">
        <v>0.013853</v>
      </c>
      <c r="O918" s="4">
        <v>-0.003567</v>
      </c>
      <c r="P918" s="4">
        <v>0.015285</v>
      </c>
      <c r="Q918" s="4">
        <v>0.049446</v>
      </c>
      <c r="R918" s="4">
        <v>0.009514</v>
      </c>
      <c r="S918" s="4">
        <v>0.027157</v>
      </c>
      <c r="T918" s="4">
        <v>-0.008372</v>
      </c>
      <c r="U918" s="4">
        <v>0.005031</v>
      </c>
      <c r="V918" s="4">
        <v>-0.00119324194245917</v>
      </c>
      <c r="W918" s="4">
        <v>-0.0031802467579394</v>
      </c>
      <c r="X918" s="4">
        <v>-0.0055172770018578</v>
      </c>
      <c r="Y918" s="4">
        <v>0.0026706246757386</v>
      </c>
      <c r="Z918" s="4">
        <v>-0.0045178349907425</v>
      </c>
      <c r="AA918" s="4">
        <v>-0.0150669532351286</v>
      </c>
      <c r="AB918" s="4">
        <v>-0.0095582241132313</v>
      </c>
      <c r="AC918" s="4">
        <v>-0.0049916563476698</v>
      </c>
      <c r="AD918" s="4">
        <v>0.0033632403409855</v>
      </c>
      <c r="AE918" s="4">
        <v>-0.0010262753257558</v>
      </c>
      <c r="AF918" s="4">
        <v>0.0131309582684269</v>
      </c>
      <c r="AG918" s="4">
        <v>0.0027469094458278</v>
      </c>
      <c r="AH918" s="4">
        <v>-0.0108642337533346</v>
      </c>
      <c r="AI918" s="4">
        <v>0.0010635845150546</v>
      </c>
      <c r="AJ918" s="4">
        <v>0.011045</v>
      </c>
      <c r="AK918" s="4">
        <f>Weights!E974</f>
        <v>0.003341344104</v>
      </c>
      <c r="AL918" s="5">
        <v>-0.00293711845154676</v>
      </c>
      <c r="AM918" s="5">
        <v>-0.00265751674044911</v>
      </c>
      <c r="AN918" s="5">
        <v>-0.00132663669032173</v>
      </c>
      <c r="AO918" s="5">
        <v>-0.00148852944117239</v>
      </c>
      <c r="AP918" s="6">
        <f t="shared" si="3"/>
        <v>1.540702788</v>
      </c>
      <c r="AQ918" s="4">
        <f t="shared" si="4"/>
        <v>1.373026165</v>
      </c>
      <c r="AR918" s="7">
        <f t="shared" si="5"/>
        <v>1.317701791</v>
      </c>
      <c r="AS918" s="7">
        <f t="shared" ref="AS918:AU918" si="920">AS917*(1+AM918)</f>
        <v>1.408946744</v>
      </c>
      <c r="AT918" s="5">
        <f t="shared" si="920"/>
        <v>1.300799347</v>
      </c>
      <c r="AU918" s="5">
        <f t="shared" si="920"/>
        <v>1.294199033</v>
      </c>
    </row>
    <row r="919" ht="15.75" customHeight="1">
      <c r="A919" s="3">
        <v>45162.0</v>
      </c>
      <c r="B919" s="4">
        <v>0.008255</v>
      </c>
      <c r="C919" s="4">
        <v>0.005725</v>
      </c>
      <c r="D919" s="4">
        <v>0.004055</v>
      </c>
      <c r="E919" s="4">
        <v>-0.005277</v>
      </c>
      <c r="F919" s="4">
        <v>-0.002655</v>
      </c>
      <c r="G919" s="4">
        <v>0.003404</v>
      </c>
      <c r="H919" s="4">
        <v>-0.004633</v>
      </c>
      <c r="I919" s="4">
        <v>-0.007549</v>
      </c>
      <c r="J919" s="4">
        <v>-0.005801</v>
      </c>
      <c r="K919" s="4">
        <v>-0.034455</v>
      </c>
      <c r="L919" s="4">
        <v>0.016318</v>
      </c>
      <c r="M919" s="4">
        <v>0.005609</v>
      </c>
      <c r="N919" s="4">
        <v>-8.41E-4</v>
      </c>
      <c r="O919" s="4">
        <v>-0.013951</v>
      </c>
      <c r="P919" s="4">
        <v>-0.003317</v>
      </c>
      <c r="Q919" s="4">
        <v>0.012998</v>
      </c>
      <c r="R919" s="4">
        <v>-0.021905</v>
      </c>
      <c r="S919" s="4">
        <v>-0.010997</v>
      </c>
      <c r="T919" s="4">
        <v>-0.011915</v>
      </c>
      <c r="U919" s="4">
        <v>-0.010374</v>
      </c>
      <c r="V919" s="4">
        <v>0.0187175919332658</v>
      </c>
      <c r="W919" s="4">
        <v>0.0159526329565136</v>
      </c>
      <c r="X919" s="4">
        <v>0.0083217740858911</v>
      </c>
      <c r="Y919" s="4">
        <v>-0.0059766472633171</v>
      </c>
      <c r="Z919" s="4">
        <v>0.0012552312469493</v>
      </c>
      <c r="AA919" s="4">
        <v>-0.0067989156229394</v>
      </c>
      <c r="AB919" s="4">
        <v>7.822675455682E-4</v>
      </c>
      <c r="AC919" s="4">
        <v>0.0</v>
      </c>
      <c r="AD919" s="4">
        <v>0.0111730660942535</v>
      </c>
      <c r="AE919" s="4">
        <v>0.0054793170636822</v>
      </c>
      <c r="AF919" s="4">
        <v>-0.0014400778432621</v>
      </c>
      <c r="AG919" s="4">
        <v>0.027537347171594</v>
      </c>
      <c r="AH919" s="4">
        <v>-0.0064902702485873</v>
      </c>
      <c r="AI919" s="4">
        <v>0.0</v>
      </c>
      <c r="AJ919" s="4">
        <v>-0.013458</v>
      </c>
      <c r="AK919" s="4">
        <f>Weights!E975</f>
        <v>0.0002695746364</v>
      </c>
      <c r="AL919" s="5">
        <v>0.0106374088515079</v>
      </c>
      <c r="AM919" s="5">
        <v>0.0109334600697614</v>
      </c>
      <c r="AN919" s="5">
        <v>-0.00597816348387536</v>
      </c>
      <c r="AO919" s="5">
        <v>-0.00447194588499211</v>
      </c>
      <c r="AP919" s="6">
        <f t="shared" si="3"/>
        <v>1.541118123</v>
      </c>
      <c r="AQ919" s="4">
        <f t="shared" si="4"/>
        <v>1.354547979</v>
      </c>
      <c r="AR919" s="7">
        <f t="shared" si="5"/>
        <v>1.331718723</v>
      </c>
      <c r="AS919" s="7">
        <f t="shared" ref="AS919:AU919" si="921">AS918*(1+AM919)</f>
        <v>1.424351407</v>
      </c>
      <c r="AT919" s="5">
        <f t="shared" si="921"/>
        <v>1.293022955</v>
      </c>
      <c r="AU919" s="5">
        <f t="shared" si="921"/>
        <v>1.288411444</v>
      </c>
    </row>
    <row r="920" ht="15.75" customHeight="1">
      <c r="A920" s="3">
        <v>45163.0</v>
      </c>
      <c r="B920" s="4">
        <v>0.004678</v>
      </c>
      <c r="C920" s="4">
        <v>-8.99E-4</v>
      </c>
      <c r="D920" s="4">
        <v>-0.008582</v>
      </c>
      <c r="E920" s="4">
        <v>0.012643</v>
      </c>
      <c r="F920" s="4">
        <v>0.004658</v>
      </c>
      <c r="G920" s="4">
        <v>0.014235</v>
      </c>
      <c r="H920" s="4">
        <v>0.006556</v>
      </c>
      <c r="I920" s="4">
        <v>0.006437</v>
      </c>
      <c r="J920" s="4">
        <v>-0.003298</v>
      </c>
      <c r="K920" s="4">
        <v>-0.005555</v>
      </c>
      <c r="L920" s="4">
        <v>-0.014727</v>
      </c>
      <c r="M920" s="4">
        <v>-0.002789</v>
      </c>
      <c r="N920" s="4">
        <v>-2.1E-4</v>
      </c>
      <c r="O920" s="4">
        <v>0.007763</v>
      </c>
      <c r="P920" s="4">
        <v>-0.019201</v>
      </c>
      <c r="Q920" s="4">
        <v>-0.008019</v>
      </c>
      <c r="R920" s="4">
        <v>-0.001823</v>
      </c>
      <c r="S920" s="4">
        <v>-0.004732</v>
      </c>
      <c r="T920" s="4">
        <v>0.002303</v>
      </c>
      <c r="U920" s="4">
        <v>0.01063</v>
      </c>
      <c r="V920" s="4">
        <v>0.0132915887704108</v>
      </c>
      <c r="W920" s="4">
        <v>0.0430685425677519</v>
      </c>
      <c r="X920" s="4">
        <v>-0.0055019894050372</v>
      </c>
      <c r="Y920" s="4">
        <v>0.0083000936675035</v>
      </c>
      <c r="Z920" s="4">
        <v>0.0097406817399046</v>
      </c>
      <c r="AA920" s="4">
        <v>0.0144515390531381</v>
      </c>
      <c r="AB920" s="4">
        <v>0.0057337855323638</v>
      </c>
      <c r="AC920" s="4">
        <v>-0.0267558342416407</v>
      </c>
      <c r="AD920" s="4">
        <v>-0.0055248505690657</v>
      </c>
      <c r="AE920" s="4">
        <v>0.0023842639789011</v>
      </c>
      <c r="AF920" s="4">
        <v>0.0207671961305682</v>
      </c>
      <c r="AG920" s="4">
        <v>-0.0112246870300914</v>
      </c>
      <c r="AH920" s="4">
        <v>-0.0298994868010158</v>
      </c>
      <c r="AI920" s="4">
        <v>0.0085019206535998</v>
      </c>
      <c r="AJ920" s="4">
        <v>0.006718</v>
      </c>
      <c r="AK920" s="4">
        <f>Weights!E976</f>
        <v>0.0003450003192</v>
      </c>
      <c r="AL920" s="5">
        <v>-0.0132782473707248</v>
      </c>
      <c r="AM920" s="5">
        <v>-0.0134053589307669</v>
      </c>
      <c r="AN920" s="5">
        <v>0.0100233485916596</v>
      </c>
      <c r="AO920" s="5">
        <v>0.00973299108312253</v>
      </c>
      <c r="AP920" s="6">
        <f t="shared" si="3"/>
        <v>1.541649809</v>
      </c>
      <c r="AQ920" s="4">
        <f t="shared" si="4"/>
        <v>1.363647832</v>
      </c>
      <c r="AR920" s="7">
        <f t="shared" si="5"/>
        <v>1.314035833</v>
      </c>
      <c r="AS920" s="7">
        <f t="shared" ref="AS920:AU920" si="922">AS919*(1+AM920)</f>
        <v>1.405257465</v>
      </c>
      <c r="AT920" s="5">
        <f t="shared" si="922"/>
        <v>1.305983375</v>
      </c>
      <c r="AU920" s="5">
        <f t="shared" si="922"/>
        <v>1.300951542</v>
      </c>
    </row>
    <row r="921" ht="15.75" customHeight="1">
      <c r="A921" s="3">
        <v>45166.0</v>
      </c>
      <c r="B921" s="4">
        <v>0.011059</v>
      </c>
      <c r="C921" s="4">
        <v>0.005997</v>
      </c>
      <c r="D921" s="4">
        <v>0.026477</v>
      </c>
      <c r="E921" s="4">
        <v>0.004626</v>
      </c>
      <c r="F921" s="4">
        <v>0.002815</v>
      </c>
      <c r="G921" s="4">
        <v>-0.01179</v>
      </c>
      <c r="H921" s="4">
        <v>0.001563</v>
      </c>
      <c r="I921" s="4">
        <v>0.00843</v>
      </c>
      <c r="J921" s="4">
        <v>-0.002036</v>
      </c>
      <c r="K921" s="4">
        <v>0.02065</v>
      </c>
      <c r="L921" s="4">
        <v>0.007867</v>
      </c>
      <c r="M921" s="4">
        <v>0.005034</v>
      </c>
      <c r="N921" s="4">
        <v>0.003998</v>
      </c>
      <c r="O921" s="4">
        <v>0.005591</v>
      </c>
      <c r="P921" s="4">
        <v>0.019055</v>
      </c>
      <c r="Q921" s="4">
        <v>0.026677</v>
      </c>
      <c r="R921" s="4">
        <v>0.016436</v>
      </c>
      <c r="S921" s="4">
        <v>0.022344</v>
      </c>
      <c r="T921" s="4">
        <v>0.009311</v>
      </c>
      <c r="U921" s="4">
        <v>-0.001233</v>
      </c>
      <c r="V921" s="4">
        <v>-0.00270066640248678</v>
      </c>
      <c r="W921" s="4">
        <v>0.0172042197404134</v>
      </c>
      <c r="X921" s="4">
        <v>-0.0069155910635659</v>
      </c>
      <c r="Y921" s="4">
        <v>0.0079725089719848</v>
      </c>
      <c r="Z921" s="4">
        <v>0.0072587306577263</v>
      </c>
      <c r="AA921" s="4">
        <v>0.0116212460470999</v>
      </c>
      <c r="AB921" s="4">
        <v>0.0028505483333882</v>
      </c>
      <c r="AC921" s="4">
        <v>0.0085911150968305</v>
      </c>
      <c r="AD921" s="4">
        <v>0.0</v>
      </c>
      <c r="AE921" s="4">
        <v>0.0122325518491055</v>
      </c>
      <c r="AF921" s="4">
        <v>0.0048036657822256</v>
      </c>
      <c r="AG921" s="4">
        <v>0.0106425386542077</v>
      </c>
      <c r="AH921" s="4">
        <v>-0.0259000625408787</v>
      </c>
      <c r="AI921" s="4">
        <v>0.0036878893713014</v>
      </c>
      <c r="AJ921" s="4">
        <v>0.006265</v>
      </c>
      <c r="AK921" s="4">
        <f>Weights!E977</f>
        <v>0.00569451491</v>
      </c>
      <c r="AL921" s="5">
        <v>0.00681056921512768</v>
      </c>
      <c r="AM921" s="5">
        <v>0.00681673468487931</v>
      </c>
      <c r="AN921" s="5">
        <v>-0.00496200569717941</v>
      </c>
      <c r="AO921" s="5">
        <v>-0.00519043857274215</v>
      </c>
      <c r="AP921" s="6">
        <f t="shared" si="3"/>
        <v>1.550428757</v>
      </c>
      <c r="AQ921" s="4">
        <f t="shared" si="4"/>
        <v>1.372191086</v>
      </c>
      <c r="AR921" s="7">
        <f t="shared" si="5"/>
        <v>1.322985165</v>
      </c>
      <c r="AS921" s="7">
        <f t="shared" ref="AS921:AU921" si="923">AS920*(1+AM921)</f>
        <v>1.414836733</v>
      </c>
      <c r="AT921" s="5">
        <f t="shared" si="923"/>
        <v>1.299503078</v>
      </c>
      <c r="AU921" s="5">
        <f t="shared" si="923"/>
        <v>1.294199033</v>
      </c>
    </row>
    <row r="922" ht="15.75" customHeight="1">
      <c r="A922" s="3">
        <v>45167.0</v>
      </c>
      <c r="B922" s="4">
        <v>0.018423</v>
      </c>
      <c r="C922" s="4">
        <v>0.033979</v>
      </c>
      <c r="D922" s="4">
        <v>0.015377</v>
      </c>
      <c r="E922" s="4">
        <v>0.003772</v>
      </c>
      <c r="F922" s="4">
        <v>-9.91E-4</v>
      </c>
      <c r="G922" s="4">
        <v>1.22E-4</v>
      </c>
      <c r="H922" s="4">
        <v>5.85E-4</v>
      </c>
      <c r="I922" s="4">
        <v>0.010666</v>
      </c>
      <c r="J922" s="4">
        <v>0.010712</v>
      </c>
      <c r="K922" s="4">
        <v>0.018076</v>
      </c>
      <c r="L922" s="4">
        <v>0.008252</v>
      </c>
      <c r="M922" s="4">
        <v>0.022816</v>
      </c>
      <c r="N922" s="4">
        <v>0.018688</v>
      </c>
      <c r="O922" s="4">
        <v>0.012664</v>
      </c>
      <c r="P922" s="4">
        <v>0.012295</v>
      </c>
      <c r="Q922" s="4">
        <v>0.014173</v>
      </c>
      <c r="R922" s="4">
        <v>0.031571</v>
      </c>
      <c r="S922" s="4">
        <v>0.017903</v>
      </c>
      <c r="T922" s="4">
        <v>0.028633</v>
      </c>
      <c r="U922" s="4">
        <v>0.009296</v>
      </c>
      <c r="V922" s="4">
        <v>0.042553306087228</v>
      </c>
      <c r="W922" s="4">
        <v>-0.0067652962528227</v>
      </c>
      <c r="X922" s="4">
        <v>0.0</v>
      </c>
      <c r="Y922" s="4">
        <v>0.0063661930011078</v>
      </c>
      <c r="Z922" s="4">
        <v>0.0107149922599565</v>
      </c>
      <c r="AA922" s="4">
        <v>0.0068557144658816</v>
      </c>
      <c r="AB922" s="4">
        <v>0.0049095826573564</v>
      </c>
      <c r="AC922" s="4">
        <v>0.0</v>
      </c>
      <c r="AD922" s="4">
        <v>0.0</v>
      </c>
      <c r="AE922" s="4">
        <v>0.0043638804968109</v>
      </c>
      <c r="AF922" s="4">
        <v>-0.0044994751138878</v>
      </c>
      <c r="AG922" s="4">
        <v>0.0022466285057023</v>
      </c>
      <c r="AH922" s="4">
        <v>0.0154214541352946</v>
      </c>
      <c r="AI922" s="4">
        <v>0.0</v>
      </c>
      <c r="AJ922" s="4">
        <v>0.014508</v>
      </c>
      <c r="AK922" s="4">
        <f>Weights!E978</f>
        <v>0.01066315958</v>
      </c>
      <c r="AL922" s="5">
        <v>0.00766092157471276</v>
      </c>
      <c r="AM922" s="5">
        <v>0.00640484967036547</v>
      </c>
      <c r="AN922" s="5">
        <v>0.00284913127215946</v>
      </c>
      <c r="AO922" s="5">
        <v>0.00298139709248146</v>
      </c>
      <c r="AP922" s="6">
        <f t="shared" si="3"/>
        <v>1.566961226</v>
      </c>
      <c r="AQ922" s="4">
        <f t="shared" si="4"/>
        <v>1.392098834</v>
      </c>
      <c r="AR922" s="7">
        <f t="shared" si="5"/>
        <v>1.33312045</v>
      </c>
      <c r="AS922" s="7">
        <f t="shared" ref="AS922:AU922" si="924">AS921*(1+AM922)</f>
        <v>1.423898549</v>
      </c>
      <c r="AT922" s="5">
        <f t="shared" si="924"/>
        <v>1.303205533</v>
      </c>
      <c r="AU922" s="5">
        <f t="shared" si="924"/>
        <v>1.298057554</v>
      </c>
    </row>
    <row r="923" ht="15.75" customHeight="1">
      <c r="A923" s="3">
        <v>45168.0</v>
      </c>
      <c r="B923" s="4">
        <v>5.65E-4</v>
      </c>
      <c r="C923" s="4">
        <v>-0.001441</v>
      </c>
      <c r="D923" s="4">
        <v>0.0</v>
      </c>
      <c r="E923" s="4">
        <v>8.29E-4</v>
      </c>
      <c r="F923" s="4">
        <v>-4.96E-4</v>
      </c>
      <c r="G923" s="4">
        <v>-0.00353</v>
      </c>
      <c r="H923" s="4">
        <v>0.001105</v>
      </c>
      <c r="I923" s="4">
        <v>0.005704</v>
      </c>
      <c r="J923" s="4">
        <v>-2.52E-4</v>
      </c>
      <c r="K923" s="4">
        <v>0.004072</v>
      </c>
      <c r="L923" s="4">
        <v>0.004645</v>
      </c>
      <c r="M923" s="4">
        <v>0.003264</v>
      </c>
      <c r="N923" s="4">
        <v>0.006868</v>
      </c>
      <c r="O923" s="4">
        <v>0.001525</v>
      </c>
      <c r="P923" s="4">
        <v>0.006073</v>
      </c>
      <c r="Q923" s="4">
        <v>0.011646</v>
      </c>
      <c r="R923" s="4">
        <v>0.0</v>
      </c>
      <c r="S923" s="4">
        <v>0.0</v>
      </c>
      <c r="T923" s="4">
        <v>-0.008502</v>
      </c>
      <c r="U923" s="4">
        <v>-0.004318</v>
      </c>
      <c r="V923" s="4">
        <v>-0.00333957816141017</v>
      </c>
      <c r="W923" s="4">
        <v>-0.0249042020095767</v>
      </c>
      <c r="X923" s="4">
        <v>0.0</v>
      </c>
      <c r="Y923" s="4">
        <v>-0.0090734839280467</v>
      </c>
      <c r="Z923" s="4">
        <v>-0.0121962157806487</v>
      </c>
      <c r="AA923" s="4">
        <v>-0.00588879404469</v>
      </c>
      <c r="AB923" s="4">
        <v>0.0059141152462687</v>
      </c>
      <c r="AC923" s="4">
        <v>-0.0068026654568918</v>
      </c>
      <c r="AD923" s="4">
        <v>0.0088986809806383</v>
      </c>
      <c r="AE923" s="4">
        <v>-0.0013370965525986</v>
      </c>
      <c r="AF923" s="4">
        <v>0.0056496613900804</v>
      </c>
      <c r="AG923" s="4">
        <v>-0.0029416601132079</v>
      </c>
      <c r="AH923" s="4">
        <v>-0.0057606898019465</v>
      </c>
      <c r="AI923" s="4">
        <v>-0.0052493164689417</v>
      </c>
      <c r="AJ923" s="4">
        <v>0.003833</v>
      </c>
      <c r="AK923" s="4">
        <f>Weights!E979</f>
        <v>-0.0008811459258</v>
      </c>
      <c r="AL923" s="5">
        <v>0.0142349156726604</v>
      </c>
      <c r="AM923" s="5">
        <v>0.014545980444431</v>
      </c>
      <c r="AN923" s="5">
        <v>0.00935843047177242</v>
      </c>
      <c r="AO923" s="5">
        <v>0.00916525752545105</v>
      </c>
      <c r="AP923" s="6">
        <f t="shared" si="3"/>
        <v>1.565580504</v>
      </c>
      <c r="AQ923" s="4">
        <f t="shared" si="4"/>
        <v>1.397434749</v>
      </c>
      <c r="AR923" s="7">
        <f t="shared" si="5"/>
        <v>1.352097308</v>
      </c>
      <c r="AS923" s="7">
        <f t="shared" ref="AS923:AU923" si="925">AS922*(1+AM923)</f>
        <v>1.44461055</v>
      </c>
      <c r="AT923" s="5">
        <f t="shared" si="925"/>
        <v>1.315401492</v>
      </c>
      <c r="AU923" s="5">
        <f t="shared" si="925"/>
        <v>1.309954586</v>
      </c>
    </row>
    <row r="924" ht="15.75" customHeight="1">
      <c r="A924" s="3">
        <v>45169.0</v>
      </c>
      <c r="B924" s="4">
        <v>-0.00791</v>
      </c>
      <c r="C924" s="4">
        <v>0.009815</v>
      </c>
      <c r="D924" s="4">
        <v>-0.006351</v>
      </c>
      <c r="E924" s="4">
        <v>-0.010465</v>
      </c>
      <c r="F924" s="4">
        <v>-0.010584</v>
      </c>
      <c r="G924" s="4">
        <v>-0.012521</v>
      </c>
      <c r="H924" s="4">
        <v>0.001948</v>
      </c>
      <c r="I924" s="4">
        <v>-0.005105</v>
      </c>
      <c r="J924" s="4">
        <v>-0.010601</v>
      </c>
      <c r="K924" s="4">
        <v>-0.010221</v>
      </c>
      <c r="L924" s="4">
        <v>-0.008146</v>
      </c>
      <c r="M924" s="4">
        <v>0.002169</v>
      </c>
      <c r="N924" s="4">
        <v>0.008268</v>
      </c>
      <c r="O924" s="4">
        <v>-0.027957</v>
      </c>
      <c r="P924" s="4">
        <v>-0.008551</v>
      </c>
      <c r="Q924" s="4">
        <v>-0.030698</v>
      </c>
      <c r="R924" s="4">
        <v>-0.006967</v>
      </c>
      <c r="S924" s="4">
        <v>-0.004568</v>
      </c>
      <c r="T924" s="4">
        <v>0.010807</v>
      </c>
      <c r="U924" s="4">
        <v>-0.009973</v>
      </c>
      <c r="V924" s="4">
        <v>0.00707375327883497</v>
      </c>
      <c r="W924" s="4">
        <v>0.0089500755597182</v>
      </c>
      <c r="X924" s="4">
        <v>-0.0070223224402212</v>
      </c>
      <c r="Y924" s="4">
        <v>-0.0026439640141528</v>
      </c>
      <c r="Z924" s="4">
        <v>0.0056985230851696</v>
      </c>
      <c r="AA924" s="4">
        <v>-0.0049983031111949</v>
      </c>
      <c r="AB924" s="4">
        <v>0.0107361114770332</v>
      </c>
      <c r="AC924" s="4">
        <v>-0.0119862884457279</v>
      </c>
      <c r="AD924" s="4">
        <v>0.0055125741410446</v>
      </c>
      <c r="AE924" s="4">
        <v>0.0</v>
      </c>
      <c r="AF924" s="4">
        <v>0.0227528723457965</v>
      </c>
      <c r="AG924" s="4">
        <v>0.0160179497645351</v>
      </c>
      <c r="AH924" s="4">
        <v>-0.0021068994331954</v>
      </c>
      <c r="AI924" s="4">
        <v>0.0047496504209749</v>
      </c>
      <c r="AJ924" s="4">
        <v>-0.001597</v>
      </c>
      <c r="AK924" s="4">
        <f>Weights!E980</f>
        <v>-0.001324258753</v>
      </c>
      <c r="AL924" s="5">
        <v>0.0039074775369543</v>
      </c>
      <c r="AM924" s="5">
        <v>0.00443568968309682</v>
      </c>
      <c r="AN924" s="5">
        <v>0.0139071956372944</v>
      </c>
      <c r="AO924" s="5">
        <v>0.0135003750597357</v>
      </c>
      <c r="AP924" s="6">
        <f t="shared" si="3"/>
        <v>1.563507271</v>
      </c>
      <c r="AQ924" s="4">
        <f t="shared" si="4"/>
        <v>1.395203046</v>
      </c>
      <c r="AR924" s="7">
        <f t="shared" si="5"/>
        <v>1.357380597</v>
      </c>
      <c r="AS924" s="7">
        <f t="shared" ref="AS924:AU924" si="926">AS923*(1+AM924)</f>
        <v>1.451018394</v>
      </c>
      <c r="AT924" s="5">
        <f t="shared" si="926"/>
        <v>1.333695037</v>
      </c>
      <c r="AU924" s="5">
        <f t="shared" si="926"/>
        <v>1.327639464</v>
      </c>
    </row>
    <row r="925" ht="15.75" customHeight="1">
      <c r="A925" s="3">
        <v>45170.0</v>
      </c>
      <c r="B925" s="4">
        <v>-0.005125</v>
      </c>
      <c r="C925" s="4">
        <v>-0.003431</v>
      </c>
      <c r="D925" s="4">
        <v>0.009095</v>
      </c>
      <c r="E925" s="4">
        <v>-0.014613</v>
      </c>
      <c r="F925" s="4">
        <v>-0.008691</v>
      </c>
      <c r="G925" s="4">
        <v>-0.007422</v>
      </c>
      <c r="H925" s="4">
        <v>0.001101</v>
      </c>
      <c r="I925" s="4">
        <v>0.012258</v>
      </c>
      <c r="J925" s="4">
        <v>0.001275</v>
      </c>
      <c r="K925" s="4">
        <v>0.003606</v>
      </c>
      <c r="L925" s="4">
        <v>0.002442</v>
      </c>
      <c r="M925" s="4">
        <v>0.008117</v>
      </c>
      <c r="N925" s="4">
        <v>0.00492</v>
      </c>
      <c r="O925" s="4">
        <v>-0.002506</v>
      </c>
      <c r="P925" s="4">
        <v>-0.002537</v>
      </c>
      <c r="Q925" s="4">
        <v>0.0</v>
      </c>
      <c r="R925" s="4">
        <v>0.039589</v>
      </c>
      <c r="S925" s="4">
        <v>-0.008949</v>
      </c>
      <c r="T925" s="4">
        <v>0.002789</v>
      </c>
      <c r="U925" s="4">
        <v>0.016789</v>
      </c>
      <c r="V925" s="4">
        <v>3.69692477083072E-4</v>
      </c>
      <c r="W925" s="4">
        <v>-0.0034617941189557</v>
      </c>
      <c r="X925" s="4">
        <v>0.0014144644571147</v>
      </c>
      <c r="Y925" s="4">
        <v>0.004525921774692</v>
      </c>
      <c r="Z925" s="4">
        <v>0.0041553110203225</v>
      </c>
      <c r="AA925" s="4">
        <v>0.0126512370806415</v>
      </c>
      <c r="AB925" s="4">
        <v>5.06065148748E-4</v>
      </c>
      <c r="AC925" s="4">
        <v>-0.0017331400461327</v>
      </c>
      <c r="AD925" s="4">
        <v>-0.0065787857887446</v>
      </c>
      <c r="AE925" s="4">
        <v>0.0076975903014409</v>
      </c>
      <c r="AF925" s="4">
        <v>-0.0115352717411898</v>
      </c>
      <c r="AG925" s="4">
        <v>0.0286264484603486</v>
      </c>
      <c r="AH925" s="4">
        <v>-0.0124043100843443</v>
      </c>
      <c r="AI925" s="4">
        <v>0.0026258745477385</v>
      </c>
      <c r="AJ925" s="4">
        <v>0.001799</v>
      </c>
      <c r="AK925" s="4">
        <f>Weights!E981</f>
        <v>0.003352004818</v>
      </c>
      <c r="AL925" s="5">
        <v>-0.00150937357833369</v>
      </c>
      <c r="AM925" s="5">
        <v>-0.00107060382432466</v>
      </c>
      <c r="AN925" s="5">
        <v>0.00326580935418596</v>
      </c>
      <c r="AO925" s="5">
        <v>0.00217970217192631</v>
      </c>
      <c r="AP925" s="6">
        <f t="shared" si="3"/>
        <v>1.568748155</v>
      </c>
      <c r="AQ925" s="4">
        <f t="shared" si="4"/>
        <v>1.397713016</v>
      </c>
      <c r="AR925" s="7">
        <f t="shared" si="5"/>
        <v>1.355331803</v>
      </c>
      <c r="AS925" s="7">
        <f t="shared" ref="AS925:AU925" si="927">AS924*(1+AM925)</f>
        <v>1.449464928</v>
      </c>
      <c r="AT925" s="5">
        <f t="shared" si="927"/>
        <v>1.338050631</v>
      </c>
      <c r="AU925" s="5">
        <f t="shared" si="927"/>
        <v>1.330533322</v>
      </c>
    </row>
    <row r="926" ht="15.75" customHeight="1">
      <c r="A926" s="3">
        <v>45174.0</v>
      </c>
      <c r="B926" s="4">
        <v>-0.015455</v>
      </c>
      <c r="C926" s="4">
        <v>-0.016064</v>
      </c>
      <c r="D926" s="4">
        <v>-0.019001</v>
      </c>
      <c r="E926" s="4">
        <v>-0.006616</v>
      </c>
      <c r="F926" s="4">
        <v>-0.008262</v>
      </c>
      <c r="G926" s="4">
        <v>0.001246</v>
      </c>
      <c r="H926" s="4">
        <v>-0.013397</v>
      </c>
      <c r="I926" s="4">
        <v>-0.006195</v>
      </c>
      <c r="J926" s="4">
        <v>-0.011975</v>
      </c>
      <c r="K926" s="4">
        <v>-0.009636</v>
      </c>
      <c r="L926" s="4">
        <v>-0.009854</v>
      </c>
      <c r="M926" s="4">
        <v>-0.004831</v>
      </c>
      <c r="N926" s="4">
        <v>-0.004488</v>
      </c>
      <c r="O926" s="4">
        <v>-0.033294</v>
      </c>
      <c r="P926" s="4">
        <v>-0.012208</v>
      </c>
      <c r="Q926" s="4">
        <v>-0.030879</v>
      </c>
      <c r="R926" s="4">
        <v>-0.016631</v>
      </c>
      <c r="S926" s="4">
        <v>-0.031026</v>
      </c>
      <c r="T926" s="4">
        <v>-0.013559</v>
      </c>
      <c r="U926" s="4">
        <v>-0.001292</v>
      </c>
      <c r="V926" s="4">
        <v>-0.00517369170321835</v>
      </c>
      <c r="W926" s="4">
        <v>0.0334347065490405</v>
      </c>
      <c r="X926" s="4">
        <v>0.0</v>
      </c>
      <c r="Y926" s="4">
        <v>-0.002317074438475</v>
      </c>
      <c r="Z926" s="4">
        <v>-0.0021631406261114</v>
      </c>
      <c r="AA926" s="4">
        <v>0.0093697300472406</v>
      </c>
      <c r="AB926" s="4">
        <v>0.0060665961668529</v>
      </c>
      <c r="AC926" s="4">
        <v>0.0104166855081089</v>
      </c>
      <c r="AD926" s="4">
        <v>0.0033110834720193</v>
      </c>
      <c r="AE926" s="4">
        <v>0.0023248091861336</v>
      </c>
      <c r="AF926" s="4">
        <v>-0.012503484348456</v>
      </c>
      <c r="AG926" s="4">
        <v>0.0148426890867272</v>
      </c>
      <c r="AH926" s="4">
        <v>0.0299305145572315</v>
      </c>
      <c r="AI926" s="4">
        <v>-0.0073338147537961</v>
      </c>
      <c r="AJ926" s="4">
        <v>-0.004194</v>
      </c>
      <c r="AK926" s="4">
        <f>Weights!E982</f>
        <v>-0.002909601722</v>
      </c>
      <c r="AL926" s="5">
        <v>0.00167079644962275</v>
      </c>
      <c r="AM926" s="5">
        <v>0.00330444992597844</v>
      </c>
      <c r="AN926" s="5">
        <v>-9.76579588048975E-4</v>
      </c>
      <c r="AO926" s="5">
        <v>-0.00120843058040209</v>
      </c>
      <c r="AP926" s="6">
        <f t="shared" si="3"/>
        <v>1.564183722</v>
      </c>
      <c r="AQ926" s="4">
        <f t="shared" si="4"/>
        <v>1.391851008</v>
      </c>
      <c r="AR926" s="7">
        <f t="shared" si="5"/>
        <v>1.357596287</v>
      </c>
      <c r="AS926" s="7">
        <f t="shared" ref="AS926:AU926" si="928">AS925*(1+AM926)</f>
        <v>1.454254612</v>
      </c>
      <c r="AT926" s="5">
        <f t="shared" si="928"/>
        <v>1.336743918</v>
      </c>
      <c r="AU926" s="5">
        <f t="shared" si="928"/>
        <v>1.328925465</v>
      </c>
    </row>
    <row r="927" ht="15.75" customHeight="1">
      <c r="A927" s="3">
        <v>45175.0</v>
      </c>
      <c r="B927" s="4">
        <v>-0.010465</v>
      </c>
      <c r="C927" s="4">
        <v>-0.003499</v>
      </c>
      <c r="D927" s="4">
        <v>-0.008195</v>
      </c>
      <c r="E927" s="4">
        <v>0.003273</v>
      </c>
      <c r="F927" s="4">
        <v>-6.8E-4</v>
      </c>
      <c r="G927" s="4">
        <v>-0.016617</v>
      </c>
      <c r="H927" s="4">
        <v>-0.001968</v>
      </c>
      <c r="I927" s="4">
        <v>-0.05894</v>
      </c>
      <c r="J927" s="4">
        <v>-0.008509</v>
      </c>
      <c r="K927" s="4">
        <v>-0.011379</v>
      </c>
      <c r="L927" s="4">
        <v>-0.005926</v>
      </c>
      <c r="M927" s="4">
        <v>-0.002158</v>
      </c>
      <c r="N927" s="4">
        <v>0.010451</v>
      </c>
      <c r="O927" s="4">
        <v>-0.003639</v>
      </c>
      <c r="P927" s="4">
        <v>0.001545</v>
      </c>
      <c r="Q927" s="4">
        <v>0.004902</v>
      </c>
      <c r="R927" s="4">
        <v>-0.009559</v>
      </c>
      <c r="S927" s="4">
        <v>2.39E-4</v>
      </c>
      <c r="T927" s="4">
        <v>-0.009633</v>
      </c>
      <c r="U927" s="4">
        <v>-0.010927</v>
      </c>
      <c r="V927" s="4">
        <v>0.00222877586189373</v>
      </c>
      <c r="W927" s="4">
        <v>0.0037814947526448</v>
      </c>
      <c r="X927" s="4">
        <v>0.0</v>
      </c>
      <c r="Y927" s="4">
        <v>0.0109671804876534</v>
      </c>
      <c r="Z927" s="4">
        <v>0.0144203710904557</v>
      </c>
      <c r="AA927" s="4">
        <v>0.0010920565628178</v>
      </c>
      <c r="AB927" s="4">
        <v>0.0092964529120103</v>
      </c>
      <c r="AC927" s="4">
        <v>0.0</v>
      </c>
      <c r="AD927" s="4">
        <v>0.0</v>
      </c>
      <c r="AE927" s="4">
        <v>0.0046387684851869</v>
      </c>
      <c r="AF927" s="4">
        <v>5.627680878748E-4</v>
      </c>
      <c r="AG927" s="4">
        <v>0.0024040398279023</v>
      </c>
      <c r="AH927" s="4">
        <v>-0.0044110529217471</v>
      </c>
      <c r="AI927" s="4">
        <v>0.0026385626235356</v>
      </c>
      <c r="AJ927" s="4">
        <v>-0.006972</v>
      </c>
      <c r="AK927" s="4">
        <f>Weights!E983</f>
        <v>-0.003115566679</v>
      </c>
      <c r="AL927" s="5">
        <v>-0.00555959773051972</v>
      </c>
      <c r="AM927" s="5">
        <v>-0.00596398066730974</v>
      </c>
      <c r="AN927" s="5">
        <v>0.0127077496267424</v>
      </c>
      <c r="AO927" s="5">
        <v>0.0125817557444136</v>
      </c>
      <c r="AP927" s="6">
        <f t="shared" si="3"/>
        <v>1.559310404</v>
      </c>
      <c r="AQ927" s="4">
        <f t="shared" si="4"/>
        <v>1.382147022</v>
      </c>
      <c r="AR927" s="7">
        <f t="shared" si="5"/>
        <v>1.350048597</v>
      </c>
      <c r="AS927" s="7">
        <f t="shared" ref="AS927:AU927" si="929">AS926*(1+AM927)</f>
        <v>1.445581466</v>
      </c>
      <c r="AT927" s="5">
        <f t="shared" si="929"/>
        <v>1.353730925</v>
      </c>
      <c r="AU927" s="5">
        <f t="shared" si="929"/>
        <v>1.345645681</v>
      </c>
    </row>
    <row r="928" ht="15.75" customHeight="1">
      <c r="A928" s="3">
        <v>45176.0</v>
      </c>
      <c r="B928" s="4">
        <v>-4.69E-4</v>
      </c>
      <c r="C928" s="4">
        <v>-0.010825</v>
      </c>
      <c r="D928" s="4">
        <v>-0.01352</v>
      </c>
      <c r="E928" s="4">
        <v>0.009558</v>
      </c>
      <c r="F928" s="4">
        <v>-0.007656</v>
      </c>
      <c r="G928" s="4">
        <v>0.012784</v>
      </c>
      <c r="H928" s="4">
        <v>0.009531</v>
      </c>
      <c r="I928" s="4">
        <v>3.01E-4</v>
      </c>
      <c r="J928" s="4">
        <v>0.014044</v>
      </c>
      <c r="K928" s="4">
        <v>-0.015346</v>
      </c>
      <c r="L928" s="4">
        <v>-0.011249</v>
      </c>
      <c r="M928" s="4">
        <v>-0.001081</v>
      </c>
      <c r="N928" s="4">
        <v>-0.021902</v>
      </c>
      <c r="O928" s="4">
        <v>-0.018457</v>
      </c>
      <c r="P928" s="4">
        <v>-0.003636</v>
      </c>
      <c r="Q928" s="4">
        <v>-0.002298</v>
      </c>
      <c r="R928" s="4">
        <v>-0.016085</v>
      </c>
      <c r="S928" s="4">
        <v>-0.002628</v>
      </c>
      <c r="T928" s="4">
        <v>0.001779</v>
      </c>
      <c r="U928" s="4">
        <v>0.009303</v>
      </c>
      <c r="V928" s="4">
        <v>-0.00555959393453087</v>
      </c>
      <c r="W928" s="4">
        <v>6.278748201031E-4</v>
      </c>
      <c r="X928" s="4">
        <v>0.0364657058563284</v>
      </c>
      <c r="Y928" s="4">
        <v>6.36584383251204E-5</v>
      </c>
      <c r="Z928" s="4">
        <v>0.0064108969918985</v>
      </c>
      <c r="AA928" s="4">
        <v>0.0016364145179219</v>
      </c>
      <c r="AB928" s="4">
        <v>-0.0054767536713068</v>
      </c>
      <c r="AC928" s="4">
        <v>-0.0188033501882088</v>
      </c>
      <c r="AD928" s="4">
        <v>0.0088107585717496</v>
      </c>
      <c r="AE928" s="4">
        <v>-0.0056067957083333</v>
      </c>
      <c r="AF928" s="4">
        <v>-0.0033745719977139</v>
      </c>
      <c r="AG928" s="4">
        <v>0.0119921286409661</v>
      </c>
      <c r="AH928" s="4">
        <v>0.0052124628360288</v>
      </c>
      <c r="AI928" s="4">
        <v>-0.0021054244583338</v>
      </c>
      <c r="AJ928" s="4">
        <v>-0.003211</v>
      </c>
      <c r="AK928" s="4">
        <f>Weights!E984</f>
        <v>-0.0002960082696</v>
      </c>
      <c r="AL928" s="5">
        <v>-0.00606978456305673</v>
      </c>
      <c r="AM928" s="5">
        <v>-0.00626842074779121</v>
      </c>
      <c r="AN928" s="5">
        <v>-0.00707848084728046</v>
      </c>
      <c r="AO928" s="5">
        <v>-0.00597381602931879</v>
      </c>
      <c r="AP928" s="6">
        <f t="shared" si="3"/>
        <v>1.558848835</v>
      </c>
      <c r="AQ928" s="4">
        <f t="shared" si="4"/>
        <v>1.377708948</v>
      </c>
      <c r="AR928" s="7">
        <f t="shared" si="5"/>
        <v>1.341854093</v>
      </c>
      <c r="AS928" s="7">
        <f t="shared" ref="AS928:AU928" si="930">AS927*(1+AM928)</f>
        <v>1.436519953</v>
      </c>
      <c r="AT928" s="5">
        <f t="shared" si="930"/>
        <v>1.344148567</v>
      </c>
      <c r="AU928" s="5">
        <f t="shared" si="930"/>
        <v>1.337607041</v>
      </c>
    </row>
    <row r="929" ht="15.75" customHeight="1">
      <c r="A929" s="3">
        <v>45177.0</v>
      </c>
      <c r="B929" s="4">
        <v>0.0</v>
      </c>
      <c r="C929" s="4">
        <v>-0.010648</v>
      </c>
      <c r="D929" s="4">
        <v>-0.008376</v>
      </c>
      <c r="E929" s="4">
        <v>-7.37E-4</v>
      </c>
      <c r="F929" s="4">
        <v>0.0</v>
      </c>
      <c r="G929" s="4">
        <v>0.003312</v>
      </c>
      <c r="H929" s="4">
        <v>-0.004297</v>
      </c>
      <c r="I929" s="4">
        <v>0.009633</v>
      </c>
      <c r="J929" s="4">
        <v>0.003334</v>
      </c>
      <c r="K929" s="4">
        <v>0.001525</v>
      </c>
      <c r="L929" s="4">
        <v>0.002161</v>
      </c>
      <c r="M929" s="4">
        <v>-0.002706</v>
      </c>
      <c r="N929" s="4">
        <v>-0.003939</v>
      </c>
      <c r="O929" s="4">
        <v>-0.016944</v>
      </c>
      <c r="P929" s="4">
        <v>0.009645</v>
      </c>
      <c r="Q929" s="4">
        <v>0.014876</v>
      </c>
      <c r="R929" s="4">
        <v>-0.011821</v>
      </c>
      <c r="S929" s="4">
        <v>0.00982</v>
      </c>
      <c r="T929" s="4">
        <v>-0.023446</v>
      </c>
      <c r="U929" s="4">
        <v>-0.007417</v>
      </c>
      <c r="V929" s="4">
        <v>-0.00633621458406374</v>
      </c>
      <c r="W929" s="4">
        <v>0.0483162290904859</v>
      </c>
      <c r="X929" s="4">
        <v>0.0148848322011612</v>
      </c>
      <c r="Y929" s="4">
        <v>-0.0021695031431626</v>
      </c>
      <c r="Z929" s="4">
        <v>0.0071085373555703</v>
      </c>
      <c r="AA929" s="4">
        <v>0.0018152678226277</v>
      </c>
      <c r="AB929" s="4">
        <v>-0.0010014345706972</v>
      </c>
      <c r="AC929" s="4">
        <v>-0.0034843266385711</v>
      </c>
      <c r="AD929" s="4">
        <v>-0.0032753040657749</v>
      </c>
      <c r="AE929" s="4">
        <v>-0.0149253741126628</v>
      </c>
      <c r="AF929" s="4">
        <v>0.0093115297589958</v>
      </c>
      <c r="AG929" s="4">
        <v>-0.0038183842572381</v>
      </c>
      <c r="AH929" s="4">
        <v>0.0142597424770347</v>
      </c>
      <c r="AI929" s="4">
        <v>-0.0036508532498025</v>
      </c>
      <c r="AJ929" s="4">
        <v>0.001427</v>
      </c>
      <c r="AK929" s="4">
        <f>Weights!E985</f>
        <v>0.001112735478</v>
      </c>
      <c r="AL929" s="5">
        <v>-0.00289274901062297</v>
      </c>
      <c r="AM929" s="5">
        <v>-0.00342436838276471</v>
      </c>
      <c r="AN929" s="5">
        <v>-0.00972142709920409</v>
      </c>
      <c r="AO929" s="5">
        <v>-0.00937502324340022</v>
      </c>
      <c r="AP929" s="6">
        <f t="shared" si="3"/>
        <v>1.560583421</v>
      </c>
      <c r="AQ929" s="4">
        <f t="shared" si="4"/>
        <v>1.379674939</v>
      </c>
      <c r="AR929" s="7">
        <f t="shared" si="5"/>
        <v>1.337972446</v>
      </c>
      <c r="AS929" s="7">
        <f t="shared" ref="AS929:AU929" si="931">AS928*(1+AM929)</f>
        <v>1.43160078</v>
      </c>
      <c r="AT929" s="5">
        <f t="shared" si="931"/>
        <v>1.331081525</v>
      </c>
      <c r="AU929" s="5">
        <f t="shared" si="931"/>
        <v>1.325066944</v>
      </c>
    </row>
    <row r="930" ht="15.75" customHeight="1">
      <c r="A930" s="3">
        <v>45180.0</v>
      </c>
      <c r="B930" s="4">
        <v>0.007169</v>
      </c>
      <c r="C930" s="4">
        <v>0.014649</v>
      </c>
      <c r="D930" s="4">
        <v>0.014845</v>
      </c>
      <c r="E930" s="4">
        <v>0.01509</v>
      </c>
      <c r="F930" s="4">
        <v>0.009429</v>
      </c>
      <c r="G930" s="4">
        <v>0.013079</v>
      </c>
      <c r="H930" s="4">
        <v>0.011901</v>
      </c>
      <c r="I930" s="4">
        <v>0.005069</v>
      </c>
      <c r="J930" s="4">
        <v>0.015849</v>
      </c>
      <c r="K930" s="4">
        <v>0.019959</v>
      </c>
      <c r="L930" s="4">
        <v>0.006357</v>
      </c>
      <c r="M930" s="4">
        <v>0.020076</v>
      </c>
      <c r="N930" s="4">
        <v>0.019775</v>
      </c>
      <c r="O930" s="4">
        <v>0.024062</v>
      </c>
      <c r="P930" s="4">
        <v>0.004648</v>
      </c>
      <c r="Q930" s="4">
        <v>0.015472</v>
      </c>
      <c r="R930" s="4">
        <v>0.02087</v>
      </c>
      <c r="S930" s="4">
        <v>0.023008</v>
      </c>
      <c r="T930" s="4">
        <v>-0.010731</v>
      </c>
      <c r="U930" s="4">
        <v>0.009504</v>
      </c>
      <c r="V930" s="4">
        <v>-7.50201156159979E-4</v>
      </c>
      <c r="W930" s="4">
        <v>-0.022346361636288</v>
      </c>
      <c r="X930" s="4">
        <v>0.014666735932568</v>
      </c>
      <c r="Y930" s="4">
        <v>0.0019823354741044</v>
      </c>
      <c r="Z930" s="4">
        <v>0.0165001393734922</v>
      </c>
      <c r="AA930" s="4">
        <v>0.0038050001158149</v>
      </c>
      <c r="AB930" s="4">
        <v>0.0057631722449147</v>
      </c>
      <c r="AC930" s="4">
        <v>0.0052446593479389</v>
      </c>
      <c r="AD930" s="4">
        <v>-0.0131434376655819</v>
      </c>
      <c r="AE930" s="4">
        <v>-0.0104378442153979</v>
      </c>
      <c r="AF930" s="4">
        <v>-0.0089461186082352</v>
      </c>
      <c r="AG930" s="4">
        <v>-0.0074015350751769</v>
      </c>
      <c r="AH930" s="4">
        <v>-0.015593014116123</v>
      </c>
      <c r="AI930" s="4">
        <v>0.0042485264986382</v>
      </c>
      <c r="AJ930" s="4">
        <v>0.006724</v>
      </c>
      <c r="AK930" s="4">
        <f>Weights!E986</f>
        <v>0.00590596976</v>
      </c>
      <c r="AL930" s="5">
        <v>2.41746043201818E-4</v>
      </c>
      <c r="AM930" s="5">
        <v>0.00108505431212035</v>
      </c>
      <c r="AN930" s="5">
        <v>-0.00327215622023546</v>
      </c>
      <c r="AO930" s="5">
        <v>-0.00412506763544906</v>
      </c>
      <c r="AP930" s="6">
        <f t="shared" si="3"/>
        <v>1.56980018</v>
      </c>
      <c r="AQ930" s="4">
        <f t="shared" si="4"/>
        <v>1.388951873</v>
      </c>
      <c r="AR930" s="7">
        <f t="shared" si="5"/>
        <v>1.338295896</v>
      </c>
      <c r="AS930" s="7">
        <f t="shared" ref="AS930:AU930" si="932">AS929*(1+AM930)</f>
        <v>1.433154144</v>
      </c>
      <c r="AT930" s="5">
        <f t="shared" si="932"/>
        <v>1.326726018</v>
      </c>
      <c r="AU930" s="5">
        <f t="shared" si="932"/>
        <v>1.319600953</v>
      </c>
    </row>
    <row r="931" ht="15.75" customHeight="1">
      <c r="A931" s="3">
        <v>45181.0</v>
      </c>
      <c r="B931" s="4">
        <v>0.007117</v>
      </c>
      <c r="C931" s="4">
        <v>0.002946</v>
      </c>
      <c r="D931" s="4">
        <v>0.013871</v>
      </c>
      <c r="E931" s="4">
        <v>-0.003689</v>
      </c>
      <c r="F931" s="4">
        <v>-0.009851</v>
      </c>
      <c r="G931" s="4">
        <v>0.005656</v>
      </c>
      <c r="H931" s="4">
        <v>-0.017577</v>
      </c>
      <c r="I931" s="4">
        <v>0.012756</v>
      </c>
      <c r="J931" s="4">
        <v>0.006291</v>
      </c>
      <c r="K931" s="4">
        <v>0.004643</v>
      </c>
      <c r="L931" s="4">
        <v>0.008573</v>
      </c>
      <c r="M931" s="4">
        <v>0.004787</v>
      </c>
      <c r="N931" s="4">
        <v>0.005511</v>
      </c>
      <c r="O931" s="4">
        <v>-0.016765</v>
      </c>
      <c r="P931" s="4">
        <v>-0.002313</v>
      </c>
      <c r="Q931" s="4">
        <v>0.003208</v>
      </c>
      <c r="R931" s="4">
        <v>-0.001247</v>
      </c>
      <c r="S931" s="4">
        <v>-0.002319</v>
      </c>
      <c r="T931" s="4">
        <v>-9.19E-4</v>
      </c>
      <c r="U931" s="4">
        <v>0.00733</v>
      </c>
      <c r="V931" s="4">
        <v>0.00487987678221735</v>
      </c>
      <c r="W931" s="4">
        <v>-0.0093877111130851</v>
      </c>
      <c r="X931" s="4">
        <v>-0.0091984564224762</v>
      </c>
      <c r="Y931" s="4">
        <v>1.278384429297E-4</v>
      </c>
      <c r="Z931" s="4">
        <v>-0.0085670822158578</v>
      </c>
      <c r="AA931" s="4">
        <v>-0.0131769182363048</v>
      </c>
      <c r="AB931" s="4">
        <v>0.0047335563849917</v>
      </c>
      <c r="AC931" s="4">
        <v>-0.0069565345862184</v>
      </c>
      <c r="AD931" s="4">
        <v>-0.004439464976339</v>
      </c>
      <c r="AE931" s="4">
        <v>-0.0023816284978277</v>
      </c>
      <c r="AF931" s="4">
        <v>0.0090268740945467</v>
      </c>
      <c r="AG931" s="4">
        <v>0.0049267559365062</v>
      </c>
      <c r="AH931" s="4">
        <v>0.0418073254741673</v>
      </c>
      <c r="AI931" s="4">
        <v>-0.007403656413358</v>
      </c>
      <c r="AJ931" s="4">
        <v>-0.005696</v>
      </c>
      <c r="AK931" s="4">
        <f>Weights!E987</f>
        <v>0.002437379541</v>
      </c>
      <c r="AL931" s="5">
        <v>0.00781502757232965</v>
      </c>
      <c r="AM931" s="5">
        <v>0.00627763516882917</v>
      </c>
      <c r="AN931" s="5">
        <v>-0.0032830295849231</v>
      </c>
      <c r="AO931" s="5">
        <v>-0.0031677140691565</v>
      </c>
      <c r="AP931" s="6">
        <f t="shared" si="3"/>
        <v>1.573626379</v>
      </c>
      <c r="AQ931" s="4">
        <f t="shared" si="4"/>
        <v>1.381040403</v>
      </c>
      <c r="AR931" s="7">
        <f t="shared" si="5"/>
        <v>1.348754715</v>
      </c>
      <c r="AS931" s="7">
        <f t="shared" ref="AS931:AU931" si="933">AS930*(1+AM931)</f>
        <v>1.442150963</v>
      </c>
      <c r="AT931" s="5">
        <f t="shared" si="933"/>
        <v>1.322370337</v>
      </c>
      <c r="AU931" s="5">
        <f t="shared" si="933"/>
        <v>1.315420835</v>
      </c>
    </row>
    <row r="932" ht="15.75" customHeight="1">
      <c r="A932" s="3">
        <v>45182.0</v>
      </c>
      <c r="B932" s="4">
        <v>-0.007656</v>
      </c>
      <c r="C932" s="4">
        <v>-0.005288</v>
      </c>
      <c r="D932" s="4">
        <v>0.021144</v>
      </c>
      <c r="E932" s="4">
        <v>0.007909</v>
      </c>
      <c r="F932" s="4">
        <v>0.002401</v>
      </c>
      <c r="G932" s="4">
        <v>0.002506</v>
      </c>
      <c r="H932" s="4">
        <v>0.006972</v>
      </c>
      <c r="I932" s="4">
        <v>0.005272</v>
      </c>
      <c r="J932" s="4">
        <v>0.018505</v>
      </c>
      <c r="K932" s="4">
        <v>0.008088</v>
      </c>
      <c r="L932" s="4">
        <v>0.006375</v>
      </c>
      <c r="M932" s="4">
        <v>-0.002117</v>
      </c>
      <c r="N932" s="4">
        <v>0.002233</v>
      </c>
      <c r="O932" s="4">
        <v>-0.017655</v>
      </c>
      <c r="P932" s="4">
        <v>0.011334</v>
      </c>
      <c r="Q932" s="4">
        <v>-0.006395</v>
      </c>
      <c r="R932" s="4">
        <v>-0.007988</v>
      </c>
      <c r="S932" s="4">
        <v>-0.013014</v>
      </c>
      <c r="T932" s="4">
        <v>-0.011594</v>
      </c>
      <c r="U932" s="4">
        <v>0.012414</v>
      </c>
      <c r="V932" s="4">
        <v>-0.0022413556022347</v>
      </c>
      <c r="W932" s="4">
        <v>-0.0181293927196404</v>
      </c>
      <c r="X932" s="4">
        <v>0.0</v>
      </c>
      <c r="Y932" s="4">
        <v>0.0204197071570373</v>
      </c>
      <c r="Z932" s="4">
        <v>-9.10284581749909E-5</v>
      </c>
      <c r="AA932" s="4">
        <v>-0.0067678555173116</v>
      </c>
      <c r="AB932" s="4">
        <v>-0.00942240896735</v>
      </c>
      <c r="AC932" s="4">
        <v>0.0</v>
      </c>
      <c r="AD932" s="4">
        <v>0.0</v>
      </c>
      <c r="AE932" s="4">
        <v>0.0225101660369002</v>
      </c>
      <c r="AF932" s="4">
        <v>8.385876771646E-4</v>
      </c>
      <c r="AG932" s="4">
        <v>-0.0113951557033868</v>
      </c>
      <c r="AH932" s="4">
        <v>-0.0107178419577231</v>
      </c>
      <c r="AI932" s="4">
        <v>0.0058604393649643</v>
      </c>
      <c r="AJ932" s="4">
        <v>0.001242</v>
      </c>
      <c r="AK932" s="4">
        <f>Weights!E988</f>
        <v>0.001130541539</v>
      </c>
      <c r="AL932" s="5">
        <v>-0.00487647765075183</v>
      </c>
      <c r="AM932" s="5">
        <v>-0.00484712955788657</v>
      </c>
      <c r="AN932" s="5">
        <v>0.00592889173817479</v>
      </c>
      <c r="AO932" s="5">
        <v>0.00611098008966193</v>
      </c>
      <c r="AP932" s="6">
        <f t="shared" si="3"/>
        <v>1.575405429</v>
      </c>
      <c r="AQ932" s="4">
        <f t="shared" si="4"/>
        <v>1.382755656</v>
      </c>
      <c r="AR932" s="7">
        <f t="shared" si="5"/>
        <v>1.342177543</v>
      </c>
      <c r="AS932" s="7">
        <f t="shared" ref="AS932:AU932" si="934">AS931*(1+AM932)</f>
        <v>1.43516067</v>
      </c>
      <c r="AT932" s="5">
        <f t="shared" si="934"/>
        <v>1.330210528</v>
      </c>
      <c r="AU932" s="5">
        <f t="shared" si="934"/>
        <v>1.323459345</v>
      </c>
    </row>
    <row r="933" ht="15.75" customHeight="1">
      <c r="A933" s="3">
        <v>45183.0</v>
      </c>
      <c r="B933" s="4">
        <v>0.026113</v>
      </c>
      <c r="C933" s="4">
        <v>0.005316</v>
      </c>
      <c r="D933" s="4">
        <v>0.009257</v>
      </c>
      <c r="E933" s="4">
        <v>0.008626</v>
      </c>
      <c r="F933" s="4">
        <v>0.008214</v>
      </c>
      <c r="G933" s="4">
        <v>-0.001524</v>
      </c>
      <c r="H933" s="4">
        <v>0.010974</v>
      </c>
      <c r="I933" s="4">
        <v>0.029138</v>
      </c>
      <c r="J933" s="4">
        <v>0.01866</v>
      </c>
      <c r="K933" s="4">
        <v>0.017193</v>
      </c>
      <c r="L933" s="4">
        <v>0.014781</v>
      </c>
      <c r="M933" s="4">
        <v>0.020159</v>
      </c>
      <c r="N933" s="4">
        <v>0.019648</v>
      </c>
      <c r="O933" s="4">
        <v>0.008883</v>
      </c>
      <c r="P933" s="4">
        <v>0.006623</v>
      </c>
      <c r="Q933" s="4">
        <v>-0.002414</v>
      </c>
      <c r="R933" s="4">
        <v>0.023654</v>
      </c>
      <c r="S933" s="4">
        <v>0.010831</v>
      </c>
      <c r="T933" s="4">
        <v>0.027307</v>
      </c>
      <c r="U933" s="4">
        <v>0.001691</v>
      </c>
      <c r="V933" s="4">
        <v>0.0</v>
      </c>
      <c r="W933" s="4">
        <v>0.0046161109498437</v>
      </c>
      <c r="X933" s="4">
        <v>-0.0053332619427108</v>
      </c>
      <c r="Y933" s="4">
        <v>-4.37880224014E-4</v>
      </c>
      <c r="Z933" s="4">
        <v>-0.0130081549425763</v>
      </c>
      <c r="AA933" s="4">
        <v>-0.0022383589273262</v>
      </c>
      <c r="AB933" s="4">
        <v>-0.0045055818953622</v>
      </c>
      <c r="AC933" s="4">
        <v>0.0034965096201826</v>
      </c>
      <c r="AD933" s="4">
        <v>-0.0439683947110601</v>
      </c>
      <c r="AE933" s="4">
        <v>-0.0226818567690525</v>
      </c>
      <c r="AF933" s="4">
        <v>0.0251397572186664</v>
      </c>
      <c r="AG933" s="4">
        <v>0.0010721492342942</v>
      </c>
      <c r="AH933" s="4">
        <v>-0.0025195238620708</v>
      </c>
      <c r="AI933" s="4">
        <v>0.0042371676720904</v>
      </c>
      <c r="AJ933" s="4">
        <v>0.00843</v>
      </c>
      <c r="AK933" s="4">
        <f>Weights!E989</f>
        <v>0.00611042825</v>
      </c>
      <c r="AL933" s="5">
        <v>3.21339098996009E-4</v>
      </c>
      <c r="AM933" s="5">
        <v>1.35304174789796E-4</v>
      </c>
      <c r="AN933" s="5">
        <v>0.0019645400006425</v>
      </c>
      <c r="AO933" s="5">
        <v>0.00170068940403145</v>
      </c>
      <c r="AP933" s="6">
        <f t="shared" si="3"/>
        <v>1.58503183</v>
      </c>
      <c r="AQ933" s="4">
        <f t="shared" si="4"/>
        <v>1.394412286</v>
      </c>
      <c r="AR933" s="7">
        <f t="shared" si="5"/>
        <v>1.342608837</v>
      </c>
      <c r="AS933" s="7">
        <f t="shared" ref="AS933:AU933" si="935">AS932*(1+AM933)</f>
        <v>1.435354854</v>
      </c>
      <c r="AT933" s="5">
        <f t="shared" si="935"/>
        <v>1.332823779</v>
      </c>
      <c r="AU933" s="5">
        <f t="shared" si="935"/>
        <v>1.325710139</v>
      </c>
    </row>
    <row r="934" ht="15.75" customHeight="1">
      <c r="A934" s="3">
        <v>45184.0</v>
      </c>
      <c r="B934" s="4">
        <v>-0.004049</v>
      </c>
      <c r="C934" s="4">
        <v>-0.007344</v>
      </c>
      <c r="D934" s="4">
        <v>0.004345</v>
      </c>
      <c r="E934" s="4">
        <v>-0.00767</v>
      </c>
      <c r="F934" s="4">
        <v>-0.008895</v>
      </c>
      <c r="G934" s="4">
        <v>-0.013986</v>
      </c>
      <c r="H934" s="4">
        <v>-0.0084</v>
      </c>
      <c r="I934" s="4">
        <v>-0.006512</v>
      </c>
      <c r="J934" s="4">
        <v>0.005784</v>
      </c>
      <c r="K934" s="4">
        <v>-1.61E-4</v>
      </c>
      <c r="L934" s="4">
        <v>0.00219</v>
      </c>
      <c r="M934" s="4">
        <v>0.0078</v>
      </c>
      <c r="N934" s="4">
        <v>0.004172</v>
      </c>
      <c r="O934" s="4">
        <v>-0.01524</v>
      </c>
      <c r="P934" s="4">
        <v>0.020496</v>
      </c>
      <c r="Q934" s="4">
        <v>-0.008064</v>
      </c>
      <c r="R934" s="4">
        <v>-0.00762</v>
      </c>
      <c r="S934" s="4">
        <v>0.030049</v>
      </c>
      <c r="T934" s="4">
        <v>-0.061077</v>
      </c>
      <c r="U934" s="4">
        <v>-0.002533</v>
      </c>
      <c r="V934" s="4">
        <v>0.0187196470009944</v>
      </c>
      <c r="W934" s="4">
        <v>-0.0215122145175181</v>
      </c>
      <c r="X934" s="4">
        <v>0.0061266935240198</v>
      </c>
      <c r="Y934" s="4">
        <v>-0.0068817532392267</v>
      </c>
      <c r="Z934" s="4">
        <v>-0.0048848432074195</v>
      </c>
      <c r="AA934" s="4">
        <v>-0.0130867014290146</v>
      </c>
      <c r="AB934" s="4">
        <v>0.0045259740420648</v>
      </c>
      <c r="AC934" s="4">
        <v>0.0156793651573758</v>
      </c>
      <c r="AD934" s="4">
        <v>-0.0117925261339247</v>
      </c>
      <c r="AE934" s="4">
        <v>-0.0013650530895573</v>
      </c>
      <c r="AF934" s="4">
        <v>0.0215258570197922</v>
      </c>
      <c r="AG934" s="4">
        <v>-0.009907710000375</v>
      </c>
      <c r="AH934" s="4">
        <v>0.0232381927402478</v>
      </c>
      <c r="AI934" s="4">
        <v>-0.0084385796672167</v>
      </c>
      <c r="AJ934" s="4">
        <v>-0.01216</v>
      </c>
      <c r="AK934" s="4">
        <f>Weights!E990</f>
        <v>-0.0004660071848</v>
      </c>
      <c r="AL934" s="5">
        <v>0.00963701349585699</v>
      </c>
      <c r="AM934" s="5">
        <v>0.00856779945188757</v>
      </c>
      <c r="AN934" s="5">
        <v>0.0042483535711606</v>
      </c>
      <c r="AO934" s="5">
        <v>0.00266794667810232</v>
      </c>
      <c r="AP934" s="6">
        <f t="shared" si="3"/>
        <v>1.584293194</v>
      </c>
      <c r="AQ934" s="4">
        <f t="shared" si="4"/>
        <v>1.377456232</v>
      </c>
      <c r="AR934" s="7">
        <f t="shared" si="5"/>
        <v>1.355547576</v>
      </c>
      <c r="AS934" s="7">
        <f t="shared" ref="AS934:AU934" si="936">AS933*(1+AM934)</f>
        <v>1.447652686</v>
      </c>
      <c r="AT934" s="5">
        <f t="shared" si="936"/>
        <v>1.338486086</v>
      </c>
      <c r="AU934" s="5">
        <f t="shared" si="936"/>
        <v>1.329247062</v>
      </c>
    </row>
    <row r="935" ht="15.75" customHeight="1">
      <c r="A935" s="3">
        <v>45187.0</v>
      </c>
      <c r="B935" s="4">
        <v>-0.002904</v>
      </c>
      <c r="C935" s="4">
        <v>-0.007695</v>
      </c>
      <c r="D935" s="4">
        <v>0.006729</v>
      </c>
      <c r="E935" s="4">
        <v>-0.002558</v>
      </c>
      <c r="F935" s="4">
        <v>0.006213</v>
      </c>
      <c r="G935" s="4">
        <v>0.006318</v>
      </c>
      <c r="H935" s="4">
        <v>0.003779</v>
      </c>
      <c r="I935" s="4">
        <v>-0.001995</v>
      </c>
      <c r="J935" s="4">
        <v>9.59E-4</v>
      </c>
      <c r="K935" s="4">
        <v>6.44E-4</v>
      </c>
      <c r="L935" s="4">
        <v>-0.001311</v>
      </c>
      <c r="M935" s="4">
        <v>-0.001548</v>
      </c>
      <c r="N935" s="4">
        <v>-0.001978</v>
      </c>
      <c r="O935" s="4">
        <v>0.00454</v>
      </c>
      <c r="P935" s="4">
        <v>0.003471</v>
      </c>
      <c r="Q935" s="4">
        <v>8.13E-4</v>
      </c>
      <c r="R935" s="4">
        <v>-0.004459</v>
      </c>
      <c r="S935" s="4">
        <v>0.006106</v>
      </c>
      <c r="T935" s="4">
        <v>-0.004826</v>
      </c>
      <c r="U935" s="4">
        <v>-0.002186</v>
      </c>
      <c r="V935" s="4">
        <v>0.00477765213959746</v>
      </c>
      <c r="W935" s="4">
        <v>-0.0382070730242413</v>
      </c>
      <c r="X935" s="4">
        <v>-0.0257104920276317</v>
      </c>
      <c r="Y935" s="4">
        <v>-0.0182689587505501</v>
      </c>
      <c r="Z935" s="4">
        <v>-0.0105584447384764</v>
      </c>
      <c r="AA935" s="4">
        <v>-0.0117445754932347</v>
      </c>
      <c r="AB935" s="4">
        <v>-0.0032540713408296</v>
      </c>
      <c r="AC935" s="4">
        <v>-0.0068610072286605</v>
      </c>
      <c r="AD935" s="4">
        <v>-0.0119330483188223</v>
      </c>
      <c r="AE935" s="4">
        <v>-0.0095693110945693</v>
      </c>
      <c r="AF935" s="4">
        <v>-0.0192051516855813</v>
      </c>
      <c r="AG935" s="4">
        <v>0.033265829777741</v>
      </c>
      <c r="AH935" s="4">
        <v>0.0066650085462258</v>
      </c>
      <c r="AI935" s="4">
        <v>0.001063419466764</v>
      </c>
      <c r="AJ935" s="4">
        <v>7.21E-4</v>
      </c>
      <c r="AK935" s="4">
        <f>Weights!E991</f>
        <v>-0.002166884312</v>
      </c>
      <c r="AL935" s="5">
        <v>-0.00874957270987397</v>
      </c>
      <c r="AM935" s="5">
        <v>-0.0117589135633587</v>
      </c>
      <c r="AN935" s="5">
        <v>0.0152945959454147</v>
      </c>
      <c r="AO935" s="5">
        <v>0.0154813044199679</v>
      </c>
      <c r="AP935" s="6">
        <f t="shared" si="3"/>
        <v>1.580860214</v>
      </c>
      <c r="AQ935" s="4">
        <f t="shared" si="4"/>
        <v>1.378449378</v>
      </c>
      <c r="AR935" s="7">
        <f t="shared" si="5"/>
        <v>1.343687114</v>
      </c>
      <c r="AS935" s="7">
        <f t="shared" ref="AS935:AU935" si="937">AS934*(1+AM935)</f>
        <v>1.430629863</v>
      </c>
      <c r="AT935" s="5">
        <f t="shared" si="937"/>
        <v>1.35895769</v>
      </c>
      <c r="AU935" s="5">
        <f t="shared" si="937"/>
        <v>1.349825541</v>
      </c>
    </row>
    <row r="936" ht="15.75" customHeight="1">
      <c r="A936" s="3">
        <v>45188.0</v>
      </c>
      <c r="B936" s="4">
        <v>-0.008736</v>
      </c>
      <c r="C936" s="4">
        <v>-0.003877</v>
      </c>
      <c r="D936" s="4">
        <v>-0.010026</v>
      </c>
      <c r="E936" s="4">
        <v>-0.005909</v>
      </c>
      <c r="F936" s="4">
        <v>-0.002058</v>
      </c>
      <c r="G936" s="4">
        <v>-0.001662</v>
      </c>
      <c r="H936" s="4">
        <v>-0.002921</v>
      </c>
      <c r="I936" s="4">
        <v>-0.001999</v>
      </c>
      <c r="J936" s="4">
        <v>-0.021068</v>
      </c>
      <c r="K936" s="4">
        <v>-0.007401</v>
      </c>
      <c r="L936" s="4">
        <v>-0.00372</v>
      </c>
      <c r="M936" s="4">
        <v>0.01292</v>
      </c>
      <c r="N936" s="4">
        <v>1.98E-4</v>
      </c>
      <c r="O936" s="4">
        <v>-0.016159</v>
      </c>
      <c r="P936" s="4">
        <v>-0.004448</v>
      </c>
      <c r="Q936" s="4">
        <v>-0.007311</v>
      </c>
      <c r="R936" s="4">
        <v>-0.034088</v>
      </c>
      <c r="S936" s="4">
        <v>-0.015509</v>
      </c>
      <c r="T936" s="4">
        <v>0.022758</v>
      </c>
      <c r="U936" s="4">
        <v>-0.001908</v>
      </c>
      <c r="V936" s="4">
        <v>-0.0325530901893745</v>
      </c>
      <c r="W936" s="4">
        <v>-0.0013315517152591</v>
      </c>
      <c r="X936" s="4">
        <v>-0.0083333287934743</v>
      </c>
      <c r="Y936" s="4">
        <v>0.0044277254298121</v>
      </c>
      <c r="Z936" s="4">
        <v>0.0115135715744092</v>
      </c>
      <c r="AA936" s="4">
        <v>-0.0279853890633198</v>
      </c>
      <c r="AB936" s="4">
        <v>0.0025111927092915</v>
      </c>
      <c r="AC936" s="4">
        <v>-0.0017271533687415</v>
      </c>
      <c r="AD936" s="4">
        <v>0.0024153314460189</v>
      </c>
      <c r="AE936" s="4">
        <v>0.007246308616819</v>
      </c>
      <c r="AF936" s="4">
        <v>-0.0043514099244266</v>
      </c>
      <c r="AG936" s="4">
        <v>-0.0273526580796613</v>
      </c>
      <c r="AH936" s="4">
        <v>0.0272192396189698</v>
      </c>
      <c r="AI936" s="4">
        <v>-0.0042505689637653</v>
      </c>
      <c r="AJ936" s="4">
        <v>-0.002151</v>
      </c>
      <c r="AK936" s="4">
        <f>Weights!E992</f>
        <v>-0.00494826017</v>
      </c>
      <c r="AL936" s="5">
        <v>-8.02476549897179E-4</v>
      </c>
      <c r="AM936" s="7">
        <v>9.04412770024176E-5</v>
      </c>
      <c r="AN936" s="5">
        <v>0.00160261347303358</v>
      </c>
      <c r="AO936" s="5">
        <v>0.00166746977064913</v>
      </c>
      <c r="AP936" s="6">
        <f t="shared" si="3"/>
        <v>1.573037707</v>
      </c>
      <c r="AQ936" s="4">
        <f t="shared" si="4"/>
        <v>1.375484334</v>
      </c>
      <c r="AR936" s="7">
        <f t="shared" si="5"/>
        <v>1.342608837</v>
      </c>
      <c r="AS936" s="7">
        <f t="shared" ref="AS936:AU936" si="938">AS935*(1+AM936)</f>
        <v>1.430759251</v>
      </c>
      <c r="AT936" s="5">
        <f t="shared" si="938"/>
        <v>1.361135574</v>
      </c>
      <c r="AU936" s="5">
        <f t="shared" si="938"/>
        <v>1.352076334</v>
      </c>
    </row>
    <row r="937" ht="15.75" customHeight="1">
      <c r="A937" s="3">
        <v>45189.0</v>
      </c>
      <c r="B937" s="4">
        <v>0.002938</v>
      </c>
      <c r="C937" s="4">
        <v>0.005988</v>
      </c>
      <c r="D937" s="4">
        <v>0.008681</v>
      </c>
      <c r="E937" s="4">
        <v>3.36E-4</v>
      </c>
      <c r="F937" s="4">
        <v>0.004469</v>
      </c>
      <c r="G937" s="4">
        <v>0.004377</v>
      </c>
      <c r="H937" s="4">
        <v>-8.46E-4</v>
      </c>
      <c r="I937" s="4">
        <v>0.0</v>
      </c>
      <c r="J937" s="4">
        <v>0.003913</v>
      </c>
      <c r="K937" s="4">
        <v>-0.001135</v>
      </c>
      <c r="L937" s="4">
        <v>8.79E-4</v>
      </c>
      <c r="M937" s="4">
        <v>-0.009184</v>
      </c>
      <c r="N937" s="4">
        <v>-0.001784</v>
      </c>
      <c r="O937" s="4">
        <v>-0.017886</v>
      </c>
      <c r="P937" s="4">
        <v>0.016381</v>
      </c>
      <c r="Q937" s="4">
        <v>0.021277</v>
      </c>
      <c r="R937" s="4">
        <v>-0.003349</v>
      </c>
      <c r="S937" s="4">
        <v>0.019406</v>
      </c>
      <c r="T937" s="4">
        <v>-0.0177</v>
      </c>
      <c r="U937" s="4">
        <v>0.003682</v>
      </c>
      <c r="V937" s="4">
        <v>0.0109641902942003</v>
      </c>
      <c r="W937" s="4">
        <v>-0.0033333177731461</v>
      </c>
      <c r="X937" s="4">
        <v>0.0</v>
      </c>
      <c r="Y937" s="4">
        <v>-5.111683144839E-4</v>
      </c>
      <c r="Z937" s="4">
        <v>0.001295571170081</v>
      </c>
      <c r="AA937" s="4">
        <v>0.0065075898435382</v>
      </c>
      <c r="AB937" s="4">
        <v>0.0117736173868534</v>
      </c>
      <c r="AC937" s="4">
        <v>0.0</v>
      </c>
      <c r="AD937" s="4">
        <v>0.0</v>
      </c>
      <c r="AE937" s="4">
        <v>0.0109625914827209</v>
      </c>
      <c r="AF937" s="4">
        <v>0.0051898409007786</v>
      </c>
      <c r="AG937" s="4">
        <v>-0.0192409431750069</v>
      </c>
      <c r="AH937" s="4">
        <v>-0.0307949827944773</v>
      </c>
      <c r="AI937" s="4">
        <v>0.0101390792290287</v>
      </c>
      <c r="AJ937" s="4">
        <v>-0.009395</v>
      </c>
      <c r="AK937" s="4">
        <f>Weights!E993</f>
        <v>0.0005591470456</v>
      </c>
      <c r="AL937" s="5">
        <v>-0.00144559278239486</v>
      </c>
      <c r="AM937" s="5">
        <v>-0.00253332969147879</v>
      </c>
      <c r="AN937" s="5">
        <v>-0.00608008469479581</v>
      </c>
      <c r="AO937" s="5">
        <v>-0.0054695994585826</v>
      </c>
      <c r="AP937" s="6">
        <f t="shared" si="3"/>
        <v>1.573917266</v>
      </c>
      <c r="AQ937" s="4">
        <f t="shared" si="4"/>
        <v>1.362561658</v>
      </c>
      <c r="AR937" s="7">
        <f t="shared" si="5"/>
        <v>1.340667971</v>
      </c>
      <c r="AS937" s="7">
        <f t="shared" ref="AS937:AU937" si="939">AS936*(1+AM937)</f>
        <v>1.427134666</v>
      </c>
      <c r="AT937" s="5">
        <f t="shared" si="939"/>
        <v>1.352859754</v>
      </c>
      <c r="AU937" s="5">
        <f t="shared" si="939"/>
        <v>1.344681018</v>
      </c>
    </row>
    <row r="938" ht="15.75" customHeight="1">
      <c r="A938" s="3">
        <v>45190.0</v>
      </c>
      <c r="B938" s="4">
        <v>-0.015231</v>
      </c>
      <c r="C938" s="4">
        <v>-0.009226</v>
      </c>
      <c r="D938" s="4">
        <v>-0.032991</v>
      </c>
      <c r="E938" s="4">
        <v>-0.016818</v>
      </c>
      <c r="F938" s="4">
        <v>-0.0154</v>
      </c>
      <c r="G938" s="4">
        <v>-0.007673</v>
      </c>
      <c r="H938" s="4">
        <v>-0.008666</v>
      </c>
      <c r="I938" s="4">
        <v>-0.018598</v>
      </c>
      <c r="J938" s="4">
        <v>-0.01827</v>
      </c>
      <c r="K938" s="4">
        <v>-0.015255</v>
      </c>
      <c r="L938" s="4">
        <v>-0.017118</v>
      </c>
      <c r="M938" s="4">
        <v>-0.024202</v>
      </c>
      <c r="N938" s="4">
        <v>-0.013699</v>
      </c>
      <c r="O938" s="4">
        <v>-0.034226</v>
      </c>
      <c r="P938" s="4">
        <v>-0.010501</v>
      </c>
      <c r="Q938" s="4">
        <v>-0.040865</v>
      </c>
      <c r="R938" s="4">
        <v>-0.037736</v>
      </c>
      <c r="S938" s="4">
        <v>-0.029787</v>
      </c>
      <c r="T938" s="4">
        <v>-0.024776</v>
      </c>
      <c r="U938" s="4">
        <v>-0.022508</v>
      </c>
      <c r="V938" s="4">
        <v>0.017950503683239</v>
      </c>
      <c r="W938" s="4">
        <v>-0.0187290092690884</v>
      </c>
      <c r="X938" s="4">
        <v>-0.0014044753479703</v>
      </c>
      <c r="Y938" s="4">
        <v>0.0</v>
      </c>
      <c r="Z938" s="4">
        <v>0.0</v>
      </c>
      <c r="AA938" s="4">
        <v>0.0</v>
      </c>
      <c r="AB938" s="4">
        <v>0.0</v>
      </c>
      <c r="AC938" s="4">
        <v>-0.0122591119279158</v>
      </c>
      <c r="AD938" s="4">
        <v>-0.0255785351381211</v>
      </c>
      <c r="AE938" s="4">
        <v>0.0</v>
      </c>
      <c r="AF938" s="4">
        <v>-0.0051630455159871</v>
      </c>
      <c r="AG938" s="4">
        <v>0.0139937289578087</v>
      </c>
      <c r="AH938" s="4">
        <v>0.0044335286055907</v>
      </c>
      <c r="AI938" s="4">
        <v>0.0</v>
      </c>
      <c r="AJ938" s="4">
        <v>-0.016401</v>
      </c>
      <c r="AK938" s="4">
        <f>Weights!E994</f>
        <v>-0.01000810692</v>
      </c>
      <c r="AL938" s="5">
        <v>-0.00731861747851403</v>
      </c>
      <c r="AM938" s="5">
        <v>-0.00884394814968836</v>
      </c>
      <c r="AN938" s="5">
        <v>-0.0125563052159123</v>
      </c>
      <c r="AO938" s="5">
        <v>-0.0126733063326655</v>
      </c>
      <c r="AP938" s="6">
        <f t="shared" si="3"/>
        <v>1.558165334</v>
      </c>
      <c r="AQ938" s="4">
        <f t="shared" si="4"/>
        <v>1.340214285</v>
      </c>
      <c r="AR938" s="7">
        <f t="shared" si="5"/>
        <v>1.330856135</v>
      </c>
      <c r="AS938" s="7">
        <f t="shared" ref="AS938:AU938" si="940">AS937*(1+AM938)</f>
        <v>1.414513161</v>
      </c>
      <c r="AT938" s="5">
        <f t="shared" si="940"/>
        <v>1.335872834</v>
      </c>
      <c r="AU938" s="5">
        <f t="shared" si="940"/>
        <v>1.327639464</v>
      </c>
    </row>
    <row r="939" ht="15.75" customHeight="1">
      <c r="A939" s="3">
        <v>45191.0</v>
      </c>
      <c r="B939" s="4">
        <v>0.010113</v>
      </c>
      <c r="C939" s="4">
        <v>-3.0E-4</v>
      </c>
      <c r="D939" s="4">
        <v>0.005439</v>
      </c>
      <c r="E939" s="4">
        <v>-6.27E-4</v>
      </c>
      <c r="F939" s="4">
        <v>0.001043</v>
      </c>
      <c r="G939" s="4">
        <v>-0.007176</v>
      </c>
      <c r="H939" s="4">
        <v>-0.003681</v>
      </c>
      <c r="I939" s="4">
        <v>0.006414</v>
      </c>
      <c r="J939" s="4">
        <v>2.48E-4</v>
      </c>
      <c r="K939" s="4">
        <v>-6.59E-4</v>
      </c>
      <c r="L939" s="4">
        <v>-0.004801</v>
      </c>
      <c r="M939" s="4">
        <v>-5.28E-4</v>
      </c>
      <c r="N939" s="4">
        <v>0.002013</v>
      </c>
      <c r="O939" s="4">
        <v>0.002348</v>
      </c>
      <c r="P939" s="4">
        <v>0.005429</v>
      </c>
      <c r="Q939" s="4">
        <v>0.00919</v>
      </c>
      <c r="R939" s="4">
        <v>-0.002149</v>
      </c>
      <c r="S939" s="4">
        <v>2.31E-4</v>
      </c>
      <c r="T939" s="4">
        <v>0.010492</v>
      </c>
      <c r="U939" s="4">
        <v>-0.007001</v>
      </c>
      <c r="V939" s="4">
        <v>-0.0194709729698443</v>
      </c>
      <c r="W939" s="4">
        <v>-0.0199954711401737</v>
      </c>
      <c r="X939" s="4">
        <v>0.0</v>
      </c>
      <c r="Y939" s="4">
        <v>0.0036434687952453</v>
      </c>
      <c r="Z939" s="4">
        <v>9.242818555867E-4</v>
      </c>
      <c r="AA939" s="4">
        <v>0.0023511489649579</v>
      </c>
      <c r="AB939" s="4">
        <v>0.0014855336351575</v>
      </c>
      <c r="AC939" s="4">
        <v>0.0230496508068951</v>
      </c>
      <c r="AD939" s="4">
        <v>0.0050000192849695</v>
      </c>
      <c r="AE939" s="4">
        <v>0.0118604548683107</v>
      </c>
      <c r="AF939" s="4">
        <v>-0.0169351895587352</v>
      </c>
      <c r="AG939" s="4">
        <v>0.0012177426175863</v>
      </c>
      <c r="AH939" s="4">
        <v>-0.0127513597108388</v>
      </c>
      <c r="AI939" s="4">
        <v>-0.0031697506536849</v>
      </c>
      <c r="AJ939" s="4">
        <v>-0.002296</v>
      </c>
      <c r="AK939" s="4">
        <f>Weights!E995</f>
        <v>-0.0003876035844</v>
      </c>
      <c r="AL939" s="5">
        <v>-0.0167705559057961</v>
      </c>
      <c r="AM939" s="5">
        <v>-0.0167721108795051</v>
      </c>
      <c r="AN939" s="5">
        <v>0.0</v>
      </c>
      <c r="AO939" s="5">
        <v>-4.84367446965117E-4</v>
      </c>
      <c r="AP939" s="6">
        <f t="shared" si="3"/>
        <v>1.557561383</v>
      </c>
      <c r="AQ939" s="4">
        <f t="shared" si="4"/>
        <v>1.337137153</v>
      </c>
      <c r="AR939" s="7">
        <f t="shared" si="5"/>
        <v>1.308536938</v>
      </c>
      <c r="AS939" s="7">
        <f t="shared" ref="AS939:AU939" si="941">AS938*(1+AM939)</f>
        <v>1.39078879</v>
      </c>
      <c r="AT939" s="5">
        <f t="shared" si="941"/>
        <v>1.335872834</v>
      </c>
      <c r="AU939" s="5">
        <f t="shared" si="941"/>
        <v>1.326996398</v>
      </c>
    </row>
    <row r="940" ht="15.75" customHeight="1">
      <c r="A940" s="3">
        <v>45194.0</v>
      </c>
      <c r="B940" s="4">
        <v>-0.005889</v>
      </c>
      <c r="C940" s="4">
        <v>-0.003606</v>
      </c>
      <c r="D940" s="4">
        <v>-0.011065</v>
      </c>
      <c r="E940" s="4">
        <v>-0.005363</v>
      </c>
      <c r="F940" s="4">
        <v>-0.010417</v>
      </c>
      <c r="G940" s="4">
        <v>-0.001495</v>
      </c>
      <c r="H940" s="4">
        <v>-0.006069</v>
      </c>
      <c r="I940" s="4">
        <v>-0.001738</v>
      </c>
      <c r="J940" s="4">
        <v>-0.005706</v>
      </c>
      <c r="K940" s="4">
        <v>0.00973</v>
      </c>
      <c r="L940" s="4">
        <v>0.003926</v>
      </c>
      <c r="M940" s="4">
        <v>-0.006336</v>
      </c>
      <c r="N940" s="4">
        <v>-0.00221</v>
      </c>
      <c r="O940" s="4">
        <v>0.012298</v>
      </c>
      <c r="P940" s="4">
        <v>-0.006382</v>
      </c>
      <c r="Q940" s="4">
        <v>-0.024007</v>
      </c>
      <c r="R940" s="4">
        <v>0.001346</v>
      </c>
      <c r="S940" s="4">
        <v>-0.015463</v>
      </c>
      <c r="T940" s="4">
        <v>0.013844</v>
      </c>
      <c r="U940" s="4">
        <v>0.004289</v>
      </c>
      <c r="V940" s="4">
        <v>0.0157362428337153</v>
      </c>
      <c r="W940" s="4">
        <v>0.0018547353176603</v>
      </c>
      <c r="X940" s="4">
        <v>0.0140647274043277</v>
      </c>
      <c r="Y940" s="4">
        <v>0.0075785514589694</v>
      </c>
      <c r="Z940" s="4">
        <v>0.0062788998509173</v>
      </c>
      <c r="AA940" s="4">
        <v>0.015050869788062</v>
      </c>
      <c r="AB940" s="4">
        <v>-0.0044498887806971</v>
      </c>
      <c r="AC940" s="4">
        <v>-0.0225303344649162</v>
      </c>
      <c r="AD940" s="4">
        <v>0.0087064232820741</v>
      </c>
      <c r="AE940" s="4">
        <v>0.0056931692889059</v>
      </c>
      <c r="AF940" s="4">
        <v>0.0141706110712576</v>
      </c>
      <c r="AG940" s="4">
        <v>0.0081080078851838</v>
      </c>
      <c r="AH940" s="4">
        <v>-0.0034773817400032</v>
      </c>
      <c r="AI940" s="4">
        <v>0.00264976813988</v>
      </c>
      <c r="AJ940" s="4">
        <v>0.004023</v>
      </c>
      <c r="AK940" s="4">
        <f>Weights!E996</f>
        <v>0.001126938595</v>
      </c>
      <c r="AL940" s="5">
        <v>-0.0015655851771883</v>
      </c>
      <c r="AM940" s="5">
        <v>-0.00210195749568964</v>
      </c>
      <c r="AN940" s="5">
        <v>-0.0215193853644463</v>
      </c>
      <c r="AO940" s="5">
        <v>-0.0203537780858944</v>
      </c>
      <c r="AP940" s="6">
        <f t="shared" si="3"/>
        <v>1.559316659</v>
      </c>
      <c r="AQ940" s="4">
        <f t="shared" si="4"/>
        <v>1.342516455</v>
      </c>
      <c r="AR940" s="7">
        <f t="shared" si="5"/>
        <v>1.306488312</v>
      </c>
      <c r="AS940" s="7">
        <f t="shared" ref="AS940:AU940" si="942">AS939*(1+AM940)</f>
        <v>1.387865411</v>
      </c>
      <c r="AT940" s="5">
        <f t="shared" si="942"/>
        <v>1.307125672</v>
      </c>
      <c r="AU940" s="5">
        <f t="shared" si="942"/>
        <v>1.299987008</v>
      </c>
    </row>
    <row r="941" ht="15.75" customHeight="1">
      <c r="A941" s="3">
        <v>45195.0</v>
      </c>
      <c r="B941" s="4">
        <v>-0.01718</v>
      </c>
      <c r="C941" s="4">
        <v>-0.005127</v>
      </c>
      <c r="D941" s="4">
        <v>-0.025361</v>
      </c>
      <c r="E941" s="4">
        <v>-0.010383</v>
      </c>
      <c r="F941" s="4">
        <v>-0.008246</v>
      </c>
      <c r="G941" s="4">
        <v>-0.007737</v>
      </c>
      <c r="H941" s="4">
        <v>-0.008894</v>
      </c>
      <c r="I941" s="4">
        <v>-0.022345</v>
      </c>
      <c r="J941" s="4">
        <v>-0.024202</v>
      </c>
      <c r="K941" s="4">
        <v>-0.016985</v>
      </c>
      <c r="L941" s="4">
        <v>-0.017432</v>
      </c>
      <c r="M941" s="4">
        <v>-0.016472</v>
      </c>
      <c r="N941" s="4">
        <v>-0.012684</v>
      </c>
      <c r="O941" s="4">
        <v>0.035505</v>
      </c>
      <c r="P941" s="4">
        <v>-0.02668</v>
      </c>
      <c r="Q941" s="4">
        <v>-0.006785</v>
      </c>
      <c r="R941" s="4">
        <v>-0.016936</v>
      </c>
      <c r="S941" s="4">
        <v>-0.02602</v>
      </c>
      <c r="T941" s="4">
        <v>-0.022609</v>
      </c>
      <c r="U941" s="4">
        <v>-0.013607</v>
      </c>
      <c r="V941" s="4">
        <v>-0.0261895339894141</v>
      </c>
      <c r="W941" s="4">
        <v>0.015274284329181</v>
      </c>
      <c r="X941" s="4">
        <v>-0.0013869436883671</v>
      </c>
      <c r="Y941" s="4">
        <v>-0.0105555907528684</v>
      </c>
      <c r="Z941" s="4">
        <v>-0.0010094259784704</v>
      </c>
      <c r="AA941" s="4">
        <v>-0.0011555487637351</v>
      </c>
      <c r="AB941" s="4">
        <v>-0.0166376515974908</v>
      </c>
      <c r="AC941" s="4">
        <v>-0.0124114050872344</v>
      </c>
      <c r="AD941" s="4">
        <v>0.0209618312478547</v>
      </c>
      <c r="AE941" s="4">
        <v>0.0154104808775523</v>
      </c>
      <c r="AF941" s="4">
        <v>0.0109588617658478</v>
      </c>
      <c r="AG941" s="4">
        <v>-0.0085792154488563</v>
      </c>
      <c r="AH941" s="4">
        <v>0.0169491122533123</v>
      </c>
      <c r="AI941" s="4">
        <v>-0.0042285325467887</v>
      </c>
      <c r="AJ941" s="4">
        <v>-0.014735</v>
      </c>
      <c r="AK941" s="4">
        <f>Weights!E997</f>
        <v>-0.008654538637</v>
      </c>
      <c r="AL941" s="5">
        <v>0.00181561178693945</v>
      </c>
      <c r="AM941" s="5">
        <v>0.0040255115141754</v>
      </c>
      <c r="AN941" s="5">
        <v>-0.00133295671213418</v>
      </c>
      <c r="AO941" s="5">
        <v>-9.89341175705815E-4</v>
      </c>
      <c r="AP941" s="6">
        <f t="shared" si="3"/>
        <v>1.545821493</v>
      </c>
      <c r="AQ941" s="4">
        <f t="shared" si="4"/>
        <v>1.322734475</v>
      </c>
      <c r="AR941" s="7">
        <f t="shared" si="5"/>
        <v>1.308860388</v>
      </c>
      <c r="AS941" s="7">
        <f t="shared" ref="AS941:AU941" si="943">AS940*(1+AM941)</f>
        <v>1.393452279</v>
      </c>
      <c r="AT941" s="5">
        <f t="shared" si="943"/>
        <v>1.30538333</v>
      </c>
      <c r="AU941" s="5">
        <f t="shared" si="943"/>
        <v>1.298700878</v>
      </c>
    </row>
    <row r="942" ht="15.75" customHeight="1">
      <c r="A942" s="3">
        <v>45196.0</v>
      </c>
      <c r="B942" s="4">
        <v>-0.015069</v>
      </c>
      <c r="C942" s="4">
        <v>-0.017884</v>
      </c>
      <c r="D942" s="4">
        <v>-0.015561</v>
      </c>
      <c r="E942" s="4">
        <v>-0.017099</v>
      </c>
      <c r="F942" s="4">
        <v>-0.01026</v>
      </c>
      <c r="G942" s="4">
        <v>-0.012011</v>
      </c>
      <c r="H942" s="4">
        <v>-0.01326</v>
      </c>
      <c r="I942" s="4">
        <v>-0.001781</v>
      </c>
      <c r="J942" s="4">
        <v>-0.02429</v>
      </c>
      <c r="K942" s="4">
        <v>-3.32E-4</v>
      </c>
      <c r="L942" s="4">
        <v>-0.012283</v>
      </c>
      <c r="M942" s="4">
        <v>-0.015127</v>
      </c>
      <c r="N942" s="4">
        <v>-0.012643</v>
      </c>
      <c r="O942" s="4">
        <v>0.038059</v>
      </c>
      <c r="P942" s="4">
        <v>-0.053807</v>
      </c>
      <c r="Q942" s="4">
        <v>-0.054654</v>
      </c>
      <c r="R942" s="4">
        <v>-5.47E-4</v>
      </c>
      <c r="S942" s="4">
        <v>-0.031769</v>
      </c>
      <c r="T942" s="4">
        <v>0.026163</v>
      </c>
      <c r="U942" s="4">
        <v>-0.003009</v>
      </c>
      <c r="V942" s="4">
        <v>0.0151515123477465</v>
      </c>
      <c r="W942" s="4">
        <v>-0.0193753367814257</v>
      </c>
      <c r="X942" s="4">
        <v>0.0</v>
      </c>
      <c r="Y942" s="4">
        <v>0.0044077234190476</v>
      </c>
      <c r="Z942" s="4">
        <v>0.0028473500013952</v>
      </c>
      <c r="AA942" s="4">
        <v>-0.0057836955952085</v>
      </c>
      <c r="AB942" s="4">
        <v>0.0050504945764162</v>
      </c>
      <c r="AC942" s="4">
        <v>0.0</v>
      </c>
      <c r="AD942" s="4">
        <v>0.0</v>
      </c>
      <c r="AE942" s="4">
        <v>0.0032991683443681</v>
      </c>
      <c r="AF942" s="4">
        <v>0.0013550000986104</v>
      </c>
      <c r="AG942" s="4">
        <v>0.0123042140917883</v>
      </c>
      <c r="AH942" s="4">
        <v>0.0215687007823401</v>
      </c>
      <c r="AI942" s="4">
        <v>-0.0037154747318145</v>
      </c>
      <c r="AJ942" s="4">
        <v>2.29E-4</v>
      </c>
      <c r="AK942" s="4">
        <f>Weights!E998</f>
        <v>-0.004798078303</v>
      </c>
      <c r="AL942" s="5">
        <v>-0.0141692446705815</v>
      </c>
      <c r="AM942" s="5">
        <v>-0.014405634960809</v>
      </c>
      <c r="AN942" s="5">
        <v>0.00166831980639203</v>
      </c>
      <c r="AO942" s="5">
        <v>4.95060980748141E-4</v>
      </c>
      <c r="AP942" s="6">
        <f t="shared" si="3"/>
        <v>1.53840452</v>
      </c>
      <c r="AQ942" s="4">
        <f t="shared" si="4"/>
        <v>1.323037382</v>
      </c>
      <c r="AR942" s="7">
        <f t="shared" si="5"/>
        <v>1.290314825</v>
      </c>
      <c r="AS942" s="7">
        <f t="shared" ref="AS942:AU942" si="944">AS941*(1+AM942)</f>
        <v>1.373378714</v>
      </c>
      <c r="AT942" s="5">
        <f t="shared" si="944"/>
        <v>1.307561127</v>
      </c>
      <c r="AU942" s="5">
        <f t="shared" si="944"/>
        <v>1.299343814</v>
      </c>
    </row>
    <row r="943" ht="15.75" customHeight="1">
      <c r="A943" s="3">
        <v>45197.0</v>
      </c>
      <c r="B943" s="4">
        <v>0.004284</v>
      </c>
      <c r="C943" s="4">
        <v>0.00463</v>
      </c>
      <c r="D943" s="4">
        <v>0.00311</v>
      </c>
      <c r="E943" s="4">
        <v>-4.13E-4</v>
      </c>
      <c r="F943" s="4">
        <v>-0.002502</v>
      </c>
      <c r="G943" s="4">
        <v>-0.001464</v>
      </c>
      <c r="H943" s="4">
        <v>-0.006787</v>
      </c>
      <c r="I943" s="4">
        <v>-0.002676</v>
      </c>
      <c r="J943" s="4">
        <v>0.003407</v>
      </c>
      <c r="K943" s="4">
        <v>0.009473</v>
      </c>
      <c r="L943" s="4">
        <v>0.013471</v>
      </c>
      <c r="M943" s="4">
        <v>0.013165</v>
      </c>
      <c r="N943" s="4">
        <v>0.011152</v>
      </c>
      <c r="O943" s="4">
        <v>0.009418</v>
      </c>
      <c r="P943" s="4">
        <v>-0.006706</v>
      </c>
      <c r="Q943" s="4">
        <v>-0.01626</v>
      </c>
      <c r="R943" s="4">
        <v>0.021341</v>
      </c>
      <c r="S943" s="4">
        <v>0.005966</v>
      </c>
      <c r="T943" s="4">
        <v>0.016441</v>
      </c>
      <c r="U943" s="4">
        <v>0.004195</v>
      </c>
      <c r="V943" s="4">
        <v>0.0216418189999545</v>
      </c>
      <c r="W943" s="4">
        <v>-0.0357972464058423</v>
      </c>
      <c r="X943" s="4">
        <v>-0.0013754971164413</v>
      </c>
      <c r="Y943" s="4">
        <v>-0.0050880198940459</v>
      </c>
      <c r="Z943" s="4">
        <v>-0.0087011916921643</v>
      </c>
      <c r="AA943" s="4">
        <v>-0.0157067642850881</v>
      </c>
      <c r="AB943" s="4">
        <v>-0.0045227688090003</v>
      </c>
      <c r="AC943" s="4">
        <v>0.0017888760654043</v>
      </c>
      <c r="AD943" s="4">
        <v>-0.0012034492589885</v>
      </c>
      <c r="AE943" s="4">
        <v>0.0023018366567406</v>
      </c>
      <c r="AF943" s="4">
        <v>-0.0056833127611127</v>
      </c>
      <c r="AG943" s="4">
        <v>-0.0070791761896608</v>
      </c>
      <c r="AH943" s="4">
        <v>0.0038387219666558</v>
      </c>
      <c r="AI943" s="4">
        <v>-0.0015983312986321</v>
      </c>
      <c r="AJ943" s="4">
        <v>0.005893</v>
      </c>
      <c r="AK943" s="4">
        <f>Weights!E999</f>
        <v>0.0009414435056</v>
      </c>
      <c r="AL943" s="5">
        <v>-7.52089957971158E-4</v>
      </c>
      <c r="AM943" s="5">
        <v>0.00104074895591521</v>
      </c>
      <c r="AN943" s="5">
        <v>-0.0116587880577084</v>
      </c>
      <c r="AO943" s="5">
        <v>-0.0113833538363107</v>
      </c>
      <c r="AP943" s="6">
        <f t="shared" si="3"/>
        <v>1.539852841</v>
      </c>
      <c r="AQ943" s="4">
        <f t="shared" si="4"/>
        <v>1.330834041</v>
      </c>
      <c r="AR943" s="7">
        <f t="shared" si="5"/>
        <v>1.289344392</v>
      </c>
      <c r="AS943" s="7">
        <f t="shared" ref="AS943:AU943" si="945">AS942*(1+AM943)</f>
        <v>1.374808057</v>
      </c>
      <c r="AT943" s="5">
        <f t="shared" si="945"/>
        <v>1.292316549</v>
      </c>
      <c r="AU943" s="5">
        <f t="shared" si="945"/>
        <v>1.284552923</v>
      </c>
    </row>
    <row r="944" ht="15.75" customHeight="1">
      <c r="A944" s="3">
        <v>45198.0</v>
      </c>
      <c r="B944" s="4">
        <v>-0.004266</v>
      </c>
      <c r="C944" s="4">
        <v>-0.004301</v>
      </c>
      <c r="D944" s="4">
        <v>-0.008267</v>
      </c>
      <c r="E944" s="4">
        <v>-3.54E-4</v>
      </c>
      <c r="F944" s="4">
        <v>0.003046</v>
      </c>
      <c r="G944" s="4">
        <v>-0.007203</v>
      </c>
      <c r="H944" s="4">
        <v>-0.00328</v>
      </c>
      <c r="I944" s="4">
        <v>-0.010435</v>
      </c>
      <c r="J944" s="4">
        <v>-0.007835</v>
      </c>
      <c r="K944" s="4">
        <v>-0.007903</v>
      </c>
      <c r="L944" s="4">
        <v>-0.006589</v>
      </c>
      <c r="M944" s="4">
        <v>-0.010287</v>
      </c>
      <c r="N944" s="4">
        <v>-0.003268</v>
      </c>
      <c r="O944" s="4">
        <v>-0.014529</v>
      </c>
      <c r="P944" s="4">
        <v>-0.00216</v>
      </c>
      <c r="Q944" s="4">
        <v>-0.002755</v>
      </c>
      <c r="R944" s="4">
        <v>-0.001072</v>
      </c>
      <c r="S944" s="4">
        <v>0.001977</v>
      </c>
      <c r="T944" s="4">
        <v>-0.008938</v>
      </c>
      <c r="U944" s="4">
        <v>-0.015685</v>
      </c>
      <c r="V944" s="4">
        <v>0.00146085762468217</v>
      </c>
      <c r="W944" s="4">
        <v>-0.0236259652429509</v>
      </c>
      <c r="X944" s="4">
        <v>0.0</v>
      </c>
      <c r="Y944" s="4">
        <v>-0.0174518736027011</v>
      </c>
      <c r="Z944" s="4">
        <v>-0.0156148296892699</v>
      </c>
      <c r="AA944" s="4">
        <v>-0.0139872910243002</v>
      </c>
      <c r="AB944" s="4">
        <v>-0.0106005206724196</v>
      </c>
      <c r="AC944" s="4">
        <v>-0.0017856817021469</v>
      </c>
      <c r="AD944" s="4">
        <v>-0.0168674848902795</v>
      </c>
      <c r="AE944" s="4">
        <v>-0.0088582149385015</v>
      </c>
      <c r="AF944" s="4">
        <v>-0.0195972001625849</v>
      </c>
      <c r="AG944" s="4">
        <v>-0.0135860184457423</v>
      </c>
      <c r="AH944" s="4">
        <v>0.0088432550563657</v>
      </c>
      <c r="AI944" s="4">
        <v>-5.337389211874E-4</v>
      </c>
      <c r="AJ944" s="4">
        <v>-0.002709</v>
      </c>
      <c r="AK944" s="4">
        <f>Weights!E1000</f>
        <v>-0.00689327909</v>
      </c>
      <c r="AL944" s="5">
        <v>0.00786087087793174</v>
      </c>
      <c r="AM944" s="5">
        <v>0.00661519193593163</v>
      </c>
      <c r="AN944" s="5">
        <v>-0.00572981569140007</v>
      </c>
      <c r="AO944" s="5">
        <v>-0.00600757066962498</v>
      </c>
      <c r="AP944" s="6">
        <f t="shared" si="3"/>
        <v>1.529238206</v>
      </c>
      <c r="AQ944" s="4">
        <f t="shared" si="4"/>
        <v>1.327228811</v>
      </c>
      <c r="AR944" s="7">
        <f t="shared" si="5"/>
        <v>1.299479761</v>
      </c>
      <c r="AS944" s="7">
        <f t="shared" ref="AS944:AU944" si="946">AS943*(1+AM944)</f>
        <v>1.383902676</v>
      </c>
      <c r="AT944" s="5">
        <f t="shared" si="946"/>
        <v>1.284911813</v>
      </c>
      <c r="AU944" s="5">
        <f t="shared" si="946"/>
        <v>1.276835881</v>
      </c>
    </row>
    <row r="945" ht="15.75" customHeight="1">
      <c r="A945" s="3">
        <v>45201.0</v>
      </c>
      <c r="B945" s="4">
        <v>-0.043452</v>
      </c>
      <c r="C945" s="4">
        <v>-0.020056</v>
      </c>
      <c r="D945" s="4">
        <v>-0.035947</v>
      </c>
      <c r="E945" s="4">
        <v>-0.001594</v>
      </c>
      <c r="F945" s="4">
        <v>-0.008932</v>
      </c>
      <c r="G945" s="4">
        <v>-0.003852</v>
      </c>
      <c r="H945" s="4">
        <v>-0.004593</v>
      </c>
      <c r="I945" s="4">
        <v>-0.036155</v>
      </c>
      <c r="J945" s="4">
        <v>-0.024743</v>
      </c>
      <c r="K945" s="4">
        <v>-0.023896</v>
      </c>
      <c r="L945" s="4">
        <v>-0.030192</v>
      </c>
      <c r="M945" s="4">
        <v>-0.021335</v>
      </c>
      <c r="N945" s="4">
        <v>-0.019877</v>
      </c>
      <c r="O945" s="4">
        <v>-0.014337</v>
      </c>
      <c r="P945" s="4">
        <v>-0.03816</v>
      </c>
      <c r="Q945" s="4">
        <v>-0.042357</v>
      </c>
      <c r="R945" s="4">
        <v>-0.017431</v>
      </c>
      <c r="S945" s="4">
        <v>-0.039457</v>
      </c>
      <c r="T945" s="4">
        <v>-0.010042</v>
      </c>
      <c r="U945" s="4">
        <v>-0.013254</v>
      </c>
      <c r="V945" s="4">
        <v>0.00875271612671957</v>
      </c>
      <c r="W945" s="4">
        <v>7.407372561167E-4</v>
      </c>
      <c r="X945" s="4">
        <v>-0.0041321751443197</v>
      </c>
      <c r="Y945" s="4">
        <v>3.252467398831E-4</v>
      </c>
      <c r="Z945" s="4">
        <v>-0.0030974875628658</v>
      </c>
      <c r="AA945" s="4">
        <v>0.0069928300594026</v>
      </c>
      <c r="AB945" s="4">
        <v>-0.0030612599770636</v>
      </c>
      <c r="AC945" s="4">
        <v>-0.003577895498957</v>
      </c>
      <c r="AD945" s="4">
        <v>-0.0061274492269762</v>
      </c>
      <c r="AE945" s="4">
        <v>-0.0049652640252062</v>
      </c>
      <c r="AF945" s="4">
        <v>0.0011105373861937</v>
      </c>
      <c r="AG945" s="4">
        <v>-0.0083185991592387</v>
      </c>
      <c r="AH945" s="4">
        <v>0.008765624436926</v>
      </c>
      <c r="AI945" s="4">
        <v>-0.003736969069215</v>
      </c>
      <c r="AJ945" s="4">
        <v>7.9E-5</v>
      </c>
      <c r="AK945" s="4">
        <f>Weights!E1001</f>
        <v>-0.01223797542</v>
      </c>
      <c r="AL945" s="5">
        <v>-0.00290402239981157</v>
      </c>
      <c r="AM945" s="5">
        <v>-0.00291041619983178</v>
      </c>
      <c r="AN945" s="5">
        <v>0.00881366899047897</v>
      </c>
      <c r="AO945" s="5">
        <v>0.00921629420901282</v>
      </c>
      <c r="AP945" s="6">
        <f t="shared" si="3"/>
        <v>1.510523426</v>
      </c>
      <c r="AQ945" s="4">
        <f t="shared" si="4"/>
        <v>1.327333663</v>
      </c>
      <c r="AR945" s="7">
        <f t="shared" si="5"/>
        <v>1.295706043</v>
      </c>
      <c r="AS945" s="7">
        <f t="shared" ref="AS945:AU945" si="947">AS944*(1+AM945)</f>
        <v>1.379874943</v>
      </c>
      <c r="AT945" s="5">
        <f t="shared" si="947"/>
        <v>1.296236601</v>
      </c>
      <c r="AU945" s="5">
        <f t="shared" si="947"/>
        <v>1.288603576</v>
      </c>
    </row>
    <row r="946" ht="15.75" customHeight="1">
      <c r="A946" s="3">
        <v>45202.0</v>
      </c>
      <c r="B946" s="4">
        <v>0.003199</v>
      </c>
      <c r="C946" s="4">
        <v>0.006927</v>
      </c>
      <c r="D946" s="4">
        <v>0.002162</v>
      </c>
      <c r="E946" s="4">
        <v>-0.008689</v>
      </c>
      <c r="F946" s="4">
        <v>-0.010815</v>
      </c>
      <c r="G946" s="4">
        <v>0.001225</v>
      </c>
      <c r="H946" s="4">
        <v>0.002066</v>
      </c>
      <c r="I946" s="4">
        <v>-0.013129</v>
      </c>
      <c r="J946" s="4">
        <v>-0.003239</v>
      </c>
      <c r="K946" s="4">
        <v>-0.012241</v>
      </c>
      <c r="L946" s="4">
        <v>-0.026887</v>
      </c>
      <c r="M946" s="4">
        <v>-0.013974</v>
      </c>
      <c r="N946" s="4">
        <v>-0.01798</v>
      </c>
      <c r="O946" s="4">
        <v>-0.007959</v>
      </c>
      <c r="P946" s="4">
        <v>-0.009285</v>
      </c>
      <c r="Q946" s="4">
        <v>0.033654</v>
      </c>
      <c r="R946" s="4">
        <v>-0.008188</v>
      </c>
      <c r="S946" s="4">
        <v>0.007445</v>
      </c>
      <c r="T946" s="4">
        <v>0.007688</v>
      </c>
      <c r="U946" s="4">
        <v>0.004528</v>
      </c>
      <c r="V946" s="4">
        <v>-0.0325379347105979</v>
      </c>
      <c r="W946" s="4">
        <v>-0.008667840651453</v>
      </c>
      <c r="X946" s="4">
        <v>0.0096817486846811</v>
      </c>
      <c r="Y946" s="4">
        <v>-0.0029267838519968</v>
      </c>
      <c r="Z946" s="4">
        <v>5.648436273864E-4</v>
      </c>
      <c r="AA946" s="4">
        <v>0.0031747292024499</v>
      </c>
      <c r="AB946" s="4">
        <v>7.676650164565E-4</v>
      </c>
      <c r="AC946" s="4">
        <v>0.0</v>
      </c>
      <c r="AD946" s="4">
        <v>0.002466152232843</v>
      </c>
      <c r="AE946" s="4">
        <v>-0.016966060624834</v>
      </c>
      <c r="AF946" s="4">
        <v>2.772586420856E-4</v>
      </c>
      <c r="AG946" s="4">
        <v>-0.0814082240854628</v>
      </c>
      <c r="AH946" s="4">
        <v>0.0117426472391541</v>
      </c>
      <c r="AI946" s="4">
        <v>0.0</v>
      </c>
      <c r="AJ946" s="4">
        <v>-0.013744</v>
      </c>
      <c r="AK946" s="4">
        <f>Weights!E1002</f>
        <v>-0.007781676194</v>
      </c>
      <c r="AL946" s="5">
        <v>-0.00549222639026181</v>
      </c>
      <c r="AM946" s="5">
        <v>-0.00131803346237791</v>
      </c>
      <c r="AN946" s="5">
        <v>-0.00201609708314898</v>
      </c>
      <c r="AO946" s="5">
        <v>-0.00176103030349827</v>
      </c>
      <c r="AP946" s="6">
        <f t="shared" si="3"/>
        <v>1.498769022</v>
      </c>
      <c r="AQ946" s="4">
        <f t="shared" si="4"/>
        <v>1.309090789</v>
      </c>
      <c r="AR946" s="7">
        <f t="shared" si="5"/>
        <v>1.288589732</v>
      </c>
      <c r="AS946" s="7">
        <f t="shared" ref="AS946:AU946" si="948">AS945*(1+AM946)</f>
        <v>1.378056222</v>
      </c>
      <c r="AT946" s="5">
        <f t="shared" si="948"/>
        <v>1.293623262</v>
      </c>
      <c r="AU946" s="5">
        <f t="shared" si="948"/>
        <v>1.286334306</v>
      </c>
    </row>
    <row r="947" ht="15.75" customHeight="1">
      <c r="A947" s="3">
        <v>45203.0</v>
      </c>
      <c r="B947" s="4">
        <v>0.030612</v>
      </c>
      <c r="C947" s="4">
        <v>-0.013759</v>
      </c>
      <c r="D947" s="4">
        <v>0.005932</v>
      </c>
      <c r="E947" s="4">
        <v>0.007215</v>
      </c>
      <c r="F947" s="4">
        <v>0.002915</v>
      </c>
      <c r="G947" s="4">
        <v>0.001159</v>
      </c>
      <c r="H947" s="4">
        <v>0.003299</v>
      </c>
      <c r="I947" s="4">
        <v>-0.006018</v>
      </c>
      <c r="J947" s="4">
        <v>0.028703</v>
      </c>
      <c r="K947" s="4">
        <v>-0.004991</v>
      </c>
      <c r="L947" s="4">
        <v>0.00715</v>
      </c>
      <c r="M947" s="4">
        <v>0.002835</v>
      </c>
      <c r="N947" s="4">
        <v>0.004684</v>
      </c>
      <c r="O947" s="4">
        <v>0.023653</v>
      </c>
      <c r="P947" s="4">
        <v>0.006248</v>
      </c>
      <c r="Q947" s="4">
        <v>-0.002791</v>
      </c>
      <c r="R947" s="4">
        <v>-0.013209</v>
      </c>
      <c r="S947" s="4">
        <v>-0.010703</v>
      </c>
      <c r="T947" s="4">
        <v>0.006155</v>
      </c>
      <c r="U947" s="4">
        <v>0.004057</v>
      </c>
      <c r="V947" s="4">
        <v>-0.0287742649820703</v>
      </c>
      <c r="W947" s="4">
        <v>-0.017973663697653</v>
      </c>
      <c r="X947" s="4">
        <v>0.0</v>
      </c>
      <c r="Y947" s="4">
        <v>0.004240066537096</v>
      </c>
      <c r="Z947" s="4">
        <v>0.0015056653806877</v>
      </c>
      <c r="AA947" s="4">
        <v>0.0181961294799672</v>
      </c>
      <c r="AB947" s="4">
        <v>-0.0120174564947286</v>
      </c>
      <c r="AC947" s="4">
        <v>0.0</v>
      </c>
      <c r="AD947" s="4">
        <v>0.0</v>
      </c>
      <c r="AE947" s="4">
        <v>0.0016920101448811</v>
      </c>
      <c r="AF947" s="4">
        <v>-0.0199611512184421</v>
      </c>
      <c r="AG947" s="4">
        <v>1.497332026569E-4</v>
      </c>
      <c r="AH947" s="4">
        <v>-0.0132312346927582</v>
      </c>
      <c r="AI947" s="4">
        <v>0.002143561413707</v>
      </c>
      <c r="AJ947" s="4">
        <v>0.00811</v>
      </c>
      <c r="AK947" s="6">
        <f>Weights!E1003</f>
        <v>0.00009110869003</v>
      </c>
      <c r="AL947" s="5">
        <v>-0.0131370216108798</v>
      </c>
      <c r="AM947" s="5">
        <v>-0.0145196332024433</v>
      </c>
      <c r="AN947" s="5">
        <v>-0.0178451821150402</v>
      </c>
      <c r="AO947" s="5">
        <v>-0.0181452082732329</v>
      </c>
      <c r="AP947" s="6">
        <f t="shared" si="3"/>
        <v>1.498905573</v>
      </c>
      <c r="AQ947" s="4">
        <f t="shared" si="4"/>
        <v>1.319707515</v>
      </c>
      <c r="AR947" s="7">
        <f t="shared" si="5"/>
        <v>1.271661501</v>
      </c>
      <c r="AS947" s="7">
        <f t="shared" ref="AS947:AU947" si="949">AS946*(1+AM947)</f>
        <v>1.358047351</v>
      </c>
      <c r="AT947" s="5">
        <f t="shared" si="949"/>
        <v>1.270538319</v>
      </c>
      <c r="AU947" s="5">
        <f t="shared" si="949"/>
        <v>1.262993502</v>
      </c>
    </row>
    <row r="948" ht="15.75" customHeight="1">
      <c r="A948" s="3">
        <v>45204.0</v>
      </c>
      <c r="B948" s="4">
        <v>0.021658</v>
      </c>
      <c r="C948" s="4">
        <v>0.008878</v>
      </c>
      <c r="D948" s="4">
        <v>0.016885</v>
      </c>
      <c r="E948" s="4">
        <v>-0.052158</v>
      </c>
      <c r="F948" s="4">
        <v>-0.048328</v>
      </c>
      <c r="G948" s="4">
        <v>0.010417</v>
      </c>
      <c r="H948" s="4">
        <v>-0.014866</v>
      </c>
      <c r="I948" s="4">
        <v>0.011791</v>
      </c>
      <c r="J948" s="4">
        <v>0.023164</v>
      </c>
      <c r="K948" s="4">
        <v>0.014347</v>
      </c>
      <c r="L948" s="4">
        <v>0.009987</v>
      </c>
      <c r="M948" s="4">
        <v>0.015263</v>
      </c>
      <c r="N948" s="4">
        <v>0.012291</v>
      </c>
      <c r="O948" s="4">
        <v>-0.016823</v>
      </c>
      <c r="P948" s="4">
        <v>0.025967</v>
      </c>
      <c r="Q948" s="4">
        <v>0.027052</v>
      </c>
      <c r="R948" s="4">
        <v>-0.013664</v>
      </c>
      <c r="S948" s="4">
        <v>0.009274</v>
      </c>
      <c r="T948" s="4">
        <v>-0.003186</v>
      </c>
      <c r="U948" s="4">
        <v>0.013317</v>
      </c>
      <c r="V948" s="4">
        <v>0.0100038411246197</v>
      </c>
      <c r="W948" s="4">
        <v>-0.0012167580674526</v>
      </c>
      <c r="X948" s="4">
        <v>-0.0082079297854603</v>
      </c>
      <c r="Y948" s="4">
        <v>-0.0091588739866687</v>
      </c>
      <c r="Z948" s="4">
        <v>-0.0040402699849637</v>
      </c>
      <c r="AA948" s="4">
        <v>-0.01456873742802</v>
      </c>
      <c r="AB948" s="4">
        <v>-0.0059523796872652</v>
      </c>
      <c r="AC948" s="4">
        <v>-0.0018314684964667</v>
      </c>
      <c r="AD948" s="4">
        <v>-0.0134969079072378</v>
      </c>
      <c r="AE948" s="4">
        <v>-0.0037161080348543</v>
      </c>
      <c r="AF948" s="4">
        <v>-0.0104667535551342</v>
      </c>
      <c r="AG948" s="4">
        <v>0.0040414621105331</v>
      </c>
      <c r="AH948" s="4">
        <v>0.021406747038388</v>
      </c>
      <c r="AI948" s="4">
        <v>-0.0010695427617384</v>
      </c>
      <c r="AJ948" s="4">
        <v>-0.001304</v>
      </c>
      <c r="AK948" s="4">
        <f>Weights!E1004</f>
        <v>0.002730278995</v>
      </c>
      <c r="AL948" s="5">
        <v>0.00585042518213763</v>
      </c>
      <c r="AM948" s="5">
        <v>0.00722323332860441</v>
      </c>
      <c r="AN948" s="5">
        <v>-0.00891330878784113</v>
      </c>
      <c r="AO948" s="5">
        <v>-0.00847013738205793</v>
      </c>
      <c r="AP948" s="6">
        <f t="shared" si="3"/>
        <v>1.502998003</v>
      </c>
      <c r="AQ948" s="4">
        <f t="shared" si="4"/>
        <v>1.317986616</v>
      </c>
      <c r="AR948" s="7">
        <f t="shared" si="5"/>
        <v>1.279101262</v>
      </c>
      <c r="AS948" s="7">
        <f t="shared" ref="AS948:AU948" si="950">AS947*(1+AM948)</f>
        <v>1.367856844</v>
      </c>
      <c r="AT948" s="5">
        <f t="shared" si="950"/>
        <v>1.259213619</v>
      </c>
      <c r="AU948" s="5">
        <f t="shared" si="950"/>
        <v>1.252295774</v>
      </c>
    </row>
    <row r="949" ht="15.75" customHeight="1">
      <c r="A949" s="3">
        <v>45205.0</v>
      </c>
      <c r="B949" s="4">
        <v>-0.001211</v>
      </c>
      <c r="C949" s="4">
        <v>-0.030484</v>
      </c>
      <c r="D949" s="4">
        <v>0.002636</v>
      </c>
      <c r="E949" s="4">
        <v>0.001187</v>
      </c>
      <c r="F949" s="4">
        <v>0.014509</v>
      </c>
      <c r="G949" s="4">
        <v>0.003182</v>
      </c>
      <c r="H949" s="4">
        <v>0.002017</v>
      </c>
      <c r="I949" s="4">
        <v>0.002205</v>
      </c>
      <c r="J949" s="4">
        <v>0.006689</v>
      </c>
      <c r="K949" s="4">
        <v>0.007939</v>
      </c>
      <c r="L949" s="4">
        <v>0.001668</v>
      </c>
      <c r="M949" s="4">
        <v>0.014477</v>
      </c>
      <c r="N949" s="4">
        <v>0.013607</v>
      </c>
      <c r="O949" s="4">
        <v>0.007353</v>
      </c>
      <c r="P949" s="4">
        <v>0.03989</v>
      </c>
      <c r="Q949" s="4">
        <v>0.017257</v>
      </c>
      <c r="R949" s="4">
        <v>0.036754</v>
      </c>
      <c r="S949" s="4">
        <v>0.013783</v>
      </c>
      <c r="T949" s="4">
        <v>0.005114</v>
      </c>
      <c r="U949" s="4">
        <v>0.003839</v>
      </c>
      <c r="V949" s="4">
        <v>0.0129523368186363</v>
      </c>
      <c r="W949" s="4">
        <v>0.0162436594787902</v>
      </c>
      <c r="X949" s="4">
        <v>0.0027585830790239</v>
      </c>
      <c r="Y949" s="4">
        <v>-0.0036711504564413</v>
      </c>
      <c r="Z949" s="4">
        <v>2.83090451618E-4</v>
      </c>
      <c r="AA949" s="4">
        <v>0.001774158050839</v>
      </c>
      <c r="AB949" s="4">
        <v>-0.0164019565520912</v>
      </c>
      <c r="AC949" s="4">
        <v>-0.0091742916902284</v>
      </c>
      <c r="AD949" s="4">
        <v>0.0062189034084685</v>
      </c>
      <c r="AE949" s="4">
        <v>-0.0047474270614665</v>
      </c>
      <c r="AF949" s="4">
        <v>0.0040023030277049</v>
      </c>
      <c r="AG949" s="4">
        <v>-4.473850275547E-4</v>
      </c>
      <c r="AH949" s="4">
        <v>-0.0032243065270023</v>
      </c>
      <c r="AI949" s="4">
        <v>-0.0016058133546247</v>
      </c>
      <c r="AJ949" s="4">
        <v>0.011815</v>
      </c>
      <c r="AK949" s="4">
        <f>Weights!E1005</f>
        <v>0.004180431898</v>
      </c>
      <c r="AL949" s="5">
        <v>0.00210735866240052</v>
      </c>
      <c r="AM949" s="5">
        <v>-5.22401150496398E-4</v>
      </c>
      <c r="AN949" s="5">
        <v>0.00138374375158711</v>
      </c>
      <c r="AO949" s="5">
        <v>7.76712251738143E-4</v>
      </c>
      <c r="AP949" s="6">
        <f t="shared" si="3"/>
        <v>1.509281184</v>
      </c>
      <c r="AQ949" s="4">
        <f t="shared" si="4"/>
        <v>1.333558628</v>
      </c>
      <c r="AR949" s="7">
        <f t="shared" si="5"/>
        <v>1.281796787</v>
      </c>
      <c r="AS949" s="7">
        <f t="shared" ref="AS949:AU949" si="951">AS948*(1+AM949)</f>
        <v>1.367142274</v>
      </c>
      <c r="AT949" s="5">
        <f t="shared" si="951"/>
        <v>1.260956048</v>
      </c>
      <c r="AU949" s="5">
        <f t="shared" si="951"/>
        <v>1.253268447</v>
      </c>
    </row>
    <row r="950" ht="15.75" customHeight="1">
      <c r="A950" s="3">
        <v>45208.0</v>
      </c>
      <c r="B950" s="4">
        <v>-0.001213</v>
      </c>
      <c r="C950" s="4">
        <v>0.019449</v>
      </c>
      <c r="D950" s="4">
        <v>0.012355</v>
      </c>
      <c r="E950" s="4">
        <v>0.006675</v>
      </c>
      <c r="F950" s="4">
        <v>-0.004893</v>
      </c>
      <c r="G950" s="4">
        <v>0.005709</v>
      </c>
      <c r="H950" s="4">
        <v>-0.005066</v>
      </c>
      <c r="I950" s="4">
        <v>0.017285</v>
      </c>
      <c r="J950" s="4">
        <v>0.012267</v>
      </c>
      <c r="K950" s="4">
        <v>-3.42E-4</v>
      </c>
      <c r="L950" s="4">
        <v>-2.38E-4</v>
      </c>
      <c r="M950" s="4">
        <v>0.002195</v>
      </c>
      <c r="N950" s="4">
        <v>0.005163</v>
      </c>
      <c r="O950" s="4">
        <v>-3.41E-4</v>
      </c>
      <c r="P950" s="4">
        <v>-0.004497</v>
      </c>
      <c r="Q950" s="4">
        <v>0.04375</v>
      </c>
      <c r="R950" s="4">
        <v>0.004363</v>
      </c>
      <c r="S950" s="4">
        <v>0.026435</v>
      </c>
      <c r="T950" s="4">
        <v>-0.009985</v>
      </c>
      <c r="U950" s="4">
        <v>0.011915</v>
      </c>
      <c r="V950" s="4">
        <v>0.0210606565575466</v>
      </c>
      <c r="W950" s="4">
        <v>0.025224810929495</v>
      </c>
      <c r="X950" s="4">
        <v>-0.0027509942328827</v>
      </c>
      <c r="Y950" s="4">
        <v>0.0061850278004824</v>
      </c>
      <c r="Z950" s="4">
        <v>0.0106573896674175</v>
      </c>
      <c r="AA950" s="4">
        <v>0.0062967334713965</v>
      </c>
      <c r="AB950" s="4">
        <v>2.64765859377E-4</v>
      </c>
      <c r="AC950" s="4">
        <v>0.0</v>
      </c>
      <c r="AD950" s="4">
        <v>-0.0111248624352172</v>
      </c>
      <c r="AE950" s="4">
        <v>0.0091993301765322</v>
      </c>
      <c r="AF950" s="4">
        <v>0.0113894776060297</v>
      </c>
      <c r="AG950" s="4">
        <v>-0.0096943107026398</v>
      </c>
      <c r="AH950" s="4">
        <v>-0.0300369945421536</v>
      </c>
      <c r="AI950" s="4">
        <v>0.0085788422699373</v>
      </c>
      <c r="AJ950" s="4">
        <v>0.006304</v>
      </c>
      <c r="AK950" s="4">
        <f>Weights!E1006</f>
        <v>0.004561594044</v>
      </c>
      <c r="AL950" s="5">
        <v>0.0115242608672521</v>
      </c>
      <c r="AM950" s="5">
        <v>0.0119269393597218</v>
      </c>
      <c r="AN950" s="5">
        <v>0.00587211151179167</v>
      </c>
      <c r="AO950" s="5">
        <v>0.00620784454057843</v>
      </c>
      <c r="AP950" s="6">
        <f t="shared" si="3"/>
        <v>1.516165912</v>
      </c>
      <c r="AQ950" s="4">
        <f t="shared" si="4"/>
        <v>1.341965382</v>
      </c>
      <c r="AR950" s="7">
        <f t="shared" si="5"/>
        <v>1.296568547</v>
      </c>
      <c r="AS950" s="7">
        <f t="shared" ref="AS950:AU950" si="952">AS949*(1+AM950)</f>
        <v>1.383448097</v>
      </c>
      <c r="AT950" s="5">
        <f t="shared" si="952"/>
        <v>1.268360522</v>
      </c>
      <c r="AU950" s="5">
        <f t="shared" si="952"/>
        <v>1.261048543</v>
      </c>
    </row>
    <row r="951" ht="15.75" customHeight="1">
      <c r="A951" s="3">
        <v>45209.0</v>
      </c>
      <c r="B951" s="4">
        <v>0.013358</v>
      </c>
      <c r="C951" s="4">
        <v>0.009857</v>
      </c>
      <c r="D951" s="4">
        <v>0.018696</v>
      </c>
      <c r="E951" s="4">
        <v>0.01884</v>
      </c>
      <c r="F951" s="4">
        <v>0.021747</v>
      </c>
      <c r="G951" s="4">
        <v>-0.001135</v>
      </c>
      <c r="H951" s="4">
        <v>0.009905</v>
      </c>
      <c r="I951" s="4">
        <v>0.001545</v>
      </c>
      <c r="J951" s="4">
        <v>0.006816</v>
      </c>
      <c r="K951" s="4">
        <v>0.01593</v>
      </c>
      <c r="L951" s="4">
        <v>0.012253</v>
      </c>
      <c r="M951" s="4">
        <v>0.013143</v>
      </c>
      <c r="N951" s="4">
        <v>0.001849</v>
      </c>
      <c r="O951" s="4">
        <v>0.026409</v>
      </c>
      <c r="P951" s="4">
        <v>0.021525</v>
      </c>
      <c r="Q951" s="4">
        <v>0.049615</v>
      </c>
      <c r="R951" s="4">
        <v>0.01249</v>
      </c>
      <c r="S951" s="4">
        <v>-0.001226</v>
      </c>
      <c r="T951" s="4">
        <v>0.001542</v>
      </c>
      <c r="U951" s="4">
        <v>0.002762</v>
      </c>
      <c r="V951" s="4">
        <v>-0.0206262541037978</v>
      </c>
      <c r="W951" s="4">
        <v>-0.0065773779318538</v>
      </c>
      <c r="X951" s="4">
        <v>-0.0027585830790241</v>
      </c>
      <c r="Y951" s="4">
        <v>-0.0079780740167613</v>
      </c>
      <c r="Z951" s="4">
        <v>-0.0101717353624901</v>
      </c>
      <c r="AA951" s="4">
        <v>-0.0046931027122399</v>
      </c>
      <c r="AB951" s="4">
        <v>0.0097909185877937</v>
      </c>
      <c r="AC951" s="4">
        <v>-0.001851818046763</v>
      </c>
      <c r="AD951" s="4">
        <v>-0.0024999575209453</v>
      </c>
      <c r="AE951" s="4">
        <v>-0.012153921015364</v>
      </c>
      <c r="AF951" s="4">
        <v>-0.0095720320437289</v>
      </c>
      <c r="AG951" s="4">
        <v>0.001355411255226</v>
      </c>
      <c r="AH951" s="4">
        <v>0.0088137636241623</v>
      </c>
      <c r="AI951" s="4">
        <v>-0.001062962720247</v>
      </c>
      <c r="AJ951" s="4">
        <v>0.005208</v>
      </c>
      <c r="AK951" s="4">
        <f>Weights!E1007</f>
        <v>0.004191923009</v>
      </c>
      <c r="AL951" s="5">
        <v>0.00449064460943771</v>
      </c>
      <c r="AM951" s="5">
        <v>0.00629220321077195</v>
      </c>
      <c r="AN951" s="5">
        <v>0.00446427223475898</v>
      </c>
      <c r="AO951" s="5">
        <v>0.00565550160109595</v>
      </c>
      <c r="AP951" s="6">
        <f t="shared" si="3"/>
        <v>1.522521563</v>
      </c>
      <c r="AQ951" s="4">
        <f t="shared" si="4"/>
        <v>1.348954338</v>
      </c>
      <c r="AR951" s="7">
        <f t="shared" si="5"/>
        <v>1.302390976</v>
      </c>
      <c r="AS951" s="7">
        <f t="shared" ref="AS951:AU951" si="953">AS950*(1+AM951)</f>
        <v>1.392153033</v>
      </c>
      <c r="AT951" s="5">
        <f t="shared" si="953"/>
        <v>1.274022829</v>
      </c>
      <c r="AU951" s="5">
        <f t="shared" si="953"/>
        <v>1.268180405</v>
      </c>
    </row>
    <row r="952" ht="15.75" customHeight="1">
      <c r="A952" s="3">
        <v>45210.0</v>
      </c>
      <c r="B952" s="4">
        <v>0.010785</v>
      </c>
      <c r="C952" s="4">
        <v>-0.009446</v>
      </c>
      <c r="D952" s="4">
        <v>0.016569</v>
      </c>
      <c r="E952" s="4">
        <v>-0.010827</v>
      </c>
      <c r="F952" s="4">
        <v>-0.005923</v>
      </c>
      <c r="G952" s="4">
        <v>-0.013766</v>
      </c>
      <c r="H952" s="4">
        <v>-0.012295</v>
      </c>
      <c r="I952" s="4">
        <v>0.01203</v>
      </c>
      <c r="J952" s="4">
        <v>0.022066</v>
      </c>
      <c r="K952" s="4">
        <v>0.009611</v>
      </c>
      <c r="L952" s="4">
        <v>0.005876</v>
      </c>
      <c r="M952" s="4">
        <v>0.015676</v>
      </c>
      <c r="N952" s="4">
        <v>0.019688</v>
      </c>
      <c r="O952" s="4">
        <v>-0.041088</v>
      </c>
      <c r="P952" s="4">
        <v>0.01743</v>
      </c>
      <c r="Q952" s="4">
        <v>0.06846</v>
      </c>
      <c r="R952" s="4">
        <v>-0.003754</v>
      </c>
      <c r="S952" s="4">
        <v>0.019401</v>
      </c>
      <c r="T952" s="4">
        <v>-0.006671</v>
      </c>
      <c r="U952" s="4">
        <v>5.07E-4</v>
      </c>
      <c r="V952" s="4">
        <v>0.0447536540438011</v>
      </c>
      <c r="W952" s="4">
        <v>-0.0039234630672704</v>
      </c>
      <c r="X952" s="4">
        <v>0.0</v>
      </c>
      <c r="Y952" s="4">
        <v>0.0084378443309787</v>
      </c>
      <c r="Z952" s="4">
        <v>0.007542157871262</v>
      </c>
      <c r="AA952" s="4">
        <v>-0.0031432943496167</v>
      </c>
      <c r="AB952" s="4">
        <v>0.001572345316817</v>
      </c>
      <c r="AC952" s="4">
        <v>0.0</v>
      </c>
      <c r="AD952" s="4">
        <v>0.0</v>
      </c>
      <c r="AE952" s="4">
        <v>0.0085441004095443</v>
      </c>
      <c r="AF952" s="4">
        <v>0.0042637437394354</v>
      </c>
      <c r="AG952" s="4">
        <v>0.0124831131077449</v>
      </c>
      <c r="AH952" s="4">
        <v>9.444415482671E-4</v>
      </c>
      <c r="AI952" s="4">
        <v>-0.0010146743283159</v>
      </c>
      <c r="AJ952" s="4">
        <v>0.004293</v>
      </c>
      <c r="AK952" s="4">
        <f>Weights!E1008</f>
        <v>0.007484784205</v>
      </c>
      <c r="AL952" s="5">
        <v>0.00819602138762554</v>
      </c>
      <c r="AM952" s="5">
        <v>0.00620631576497721</v>
      </c>
      <c r="AN952" s="5">
        <v>0.0143590205349726</v>
      </c>
      <c r="AO952" s="5">
        <v>0.0132925131282759</v>
      </c>
      <c r="AP952" s="6">
        <f t="shared" si="3"/>
        <v>1.533917308</v>
      </c>
      <c r="AQ952" s="4">
        <f t="shared" si="4"/>
        <v>1.354745399</v>
      </c>
      <c r="AR952" s="7">
        <f t="shared" si="5"/>
        <v>1.3130654</v>
      </c>
      <c r="AS952" s="7">
        <f t="shared" ref="AS952:AU952" si="954">AS951*(1+AM952)</f>
        <v>1.400793175</v>
      </c>
      <c r="AT952" s="5">
        <f t="shared" si="954"/>
        <v>1.292316549</v>
      </c>
      <c r="AU952" s="5">
        <f t="shared" si="954"/>
        <v>1.28503771</v>
      </c>
    </row>
    <row r="953" ht="15.75" customHeight="1">
      <c r="A953" s="3">
        <v>45211.0</v>
      </c>
      <c r="B953" s="4">
        <v>-0.01067</v>
      </c>
      <c r="C953" s="4">
        <v>-0.017482</v>
      </c>
      <c r="D953" s="4">
        <v>-0.027583</v>
      </c>
      <c r="E953" s="4">
        <v>-0.027918</v>
      </c>
      <c r="F953" s="4">
        <v>-0.016757</v>
      </c>
      <c r="G953" s="4">
        <v>9.6E-4</v>
      </c>
      <c r="H953" s="4">
        <v>0.002238</v>
      </c>
      <c r="I953" s="4">
        <v>-0.007924</v>
      </c>
      <c r="J953" s="4">
        <v>-0.016438</v>
      </c>
      <c r="K953" s="4">
        <v>-0.013193</v>
      </c>
      <c r="L953" s="4">
        <v>-0.013903</v>
      </c>
      <c r="M953" s="4">
        <v>-0.017563</v>
      </c>
      <c r="N953" s="4">
        <v>-0.015286</v>
      </c>
      <c r="O953" s="4">
        <v>-0.054982</v>
      </c>
      <c r="P953" s="4">
        <v>-0.008438</v>
      </c>
      <c r="Q953" s="4">
        <v>0.005339</v>
      </c>
      <c r="R953" s="4">
        <v>-0.029071</v>
      </c>
      <c r="S953" s="4">
        <v>-0.019513</v>
      </c>
      <c r="T953" s="4">
        <v>-0.047204</v>
      </c>
      <c r="U953" s="4">
        <v>-0.00681</v>
      </c>
      <c r="V953" s="4">
        <v>-0.00179980084279107</v>
      </c>
      <c r="W953" s="4">
        <v>0.0</v>
      </c>
      <c r="X953" s="4">
        <v>-0.0027585830790241</v>
      </c>
      <c r="Y953" s="4">
        <v>-0.00202639310515</v>
      </c>
      <c r="Z953" s="4">
        <v>0.0025264957403081</v>
      </c>
      <c r="AA953" s="4">
        <v>7.88322248765E-4</v>
      </c>
      <c r="AB953" s="4">
        <v>0.0104655955003449</v>
      </c>
      <c r="AC953" s="4">
        <v>0.0055045603090364</v>
      </c>
      <c r="AD953" s="4">
        <v>0.0012422149196527</v>
      </c>
      <c r="AE953" s="4">
        <v>-0.004066474851522</v>
      </c>
      <c r="AF953" s="4">
        <v>0.0</v>
      </c>
      <c r="AG953" s="4">
        <v>-0.0011883717570319</v>
      </c>
      <c r="AH953" s="4">
        <v>-0.006369415287834</v>
      </c>
      <c r="AI953" s="4">
        <v>5.345987133751E-4</v>
      </c>
      <c r="AJ953" s="4">
        <v>-0.006246</v>
      </c>
      <c r="AK953" s="4">
        <f>Weights!E1009</f>
        <v>-0.008045710238</v>
      </c>
      <c r="AL953" s="5">
        <v>0.00443422586341091</v>
      </c>
      <c r="AM953" s="5">
        <v>0.00394181531078574</v>
      </c>
      <c r="AN953" s="5">
        <v>0.00876296623871408</v>
      </c>
      <c r="AO953" s="5">
        <v>0.00857700953623341</v>
      </c>
      <c r="AP953" s="6">
        <f t="shared" si="3"/>
        <v>1.521575854</v>
      </c>
      <c r="AQ953" s="4">
        <f t="shared" si="4"/>
        <v>1.346283659</v>
      </c>
      <c r="AR953" s="7">
        <f t="shared" si="5"/>
        <v>1.318887829</v>
      </c>
      <c r="AS953" s="7">
        <f t="shared" ref="AS953:AU953" si="955">AS952*(1+AM953)</f>
        <v>1.406314843</v>
      </c>
      <c r="AT953" s="5">
        <f t="shared" si="955"/>
        <v>1.303641075</v>
      </c>
      <c r="AU953" s="5">
        <f t="shared" si="955"/>
        <v>1.29605949</v>
      </c>
    </row>
    <row r="954" ht="15.75" customHeight="1">
      <c r="A954" s="3">
        <v>45212.0</v>
      </c>
      <c r="B954" s="4">
        <v>0.001198</v>
      </c>
      <c r="C954" s="4">
        <v>-0.007764</v>
      </c>
      <c r="D954" s="4">
        <v>-0.00361</v>
      </c>
      <c r="E954" s="4">
        <v>0.012146</v>
      </c>
      <c r="F954" s="4">
        <v>0.001515</v>
      </c>
      <c r="G954" s="4">
        <v>0.003326</v>
      </c>
      <c r="H954" s="4">
        <v>0.009559</v>
      </c>
      <c r="I954" s="4">
        <v>0.00553</v>
      </c>
      <c r="J954" s="4">
        <v>-0.005987</v>
      </c>
      <c r="K954" s="4">
        <v>-0.004569</v>
      </c>
      <c r="L954" s="4">
        <v>-0.006398</v>
      </c>
      <c r="M954" s="4">
        <v>-0.0065</v>
      </c>
      <c r="N954" s="4">
        <v>-0.002655</v>
      </c>
      <c r="O954" s="4">
        <v>0.02898</v>
      </c>
      <c r="P954" s="4">
        <v>0.016761</v>
      </c>
      <c r="Q954" s="4">
        <v>0.062974</v>
      </c>
      <c r="R954" s="4">
        <v>-0.017189</v>
      </c>
      <c r="S954" s="4">
        <v>0.043489</v>
      </c>
      <c r="T954" s="4">
        <v>-0.003321</v>
      </c>
      <c r="U954" s="4">
        <v>0.009629</v>
      </c>
      <c r="V954" s="4">
        <v>0.00288492639830528</v>
      </c>
      <c r="W954" s="4">
        <v>0.0305267590925664</v>
      </c>
      <c r="X954" s="4">
        <v>0.0013831069549543</v>
      </c>
      <c r="Y954" s="4">
        <v>0.0034714763814625</v>
      </c>
      <c r="Z954" s="4">
        <v>0.0030801412423444</v>
      </c>
      <c r="AA954" s="4">
        <v>0.0015753194467038</v>
      </c>
      <c r="AB954" s="4">
        <v>0.0124287265260181</v>
      </c>
      <c r="AC954" s="4">
        <v>-0.0109488520019137</v>
      </c>
      <c r="AD954" s="4">
        <v>-0.0062035756152928</v>
      </c>
      <c r="AE954" s="4">
        <v>0.0010207195166904</v>
      </c>
      <c r="AF954" s="4">
        <v>0.0339654769119832</v>
      </c>
      <c r="AG954" s="4">
        <v>-0.001635864732937</v>
      </c>
      <c r="AH954" s="4">
        <v>-0.0213674449271181</v>
      </c>
      <c r="AI954" s="4">
        <v>0.0064102355128567</v>
      </c>
      <c r="AJ954" s="4">
        <v>-0.005019</v>
      </c>
      <c r="AK954" s="4">
        <f>Weights!E1010</f>
        <v>0.003565911831</v>
      </c>
      <c r="AL954" s="5">
        <v>-0.0076847852868821</v>
      </c>
      <c r="AM954" s="5">
        <v>-0.00803769469171489</v>
      </c>
      <c r="AN954" s="5">
        <v>-0.00668226451485531</v>
      </c>
      <c r="AO954" s="5">
        <v>-0.00800381303906228</v>
      </c>
      <c r="AP954" s="6">
        <f t="shared" si="3"/>
        <v>1.52700166</v>
      </c>
      <c r="AQ954" s="4">
        <f t="shared" si="4"/>
        <v>1.339526661</v>
      </c>
      <c r="AR954" s="7">
        <f t="shared" si="5"/>
        <v>1.308752459</v>
      </c>
      <c r="AS954" s="7">
        <f t="shared" ref="AS954:AU954" si="956">AS953*(1+AM954)</f>
        <v>1.395011313</v>
      </c>
      <c r="AT954" s="5">
        <f t="shared" si="956"/>
        <v>1.294929801</v>
      </c>
      <c r="AU954" s="5">
        <f t="shared" si="956"/>
        <v>1.285686072</v>
      </c>
    </row>
    <row r="955" ht="15.75" customHeight="1">
      <c r="A955" s="3">
        <v>45215.0</v>
      </c>
      <c r="B955" s="4">
        <v>0.011969</v>
      </c>
      <c r="C955" s="4">
        <v>0.018911</v>
      </c>
      <c r="D955" s="4">
        <v>0.019928</v>
      </c>
      <c r="E955" s="4">
        <v>0.00675</v>
      </c>
      <c r="F955" s="4">
        <v>0.01021</v>
      </c>
      <c r="G955" s="4">
        <v>0.004335</v>
      </c>
      <c r="H955" s="4">
        <v>0.009538</v>
      </c>
      <c r="I955" s="4">
        <v>0.012832</v>
      </c>
      <c r="J955" s="4">
        <v>0.01606</v>
      </c>
      <c r="K955" s="4">
        <v>0.014791</v>
      </c>
      <c r="L955" s="4">
        <v>0.018006</v>
      </c>
      <c r="M955" s="4">
        <v>0.01036</v>
      </c>
      <c r="N955" s="4">
        <v>0.007782</v>
      </c>
      <c r="O955" s="4">
        <v>0.007059</v>
      </c>
      <c r="P955" s="4">
        <v>0.015724</v>
      </c>
      <c r="Q955" s="4">
        <v>0.006424</v>
      </c>
      <c r="R955" s="4">
        <v>0.011283</v>
      </c>
      <c r="S955" s="4">
        <v>0.004709</v>
      </c>
      <c r="T955" s="4">
        <v>0.013192</v>
      </c>
      <c r="U955" s="4">
        <v>0.001951</v>
      </c>
      <c r="V955" s="4">
        <v>-0.0294858055720901</v>
      </c>
      <c r="W955" s="4">
        <v>-0.0031054871540454</v>
      </c>
      <c r="X955" s="4">
        <v>0.0013811966123138</v>
      </c>
      <c r="Y955" s="4">
        <v>0.0073107724823231</v>
      </c>
      <c r="Z955" s="4">
        <v>0.0092117623476943</v>
      </c>
      <c r="AA955" s="4">
        <v>0.0074716413758211</v>
      </c>
      <c r="AB955" s="4">
        <v>2.592931494413E-4</v>
      </c>
      <c r="AC955" s="4">
        <v>-0.0018450586901813</v>
      </c>
      <c r="AD955" s="4">
        <v>0.0074906144777595</v>
      </c>
      <c r="AE955" s="4">
        <v>0.0078178261285875</v>
      </c>
      <c r="AF955" s="4">
        <v>-8.212079150163E-4</v>
      </c>
      <c r="AG955" s="4">
        <v>-0.0044689464638908</v>
      </c>
      <c r="AH955" s="4">
        <v>-9.704480128951E-4</v>
      </c>
      <c r="AI955" s="4">
        <v>5.306938646822E-4</v>
      </c>
      <c r="AJ955" s="4">
        <v>0.010594</v>
      </c>
      <c r="AK955" s="4">
        <f>Weights!E1011</f>
        <v>0.005656345283</v>
      </c>
      <c r="AL955" s="5">
        <v>-0.00576695830275131</v>
      </c>
      <c r="AM955" s="5">
        <v>-0.00563462894213195</v>
      </c>
      <c r="AN955" s="5">
        <v>-0.00269088702482156</v>
      </c>
      <c r="AO955" s="5">
        <v>-0.00176492597049071</v>
      </c>
      <c r="AP955" s="6">
        <f t="shared" si="3"/>
        <v>1.535638908</v>
      </c>
      <c r="AQ955" s="4">
        <f t="shared" si="4"/>
        <v>1.353717607</v>
      </c>
      <c r="AR955" s="7">
        <f t="shared" si="5"/>
        <v>1.301204938</v>
      </c>
      <c r="AS955" s="7">
        <f t="shared" ref="AS955:AU955" si="957">AS954*(1+AM955)</f>
        <v>1.387150942</v>
      </c>
      <c r="AT955" s="5">
        <f t="shared" si="957"/>
        <v>1.291445291</v>
      </c>
      <c r="AU955" s="5">
        <f t="shared" si="957"/>
        <v>1.283416932</v>
      </c>
    </row>
    <row r="956" ht="15.75" customHeight="1">
      <c r="A956" s="3">
        <v>45216.0</v>
      </c>
      <c r="B956" s="4">
        <v>-0.00887</v>
      </c>
      <c r="C956" s="4">
        <v>0.00832</v>
      </c>
      <c r="D956" s="4">
        <v>-0.013702</v>
      </c>
      <c r="E956" s="4">
        <v>-0.004408</v>
      </c>
      <c r="F956" s="4">
        <v>0.011978</v>
      </c>
      <c r="G956" s="4">
        <v>-0.009141</v>
      </c>
      <c r="H956" s="4">
        <v>0.001301</v>
      </c>
      <c r="I956" s="4">
        <v>-0.016893</v>
      </c>
      <c r="J956" s="4">
        <v>-0.010867</v>
      </c>
      <c r="K956" s="4">
        <v>0.004188</v>
      </c>
      <c r="L956" s="4">
        <v>-0.008082</v>
      </c>
      <c r="M956" s="4">
        <v>0.001619</v>
      </c>
      <c r="N956" s="4">
        <v>-0.002439</v>
      </c>
      <c r="O956" s="4">
        <v>0.004248</v>
      </c>
      <c r="P956" s="4">
        <v>0.010487</v>
      </c>
      <c r="Q956" s="4">
        <v>0.017021</v>
      </c>
      <c r="R956" s="4">
        <v>0.017573</v>
      </c>
      <c r="S956" s="4">
        <v>0.011718</v>
      </c>
      <c r="T956" s="4">
        <v>0.003758</v>
      </c>
      <c r="U956" s="4">
        <v>0.003533</v>
      </c>
      <c r="V956" s="4">
        <v>0.01889595959276</v>
      </c>
      <c r="W956" s="4">
        <v>0.0067097221214369</v>
      </c>
      <c r="X956" s="4">
        <v>-0.0041379828237247</v>
      </c>
      <c r="Y956" s="4">
        <v>-0.0137376416429432</v>
      </c>
      <c r="Z956" s="4">
        <v>-0.0110640121927986</v>
      </c>
      <c r="AA956" s="4">
        <v>-0.0115145362638199</v>
      </c>
      <c r="AB956" s="4">
        <v>0.0062194275611029</v>
      </c>
      <c r="AC956" s="4">
        <v>0.0</v>
      </c>
      <c r="AD956" s="4">
        <v>-0.013630708181339</v>
      </c>
      <c r="AE956" s="4">
        <v>0.008431716499591</v>
      </c>
      <c r="AF956" s="4">
        <v>0.005205414176703</v>
      </c>
      <c r="AG956" s="4">
        <v>-0.0248392077737387</v>
      </c>
      <c r="AH956" s="4">
        <v>-0.0060709313215545</v>
      </c>
      <c r="AI956" s="4">
        <v>0.0015914529683938</v>
      </c>
      <c r="AJ956" s="4">
        <v>-9.8E-5</v>
      </c>
      <c r="AK956" s="4">
        <f>Weights!E1012</f>
        <v>-0.001652897022</v>
      </c>
      <c r="AL956" s="5">
        <v>0.00969501834856267</v>
      </c>
      <c r="AM956" s="5">
        <v>0.0116142577512745</v>
      </c>
      <c r="AN956" s="5">
        <v>0.00876901286111997</v>
      </c>
      <c r="AO956" s="5">
        <v>0.00833524866664103</v>
      </c>
      <c r="AP956" s="6">
        <f t="shared" si="3"/>
        <v>1.533100655</v>
      </c>
      <c r="AQ956" s="4">
        <f t="shared" si="4"/>
        <v>1.353584942</v>
      </c>
      <c r="AR956" s="7">
        <f t="shared" si="5"/>
        <v>1.313820144</v>
      </c>
      <c r="AS956" s="7">
        <f t="shared" ref="AS956:AU956" si="958">AS955*(1+AM956)</f>
        <v>1.403261671</v>
      </c>
      <c r="AT956" s="5">
        <f t="shared" si="958"/>
        <v>1.302769991</v>
      </c>
      <c r="AU956" s="5">
        <f t="shared" si="958"/>
        <v>1.294114531</v>
      </c>
    </row>
    <row r="957" ht="15.75" customHeight="1">
      <c r="A957" s="3">
        <v>45217.0</v>
      </c>
      <c r="B957" s="4">
        <v>-0.020883</v>
      </c>
      <c r="C957" s="4">
        <v>-0.014599</v>
      </c>
      <c r="D957" s="4">
        <v>-0.024955</v>
      </c>
      <c r="E957" s="4">
        <v>0.010351</v>
      </c>
      <c r="F957" s="4">
        <v>-3.7E-4</v>
      </c>
      <c r="G957" s="4">
        <v>-0.021526</v>
      </c>
      <c r="H957" s="4">
        <v>0.025776</v>
      </c>
      <c r="I957" s="4">
        <v>-0.012581</v>
      </c>
      <c r="J957" s="4">
        <v>-0.011486</v>
      </c>
      <c r="K957" s="4">
        <v>-0.022022</v>
      </c>
      <c r="L957" s="4">
        <v>-0.02102</v>
      </c>
      <c r="M957" s="4">
        <v>-0.023168</v>
      </c>
      <c r="N957" s="4">
        <v>-0.019556</v>
      </c>
      <c r="O957" s="4">
        <v>0.00416</v>
      </c>
      <c r="P957" s="4">
        <v>-0.01359</v>
      </c>
      <c r="Q957" s="4">
        <v>-0.008368</v>
      </c>
      <c r="R957" s="4">
        <v>-0.023849</v>
      </c>
      <c r="S957" s="4">
        <v>-0.004401</v>
      </c>
      <c r="T957" s="4">
        <v>-0.029754</v>
      </c>
      <c r="U957" s="4">
        <v>-0.010563</v>
      </c>
      <c r="V957" s="4">
        <v>-0.00218176889291243</v>
      </c>
      <c r="W957" s="4">
        <v>0.0169007230029525</v>
      </c>
      <c r="X957" s="4">
        <v>0.0</v>
      </c>
      <c r="Y957" s="4">
        <v>0.0112352069082113</v>
      </c>
      <c r="Z957" s="4">
        <v>0.0192056616602493</v>
      </c>
      <c r="AA957" s="4">
        <v>0.0122407908631472</v>
      </c>
      <c r="AB957" s="4">
        <v>0.016481966813189</v>
      </c>
      <c r="AC957" s="4">
        <v>0.0</v>
      </c>
      <c r="AD957" s="4">
        <v>0.0</v>
      </c>
      <c r="AE957" s="4">
        <v>-0.0170568486943806</v>
      </c>
      <c r="AF957" s="4">
        <v>0.0038157690676965</v>
      </c>
      <c r="AG957" s="4">
        <v>0.0076723558059599</v>
      </c>
      <c r="AH957" s="4">
        <v>0.0195455472693819</v>
      </c>
      <c r="AI957" s="4">
        <v>0.0015891397613347</v>
      </c>
      <c r="AJ957" s="4">
        <v>-0.0134</v>
      </c>
      <c r="AK957" s="4">
        <f>Weights!E1013</f>
        <v>-0.003875423222</v>
      </c>
      <c r="AL957" s="7">
        <v>-8.20206557486935E-5</v>
      </c>
      <c r="AM957" s="5">
        <v>0.00129628359022726</v>
      </c>
      <c r="AN957" s="5">
        <v>0.00367765279085308</v>
      </c>
      <c r="AO957" s="5">
        <v>0.00300605314148438</v>
      </c>
      <c r="AP957" s="6">
        <f t="shared" si="3"/>
        <v>1.527159241</v>
      </c>
      <c r="AQ957" s="4">
        <f t="shared" si="4"/>
        <v>1.335446904</v>
      </c>
      <c r="AR957" s="7">
        <f t="shared" si="5"/>
        <v>1.313712383</v>
      </c>
      <c r="AS957" s="7">
        <f t="shared" ref="AS957:AU957" si="959">AS956*(1+AM957)</f>
        <v>1.405080696</v>
      </c>
      <c r="AT957" s="5">
        <f t="shared" si="959"/>
        <v>1.307561127</v>
      </c>
      <c r="AU957" s="5">
        <f t="shared" si="959"/>
        <v>1.298004708</v>
      </c>
    </row>
    <row r="958" ht="15.75" customHeight="1">
      <c r="A958" s="3">
        <v>45218.0</v>
      </c>
      <c r="B958" s="4">
        <v>-0.003047</v>
      </c>
      <c r="C958" s="4">
        <v>0.017069</v>
      </c>
      <c r="D958" s="4">
        <v>0.0</v>
      </c>
      <c r="E958" s="4">
        <v>-0.009072</v>
      </c>
      <c r="F958" s="4">
        <v>0.00555</v>
      </c>
      <c r="G958" s="4">
        <v>-0.002684</v>
      </c>
      <c r="H958" s="4">
        <v>-0.005594</v>
      </c>
      <c r="I958" s="4">
        <v>-0.002797</v>
      </c>
      <c r="J958" s="4">
        <v>-0.00581</v>
      </c>
      <c r="K958" s="4">
        <v>-0.006482</v>
      </c>
      <c r="L958" s="4">
        <v>-0.005669</v>
      </c>
      <c r="M958" s="4">
        <v>-0.01765</v>
      </c>
      <c r="N958" s="4">
        <v>-0.028672</v>
      </c>
      <c r="O958" s="4">
        <v>-9.83E-4</v>
      </c>
      <c r="P958" s="4">
        <v>-0.011773</v>
      </c>
      <c r="Q958" s="4">
        <v>-0.010549</v>
      </c>
      <c r="R958" s="4">
        <v>-0.010671</v>
      </c>
      <c r="S958" s="4">
        <v>0.0</v>
      </c>
      <c r="T958" s="4">
        <v>-0.009372</v>
      </c>
      <c r="U958" s="4">
        <v>-0.012128</v>
      </c>
      <c r="V958" s="4">
        <v>-0.0109331421709951</v>
      </c>
      <c r="W958" s="4">
        <v>-4.681756595074E-4</v>
      </c>
      <c r="X958" s="4">
        <v>-0.0041550682194596</v>
      </c>
      <c r="Y958" s="4">
        <v>0.0</v>
      </c>
      <c r="Z958" s="4">
        <v>0.0</v>
      </c>
      <c r="AA958" s="4">
        <v>0.0</v>
      </c>
      <c r="AB958" s="4">
        <v>0.0</v>
      </c>
      <c r="AC958" s="4">
        <v>-0.0147601737915756</v>
      </c>
      <c r="AD958" s="4">
        <v>-0.023809536250516</v>
      </c>
      <c r="AE958" s="4">
        <v>0.0</v>
      </c>
      <c r="AF958" s="4">
        <v>0.0122183117129572</v>
      </c>
      <c r="AG958" s="4">
        <v>0.0</v>
      </c>
      <c r="AH958" s="4">
        <v>0.0</v>
      </c>
      <c r="AI958" s="4">
        <v>0.0</v>
      </c>
      <c r="AJ958" s="4">
        <v>-0.008483</v>
      </c>
      <c r="AK958" s="4">
        <f>Weights!E1014</f>
        <v>-0.004860243582</v>
      </c>
      <c r="AL958" s="5">
        <v>-0.0146093974543954</v>
      </c>
      <c r="AM958" s="5">
        <v>-0.0147950478298588</v>
      </c>
      <c r="AN958" s="5">
        <v>-0.0123251110233183</v>
      </c>
      <c r="AO958" s="5">
        <v>-0.0117382227314847</v>
      </c>
      <c r="AP958" s="6">
        <f t="shared" si="3"/>
        <v>1.519736875</v>
      </c>
      <c r="AQ958" s="4">
        <f t="shared" si="4"/>
        <v>1.324118308</v>
      </c>
      <c r="AR958" s="7">
        <f t="shared" si="5"/>
        <v>1.294519837</v>
      </c>
      <c r="AS958" s="7">
        <f t="shared" ref="AS958:AU958" si="960">AS957*(1+AM958)</f>
        <v>1.38429246</v>
      </c>
      <c r="AT958" s="5">
        <f t="shared" si="960"/>
        <v>1.291445291</v>
      </c>
      <c r="AU958" s="5">
        <f t="shared" si="960"/>
        <v>1.28276844</v>
      </c>
    </row>
    <row r="959" ht="15.75" customHeight="1">
      <c r="A959" s="3">
        <v>45219.0</v>
      </c>
      <c r="B959" s="4">
        <v>-0.01467</v>
      </c>
      <c r="C959" s="4">
        <v>-3.17E-4</v>
      </c>
      <c r="D959" s="4">
        <v>-0.027968</v>
      </c>
      <c r="E959" s="4">
        <v>-0.003488</v>
      </c>
      <c r="F959" s="4">
        <v>0.004048</v>
      </c>
      <c r="G959" s="4">
        <v>0.004464</v>
      </c>
      <c r="H959" s="4">
        <v>-0.001349</v>
      </c>
      <c r="I959" s="4">
        <v>-0.008414</v>
      </c>
      <c r="J959" s="4">
        <v>-0.007876</v>
      </c>
      <c r="K959" s="4">
        <v>-0.014423</v>
      </c>
      <c r="L959" s="4">
        <v>-0.017712</v>
      </c>
      <c r="M959" s="4">
        <v>-0.021898</v>
      </c>
      <c r="N959" s="4">
        <v>-0.015829</v>
      </c>
      <c r="O959" s="4">
        <v>0.013423</v>
      </c>
      <c r="P959" s="4">
        <v>-0.016477</v>
      </c>
      <c r="Q959" s="4">
        <v>-0.002843</v>
      </c>
      <c r="R959" s="4">
        <v>-0.03832</v>
      </c>
      <c r="S959" s="4">
        <v>0.00349</v>
      </c>
      <c r="T959" s="4">
        <v>-0.016626</v>
      </c>
      <c r="U959" s="4">
        <v>0.003088</v>
      </c>
      <c r="V959" s="4">
        <v>-0.0257921198734973</v>
      </c>
      <c r="W959" s="4">
        <v>-0.0156908305082845</v>
      </c>
      <c r="X959" s="4">
        <v>0.0027816032308232</v>
      </c>
      <c r="Y959" s="4">
        <v>-0.012994689158352</v>
      </c>
      <c r="Z959" s="4">
        <v>-0.0096963352912243</v>
      </c>
      <c r="AA959" s="4">
        <v>-0.0140432810017961</v>
      </c>
      <c r="AB959" s="4">
        <v>0.0012668212323383</v>
      </c>
      <c r="AC959" s="4">
        <v>-0.009363275223051</v>
      </c>
      <c r="AD959" s="4">
        <v>0.0154042094183712</v>
      </c>
      <c r="AE959" s="4">
        <v>0.007825805936295</v>
      </c>
      <c r="AF959" s="4">
        <v>0.0174356456878177</v>
      </c>
      <c r="AG959" s="4">
        <v>-9.137344888594E-4</v>
      </c>
      <c r="AH959" s="4">
        <v>0.0227654613568206</v>
      </c>
      <c r="AI959" s="4">
        <v>-0.0084610683603505</v>
      </c>
      <c r="AJ959" s="4">
        <v>-0.012585</v>
      </c>
      <c r="AK959" s="4">
        <f>Weights!E1015</f>
        <v>-0.006234911775</v>
      </c>
      <c r="AL959" s="5">
        <v>-0.00899543799489244</v>
      </c>
      <c r="AM959" s="5">
        <v>-0.00943273066999272</v>
      </c>
      <c r="AN959" s="5">
        <v>-0.00573354644973289</v>
      </c>
      <c r="AO959" s="5">
        <v>-0.00555984310198909</v>
      </c>
      <c r="AP959" s="6">
        <f t="shared" si="3"/>
        <v>1.51026145</v>
      </c>
      <c r="AQ959" s="4">
        <f t="shared" si="4"/>
        <v>1.307454279</v>
      </c>
      <c r="AR959" s="7">
        <f t="shared" si="5"/>
        <v>1.282875064</v>
      </c>
      <c r="AS959" s="7">
        <f t="shared" ref="AS959:AU959" si="961">AS958*(1+AM959)</f>
        <v>1.371234802</v>
      </c>
      <c r="AT959" s="5">
        <f t="shared" si="961"/>
        <v>1.284040729</v>
      </c>
      <c r="AU959" s="5">
        <f t="shared" si="961"/>
        <v>1.275636448</v>
      </c>
    </row>
    <row r="960" ht="15.75" customHeight="1">
      <c r="A960" s="3">
        <v>45222.0</v>
      </c>
      <c r="B960" s="4">
        <v>-0.001241</v>
      </c>
      <c r="C960" s="4">
        <v>-0.005702</v>
      </c>
      <c r="D960" s="4">
        <v>0.008143</v>
      </c>
      <c r="E960" s="4">
        <v>5.0E-4</v>
      </c>
      <c r="F960" s="4">
        <v>-0.008979</v>
      </c>
      <c r="G960" s="4">
        <v>-0.010523</v>
      </c>
      <c r="H960" s="4">
        <v>6.75E-4</v>
      </c>
      <c r="I960" s="4">
        <v>0.009428</v>
      </c>
      <c r="J960" s="4">
        <v>0.006658</v>
      </c>
      <c r="K960" s="4">
        <v>-5.23E-4</v>
      </c>
      <c r="L960" s="4">
        <v>0.004199</v>
      </c>
      <c r="M960" s="4">
        <v>0.005166</v>
      </c>
      <c r="N960" s="4">
        <v>-2.17E-4</v>
      </c>
      <c r="O960" s="4">
        <v>0.016852</v>
      </c>
      <c r="P960" s="4">
        <v>-0.009278</v>
      </c>
      <c r="Q960" s="4">
        <v>-0.003564</v>
      </c>
      <c r="R960" s="4">
        <v>-0.010921</v>
      </c>
      <c r="S960" s="4">
        <v>0.010434</v>
      </c>
      <c r="T960" s="4">
        <v>-0.006154</v>
      </c>
      <c r="U960" s="4">
        <v>-0.006816</v>
      </c>
      <c r="V960" s="4">
        <v>-0.00832069283861125</v>
      </c>
      <c r="W960" s="4">
        <v>-0.007375680717425</v>
      </c>
      <c r="X960" s="4">
        <v>-0.0027738873767342</v>
      </c>
      <c r="Y960" s="4">
        <v>-0.0172471070059889</v>
      </c>
      <c r="Z960" s="4">
        <v>-0.0150562847139159</v>
      </c>
      <c r="AA960" s="4">
        <v>-0.0207715750520316</v>
      </c>
      <c r="AB960" s="4">
        <v>0.0037954502372197</v>
      </c>
      <c r="AC960" s="4">
        <v>-0.0075614501331522</v>
      </c>
      <c r="AD960" s="4">
        <v>-0.0214917363035119</v>
      </c>
      <c r="AE960" s="4">
        <v>-0.0097906917563932</v>
      </c>
      <c r="AF960" s="4">
        <v>0.0073820490452738</v>
      </c>
      <c r="AG960" s="4">
        <v>-0.0015241186171887</v>
      </c>
      <c r="AH960" s="4">
        <v>0.0051546005902367</v>
      </c>
      <c r="AI960" s="4">
        <v>-0.0010668077938483</v>
      </c>
      <c r="AJ960" s="4">
        <v>-0.001686</v>
      </c>
      <c r="AK960" s="4">
        <f>Weights!E1016</f>
        <v>-0.002550219408</v>
      </c>
      <c r="AL960" s="5">
        <v>-0.0111783155195021</v>
      </c>
      <c r="AM960" s="5">
        <v>-0.0123648346082468</v>
      </c>
      <c r="AN960" s="5">
        <v>-0.0118724155255958</v>
      </c>
      <c r="AO960" s="5">
        <v>-0.0116899191514446</v>
      </c>
      <c r="AP960" s="6">
        <f t="shared" si="3"/>
        <v>1.506409952</v>
      </c>
      <c r="AQ960" s="4">
        <f t="shared" si="4"/>
        <v>1.305249911</v>
      </c>
      <c r="AR960" s="7">
        <f t="shared" si="5"/>
        <v>1.268534682</v>
      </c>
      <c r="AS960" s="7">
        <f t="shared" ref="AS960:AU960" si="962">AS959*(1+AM960)</f>
        <v>1.35427971</v>
      </c>
      <c r="AT960" s="5">
        <f t="shared" si="962"/>
        <v>1.268796064</v>
      </c>
      <c r="AU960" s="5">
        <f t="shared" si="962"/>
        <v>1.260724361</v>
      </c>
    </row>
    <row r="961" ht="15.75" customHeight="1">
      <c r="A961" s="3">
        <v>45223.0</v>
      </c>
      <c r="B961" s="4">
        <v>0.010559</v>
      </c>
      <c r="C961" s="4">
        <v>0.092705</v>
      </c>
      <c r="D961" s="4">
        <v>0.018578</v>
      </c>
      <c r="E961" s="4">
        <v>0.013181</v>
      </c>
      <c r="F961" s="4">
        <v>0.028846</v>
      </c>
      <c r="G961" s="4">
        <v>-0.001057</v>
      </c>
      <c r="H961" s="4">
        <v>0.011812</v>
      </c>
      <c r="I961" s="4">
        <v>3.11E-4</v>
      </c>
      <c r="J961" s="4">
        <v>0.005088</v>
      </c>
      <c r="K961" s="4">
        <v>-0.024926</v>
      </c>
      <c r="L961" s="4">
        <v>-0.011315</v>
      </c>
      <c r="M961" s="4">
        <v>-0.005711</v>
      </c>
      <c r="N961" s="4">
        <v>-0.008043</v>
      </c>
      <c r="O961" s="4">
        <v>-0.029735</v>
      </c>
      <c r="P961" s="4">
        <v>2.6E-4</v>
      </c>
      <c r="Q961" s="4">
        <v>-0.025036</v>
      </c>
      <c r="R961" s="4">
        <v>0.027156</v>
      </c>
      <c r="S961" s="4">
        <v>0.001836</v>
      </c>
      <c r="T961" s="4">
        <v>0.047548</v>
      </c>
      <c r="U961" s="4">
        <v>-0.008412</v>
      </c>
      <c r="V961" s="4">
        <v>0.012967249854741</v>
      </c>
      <c r="W961" s="4">
        <v>-0.0290028461811863</v>
      </c>
      <c r="X961" s="4">
        <v>-0.0152990359858324</v>
      </c>
      <c r="Y961" s="4">
        <v>-0.0078114326977497</v>
      </c>
      <c r="Z961" s="4">
        <v>-0.0089093481633507</v>
      </c>
      <c r="AA961" s="4">
        <v>0.0115153423771372</v>
      </c>
      <c r="AB961" s="4">
        <v>-0.0025207668867175</v>
      </c>
      <c r="AC961" s="4">
        <v>0.0057142578006037</v>
      </c>
      <c r="AD961" s="4">
        <v>0.0103358502157751</v>
      </c>
      <c r="AE961" s="4">
        <v>0.0190930333615708</v>
      </c>
      <c r="AF961" s="4">
        <v>-0.0068045741166953</v>
      </c>
      <c r="AG961" s="4">
        <v>0.0013737634115433</v>
      </c>
      <c r="AH961" s="4">
        <v>-0.0069929448107112</v>
      </c>
      <c r="AI961" s="4">
        <v>0.0010679470881254</v>
      </c>
      <c r="AJ961" s="4">
        <v>0.007266</v>
      </c>
      <c r="AK961" s="4">
        <f>Weights!E1017</f>
        <v>0.002045890397</v>
      </c>
      <c r="AL961" s="5">
        <v>-0.00127502710228988</v>
      </c>
      <c r="AM961" s="5">
        <v>-0.00273418065971242</v>
      </c>
      <c r="AN961" s="5">
        <v>-0.00308958379866652</v>
      </c>
      <c r="AO961" s="5">
        <v>-0.00359984372834965</v>
      </c>
      <c r="AP961" s="6">
        <f t="shared" si="3"/>
        <v>1.509491902</v>
      </c>
      <c r="AQ961" s="4">
        <f t="shared" si="4"/>
        <v>1.314733857</v>
      </c>
      <c r="AR961" s="7">
        <f t="shared" si="5"/>
        <v>1.266917266</v>
      </c>
      <c r="AS961" s="7">
        <f t="shared" ref="AS961:AU961" si="963">AS960*(1+AM961)</f>
        <v>1.350576865</v>
      </c>
      <c r="AT961" s="5">
        <f t="shared" si="963"/>
        <v>1.264876012</v>
      </c>
      <c r="AU961" s="5">
        <f t="shared" si="963"/>
        <v>1.256185951</v>
      </c>
    </row>
    <row r="962" ht="15.75" customHeight="1">
      <c r="A962" s="3">
        <v>45224.0</v>
      </c>
      <c r="B962" s="4">
        <v>-0.007376</v>
      </c>
      <c r="C962" s="4">
        <v>-0.017784</v>
      </c>
      <c r="D962" s="4">
        <v>-0.00423</v>
      </c>
      <c r="E962" s="4">
        <v>9.87E-4</v>
      </c>
      <c r="F962" s="4">
        <v>0.008627</v>
      </c>
      <c r="G962" s="4">
        <v>0.002248</v>
      </c>
      <c r="H962" s="4">
        <v>0.00467</v>
      </c>
      <c r="I962" s="4">
        <v>0.004046</v>
      </c>
      <c r="J962" s="4">
        <v>-7.59E-4</v>
      </c>
      <c r="K962" s="4">
        <v>-0.003039</v>
      </c>
      <c r="L962" s="4">
        <v>-0.003672</v>
      </c>
      <c r="M962" s="4">
        <v>-0.006318</v>
      </c>
      <c r="N962" s="4">
        <v>-0.003068</v>
      </c>
      <c r="O962" s="4">
        <v>-0.012441</v>
      </c>
      <c r="P962" s="4">
        <v>-0.043953</v>
      </c>
      <c r="Q962" s="4">
        <v>-0.013206</v>
      </c>
      <c r="R962" s="4">
        <v>-0.016851</v>
      </c>
      <c r="S962" s="4">
        <v>-0.00481</v>
      </c>
      <c r="T962" s="4">
        <v>-0.017463</v>
      </c>
      <c r="U962" s="4">
        <v>0.022548</v>
      </c>
      <c r="V962" s="4">
        <v>-0.00188256422721477</v>
      </c>
      <c r="W962" s="4">
        <v>-0.0012342917163924</v>
      </c>
      <c r="X962" s="4">
        <v>0.0</v>
      </c>
      <c r="Y962" s="4">
        <v>-0.0012896701313722</v>
      </c>
      <c r="Z962" s="4">
        <v>-0.0138151620456838</v>
      </c>
      <c r="AA962" s="4">
        <v>-1.997177479863E-4</v>
      </c>
      <c r="AB962" s="4">
        <v>0.0017690267649643</v>
      </c>
      <c r="AC962" s="4">
        <v>0.0</v>
      </c>
      <c r="AD962" s="4">
        <v>0.0</v>
      </c>
      <c r="AE962" s="4">
        <v>-0.0070257118708897</v>
      </c>
      <c r="AF962" s="4">
        <v>0.0044796884411244</v>
      </c>
      <c r="AG962" s="4">
        <v>0.0036584671590662</v>
      </c>
      <c r="AH962" s="4">
        <v>-4.695614486356E-4</v>
      </c>
      <c r="AI962" s="4">
        <v>0.0016000489518637</v>
      </c>
      <c r="AJ962" s="4">
        <v>-0.01434</v>
      </c>
      <c r="AK962" s="4">
        <f>Weights!E1018</f>
        <v>-0.002620363634</v>
      </c>
      <c r="AL962" s="5">
        <v>0.00680862663048098</v>
      </c>
      <c r="AM962" s="5">
        <v>0.00755164294842036</v>
      </c>
      <c r="AN962" s="5">
        <v>-0.00344349460822868</v>
      </c>
      <c r="AO962" s="5">
        <v>-0.00361284942168182</v>
      </c>
      <c r="AP962" s="6">
        <f t="shared" si="3"/>
        <v>1.505536484</v>
      </c>
      <c r="AQ962" s="4">
        <f t="shared" si="4"/>
        <v>1.295880573</v>
      </c>
      <c r="AR962" s="7">
        <f t="shared" si="5"/>
        <v>1.275543232</v>
      </c>
      <c r="AS962" s="7">
        <f t="shared" ref="AS962:AU962" si="964">AS961*(1+AM962)</f>
        <v>1.360775939</v>
      </c>
      <c r="AT962" s="5">
        <f t="shared" si="964"/>
        <v>1.260520419</v>
      </c>
      <c r="AU962" s="5">
        <f t="shared" si="964"/>
        <v>1.25164754</v>
      </c>
    </row>
    <row r="963" ht="15.75" customHeight="1">
      <c r="A963" s="3">
        <v>45225.0</v>
      </c>
      <c r="B963" s="4">
        <v>0.0</v>
      </c>
      <c r="C963" s="4">
        <v>0.023152</v>
      </c>
      <c r="D963" s="4">
        <v>-0.006106</v>
      </c>
      <c r="E963" s="4">
        <v>-0.00579</v>
      </c>
      <c r="F963" s="4">
        <v>-0.006058</v>
      </c>
      <c r="G963" s="4">
        <v>-0.016956</v>
      </c>
      <c r="H963" s="4">
        <v>-0.005312</v>
      </c>
      <c r="I963" s="4">
        <v>-0.008059</v>
      </c>
      <c r="J963" s="4">
        <v>0.016464</v>
      </c>
      <c r="K963" s="4">
        <v>0.003586</v>
      </c>
      <c r="L963" s="4">
        <v>0.007458</v>
      </c>
      <c r="M963" s="4">
        <v>0.006936</v>
      </c>
      <c r="N963" s="4">
        <v>-0.001539</v>
      </c>
      <c r="O963" s="4">
        <v>-0.012598</v>
      </c>
      <c r="P963" s="4">
        <v>0.019587</v>
      </c>
      <c r="Q963" s="4">
        <v>0.012639</v>
      </c>
      <c r="R963" s="4">
        <v>-0.003842</v>
      </c>
      <c r="S963" s="4">
        <v>-0.01565</v>
      </c>
      <c r="T963" s="4">
        <v>0.025657</v>
      </c>
      <c r="U963" s="4">
        <v>-0.069355</v>
      </c>
      <c r="V963" s="4">
        <v>-0.00414936077103866</v>
      </c>
      <c r="W963" s="4">
        <v>0.0239743080420276</v>
      </c>
      <c r="X963" s="4">
        <v>0.0</v>
      </c>
      <c r="Y963" s="4">
        <v>0.0080871171940513</v>
      </c>
      <c r="Z963" s="4">
        <v>0.0099788487290188</v>
      </c>
      <c r="AA963" s="4">
        <v>0.0075908747605586</v>
      </c>
      <c r="AB963" s="4">
        <v>0.0131180915452533</v>
      </c>
      <c r="AC963" s="4">
        <v>0.0037879615800273</v>
      </c>
      <c r="AD963" s="4">
        <v>0.0153453299093964</v>
      </c>
      <c r="AE963" s="4">
        <v>0.0131402296963856</v>
      </c>
      <c r="AF963" s="4">
        <v>0.0015739098937868</v>
      </c>
      <c r="AG963" s="4">
        <v>0.0441980679729918</v>
      </c>
      <c r="AH963" s="4">
        <v>0.0070456107407292</v>
      </c>
      <c r="AI963" s="4">
        <v>-0.0026625964610355</v>
      </c>
      <c r="AJ963" s="4">
        <v>-0.011833</v>
      </c>
      <c r="AK963" s="4">
        <f>Weights!E1019</f>
        <v>0.004488312907</v>
      </c>
      <c r="AL963" s="5">
        <v>-0.0129332637413204</v>
      </c>
      <c r="AM963" s="5">
        <v>-0.0148470137455126</v>
      </c>
      <c r="AN963" s="5">
        <v>-0.00138230920418103</v>
      </c>
      <c r="AO963" s="5">
        <v>-0.00129491557757421</v>
      </c>
      <c r="AP963" s="6">
        <f t="shared" si="3"/>
        <v>1.512293803</v>
      </c>
      <c r="AQ963" s="4">
        <f t="shared" si="4"/>
        <v>1.280546419</v>
      </c>
      <c r="AR963" s="7">
        <f t="shared" si="5"/>
        <v>1.259046295</v>
      </c>
      <c r="AS963" s="7">
        <f t="shared" ref="AS963:AU963" si="965">AS962*(1+AM963)</f>
        <v>1.34057248</v>
      </c>
      <c r="AT963" s="5">
        <f t="shared" si="965"/>
        <v>1.25877799</v>
      </c>
      <c r="AU963" s="5">
        <f t="shared" si="965"/>
        <v>1.250026762</v>
      </c>
    </row>
    <row r="964" ht="15.75" customHeight="1">
      <c r="A964" s="3">
        <v>45226.0</v>
      </c>
      <c r="B964" s="4">
        <v>-0.017957</v>
      </c>
      <c r="C964" s="4">
        <v>-0.029881</v>
      </c>
      <c r="D964" s="4">
        <v>-0.018162</v>
      </c>
      <c r="E964" s="4">
        <v>-0.01109</v>
      </c>
      <c r="F964" s="4">
        <v>-0.009681</v>
      </c>
      <c r="G964" s="4">
        <v>-0.022819</v>
      </c>
      <c r="H964" s="4">
        <v>-0.017623</v>
      </c>
      <c r="I964" s="4">
        <v>-0.019063</v>
      </c>
      <c r="J964" s="4">
        <v>-0.01221</v>
      </c>
      <c r="K964" s="4">
        <v>-0.019117</v>
      </c>
      <c r="L964" s="4">
        <v>-0.018946</v>
      </c>
      <c r="M964" s="4">
        <v>-0.016074</v>
      </c>
      <c r="N964" s="4">
        <v>-0.014971</v>
      </c>
      <c r="O964" s="4">
        <v>-0.02941</v>
      </c>
      <c r="P964" s="4">
        <v>0.039755</v>
      </c>
      <c r="Q964" s="4">
        <v>-7.34E-4</v>
      </c>
      <c r="R964" s="4">
        <v>-0.001187</v>
      </c>
      <c r="S964" s="4">
        <v>0.017769</v>
      </c>
      <c r="T964" s="4">
        <v>-0.001349</v>
      </c>
      <c r="U964" s="4">
        <v>0.001251</v>
      </c>
      <c r="V964" s="4">
        <v>-0.0159091018437885</v>
      </c>
      <c r="W964" s="4">
        <v>0.0096548273665277</v>
      </c>
      <c r="X964" s="4">
        <v>0.0014124101287988</v>
      </c>
      <c r="Y964" s="4">
        <v>-4.718715099399E-4</v>
      </c>
      <c r="Z964" s="4">
        <v>9.50757012803116E-5</v>
      </c>
      <c r="AA964" s="4">
        <v>0.0013876854340897</v>
      </c>
      <c r="AB964" s="4">
        <v>-0.0054781034759155</v>
      </c>
      <c r="AC964" s="4">
        <v>0.0037735158613172</v>
      </c>
      <c r="AD964" s="4">
        <v>-0.017632363776341</v>
      </c>
      <c r="AE964" s="4">
        <v>-0.0209510954048921</v>
      </c>
      <c r="AF964" s="4">
        <v>-0.0023572188540154</v>
      </c>
      <c r="AG964" s="4">
        <v>0.025745513633135</v>
      </c>
      <c r="AH964" s="4">
        <v>-0.0055970539293026</v>
      </c>
      <c r="AI964" s="4">
        <v>5.341364567681E-4</v>
      </c>
      <c r="AJ964" s="4">
        <v>-0.0048</v>
      </c>
      <c r="AK964" s="4">
        <f>Weights!E1020</f>
        <v>-0.005913436874</v>
      </c>
      <c r="AL964" s="5">
        <v>-0.0101910972831541</v>
      </c>
      <c r="AM964" s="5">
        <v>-0.0103702120541234</v>
      </c>
      <c r="AN964" s="5">
        <v>-0.00415211472003462</v>
      </c>
      <c r="AO964" s="5">
        <v>-0.00363075418101099</v>
      </c>
      <c r="AP964" s="6">
        <f t="shared" si="3"/>
        <v>1.503350949</v>
      </c>
      <c r="AQ964" s="4">
        <f t="shared" si="4"/>
        <v>1.274399796</v>
      </c>
      <c r="AR964" s="7">
        <f t="shared" si="5"/>
        <v>1.246215232</v>
      </c>
      <c r="AS964" s="7">
        <f t="shared" ref="AS964:AU964" si="966">AS963*(1+AM964)</f>
        <v>1.326670459</v>
      </c>
      <c r="AT964" s="5">
        <f t="shared" si="966"/>
        <v>1.253551399</v>
      </c>
      <c r="AU964" s="5">
        <f t="shared" si="966"/>
        <v>1.245488222</v>
      </c>
    </row>
    <row r="965" ht="15.75" customHeight="1">
      <c r="A965" s="3">
        <v>45229.0</v>
      </c>
      <c r="B965" s="4">
        <v>0.020177</v>
      </c>
      <c r="C965" s="4">
        <v>0.035287</v>
      </c>
      <c r="D965" s="4">
        <v>0.010881</v>
      </c>
      <c r="E965" s="4">
        <v>0.016665</v>
      </c>
      <c r="F965" s="4">
        <v>0.016474</v>
      </c>
      <c r="G965" s="4">
        <v>0.009821</v>
      </c>
      <c r="H965" s="4">
        <v>0.01427</v>
      </c>
      <c r="I965" s="4">
        <v>0.014973</v>
      </c>
      <c r="J965" s="4">
        <v>0.012866</v>
      </c>
      <c r="K965" s="4">
        <v>0.01694</v>
      </c>
      <c r="L965" s="4">
        <v>0.018928</v>
      </c>
      <c r="M965" s="4">
        <v>0.019837</v>
      </c>
      <c r="N965" s="4">
        <v>0.016987</v>
      </c>
      <c r="O965" s="4">
        <v>0.020795</v>
      </c>
      <c r="P965" s="4">
        <v>-0.006928</v>
      </c>
      <c r="Q965" s="4">
        <v>-0.005878</v>
      </c>
      <c r="R965" s="4">
        <v>0.010989</v>
      </c>
      <c r="S965" s="4">
        <v>-0.001378</v>
      </c>
      <c r="T965" s="4">
        <v>0.005671</v>
      </c>
      <c r="U965" s="4">
        <v>0.014292</v>
      </c>
      <c r="V965" s="4">
        <v>-0.00115466134462527</v>
      </c>
      <c r="W965" s="4">
        <v>0.0040639879016786</v>
      </c>
      <c r="X965" s="4">
        <v>-0.0014104180400732</v>
      </c>
      <c r="Y965" s="4">
        <v>0.0174682319006977</v>
      </c>
      <c r="Z965" s="4">
        <v>0.0040846438995436</v>
      </c>
      <c r="AA965" s="4">
        <v>0.010493001155944</v>
      </c>
      <c r="AB965" s="4">
        <v>-2.5036245748E-4</v>
      </c>
      <c r="AC965" s="4">
        <v>-0.0018796649850236</v>
      </c>
      <c r="AD965" s="4">
        <v>-0.008974101416455</v>
      </c>
      <c r="AE965" s="4">
        <v>0.0027172511416797</v>
      </c>
      <c r="AF965" s="4">
        <v>-0.0021003703922403</v>
      </c>
      <c r="AG965" s="4">
        <v>-0.0039704486625409</v>
      </c>
      <c r="AH965" s="4">
        <v>-0.0035177923781202</v>
      </c>
      <c r="AI965" s="4">
        <v>0.0016006855180512</v>
      </c>
      <c r="AJ965" s="4">
        <v>0.01201</v>
      </c>
      <c r="AK965" s="4">
        <f>Weights!E1021</f>
        <v>0.007412471438</v>
      </c>
      <c r="AL965" s="5">
        <v>-0.00493156700083763</v>
      </c>
      <c r="AM965" s="5">
        <v>-0.00538634317573549</v>
      </c>
      <c r="AN965" s="5">
        <v>-0.00799168461528843</v>
      </c>
      <c r="AO965" s="5">
        <v>-0.00702768457280955</v>
      </c>
      <c r="AP965" s="6">
        <f t="shared" si="3"/>
        <v>1.514494495</v>
      </c>
      <c r="AQ965" s="4">
        <f t="shared" si="4"/>
        <v>1.289705337</v>
      </c>
      <c r="AR965" s="7">
        <f t="shared" si="5"/>
        <v>1.240069438</v>
      </c>
      <c r="AS965" s="7">
        <f t="shared" ref="AS965:AU965" si="967">AS964*(1+AM965)</f>
        <v>1.319524557</v>
      </c>
      <c r="AT965" s="5">
        <f t="shared" si="967"/>
        <v>1.243533412</v>
      </c>
      <c r="AU965" s="5">
        <f t="shared" si="967"/>
        <v>1.236735324</v>
      </c>
    </row>
    <row r="966" ht="15.75" customHeight="1">
      <c r="A966" s="3">
        <v>45230.0</v>
      </c>
      <c r="B966" s="4">
        <v>-0.003708</v>
      </c>
      <c r="C966" s="4">
        <v>0.014731</v>
      </c>
      <c r="D966" s="4">
        <v>-0.002691</v>
      </c>
      <c r="E966" s="4">
        <v>0.006162</v>
      </c>
      <c r="F966" s="4">
        <v>0.006055</v>
      </c>
      <c r="G966" s="4">
        <v>0.00891</v>
      </c>
      <c r="H966" s="4">
        <v>0.005159</v>
      </c>
      <c r="I966" s="4">
        <v>0.00565</v>
      </c>
      <c r="J966" s="4">
        <v>-0.010461</v>
      </c>
      <c r="K966" s="4">
        <v>1.79E-4</v>
      </c>
      <c r="L966" s="4">
        <v>0.002636</v>
      </c>
      <c r="M966" s="4">
        <v>-0.003432</v>
      </c>
      <c r="N966" s="4">
        <v>0.003736</v>
      </c>
      <c r="O966" s="4">
        <v>0.027428</v>
      </c>
      <c r="P966" s="4">
        <v>-0.031783</v>
      </c>
      <c r="Q966" s="4">
        <v>-0.037694</v>
      </c>
      <c r="R966" s="4">
        <v>-0.007638</v>
      </c>
      <c r="S966" s="4">
        <v>-0.028065</v>
      </c>
      <c r="T966" s="4">
        <v>-0.007788</v>
      </c>
      <c r="U966" s="4">
        <v>-0.002849</v>
      </c>
      <c r="V966" s="4">
        <v>0.00192662883817362</v>
      </c>
      <c r="W966" s="4">
        <v>0.0773809496121777</v>
      </c>
      <c r="X966" s="4">
        <v>0.0084745715761298</v>
      </c>
      <c r="Y966" s="4">
        <v>0.0351319388390392</v>
      </c>
      <c r="Z966" s="4">
        <v>0.0216650727419767</v>
      </c>
      <c r="AA966" s="4">
        <v>0.0160657848651972</v>
      </c>
      <c r="AB966" s="4">
        <v>0.0085148611297136</v>
      </c>
      <c r="AC966" s="4">
        <v>0.0056496898013462</v>
      </c>
      <c r="AD966" s="4">
        <v>-0.0064684108155602</v>
      </c>
      <c r="AE966" s="4">
        <v>0.0</v>
      </c>
      <c r="AF966" s="4">
        <v>0.0152592224518259</v>
      </c>
      <c r="AG966" s="4">
        <v>-0.0041287915739872</v>
      </c>
      <c r="AH966" s="4">
        <v>0.0091786381894598</v>
      </c>
      <c r="AI966" s="4">
        <v>0.0</v>
      </c>
      <c r="AJ966" s="4">
        <v>0.006475</v>
      </c>
      <c r="AK966" s="4">
        <f>Weights!E1022</f>
        <v>0.003562592565</v>
      </c>
      <c r="AL966" s="5">
        <v>0.0123467401014771</v>
      </c>
      <c r="AM966" s="5">
        <v>0.0115203372530623</v>
      </c>
      <c r="AN966" s="5">
        <v>0.00630476872808949</v>
      </c>
      <c r="AO966" s="5">
        <v>0.00655316894952351</v>
      </c>
      <c r="AP966" s="6">
        <f t="shared" si="3"/>
        <v>1.519890022</v>
      </c>
      <c r="AQ966" s="4">
        <f t="shared" si="4"/>
        <v>1.298056179</v>
      </c>
      <c r="AR966" s="7">
        <f t="shared" si="5"/>
        <v>1.255380253</v>
      </c>
      <c r="AS966" s="7">
        <f t="shared" ref="AS966:AU966" si="968">AS965*(1+AM966)</f>
        <v>1.334725925</v>
      </c>
      <c r="AT966" s="5">
        <f t="shared" si="968"/>
        <v>1.251373602</v>
      </c>
      <c r="AU966" s="5">
        <f t="shared" si="968"/>
        <v>1.244839859</v>
      </c>
    </row>
    <row r="967" ht="15.75" customHeight="1">
      <c r="A967" s="3">
        <v>45231.0</v>
      </c>
      <c r="B967" s="4">
        <v>0.019851</v>
      </c>
      <c r="C967" s="4">
        <v>0.007686</v>
      </c>
      <c r="D967" s="4">
        <v>0.019698</v>
      </c>
      <c r="E967" s="4">
        <v>0.009738</v>
      </c>
      <c r="F967" s="4">
        <v>-8.85E-4</v>
      </c>
      <c r="G967" s="4">
        <v>0.002359</v>
      </c>
      <c r="H967" s="4">
        <v>-0.002799</v>
      </c>
      <c r="I967" s="4">
        <v>0.011236</v>
      </c>
      <c r="J967" s="4">
        <v>0.016109</v>
      </c>
      <c r="K967" s="4">
        <v>0.001254</v>
      </c>
      <c r="L967" s="4">
        <v>0.005258</v>
      </c>
      <c r="M967" s="4">
        <v>0.015499</v>
      </c>
      <c r="N967" s="4">
        <v>0.009853</v>
      </c>
      <c r="O967" s="4">
        <v>0.042204</v>
      </c>
      <c r="P967" s="4">
        <v>-0.005338</v>
      </c>
      <c r="Q967" s="4">
        <v>-7.68E-4</v>
      </c>
      <c r="R967" s="4">
        <v>-0.002072</v>
      </c>
      <c r="S967" s="4">
        <v>0.019882</v>
      </c>
      <c r="T967" s="4">
        <v>0.001353</v>
      </c>
      <c r="U967" s="4">
        <v>0.001931</v>
      </c>
      <c r="V967" s="4">
        <v>0.00346160155111618</v>
      </c>
      <c r="W967" s="4">
        <v>0.0176796454335057</v>
      </c>
      <c r="X967" s="4">
        <v>0.0</v>
      </c>
      <c r="Y967" s="4">
        <v>0.0084528442564151</v>
      </c>
      <c r="Z967" s="4">
        <v>0.0049078415157226</v>
      </c>
      <c r="AA967" s="4">
        <v>-5.783101541251E-4</v>
      </c>
      <c r="AB967" s="4">
        <v>0.0099330365676924</v>
      </c>
      <c r="AC967" s="4">
        <v>0.0</v>
      </c>
      <c r="AD967" s="4">
        <v>0.0</v>
      </c>
      <c r="AE967" s="4">
        <v>0.0165990436935288</v>
      </c>
      <c r="AF967" s="4">
        <v>0.0137340921153543</v>
      </c>
      <c r="AG967" s="4">
        <v>0.0131524473816797</v>
      </c>
      <c r="AH967" s="4">
        <v>0.0079290855980502</v>
      </c>
      <c r="AI967" s="4">
        <v>-0.0026637985774217</v>
      </c>
      <c r="AJ967" s="4">
        <v>0.010506</v>
      </c>
      <c r="AK967" s="4">
        <f>Weights!E1023</f>
        <v>0.007234517425</v>
      </c>
      <c r="AL967" s="5">
        <v>0.00584039447240769</v>
      </c>
      <c r="AM967" s="5">
        <v>0.0064731932399773</v>
      </c>
      <c r="AN967" s="5">
        <v>0.00104415331525986</v>
      </c>
      <c r="AO967" s="5">
        <v>0.00130199710828771</v>
      </c>
      <c r="AP967" s="6">
        <f t="shared" si="3"/>
        <v>1.530885693</v>
      </c>
      <c r="AQ967" s="4">
        <f t="shared" si="4"/>
        <v>1.311693558</v>
      </c>
      <c r="AR967" s="7">
        <f t="shared" si="5"/>
        <v>1.262712169</v>
      </c>
      <c r="AS967" s="7">
        <f t="shared" ref="AS967:AU967" si="969">AS966*(1+AM967)</f>
        <v>1.343365864</v>
      </c>
      <c r="AT967" s="5">
        <f t="shared" si="969"/>
        <v>1.252680228</v>
      </c>
      <c r="AU967" s="5">
        <f t="shared" si="969"/>
        <v>1.246460637</v>
      </c>
    </row>
    <row r="968" ht="15.75" customHeight="1">
      <c r="A968" s="3">
        <v>45232.0</v>
      </c>
      <c r="B968" s="4">
        <v>0.048053</v>
      </c>
      <c r="C968" s="4">
        <v>0.014124</v>
      </c>
      <c r="D968" s="4">
        <v>0.056629</v>
      </c>
      <c r="E968" s="4">
        <v>0.011888</v>
      </c>
      <c r="F968" s="4">
        <v>0.011517</v>
      </c>
      <c r="G968" s="4">
        <v>0.010424</v>
      </c>
      <c r="H968" s="4">
        <v>0.012232</v>
      </c>
      <c r="I968" s="4">
        <v>0.034259</v>
      </c>
      <c r="J968" s="4">
        <v>0.031707</v>
      </c>
      <c r="K968" s="4">
        <v>0.038812</v>
      </c>
      <c r="L968" s="4">
        <v>0.040598</v>
      </c>
      <c r="M968" s="4">
        <v>0.036179</v>
      </c>
      <c r="N968" s="4">
        <v>0.029272</v>
      </c>
      <c r="O968" s="4">
        <v>0.01984</v>
      </c>
      <c r="P968" s="4">
        <v>0.018514</v>
      </c>
      <c r="Q968" s="4">
        <v>-0.01691</v>
      </c>
      <c r="R968" s="4">
        <v>0.038564</v>
      </c>
      <c r="S968" s="4">
        <v>0.003713</v>
      </c>
      <c r="T968" s="4">
        <v>0.022096</v>
      </c>
      <c r="U968" s="4">
        <v>0.023353</v>
      </c>
      <c r="V968" s="4">
        <v>0.00344956657827344</v>
      </c>
      <c r="W968" s="4">
        <v>-0.014983689379</v>
      </c>
      <c r="X968" s="4">
        <v>-0.0252101800563908</v>
      </c>
      <c r="Y968" s="4">
        <v>-0.0083186805493044</v>
      </c>
      <c r="Z968" s="4">
        <v>-0.0157574701767703</v>
      </c>
      <c r="AA968" s="4">
        <v>0.0052092690669769</v>
      </c>
      <c r="AB968" s="4">
        <v>0.0068846196837142</v>
      </c>
      <c r="AC968" s="4">
        <v>-0.0149813003889401</v>
      </c>
      <c r="AD968" s="4">
        <v>-0.0117186600767663</v>
      </c>
      <c r="AE968" s="4">
        <v>-0.0069976829965356</v>
      </c>
      <c r="AF968" s="4">
        <v>-0.016615501438072</v>
      </c>
      <c r="AG968" s="4">
        <v>-0.0023988221714403</v>
      </c>
      <c r="AH968" s="4">
        <v>-6.941831052469E-4</v>
      </c>
      <c r="AI968" s="4">
        <v>0.0</v>
      </c>
      <c r="AJ968" s="4">
        <v>0.018859</v>
      </c>
      <c r="AK968" s="4">
        <f>Weights!E1024</f>
        <v>0.010804625</v>
      </c>
      <c r="AL968" s="5">
        <v>0.0103321915940484</v>
      </c>
      <c r="AM968" s="5">
        <v>0.010010109440306</v>
      </c>
      <c r="AN968" s="5">
        <v>0.0111265044682848</v>
      </c>
      <c r="AO968" s="5">
        <v>0.0104030548853972</v>
      </c>
      <c r="AP968" s="6">
        <f t="shared" si="3"/>
        <v>1.547426338</v>
      </c>
      <c r="AQ968" s="4">
        <f t="shared" si="4"/>
        <v>1.336430786</v>
      </c>
      <c r="AR968" s="7">
        <f t="shared" si="5"/>
        <v>1.275758753</v>
      </c>
      <c r="AS968" s="7">
        <f t="shared" ref="AS968:AU968" si="970">AS967*(1+AM968)</f>
        <v>1.356813103</v>
      </c>
      <c r="AT968" s="5">
        <f t="shared" si="970"/>
        <v>1.26661818</v>
      </c>
      <c r="AU968" s="5">
        <f t="shared" si="970"/>
        <v>1.259427636</v>
      </c>
    </row>
    <row r="969" ht="15.75" customHeight="1">
      <c r="A969" s="3">
        <v>45233.0</v>
      </c>
      <c r="B969" s="4">
        <v>0.0296</v>
      </c>
      <c r="C969" s="4">
        <v>0.003343</v>
      </c>
      <c r="D969" s="4">
        <v>0.021037</v>
      </c>
      <c r="E969" s="4">
        <v>-2.4E-4</v>
      </c>
      <c r="F969" s="4">
        <v>-0.006131</v>
      </c>
      <c r="G969" s="4">
        <v>0.007322</v>
      </c>
      <c r="H969" s="4">
        <v>-0.009046</v>
      </c>
      <c r="I969" s="4">
        <v>0.009549</v>
      </c>
      <c r="J969" s="4">
        <v>-0.001681</v>
      </c>
      <c r="K969" s="4">
        <v>0.0198</v>
      </c>
      <c r="L969" s="4">
        <v>0.015797</v>
      </c>
      <c r="M969" s="4">
        <v>0.017458</v>
      </c>
      <c r="N969" s="4">
        <v>0.011797</v>
      </c>
      <c r="O969" s="4">
        <v>0.018055</v>
      </c>
      <c r="P969" s="4">
        <v>0.027924</v>
      </c>
      <c r="Q969" s="4">
        <v>0.093041</v>
      </c>
      <c r="R969" s="4">
        <v>0.003999</v>
      </c>
      <c r="S969" s="4">
        <v>0.03815</v>
      </c>
      <c r="T969" s="4">
        <v>0.006942</v>
      </c>
      <c r="U969" s="4">
        <v>0.003389</v>
      </c>
      <c r="V969" s="4">
        <v>0.0572956616395921</v>
      </c>
      <c r="W969" s="4">
        <v>-0.0026454562144101</v>
      </c>
      <c r="X969" s="4">
        <v>-0.008620573054741</v>
      </c>
      <c r="Y969" s="4">
        <v>-0.0220912323224906</v>
      </c>
      <c r="Z969" s="4">
        <v>-0.0139500194682659</v>
      </c>
      <c r="AA969" s="4">
        <v>-0.0190018304816638</v>
      </c>
      <c r="AB969" s="4">
        <v>0.0012209373137737</v>
      </c>
      <c r="AC969" s="4">
        <v>-0.001901106069682</v>
      </c>
      <c r="AD969" s="4">
        <v>0.0131752259341608</v>
      </c>
      <c r="AE969" s="4">
        <v>-0.0010067419143403</v>
      </c>
      <c r="AF969" s="4">
        <v>-0.0132571541167813</v>
      </c>
      <c r="AG969" s="4">
        <v>0.0182460637751562</v>
      </c>
      <c r="AH969" s="4">
        <v>0.0106506150250194</v>
      </c>
      <c r="AI969" s="4">
        <v>-0.006944331250197</v>
      </c>
      <c r="AJ969" s="4">
        <v>0.009394</v>
      </c>
      <c r="AK969" s="4">
        <f>Weights!E1025</f>
        <v>0.008458683055</v>
      </c>
      <c r="AL969" s="5">
        <v>0.0202839909186678</v>
      </c>
      <c r="AM969" s="5">
        <v>0.0198697798055278</v>
      </c>
      <c r="AN969" s="5">
        <v>0.0312930300035472</v>
      </c>
      <c r="AO969" s="5">
        <v>0.0277992993364748</v>
      </c>
      <c r="AP969" s="6">
        <f t="shared" si="3"/>
        <v>1.560515527</v>
      </c>
      <c r="AQ969" s="4">
        <f t="shared" si="4"/>
        <v>1.348985217</v>
      </c>
      <c r="AR969" s="7">
        <f t="shared" si="5"/>
        <v>1.301636232</v>
      </c>
      <c r="AS969" s="7">
        <f t="shared" ref="AS969:AU969" si="971">AS968*(1+AM969)</f>
        <v>1.38377268</v>
      </c>
      <c r="AT969" s="5">
        <f t="shared" si="971"/>
        <v>1.306254501</v>
      </c>
      <c r="AU969" s="5">
        <f t="shared" si="971"/>
        <v>1.294438842</v>
      </c>
    </row>
    <row r="970" ht="15.75" customHeight="1">
      <c r="A970" s="3">
        <v>45236.0</v>
      </c>
      <c r="B970" s="4">
        <v>-0.005637</v>
      </c>
      <c r="C970" s="4">
        <v>-0.01055</v>
      </c>
      <c r="D970" s="4">
        <v>-0.007113</v>
      </c>
      <c r="E970" s="4">
        <v>-5.4E-4</v>
      </c>
      <c r="F970" s="4">
        <v>0.004054</v>
      </c>
      <c r="G970" s="4">
        <v>0.002379</v>
      </c>
      <c r="H970" s="4">
        <v>0.005797</v>
      </c>
      <c r="I970" s="4">
        <v>5.91E-4</v>
      </c>
      <c r="J970" s="4">
        <v>-0.007696</v>
      </c>
      <c r="K970" s="4">
        <v>0.002701</v>
      </c>
      <c r="L970" s="4">
        <v>1.18E-4</v>
      </c>
      <c r="M970" s="4">
        <v>-0.006434</v>
      </c>
      <c r="N970" s="4">
        <v>-0.006038</v>
      </c>
      <c r="O970" s="4">
        <v>0.007002</v>
      </c>
      <c r="P970" s="4">
        <v>-0.029216</v>
      </c>
      <c r="Q970" s="4">
        <v>-0.017167</v>
      </c>
      <c r="R970" s="4">
        <v>0.006259</v>
      </c>
      <c r="S970" s="4">
        <v>-0.008909</v>
      </c>
      <c r="T970" s="4">
        <v>0.005384</v>
      </c>
      <c r="U970" s="4">
        <v>-0.00608</v>
      </c>
      <c r="V970" s="4">
        <v>0.0242052011006719</v>
      </c>
      <c r="W970" s="4">
        <v>0.0150308614918626</v>
      </c>
      <c r="X970" s="4">
        <v>0.0</v>
      </c>
      <c r="Y970" s="4">
        <v>-9.166764990053E-4</v>
      </c>
      <c r="Z970" s="4">
        <v>0.0029433984916611</v>
      </c>
      <c r="AA970" s="4">
        <v>0.0027390709705552</v>
      </c>
      <c r="AB970" s="4">
        <v>0.004634101727496</v>
      </c>
      <c r="AC970" s="4">
        <v>0.0</v>
      </c>
      <c r="AD970" s="4">
        <v>-0.0078026416415326</v>
      </c>
      <c r="AE970" s="4">
        <v>-0.0053745251808793</v>
      </c>
      <c r="AF970" s="4">
        <v>0.015806147896795</v>
      </c>
      <c r="AG970" s="4">
        <v>-0.0080566246283932</v>
      </c>
      <c r="AH970" s="4">
        <v>-0.0036654741913649</v>
      </c>
      <c r="AI970" s="4">
        <v>-0.0016139295392657</v>
      </c>
      <c r="AJ970" s="4">
        <v>0.001753</v>
      </c>
      <c r="AK970" s="4">
        <f>Weights!E1026</f>
        <v>-0.0009034138865</v>
      </c>
      <c r="AL970" s="5">
        <v>0.0100231535889228</v>
      </c>
      <c r="AM970" s="5">
        <v>0.0112672068376293</v>
      </c>
      <c r="AN970" s="5">
        <v>0.00800254108998332</v>
      </c>
      <c r="AO970" s="5">
        <v>0.0102679087002877</v>
      </c>
      <c r="AP970" s="6">
        <f t="shared" si="3"/>
        <v>1.559105736</v>
      </c>
      <c r="AQ970" s="4">
        <f t="shared" si="4"/>
        <v>1.351349988</v>
      </c>
      <c r="AR970" s="7">
        <f t="shared" si="5"/>
        <v>1.314682732</v>
      </c>
      <c r="AS970" s="7">
        <f t="shared" ref="AS970:AU970" si="972">AS969*(1+AM970)</f>
        <v>1.399363933</v>
      </c>
      <c r="AT970" s="5">
        <f t="shared" si="972"/>
        <v>1.316707856</v>
      </c>
      <c r="AU970" s="5">
        <f t="shared" si="972"/>
        <v>1.307730021</v>
      </c>
    </row>
    <row r="971" ht="15.75" customHeight="1">
      <c r="A971" s="3">
        <v>45237.0</v>
      </c>
      <c r="B971" s="4">
        <v>-0.010771</v>
      </c>
      <c r="C971" s="4">
        <v>0.008417</v>
      </c>
      <c r="D971" s="4">
        <v>-0.002223</v>
      </c>
      <c r="E971" s="4">
        <v>0.002879</v>
      </c>
      <c r="F971" s="4">
        <v>0.003686</v>
      </c>
      <c r="G971" s="4">
        <v>-0.005274</v>
      </c>
      <c r="H971" s="4">
        <v>-0.002319</v>
      </c>
      <c r="I971" s="4">
        <v>-0.006204</v>
      </c>
      <c r="J971" s="4">
        <v>-0.015754</v>
      </c>
      <c r="K971" s="4">
        <v>-0.010103</v>
      </c>
      <c r="L971" s="4">
        <v>-0.009071</v>
      </c>
      <c r="M971" s="4">
        <v>-0.012952</v>
      </c>
      <c r="N971" s="4">
        <v>-0.012359</v>
      </c>
      <c r="O971" s="4">
        <v>-0.023525</v>
      </c>
      <c r="P971" s="4">
        <v>-0.032207</v>
      </c>
      <c r="Q971" s="4">
        <v>-0.029112</v>
      </c>
      <c r="R971" s="4">
        <v>-0.037037</v>
      </c>
      <c r="S971" s="4">
        <v>-0.025618</v>
      </c>
      <c r="T971" s="4">
        <v>-0.011036</v>
      </c>
      <c r="U971" s="4">
        <v>-0.003512</v>
      </c>
      <c r="V971" s="4">
        <v>-0.0275132107370501</v>
      </c>
      <c r="W971" s="4">
        <v>-0.0265679221076756</v>
      </c>
      <c r="X971" s="4">
        <v>-0.0144927832824552</v>
      </c>
      <c r="Y971" s="4">
        <v>-0.0262158346519378</v>
      </c>
      <c r="Z971" s="4">
        <v>-0.0250873942821698</v>
      </c>
      <c r="AA971" s="4">
        <v>-0.0152193939933048</v>
      </c>
      <c r="AB971" s="4">
        <v>-0.0133526482745853</v>
      </c>
      <c r="AC971" s="4">
        <v>-0.0057142578006037</v>
      </c>
      <c r="AD971" s="4">
        <v>-0.0039316729196136</v>
      </c>
      <c r="AE971" s="4">
        <v>-0.0131712272143175</v>
      </c>
      <c r="AF971" s="4">
        <v>-0.0023339889925753</v>
      </c>
      <c r="AG971" s="4">
        <v>0.0067217331186701</v>
      </c>
      <c r="AH971" s="4">
        <v>0.0301218769029902</v>
      </c>
      <c r="AI971" s="4">
        <v>-0.0016163193120071</v>
      </c>
      <c r="AJ971" s="4">
        <v>0.00284</v>
      </c>
      <c r="AK971" s="4">
        <f>Weights!E1027</f>
        <v>-0.009630177694</v>
      </c>
      <c r="AL971" s="5">
        <v>-3.27995434959316E-4</v>
      </c>
      <c r="AM971" s="5">
        <v>4.1767068970433E-4</v>
      </c>
      <c r="AN971" s="5">
        <v>-0.00363859119809162</v>
      </c>
      <c r="AO971" s="5">
        <v>-0.00396624184086258</v>
      </c>
      <c r="AP971" s="6">
        <f t="shared" si="3"/>
        <v>1.544091271</v>
      </c>
      <c r="AQ971" s="4">
        <f t="shared" si="4"/>
        <v>1.355187822</v>
      </c>
      <c r="AR971" s="7">
        <f t="shared" si="5"/>
        <v>1.314251522</v>
      </c>
      <c r="AS971" s="7">
        <f t="shared" ref="AS971:AU971" si="973">AS970*(1+AM971)</f>
        <v>1.399948407</v>
      </c>
      <c r="AT971" s="5">
        <f t="shared" si="973"/>
        <v>1.311916895</v>
      </c>
      <c r="AU971" s="5">
        <f t="shared" si="973"/>
        <v>1.302543248</v>
      </c>
    </row>
    <row r="972" ht="15.75" customHeight="1">
      <c r="A972" s="3">
        <v>45238.0</v>
      </c>
      <c r="B972" s="4">
        <v>-0.010888</v>
      </c>
      <c r="C972" s="4">
        <v>-0.00473</v>
      </c>
      <c r="D972" s="4">
        <v>-0.006932</v>
      </c>
      <c r="E972" s="4">
        <v>0.001256</v>
      </c>
      <c r="F972" s="4">
        <v>-0.001574</v>
      </c>
      <c r="G972" s="4">
        <v>-0.003645</v>
      </c>
      <c r="H972" s="4">
        <v>-0.003852</v>
      </c>
      <c r="I972" s="4">
        <v>-0.002378</v>
      </c>
      <c r="J972" s="4">
        <v>-0.003694</v>
      </c>
      <c r="K972" s="4">
        <v>-0.001701</v>
      </c>
      <c r="L972" s="4">
        <v>-4.76E-4</v>
      </c>
      <c r="M972" s="4">
        <v>-0.013122</v>
      </c>
      <c r="N972" s="4">
        <v>-0.004878</v>
      </c>
      <c r="O972" s="4">
        <v>-0.006655</v>
      </c>
      <c r="P972" s="4">
        <v>-0.051282</v>
      </c>
      <c r="Q972" s="4">
        <v>-0.009745</v>
      </c>
      <c r="R972" s="4">
        <v>-0.013212</v>
      </c>
      <c r="S972" s="4">
        <v>-0.021679</v>
      </c>
      <c r="T972" s="4">
        <v>0.010037</v>
      </c>
      <c r="U972" s="4">
        <v>-0.002734</v>
      </c>
      <c r="V972" s="4">
        <v>0.013783082112595</v>
      </c>
      <c r="W972" s="4">
        <v>0.0058165802804226</v>
      </c>
      <c r="X972" s="4">
        <v>0.0</v>
      </c>
      <c r="Y972" s="4">
        <v>-4.036868225617E-4</v>
      </c>
      <c r="Z972" s="4">
        <v>0.0012622259184491</v>
      </c>
      <c r="AA972" s="4">
        <v>0.0021794835981294</v>
      </c>
      <c r="AB972" s="4">
        <v>-7.381503392112E-4</v>
      </c>
      <c r="AC972" s="4">
        <v>0.0</v>
      </c>
      <c r="AD972" s="4">
        <v>0.0</v>
      </c>
      <c r="AE972" s="4">
        <v>-0.0058180196856669</v>
      </c>
      <c r="AF972" s="4">
        <v>-0.0046790254438354</v>
      </c>
      <c r="AG972" s="4">
        <v>-0.0102935994904527</v>
      </c>
      <c r="AH972" s="4">
        <v>-0.0093749590883299</v>
      </c>
      <c r="AI972" s="4">
        <v>5.397917174632E-4</v>
      </c>
      <c r="AJ972" s="4">
        <v>0.001005</v>
      </c>
      <c r="AK972" s="4">
        <f>Weights!E1028</f>
        <v>-0.004148777911</v>
      </c>
      <c r="AL972" s="5">
        <v>8.20321685760516E-4</v>
      </c>
      <c r="AM972" s="5">
        <v>0.00296991531543255</v>
      </c>
      <c r="AN972" s="5">
        <v>-0.00730415585330623</v>
      </c>
      <c r="AO972" s="5">
        <v>-0.00771528688799005</v>
      </c>
      <c r="AP972" s="6">
        <f t="shared" si="3"/>
        <v>1.537685179</v>
      </c>
      <c r="AQ972" s="4">
        <f t="shared" si="4"/>
        <v>1.356549786</v>
      </c>
      <c r="AR972" s="7">
        <f t="shared" si="5"/>
        <v>1.315329631</v>
      </c>
      <c r="AS972" s="7">
        <f t="shared" ref="AS972:AU972" si="974">AS971*(1+AM972)</f>
        <v>1.404106135</v>
      </c>
      <c r="AT972" s="5">
        <f t="shared" si="974"/>
        <v>1.302334449</v>
      </c>
      <c r="AU972" s="5">
        <f t="shared" si="974"/>
        <v>1.292493753</v>
      </c>
    </row>
    <row r="973" ht="15.75" customHeight="1">
      <c r="A973" s="3">
        <v>45239.0</v>
      </c>
      <c r="B973" s="4">
        <v>-5.79E-4</v>
      </c>
      <c r="C973" s="4">
        <v>-0.004194</v>
      </c>
      <c r="D973" s="4">
        <v>0.030915</v>
      </c>
      <c r="E973" s="4">
        <v>-0.007348</v>
      </c>
      <c r="F973" s="4">
        <v>-0.007532</v>
      </c>
      <c r="G973" s="4">
        <v>-0.019488</v>
      </c>
      <c r="H973" s="4">
        <v>0.002267</v>
      </c>
      <c r="I973" s="4">
        <v>-0.005662</v>
      </c>
      <c r="J973" s="4">
        <v>0.006673</v>
      </c>
      <c r="K973" s="4">
        <v>0.004771</v>
      </c>
      <c r="L973" s="4">
        <v>0.00107</v>
      </c>
      <c r="M973" s="4">
        <v>0.029917</v>
      </c>
      <c r="N973" s="4">
        <v>0.010656</v>
      </c>
      <c r="O973" s="4">
        <v>-0.036026</v>
      </c>
      <c r="P973" s="4">
        <v>-0.023864</v>
      </c>
      <c r="Q973" s="4">
        <v>-0.019682</v>
      </c>
      <c r="R973" s="4">
        <v>-0.011009</v>
      </c>
      <c r="S973" s="4">
        <v>0.012023</v>
      </c>
      <c r="T973" s="4">
        <v>-0.011768</v>
      </c>
      <c r="U973" s="4">
        <v>-0.006169</v>
      </c>
      <c r="V973" s="4">
        <v>0.00214672954091765</v>
      </c>
      <c r="W973" s="4">
        <v>-0.0131228078637339</v>
      </c>
      <c r="X973" s="4">
        <v>-0.0191176175387438</v>
      </c>
      <c r="Y973" s="4">
        <v>0.0106381771524279</v>
      </c>
      <c r="Z973" s="4">
        <v>0.0032974357647579</v>
      </c>
      <c r="AA973" s="4">
        <v>-0.0118624891623752</v>
      </c>
      <c r="AB973" s="4">
        <v>-0.0059099639402008</v>
      </c>
      <c r="AC973" s="4">
        <v>-0.003831501154394</v>
      </c>
      <c r="AD973" s="4">
        <v>-0.0092103706730614</v>
      </c>
      <c r="AE973" s="4">
        <v>0.0037865998482411</v>
      </c>
      <c r="AF973" s="4">
        <v>-0.0020892720872217</v>
      </c>
      <c r="AG973" s="4">
        <v>0.0199578469131609</v>
      </c>
      <c r="AH973" s="4">
        <v>0.0234338913875025</v>
      </c>
      <c r="AI973" s="4">
        <v>-0.0031390217189273</v>
      </c>
      <c r="AJ973" s="4">
        <v>-0.008084</v>
      </c>
      <c r="AK973" s="4">
        <f>Weights!E1029</f>
        <v>0.0004440612899</v>
      </c>
      <c r="AL973" s="5">
        <v>2.45971599017069E-4</v>
      </c>
      <c r="AM973" s="5">
        <v>-1.38801421961098E-4</v>
      </c>
      <c r="AN973" s="5">
        <v>-0.00167222549146395</v>
      </c>
      <c r="AO973" s="5">
        <v>-0.0025080856245977</v>
      </c>
      <c r="AP973" s="6">
        <f t="shared" si="3"/>
        <v>1.538368005</v>
      </c>
      <c r="AQ973" s="4">
        <f t="shared" si="4"/>
        <v>1.345583438</v>
      </c>
      <c r="AR973" s="7">
        <f t="shared" si="5"/>
        <v>1.315653165</v>
      </c>
      <c r="AS973" s="7">
        <f t="shared" ref="AS973:AU973" si="975">AS972*(1+AM973)</f>
        <v>1.403911243</v>
      </c>
      <c r="AT973" s="5">
        <f t="shared" si="975"/>
        <v>1.300156652</v>
      </c>
      <c r="AU973" s="5">
        <f t="shared" si="975"/>
        <v>1.289252068</v>
      </c>
    </row>
    <row r="974" ht="15.75" customHeight="1">
      <c r="A974" s="3">
        <v>45240.0</v>
      </c>
      <c r="B974" s="4">
        <v>-0.001159</v>
      </c>
      <c r="C974" s="4">
        <v>0.002527</v>
      </c>
      <c r="D974" s="4">
        <v>-0.002418</v>
      </c>
      <c r="E974" s="4">
        <v>0.004574</v>
      </c>
      <c r="F974" s="4">
        <v>0.001059</v>
      </c>
      <c r="G974" s="4">
        <v>-0.001153</v>
      </c>
      <c r="H974" s="4">
        <v>0.00705</v>
      </c>
      <c r="I974" s="4">
        <v>8.99E-4</v>
      </c>
      <c r="J974" s="4">
        <v>-0.008593</v>
      </c>
      <c r="K974" s="4">
        <v>0.007292</v>
      </c>
      <c r="L974" s="4">
        <v>0.005703</v>
      </c>
      <c r="M974" s="4">
        <v>0.005917</v>
      </c>
      <c r="N974" s="4">
        <v>0.004639</v>
      </c>
      <c r="O974" s="4">
        <v>0.001255</v>
      </c>
      <c r="P974" s="4">
        <v>0.007364</v>
      </c>
      <c r="Q974" s="4">
        <v>-0.0139</v>
      </c>
      <c r="R974" s="4">
        <v>0.013237</v>
      </c>
      <c r="S974" s="4">
        <v>0.001165</v>
      </c>
      <c r="T974" s="4">
        <v>0.009659</v>
      </c>
      <c r="U974" s="4">
        <v>3.06E-4</v>
      </c>
      <c r="V974" s="4">
        <v>0.00856834944815099</v>
      </c>
      <c r="W974" s="4">
        <v>-0.006310606351643</v>
      </c>
      <c r="X974" s="4">
        <v>0.013493186895646</v>
      </c>
      <c r="Y974" s="4">
        <v>-0.0041306222314426</v>
      </c>
      <c r="Z974" s="4">
        <v>-0.0265828558481746</v>
      </c>
      <c r="AA974" s="4">
        <v>-0.0230093228127586</v>
      </c>
      <c r="AB974" s="4">
        <v>-0.0069358822309116</v>
      </c>
      <c r="AC974" s="4">
        <v>0.0038462380198069</v>
      </c>
      <c r="AD974" s="4">
        <v>-0.0119523196340124</v>
      </c>
      <c r="AE974" s="4">
        <v>-0.0195472453291185</v>
      </c>
      <c r="AF974" s="4">
        <v>-0.0193667074705488</v>
      </c>
      <c r="AG974" s="4">
        <v>-0.0170868686719521</v>
      </c>
      <c r="AH974" s="4">
        <v>0.0035227370076043</v>
      </c>
      <c r="AI974" s="4">
        <v>-0.0016287711561115</v>
      </c>
      <c r="AJ974" s="4">
        <v>0.015616</v>
      </c>
      <c r="AK974" s="4">
        <f>Weights!E1030</f>
        <v>-0.002305946216</v>
      </c>
      <c r="AL974" s="5">
        <v>-0.00581874450571351</v>
      </c>
      <c r="AM974" s="5">
        <v>-0.00851414337646105</v>
      </c>
      <c r="AN974" s="5">
        <v>0.00402003685446605</v>
      </c>
      <c r="AO974" s="5">
        <v>0.00301729036561648</v>
      </c>
      <c r="AP974" s="6">
        <f t="shared" si="3"/>
        <v>1.534820611</v>
      </c>
      <c r="AQ974" s="4">
        <f t="shared" si="4"/>
        <v>1.366596069</v>
      </c>
      <c r="AR974" s="7">
        <f t="shared" si="5"/>
        <v>1.307997715</v>
      </c>
      <c r="AS974" s="7">
        <f t="shared" ref="AS974:AU974" si="976">AS973*(1+AM974)</f>
        <v>1.391958141</v>
      </c>
      <c r="AT974" s="5">
        <f t="shared" si="976"/>
        <v>1.30538333</v>
      </c>
      <c r="AU974" s="5">
        <f t="shared" si="976"/>
        <v>1.293142116</v>
      </c>
    </row>
    <row r="975" ht="15.75" customHeight="1">
      <c r="A975" s="3">
        <v>45243.0</v>
      </c>
      <c r="B975" s="4">
        <v>0.0</v>
      </c>
      <c r="C975" s="4">
        <v>0.00308</v>
      </c>
      <c r="D975" s="4">
        <v>0.004364</v>
      </c>
      <c r="E975" s="4">
        <v>0.005092</v>
      </c>
      <c r="F975" s="4">
        <v>0.003702</v>
      </c>
      <c r="G975" s="4">
        <v>0.002581</v>
      </c>
      <c r="H975" s="4">
        <v>0.006935</v>
      </c>
      <c r="I975" s="4">
        <v>0.012275</v>
      </c>
      <c r="J975" s="4">
        <v>-0.003219</v>
      </c>
      <c r="K975" s="4">
        <v>0.007576</v>
      </c>
      <c r="L975" s="4">
        <v>3.54E-4</v>
      </c>
      <c r="M975" s="4">
        <v>-0.003743</v>
      </c>
      <c r="N975" s="4">
        <v>0.004198</v>
      </c>
      <c r="O975" s="4">
        <v>-0.004735</v>
      </c>
      <c r="P975" s="4">
        <v>0.0</v>
      </c>
      <c r="Q975" s="4">
        <v>-0.024276</v>
      </c>
      <c r="R975" s="4">
        <v>-0.007423</v>
      </c>
      <c r="S975" s="4">
        <v>0.007911</v>
      </c>
      <c r="T975" s="4">
        <v>0.002097</v>
      </c>
      <c r="U975" s="4">
        <v>1.53E-4</v>
      </c>
      <c r="V975" s="4">
        <v>-0.0180530792869038</v>
      </c>
      <c r="W975" s="4">
        <v>-0.0038556729216021</v>
      </c>
      <c r="X975" s="4">
        <v>0.0162722005076192</v>
      </c>
      <c r="Y975" s="4">
        <v>-0.0183300783946039</v>
      </c>
      <c r="Z975" s="4">
        <v>-0.0084408787058477</v>
      </c>
      <c r="AA975" s="4">
        <v>-0.0219126454078666</v>
      </c>
      <c r="AB975" s="4">
        <v>-0.0219506769715471</v>
      </c>
      <c r="AC975" s="4">
        <v>-0.003831501154394</v>
      </c>
      <c r="AD975" s="4">
        <v>0.0215053486230665</v>
      </c>
      <c r="AE975" s="4">
        <v>0.0</v>
      </c>
      <c r="AF975" s="4">
        <v>0.0</v>
      </c>
      <c r="AG975" s="4">
        <v>-0.021729938379978</v>
      </c>
      <c r="AH975" s="4">
        <v>0.014918788607672</v>
      </c>
      <c r="AI975" s="4">
        <v>-0.0021749438486782</v>
      </c>
      <c r="AJ975" s="4">
        <v>-8.36E-4</v>
      </c>
      <c r="AK975" s="4">
        <f>Weights!E1031</f>
        <v>-0.002099845617</v>
      </c>
      <c r="AL975" s="5">
        <v>0.0126122948522093</v>
      </c>
      <c r="AM975" s="5">
        <v>0.0148879043141756</v>
      </c>
      <c r="AN975" s="5">
        <v>0.003003055663646</v>
      </c>
      <c r="AO975" s="5">
        <v>0.00325880659634814</v>
      </c>
      <c r="AP975" s="6">
        <f t="shared" si="3"/>
        <v>1.531597725</v>
      </c>
      <c r="AQ975" s="4">
        <f t="shared" si="4"/>
        <v>1.365453594</v>
      </c>
      <c r="AR975" s="7">
        <f t="shared" si="5"/>
        <v>1.324494568</v>
      </c>
      <c r="AS975" s="7">
        <f t="shared" ref="AS975:AU975" si="977">AS974*(1+AM975)</f>
        <v>1.412681481</v>
      </c>
      <c r="AT975" s="5">
        <f t="shared" si="977"/>
        <v>1.309303469</v>
      </c>
      <c r="AU975" s="5">
        <f t="shared" si="977"/>
        <v>1.297356216</v>
      </c>
    </row>
    <row r="976" ht="15.75" customHeight="1">
      <c r="A976" s="3">
        <v>45244.0</v>
      </c>
      <c r="B976" s="4">
        <v>0.027858</v>
      </c>
      <c r="C976" s="4">
        <v>0.001675</v>
      </c>
      <c r="D976" s="4">
        <v>0.01931</v>
      </c>
      <c r="E976" s="4">
        <v>0.002027</v>
      </c>
      <c r="F976" s="4">
        <v>0.002986</v>
      </c>
      <c r="G976" s="4">
        <v>2.03E-4</v>
      </c>
      <c r="H976" s="4">
        <v>-0.00223</v>
      </c>
      <c r="I976" s="4">
        <v>0.003039</v>
      </c>
      <c r="J976" s="4">
        <v>0.022857</v>
      </c>
      <c r="K976" s="4">
        <v>0.02005</v>
      </c>
      <c r="L976" s="4">
        <v>0.027633</v>
      </c>
      <c r="M976" s="4">
        <v>0.017177</v>
      </c>
      <c r="N976" s="4">
        <v>0.046405</v>
      </c>
      <c r="O976" s="4">
        <v>0.030716</v>
      </c>
      <c r="P976" s="4">
        <v>0.055263</v>
      </c>
      <c r="Q976" s="4">
        <v>0.052969</v>
      </c>
      <c r="R976" s="4">
        <v>0.052049</v>
      </c>
      <c r="S976" s="4">
        <v>0.034857</v>
      </c>
      <c r="T976" s="4">
        <v>0.013339</v>
      </c>
      <c r="U976" s="4">
        <v>0.033931</v>
      </c>
      <c r="V976" s="4">
        <v>0.0</v>
      </c>
      <c r="W976" s="4">
        <v>0.0323314812533055</v>
      </c>
      <c r="X976" s="4">
        <v>-0.0116447885583104</v>
      </c>
      <c r="Y976" s="4">
        <v>0.0083139782388557</v>
      </c>
      <c r="Z976" s="4">
        <v>0.0108367960431792</v>
      </c>
      <c r="AA976" s="4">
        <v>0.007537677560983</v>
      </c>
      <c r="AB976" s="4">
        <v>0.0022955230429078</v>
      </c>
      <c r="AC976" s="4">
        <v>0.0038462380198069</v>
      </c>
      <c r="AD976" s="4">
        <v>-0.0105263573712043</v>
      </c>
      <c r="AE976" s="4">
        <v>0.0157397651124877</v>
      </c>
      <c r="AF976" s="4">
        <v>0.0085401718840347</v>
      </c>
      <c r="AG976" s="4">
        <v>0.0035825375726075</v>
      </c>
      <c r="AH976" s="4">
        <v>-0.0062688728717688</v>
      </c>
      <c r="AI976" s="4">
        <v>0.0027248266488975</v>
      </c>
      <c r="AJ976" s="4">
        <v>0.019075</v>
      </c>
      <c r="AK976" s="4">
        <f>Weights!E1032</f>
        <v>0.01382713217</v>
      </c>
      <c r="AL976" s="5">
        <v>3.25629211870515E-4</v>
      </c>
      <c r="AM976" s="5">
        <v>-5.98060620915164E-4</v>
      </c>
      <c r="AN976" s="5">
        <v>0.00432473741692263</v>
      </c>
      <c r="AO976" s="5">
        <v>0.00249888455991897</v>
      </c>
      <c r="AP976" s="6">
        <f t="shared" si="3"/>
        <v>1.552775329</v>
      </c>
      <c r="AQ976" s="4">
        <f t="shared" si="4"/>
        <v>1.391499622</v>
      </c>
      <c r="AR976" s="7">
        <f t="shared" si="5"/>
        <v>1.324925862</v>
      </c>
      <c r="AS976" s="7">
        <f t="shared" ref="AS976:AU976" si="978">AS975*(1+AM976)</f>
        <v>1.411836612</v>
      </c>
      <c r="AT976" s="5">
        <f t="shared" si="978"/>
        <v>1.314965863</v>
      </c>
      <c r="AU976" s="5">
        <f t="shared" si="978"/>
        <v>1.300598159</v>
      </c>
    </row>
    <row r="977" ht="15.75" customHeight="1">
      <c r="A977" s="3">
        <v>45245.0</v>
      </c>
      <c r="B977" s="4">
        <v>0.009035</v>
      </c>
      <c r="C977" s="4">
        <v>0.003344</v>
      </c>
      <c r="D977" s="4">
        <v>0.007341</v>
      </c>
      <c r="E977" s="4">
        <v>-0.005116</v>
      </c>
      <c r="F977" s="4">
        <v>0.001926</v>
      </c>
      <c r="G977" s="4">
        <v>0.00772</v>
      </c>
      <c r="H977" s="4">
        <v>-0.004602</v>
      </c>
      <c r="I977" s="4">
        <v>0.003907</v>
      </c>
      <c r="J977" s="4">
        <v>0.007287</v>
      </c>
      <c r="K977" s="4">
        <v>0.003931</v>
      </c>
      <c r="L977" s="4">
        <v>0.00678</v>
      </c>
      <c r="M977" s="4">
        <v>0.002111</v>
      </c>
      <c r="N977" s="4">
        <v>0.007391</v>
      </c>
      <c r="O977" s="4">
        <v>0.032856</v>
      </c>
      <c r="P977" s="4">
        <v>0.007758</v>
      </c>
      <c r="Q977" s="4">
        <v>-0.016006</v>
      </c>
      <c r="R977" s="4">
        <v>0.0236</v>
      </c>
      <c r="S977" s="4">
        <v>-0.005354</v>
      </c>
      <c r="T977" s="4">
        <v>0.010259</v>
      </c>
      <c r="U977" s="4">
        <v>-0.007186</v>
      </c>
      <c r="V977" s="4">
        <v>0.0486661882349832</v>
      </c>
      <c r="W977" s="4">
        <v>-6.617365872575E-4</v>
      </c>
      <c r="X977" s="4">
        <v>0.0</v>
      </c>
      <c r="Y977" s="4">
        <v>-0.0058801155200622</v>
      </c>
      <c r="Z977" s="4">
        <v>0.002183800065725</v>
      </c>
      <c r="AA977" s="4">
        <v>-0.0145469499493762</v>
      </c>
      <c r="AB977" s="4">
        <v>-0.0111959609672334</v>
      </c>
      <c r="AC977" s="4">
        <v>0.0</v>
      </c>
      <c r="AD977" s="4">
        <v>0.0</v>
      </c>
      <c r="AE977" s="4">
        <v>0.0051652428544215</v>
      </c>
      <c r="AF977" s="4">
        <v>0.0063508750547598</v>
      </c>
      <c r="AG977" s="4">
        <v>-0.0029985565425281</v>
      </c>
      <c r="AH977" s="4">
        <v>-0.0052208325450012</v>
      </c>
      <c r="AI977" s="4">
        <v>0.0010868807085615</v>
      </c>
      <c r="AJ977" s="4">
        <v>0.001597</v>
      </c>
      <c r="AK977" s="4">
        <f>Weights!E1033</f>
        <v>0.002836501617</v>
      </c>
      <c r="AL977" s="5">
        <v>0.0209960883204267</v>
      </c>
      <c r="AM977" s="5">
        <v>0.0221783437754794</v>
      </c>
      <c r="AN977" s="5">
        <v>0.014574241324972</v>
      </c>
      <c r="AO977" s="5">
        <v>0.0164505739188003</v>
      </c>
      <c r="AP977" s="6">
        <f t="shared" si="3"/>
        <v>1.557179779</v>
      </c>
      <c r="AQ977" s="4">
        <f t="shared" si="4"/>
        <v>1.393721846</v>
      </c>
      <c r="AR977" s="7">
        <f t="shared" si="5"/>
        <v>1.352744123</v>
      </c>
      <c r="AS977" s="7">
        <f t="shared" ref="AS977:AU977" si="979">AS976*(1+AM977)</f>
        <v>1.44314881</v>
      </c>
      <c r="AT977" s="5">
        <f t="shared" si="979"/>
        <v>1.334130492</v>
      </c>
      <c r="AU977" s="5">
        <f t="shared" si="979"/>
        <v>1.321993745</v>
      </c>
    </row>
    <row r="978" ht="15.75" customHeight="1">
      <c r="A978" s="3">
        <v>45246.0</v>
      </c>
      <c r="B978" s="4">
        <v>-0.011192</v>
      </c>
      <c r="C978" s="4">
        <v>0.005</v>
      </c>
      <c r="D978" s="4">
        <v>-0.007992</v>
      </c>
      <c r="E978" s="4">
        <v>0.00275</v>
      </c>
      <c r="F978" s="4">
        <v>-0.001049</v>
      </c>
      <c r="G978" s="4">
        <v>0.008737</v>
      </c>
      <c r="H978" s="4">
        <v>0.009312</v>
      </c>
      <c r="I978" s="4">
        <v>-0.01497</v>
      </c>
      <c r="J978" s="4">
        <v>2.7E-5</v>
      </c>
      <c r="K978" s="4">
        <v>-0.006363</v>
      </c>
      <c r="L978" s="4">
        <v>-0.006849</v>
      </c>
      <c r="M978" s="4">
        <v>-0.009479</v>
      </c>
      <c r="N978" s="4">
        <v>-0.003569</v>
      </c>
      <c r="O978" s="4">
        <v>-0.02136</v>
      </c>
      <c r="P978" s="4">
        <v>0.005224</v>
      </c>
      <c r="Q978" s="4">
        <v>0.003098</v>
      </c>
      <c r="R978" s="4">
        <v>-0.012778</v>
      </c>
      <c r="S978" s="4">
        <v>0.028706</v>
      </c>
      <c r="T978" s="4">
        <v>-0.010411</v>
      </c>
      <c r="U978" s="4">
        <v>0.007387</v>
      </c>
      <c r="V978" s="4">
        <v>0.0158129450854505</v>
      </c>
      <c r="W978" s="4">
        <v>-0.012800572425999</v>
      </c>
      <c r="X978" s="4">
        <v>-0.0044183174508288</v>
      </c>
      <c r="Y978" s="4">
        <v>-0.011081381003307</v>
      </c>
      <c r="Z978" s="4">
        <v>-0.0127772869912263</v>
      </c>
      <c r="AA978" s="4">
        <v>-0.0326866445681686</v>
      </c>
      <c r="AB978" s="4">
        <v>-0.0141533601288688</v>
      </c>
      <c r="AC978" s="4">
        <v>-0.001915750577197</v>
      </c>
      <c r="AD978" s="4">
        <v>-0.0079785889122609</v>
      </c>
      <c r="AE978" s="4">
        <v>-0.0082219741904093</v>
      </c>
      <c r="AF978" s="4">
        <v>-0.0123586314210932</v>
      </c>
      <c r="AG978" s="4">
        <v>-0.0018618708569536</v>
      </c>
      <c r="AH978" s="4">
        <v>0.0240542607949969</v>
      </c>
      <c r="AI978" s="4">
        <v>-0.0016287711561115</v>
      </c>
      <c r="AJ978" s="4">
        <v>0.00119</v>
      </c>
      <c r="AK978" s="4">
        <f>Weights!E1034</f>
        <v>-0.003412029442</v>
      </c>
      <c r="AL978" s="5">
        <v>0.00159420748047756</v>
      </c>
      <c r="AM978" s="5">
        <v>0.00247580233120103</v>
      </c>
      <c r="AN978" s="5">
        <v>0.00228535952887276</v>
      </c>
      <c r="AO978" s="5">
        <v>0.00122620573476472</v>
      </c>
      <c r="AP978" s="6">
        <f t="shared" si="3"/>
        <v>1.551866636</v>
      </c>
      <c r="AQ978" s="4">
        <f t="shared" si="4"/>
        <v>1.395380375</v>
      </c>
      <c r="AR978" s="7">
        <f t="shared" si="5"/>
        <v>1.354900677</v>
      </c>
      <c r="AS978" s="7">
        <f t="shared" ref="AS978:AU978" si="980">AS977*(1+AM978)</f>
        <v>1.446721761</v>
      </c>
      <c r="AT978" s="5">
        <f t="shared" si="980"/>
        <v>1.33717946</v>
      </c>
      <c r="AU978" s="5">
        <f t="shared" si="980"/>
        <v>1.323614782</v>
      </c>
    </row>
    <row r="979" ht="15.75" customHeight="1">
      <c r="A979" s="3">
        <v>45247.0</v>
      </c>
      <c r="B979" s="4">
        <v>-5.66E-4</v>
      </c>
      <c r="C979" s="4">
        <v>0.001382</v>
      </c>
      <c r="D979" s="4">
        <v>0.013981</v>
      </c>
      <c r="E979" s="4">
        <v>-0.005665</v>
      </c>
      <c r="F979" s="4">
        <v>0.001925</v>
      </c>
      <c r="G979" s="4">
        <v>-0.002065</v>
      </c>
      <c r="H979" s="4">
        <v>-0.011516</v>
      </c>
      <c r="I979" s="4">
        <v>0.023708</v>
      </c>
      <c r="J979" s="4">
        <v>0.003168</v>
      </c>
      <c r="K979" s="4">
        <v>0.015107</v>
      </c>
      <c r="L979" s="4">
        <v>0.011378</v>
      </c>
      <c r="M979" s="4">
        <v>0.01967</v>
      </c>
      <c r="N979" s="4">
        <v>0.008557</v>
      </c>
      <c r="O979" s="4">
        <v>2.69E-4</v>
      </c>
      <c r="P979" s="4">
        <v>-0.005744</v>
      </c>
      <c r="Q979" s="4">
        <v>-0.003089</v>
      </c>
      <c r="R979" s="4">
        <v>0.012943</v>
      </c>
      <c r="S979" s="4">
        <v>-0.003052</v>
      </c>
      <c r="T979" s="4">
        <v>0.011746</v>
      </c>
      <c r="U979" s="4">
        <v>-0.001259</v>
      </c>
      <c r="V979" s="4">
        <v>-0.0125212129728746</v>
      </c>
      <c r="W979" s="4">
        <v>-0.0353232100085431</v>
      </c>
      <c r="X979" s="4">
        <v>-0.008875619133097</v>
      </c>
      <c r="Y979" s="4">
        <v>-1.376289743749E-4</v>
      </c>
      <c r="Z979" s="4">
        <v>0.0105348266331315</v>
      </c>
      <c r="AA979" s="4">
        <v>-0.0117722453437303</v>
      </c>
      <c r="AB979" s="4">
        <v>-0.0221874202506228</v>
      </c>
      <c r="AC979" s="4">
        <v>-0.0076774801504284</v>
      </c>
      <c r="AD979" s="4">
        <v>0.0093834421523015</v>
      </c>
      <c r="AE979" s="4">
        <v>-0.0069085140814977</v>
      </c>
      <c r="AF979" s="4">
        <v>-0.0098509631395438</v>
      </c>
      <c r="AG979" s="4">
        <v>-0.0063138838342299</v>
      </c>
      <c r="AH979" s="4">
        <v>0.0254110518489887</v>
      </c>
      <c r="AI979" s="4">
        <v>-0.0087004368739856</v>
      </c>
      <c r="AJ979" s="4">
        <v>0.001282</v>
      </c>
      <c r="AK979" s="4">
        <f>Weights!E1035</f>
        <v>0.0007049360073</v>
      </c>
      <c r="AL979" s="5">
        <v>0.0</v>
      </c>
      <c r="AM979" s="5">
        <v>-6.73493980962502E-4</v>
      </c>
      <c r="AN979" s="5">
        <v>6.51498916164561E-4</v>
      </c>
      <c r="AO979" s="5">
        <v>7.3476382716775E-4</v>
      </c>
      <c r="AP979" s="6">
        <f t="shared" si="3"/>
        <v>1.552960602</v>
      </c>
      <c r="AQ979" s="4">
        <f t="shared" si="4"/>
        <v>1.397169253</v>
      </c>
      <c r="AR979" s="7">
        <f t="shared" si="5"/>
        <v>1.354900677</v>
      </c>
      <c r="AS979" s="7">
        <f t="shared" ref="AS979:AU979" si="981">AS978*(1+AM979)</f>
        <v>1.445747402</v>
      </c>
      <c r="AT979" s="5">
        <f t="shared" si="981"/>
        <v>1.338050631</v>
      </c>
      <c r="AU979" s="5">
        <f t="shared" si="981"/>
        <v>1.324587326</v>
      </c>
    </row>
    <row r="980" ht="15.75" customHeight="1">
      <c r="A980" s="3">
        <v>45250.0</v>
      </c>
      <c r="B980" s="4">
        <v>-0.001699</v>
      </c>
      <c r="C980" s="4">
        <v>0.013801</v>
      </c>
      <c r="D980" s="4">
        <v>-0.003272</v>
      </c>
      <c r="E980" s="4">
        <v>-0.001439</v>
      </c>
      <c r="F980" s="4">
        <v>0.002445</v>
      </c>
      <c r="G980" s="4">
        <v>0.008746</v>
      </c>
      <c r="H980" s="4">
        <v>-0.005296</v>
      </c>
      <c r="I980" s="4">
        <v>0.0</v>
      </c>
      <c r="J980" s="4">
        <v>-0.003886</v>
      </c>
      <c r="K980" s="4">
        <v>0.003073</v>
      </c>
      <c r="L980" s="4">
        <v>-0.001932</v>
      </c>
      <c r="M980" s="4">
        <v>0.005735</v>
      </c>
      <c r="N980" s="4">
        <v>0.002762</v>
      </c>
      <c r="O980" s="4">
        <v>0.015241</v>
      </c>
      <c r="P980" s="4">
        <v>0.005777</v>
      </c>
      <c r="Q980" s="4">
        <v>0.013168</v>
      </c>
      <c r="R980" s="4">
        <v>0.018056</v>
      </c>
      <c r="S980" s="4">
        <v>0.003061</v>
      </c>
      <c r="T980" s="4">
        <v>0.00185</v>
      </c>
      <c r="U980" s="4">
        <v>-0.003708</v>
      </c>
      <c r="V980" s="4">
        <v>0.0342701711039123</v>
      </c>
      <c r="W980" s="4">
        <v>-0.0074158236610243</v>
      </c>
      <c r="X980" s="4">
        <v>-0.0059703016424944</v>
      </c>
      <c r="Y980" s="4">
        <v>0.0057068112327198</v>
      </c>
      <c r="Z980" s="4">
        <v>-0.0030778530882136</v>
      </c>
      <c r="AA980" s="4">
        <v>0.0169863169324004</v>
      </c>
      <c r="AB980" s="4">
        <v>0.0040042779212452</v>
      </c>
      <c r="AC980" s="4">
        <v>0.0038684011923448</v>
      </c>
      <c r="AD980" s="4">
        <v>-0.0172642032778119</v>
      </c>
      <c r="AE980" s="4">
        <v>0.0156522395082219</v>
      </c>
      <c r="AF980" s="4">
        <v>-0.0088733702495654</v>
      </c>
      <c r="AG980" s="4">
        <v>-0.0038988283584662</v>
      </c>
      <c r="AH980" s="4">
        <v>-0.0139525013792728</v>
      </c>
      <c r="AI980" s="4">
        <v>0.0038397799917055</v>
      </c>
      <c r="AJ980" s="4">
        <v>0.00739</v>
      </c>
      <c r="AK980" s="4">
        <f>Weights!E1036</f>
        <v>0.002709242512</v>
      </c>
      <c r="AL980" s="5">
        <v>0.00509308312002132</v>
      </c>
      <c r="AM980" s="5">
        <v>0.00251624015513685</v>
      </c>
      <c r="AN980" s="5">
        <v>0.00748700176015892</v>
      </c>
      <c r="AO980" s="5">
        <v>0.0061185362139795</v>
      </c>
      <c r="AP980" s="6">
        <f t="shared" si="3"/>
        <v>1.557167949</v>
      </c>
      <c r="AQ980" s="4">
        <f t="shared" si="4"/>
        <v>1.407494334</v>
      </c>
      <c r="AR980" s="7">
        <f t="shared" si="5"/>
        <v>1.361801299</v>
      </c>
      <c r="AS980" s="7">
        <f t="shared" ref="AS980:AU980" si="982">AS979*(1+AM980)</f>
        <v>1.44938525</v>
      </c>
      <c r="AT980" s="5">
        <f t="shared" si="982"/>
        <v>1.348068619</v>
      </c>
      <c r="AU980" s="5">
        <f t="shared" si="982"/>
        <v>1.332691862</v>
      </c>
    </row>
    <row r="981" ht="15.75" customHeight="1">
      <c r="A981" s="3">
        <v>45251.0</v>
      </c>
      <c r="B981" s="4">
        <v>-0.002269</v>
      </c>
      <c r="C981" s="4">
        <v>0.014157</v>
      </c>
      <c r="D981" s="4">
        <v>0.002345</v>
      </c>
      <c r="E981" s="4">
        <v>0.007687</v>
      </c>
      <c r="F981" s="4">
        <v>0.010976</v>
      </c>
      <c r="G981" s="4">
        <v>0.008071</v>
      </c>
      <c r="H981" s="4">
        <v>-0.004392</v>
      </c>
      <c r="I981" s="4">
        <v>0.005344</v>
      </c>
      <c r="J981" s="4">
        <v>-0.001219</v>
      </c>
      <c r="K981" s="4">
        <v>-0.008386</v>
      </c>
      <c r="L981" s="4">
        <v>-0.00444</v>
      </c>
      <c r="M981" s="4">
        <v>0.002907</v>
      </c>
      <c r="N981" s="4">
        <v>-0.001968</v>
      </c>
      <c r="O981" s="4">
        <v>0.008663</v>
      </c>
      <c r="P981" s="4">
        <v>0.023523</v>
      </c>
      <c r="Q981" s="4">
        <v>0.041284</v>
      </c>
      <c r="R981" s="4">
        <v>0.00955</v>
      </c>
      <c r="S981" s="4">
        <v>0.024199</v>
      </c>
      <c r="T981" s="4">
        <v>0.004712</v>
      </c>
      <c r="U981" s="4">
        <v>-0.020322</v>
      </c>
      <c r="V981" s="4">
        <v>0.0152418346273892</v>
      </c>
      <c r="W981" s="4">
        <v>-0.0154097732528702</v>
      </c>
      <c r="X981" s="4">
        <v>-0.0015013633712804</v>
      </c>
      <c r="Y981" s="4">
        <v>-4.785493794257E-4</v>
      </c>
      <c r="Z981" s="4">
        <v>-0.0067722711268956</v>
      </c>
      <c r="AA981" s="4">
        <v>0.0275488124829859</v>
      </c>
      <c r="AB981" s="4">
        <v>0.0095718521273164</v>
      </c>
      <c r="AC981" s="4">
        <v>0.0</v>
      </c>
      <c r="AD981" s="4">
        <v>0.0</v>
      </c>
      <c r="AE981" s="4">
        <v>0.0198629655921813</v>
      </c>
      <c r="AF981" s="4">
        <v>-0.0110276672561887</v>
      </c>
      <c r="AG981" s="4">
        <v>0.0111626147562651</v>
      </c>
      <c r="AH981" s="4">
        <v>-0.0038015048315637</v>
      </c>
      <c r="AI981" s="4">
        <v>0.0043717241843095</v>
      </c>
      <c r="AJ981" s="4">
        <v>-0.002021</v>
      </c>
      <c r="AK981" s="4">
        <f>Weights!E1037</f>
        <v>0.004817388438</v>
      </c>
      <c r="AL981" s="5">
        <v>0.00609653150656641</v>
      </c>
      <c r="AM981" s="5">
        <v>0.00752984359842101</v>
      </c>
      <c r="AN981" s="5">
        <v>0.00258481634432428</v>
      </c>
      <c r="AO981" s="5">
        <v>0.00364860253084042</v>
      </c>
      <c r="AP981" s="6">
        <f t="shared" si="3"/>
        <v>1.564669432</v>
      </c>
      <c r="AQ981" s="4">
        <f t="shared" si="4"/>
        <v>1.404649788</v>
      </c>
      <c r="AR981" s="7">
        <f t="shared" si="5"/>
        <v>1.370103564</v>
      </c>
      <c r="AS981" s="7">
        <f t="shared" ref="AS981:AU981" si="983">AS980*(1+AM981)</f>
        <v>1.460298894</v>
      </c>
      <c r="AT981" s="5">
        <f t="shared" si="983"/>
        <v>1.351553128</v>
      </c>
      <c r="AU981" s="5">
        <f t="shared" si="983"/>
        <v>1.337554324</v>
      </c>
    </row>
    <row r="982" ht="15.75" customHeight="1">
      <c r="A982" s="3">
        <v>45252.0</v>
      </c>
      <c r="B982" s="4">
        <v>-0.001706</v>
      </c>
      <c r="C982" s="4">
        <v>0.002685</v>
      </c>
      <c r="D982" s="4">
        <v>0.002573</v>
      </c>
      <c r="E982" s="4">
        <v>0.008462</v>
      </c>
      <c r="F982" s="4">
        <v>0.006721</v>
      </c>
      <c r="G982" s="4">
        <v>-0.001985</v>
      </c>
      <c r="H982" s="4">
        <v>0.009425</v>
      </c>
      <c r="I982" s="4">
        <v>0.002067</v>
      </c>
      <c r="J982" s="4">
        <v>0.002197</v>
      </c>
      <c r="K982" s="4">
        <v>-0.00927</v>
      </c>
      <c r="L982" s="4">
        <v>-0.00629</v>
      </c>
      <c r="M982" s="4">
        <v>-0.001572</v>
      </c>
      <c r="N982" s="4">
        <v>0.005718</v>
      </c>
      <c r="O982" s="4">
        <v>5.9E-4</v>
      </c>
      <c r="P982" s="4">
        <v>0.007215</v>
      </c>
      <c r="Q982" s="4">
        <v>0.002937</v>
      </c>
      <c r="R982" s="4">
        <v>-0.002973</v>
      </c>
      <c r="S982" s="4">
        <v>0.006173</v>
      </c>
      <c r="T982" s="4">
        <v>-0.002472</v>
      </c>
      <c r="U982" s="4">
        <v>0.012841</v>
      </c>
      <c r="V982" s="4">
        <v>0.00261101351521575</v>
      </c>
      <c r="W982" s="4">
        <v>0.0201564539151004</v>
      </c>
      <c r="X982" s="4">
        <v>0.0</v>
      </c>
      <c r="Y982" s="4">
        <v>0.0010260770523102</v>
      </c>
      <c r="Z982" s="4">
        <v>-0.0019051374280025</v>
      </c>
      <c r="AA982" s="4">
        <v>4.223808378112E-4</v>
      </c>
      <c r="AB982" s="4">
        <v>0.0147484614499771</v>
      </c>
      <c r="AC982" s="4">
        <v>0.0</v>
      </c>
      <c r="AD982" s="4">
        <v>0.0</v>
      </c>
      <c r="AE982" s="4">
        <v>0.0020148361972605</v>
      </c>
      <c r="AF982" s="4">
        <v>0.0068587843548009</v>
      </c>
      <c r="AG982" s="4">
        <v>0.0021505403878725</v>
      </c>
      <c r="AH982" s="4">
        <v>0.014203924560864</v>
      </c>
      <c r="AI982" s="4">
        <v>-0.0038085533222284</v>
      </c>
      <c r="AJ982" s="4">
        <v>0.004061</v>
      </c>
      <c r="AK982" s="4">
        <f>Weights!E1038</f>
        <v>0.002812079468</v>
      </c>
      <c r="AL982" s="5">
        <v>-0.00212475185676919</v>
      </c>
      <c r="AM982" s="5">
        <v>-0.00271357721094323</v>
      </c>
      <c r="AN982" s="5">
        <v>-0.00675816700932341</v>
      </c>
      <c r="AO982" s="5">
        <v>-0.00654376408484824</v>
      </c>
      <c r="AP982" s="6">
        <f t="shared" si="3"/>
        <v>1.569069407</v>
      </c>
      <c r="AQ982" s="4">
        <f t="shared" si="4"/>
        <v>1.410354071</v>
      </c>
      <c r="AR982" s="7">
        <f t="shared" si="5"/>
        <v>1.367192434</v>
      </c>
      <c r="AS982" s="7">
        <f t="shared" ref="AS982:AU982" si="984">AS981*(1+AM982)</f>
        <v>1.456336261</v>
      </c>
      <c r="AT982" s="5">
        <f t="shared" si="984"/>
        <v>1.342419107</v>
      </c>
      <c r="AU982" s="5">
        <f t="shared" si="984"/>
        <v>1.328801685</v>
      </c>
    </row>
    <row r="983" ht="15.75" customHeight="1">
      <c r="A983" s="3">
        <v>45254.0</v>
      </c>
      <c r="B983" s="4">
        <v>0.010251</v>
      </c>
      <c r="C983" s="4">
        <v>0.001606</v>
      </c>
      <c r="D983" s="4">
        <v>0.012599</v>
      </c>
      <c r="E983" s="4">
        <v>8.86E-4</v>
      </c>
      <c r="F983" s="4">
        <v>0.002568</v>
      </c>
      <c r="G983" s="4">
        <v>0.011139</v>
      </c>
      <c r="H983" s="4">
        <v>0.002384</v>
      </c>
      <c r="I983" s="4">
        <v>0.008842</v>
      </c>
      <c r="J983" s="4">
        <v>7.31E-4</v>
      </c>
      <c r="K983" s="4">
        <v>0.009357</v>
      </c>
      <c r="L983" s="4">
        <v>0.008516</v>
      </c>
      <c r="M983" s="4">
        <v>0.017848</v>
      </c>
      <c r="N983" s="4">
        <v>0.008234</v>
      </c>
      <c r="O983" s="4">
        <v>0.008322</v>
      </c>
      <c r="P983" s="4">
        <v>-0.002653</v>
      </c>
      <c r="Q983" s="4">
        <v>-0.016837</v>
      </c>
      <c r="R983" s="4">
        <v>-0.001355</v>
      </c>
      <c r="S983" s="4">
        <v>0.004019</v>
      </c>
      <c r="T983" s="4">
        <v>-0.001525</v>
      </c>
      <c r="U983" s="4">
        <v>7.5E-5</v>
      </c>
      <c r="V983" s="4">
        <v>0.0198567332509578</v>
      </c>
      <c r="W983" s="4">
        <v>-0.0011622202687263</v>
      </c>
      <c r="X983" s="4">
        <v>0.012288860155138</v>
      </c>
      <c r="Y983" s="4">
        <v>0.0</v>
      </c>
      <c r="Z983" s="4">
        <v>0.0</v>
      </c>
      <c r="AA983" s="4">
        <v>0.0</v>
      </c>
      <c r="AB983" s="4">
        <v>0.0</v>
      </c>
      <c r="AC983" s="4">
        <v>0.0233918558041978</v>
      </c>
      <c r="AD983" s="4">
        <v>-0.0055555780772128</v>
      </c>
      <c r="AE983" s="4">
        <v>0.0</v>
      </c>
      <c r="AF983" s="4">
        <v>-0.0264305233494862</v>
      </c>
      <c r="AG983" s="4">
        <v>0.0193132132493127</v>
      </c>
      <c r="AH983" s="4">
        <v>0.0027173937420106</v>
      </c>
      <c r="AI983" s="4">
        <v>0.0</v>
      </c>
      <c r="AJ983" s="4">
        <v>5.97E-4</v>
      </c>
      <c r="AK983" s="4">
        <f>Weights!E1039</f>
        <v>0.004623801872</v>
      </c>
      <c r="AL983" s="5">
        <v>0.00339111486156973</v>
      </c>
      <c r="AM983" s="5">
        <v>0.00428221104130277</v>
      </c>
      <c r="AN983" s="5">
        <v>3.27168758975426E-4</v>
      </c>
      <c r="AO983" s="5">
        <v>2.43868003234393E-4</v>
      </c>
      <c r="AP983" s="6">
        <f t="shared" si="3"/>
        <v>1.576324473</v>
      </c>
      <c r="AQ983" s="4">
        <f t="shared" si="4"/>
        <v>1.411196052</v>
      </c>
      <c r="AR983" s="7">
        <f t="shared" si="5"/>
        <v>1.37182874</v>
      </c>
      <c r="AS983" s="7">
        <f t="shared" ref="AS983:AU983" si="985">AS982*(1+AM983)</f>
        <v>1.4625726</v>
      </c>
      <c r="AT983" s="5">
        <f t="shared" si="985"/>
        <v>1.342858304</v>
      </c>
      <c r="AU983" s="5">
        <f t="shared" si="985"/>
        <v>1.329125737</v>
      </c>
    </row>
    <row r="984" ht="15.75" customHeight="1">
      <c r="A984" s="3">
        <v>45257.0</v>
      </c>
      <c r="B984" s="4">
        <v>-0.002255</v>
      </c>
      <c r="C984" s="4">
        <v>-0.001604</v>
      </c>
      <c r="D984" s="4">
        <v>-0.010369</v>
      </c>
      <c r="E984" s="4">
        <v>-0.006199</v>
      </c>
      <c r="F984" s="4">
        <v>-0.001878</v>
      </c>
      <c r="G984" s="4">
        <v>-0.008</v>
      </c>
      <c r="H984" s="4">
        <v>-9.25E-4</v>
      </c>
      <c r="I984" s="4">
        <v>-0.008472</v>
      </c>
      <c r="J984" s="4">
        <v>-0.00779</v>
      </c>
      <c r="K984" s="4">
        <v>-0.007969</v>
      </c>
      <c r="L984" s="4">
        <v>-0.009928</v>
      </c>
      <c r="M984" s="4">
        <v>-0.005157</v>
      </c>
      <c r="N984" s="4">
        <v>-0.005639</v>
      </c>
      <c r="O984" s="4">
        <v>-0.008513</v>
      </c>
      <c r="P984" s="4">
        <v>0.015696</v>
      </c>
      <c r="Q984" s="4">
        <v>0.031273</v>
      </c>
      <c r="R984" s="4">
        <v>-0.006786</v>
      </c>
      <c r="S984" s="4">
        <v>0.003582</v>
      </c>
      <c r="T984" s="4">
        <v>0.025897</v>
      </c>
      <c r="U984" s="4">
        <v>0.0027</v>
      </c>
      <c r="V984" s="4">
        <v>0.00414937500531142</v>
      </c>
      <c r="W984" s="4">
        <v>0.056318414022249</v>
      </c>
      <c r="X984" s="4">
        <v>-0.0121396773577601</v>
      </c>
      <c r="Y984" s="4">
        <v>0.0089511055184114</v>
      </c>
      <c r="Z984" s="4">
        <v>-0.0059272493516624</v>
      </c>
      <c r="AA984" s="4">
        <v>0.0113946578021955</v>
      </c>
      <c r="AB984" s="4">
        <v>0.0031145038103721</v>
      </c>
      <c r="AC984" s="4">
        <v>0.0019047271580432</v>
      </c>
      <c r="AD984" s="4">
        <v>0.0041901068055021</v>
      </c>
      <c r="AE984" s="4">
        <v>0.0026808269523632</v>
      </c>
      <c r="AF984" s="4">
        <v>0.0274279215151651</v>
      </c>
      <c r="AG984" s="4">
        <v>0.0067369424736853</v>
      </c>
      <c r="AH984" s="4">
        <v>-0.0296017768521351</v>
      </c>
      <c r="AI984" s="4">
        <v>0.0087383403165941</v>
      </c>
      <c r="AJ984" s="4">
        <v>-0.001954</v>
      </c>
      <c r="AK984" s="4">
        <f>Weights!E1040</f>
        <v>0.0009619327829</v>
      </c>
      <c r="AL984" s="5">
        <v>0.00227930728843817</v>
      </c>
      <c r="AM984" s="5">
        <v>0.00106616103046452</v>
      </c>
      <c r="AN984" s="5">
        <v>-6.54058693130954E-4</v>
      </c>
      <c r="AO984" s="5">
        <v>2.43905758470219E-4</v>
      </c>
      <c r="AP984" s="6">
        <f t="shared" si="3"/>
        <v>1.577840791</v>
      </c>
      <c r="AQ984" s="4">
        <f t="shared" si="4"/>
        <v>1.408438575</v>
      </c>
      <c r="AR984" s="7">
        <f t="shared" si="5"/>
        <v>1.374955559</v>
      </c>
      <c r="AS984" s="7">
        <f t="shared" ref="AS984:AU984" si="986">AS983*(1+AM984)</f>
        <v>1.464131938</v>
      </c>
      <c r="AT984" s="5">
        <f t="shared" si="986"/>
        <v>1.341979996</v>
      </c>
      <c r="AU984" s="5">
        <f t="shared" si="986"/>
        <v>1.329449918</v>
      </c>
    </row>
    <row r="985" ht="15.75" customHeight="1">
      <c r="A985" s="3">
        <v>45258.0</v>
      </c>
      <c r="B985" s="4">
        <v>0.001695</v>
      </c>
      <c r="C985" s="4">
        <v>0.003213</v>
      </c>
      <c r="D985" s="4">
        <v>-0.006985</v>
      </c>
      <c r="E985" s="4">
        <v>0.003208</v>
      </c>
      <c r="F985" s="4">
        <v>0.002053</v>
      </c>
      <c r="G985" s="4">
        <v>0.002314</v>
      </c>
      <c r="H985" s="4">
        <v>0.006943</v>
      </c>
      <c r="I985" s="4">
        <v>0.006187</v>
      </c>
      <c r="J985" s="4">
        <v>-0.001963</v>
      </c>
      <c r="K985" s="4">
        <v>-0.001803</v>
      </c>
      <c r="L985" s="4">
        <v>-0.003919</v>
      </c>
      <c r="M985" s="4">
        <v>5.18E-4</v>
      </c>
      <c r="N985" s="4">
        <v>-0.001722</v>
      </c>
      <c r="O985" s="4">
        <v>0.020384</v>
      </c>
      <c r="P985" s="4">
        <v>0.062598</v>
      </c>
      <c r="Q985" s="4">
        <v>0.091697</v>
      </c>
      <c r="R985" s="4">
        <v>0.017218</v>
      </c>
      <c r="S985" s="4">
        <v>0.031913</v>
      </c>
      <c r="T985" s="4">
        <v>-4.34E-4</v>
      </c>
      <c r="U985" s="4">
        <v>-0.004938</v>
      </c>
      <c r="V985" s="4">
        <v>-9.53609187941406E-4</v>
      </c>
      <c r="W985" s="4">
        <v>4.405282551422E-4</v>
      </c>
      <c r="X985" s="4">
        <v>-0.0015361376456454</v>
      </c>
      <c r="Y985" s="4">
        <v>0.0049437594823571</v>
      </c>
      <c r="Z985" s="4">
        <v>0.0079837702172349</v>
      </c>
      <c r="AA985" s="4">
        <v>0.0171083226197703</v>
      </c>
      <c r="AB985" s="4">
        <v>0.0080206983328683</v>
      </c>
      <c r="AC985" s="4">
        <v>-0.0228136537430306</v>
      </c>
      <c r="AD985" s="4">
        <v>-0.0166897963562764</v>
      </c>
      <c r="AE985" s="4">
        <v>0.0193850478480761</v>
      </c>
      <c r="AF985" s="4">
        <v>0.0046308897688724</v>
      </c>
      <c r="AG985" s="4">
        <v>0.0</v>
      </c>
      <c r="AH985" s="4">
        <v>-0.0128894558350985</v>
      </c>
      <c r="AI985" s="4">
        <v>0.0048728671464233</v>
      </c>
      <c r="AJ985" s="4">
        <v>9.8E-4</v>
      </c>
      <c r="AK985" s="4">
        <f>Weights!E1041</f>
        <v>0.005517227593</v>
      </c>
      <c r="AL985" s="5">
        <v>-0.00164676667970442</v>
      </c>
      <c r="AM985" s="5">
        <v>-0.00128678485301614</v>
      </c>
      <c r="AN985" s="5">
        <v>-6.54357048960663E-4</v>
      </c>
      <c r="AO985" s="5">
        <v>-9.75385131830042E-4</v>
      </c>
      <c r="AP985" s="6">
        <f t="shared" si="3"/>
        <v>1.586546098</v>
      </c>
      <c r="AQ985" s="4">
        <f t="shared" si="4"/>
        <v>1.409818845</v>
      </c>
      <c r="AR985" s="7">
        <f t="shared" si="5"/>
        <v>1.372691328</v>
      </c>
      <c r="AS985" s="7">
        <f t="shared" ref="AS985:AU985" si="987">AS984*(1+AM985)</f>
        <v>1.462247915</v>
      </c>
      <c r="AT985" s="5">
        <f t="shared" si="987"/>
        <v>1.341101862</v>
      </c>
      <c r="AU985" s="5">
        <f t="shared" si="987"/>
        <v>1.328153192</v>
      </c>
    </row>
    <row r="986" ht="15.75" customHeight="1">
      <c r="A986" s="3">
        <v>45259.0</v>
      </c>
      <c r="B986" s="4">
        <v>-0.010716</v>
      </c>
      <c r="C986" s="4">
        <v>0.007739</v>
      </c>
      <c r="D986" s="4">
        <v>-0.009379</v>
      </c>
      <c r="E986" s="4">
        <v>-0.010067</v>
      </c>
      <c r="F986" s="4">
        <v>-0.005975</v>
      </c>
      <c r="G986" s="4">
        <v>0.003166</v>
      </c>
      <c r="H986" s="4">
        <v>-0.007617</v>
      </c>
      <c r="I986" s="4">
        <v>0.010542</v>
      </c>
      <c r="J986" s="4">
        <v>-0.017207</v>
      </c>
      <c r="K986" s="4">
        <v>0.006733</v>
      </c>
      <c r="L986" s="4">
        <v>0.01053</v>
      </c>
      <c r="M986" s="4">
        <v>0.0</v>
      </c>
      <c r="N986" s="4">
        <v>-0.003764</v>
      </c>
      <c r="O986" s="4">
        <v>0.020362</v>
      </c>
      <c r="P986" s="4">
        <v>0.005176</v>
      </c>
      <c r="Q986" s="4">
        <v>0.009921</v>
      </c>
      <c r="R986" s="4">
        <v>-0.001343</v>
      </c>
      <c r="S986" s="4">
        <v>-0.002035</v>
      </c>
      <c r="T986" s="4">
        <v>0.016257</v>
      </c>
      <c r="U986" s="4">
        <v>-0.002782</v>
      </c>
      <c r="V986" s="4">
        <v>-0.0117722508255092</v>
      </c>
      <c r="W986" s="4">
        <v>-0.0129927651379158</v>
      </c>
      <c r="X986" s="4">
        <v>0.0</v>
      </c>
      <c r="Y986" s="4">
        <v>-0.0059977753937403</v>
      </c>
      <c r="Z986" s="4">
        <v>-0.0067174631822219</v>
      </c>
      <c r="AA986" s="4">
        <v>-0.0340512668296644</v>
      </c>
      <c r="AB986" s="4">
        <v>-0.0023100447584821</v>
      </c>
      <c r="AC986" s="4">
        <v>0.0097276049215786</v>
      </c>
      <c r="AD986" s="4">
        <v>0.0</v>
      </c>
      <c r="AE986" s="4">
        <v>-0.0075408695096587</v>
      </c>
      <c r="AF986" s="4">
        <v>5.422680749569E-4</v>
      </c>
      <c r="AG986" s="4">
        <v>-0.011292315340028</v>
      </c>
      <c r="AH986" s="4">
        <v>0.0254624827723759</v>
      </c>
      <c r="AI986" s="4">
        <v>-0.0070041506684905</v>
      </c>
      <c r="AJ986" s="4">
        <v>-9.46E-4</v>
      </c>
      <c r="AK986" s="4">
        <f>Weights!E1042</f>
        <v>-0.001943763639</v>
      </c>
      <c r="AL986" s="5">
        <v>7.85581991509465E-4</v>
      </c>
      <c r="AM986" s="5">
        <v>6.21961507208723E-4</v>
      </c>
      <c r="AN986" s="5">
        <v>-0.00392936208418703</v>
      </c>
      <c r="AO986" s="5">
        <v>-0.0036611681046631</v>
      </c>
      <c r="AP986" s="6">
        <f t="shared" si="3"/>
        <v>1.583462227</v>
      </c>
      <c r="AQ986" s="4">
        <f t="shared" si="4"/>
        <v>1.408485156</v>
      </c>
      <c r="AR986" s="7">
        <f t="shared" si="5"/>
        <v>1.37376969</v>
      </c>
      <c r="AS986" s="7">
        <f t="shared" ref="AS986:AU986" si="988">AS985*(1+AM986)</f>
        <v>1.463157377</v>
      </c>
      <c r="AT986" s="5">
        <f t="shared" si="988"/>
        <v>1.335832187</v>
      </c>
      <c r="AU986" s="5">
        <f t="shared" si="988"/>
        <v>1.3232906</v>
      </c>
    </row>
    <row r="987" ht="15.75" customHeight="1">
      <c r="A987" s="3">
        <v>45260.0</v>
      </c>
      <c r="B987" s="4">
        <v>0.021095</v>
      </c>
      <c r="C987" s="4">
        <v>0.015095</v>
      </c>
      <c r="D987" s="4">
        <v>0.020118</v>
      </c>
      <c r="E987" s="4">
        <v>0.014328</v>
      </c>
      <c r="F987" s="4">
        <v>0.011506</v>
      </c>
      <c r="G987" s="4">
        <v>0.016764</v>
      </c>
      <c r="H987" s="4">
        <v>0.015814</v>
      </c>
      <c r="I987" s="4">
        <v>0.010432</v>
      </c>
      <c r="J987" s="4">
        <v>0.002501</v>
      </c>
      <c r="K987" s="4">
        <v>-0.005057</v>
      </c>
      <c r="L987" s="4">
        <v>0.035154</v>
      </c>
      <c r="M987" s="4">
        <v>0.015026</v>
      </c>
      <c r="N987" s="4">
        <v>0.004176</v>
      </c>
      <c r="O987" s="4">
        <v>-0.007051</v>
      </c>
      <c r="P987" s="4">
        <v>-0.004705</v>
      </c>
      <c r="Q987" s="4">
        <v>0.00131</v>
      </c>
      <c r="R987" s="4">
        <v>0.004036</v>
      </c>
      <c r="S987" s="4">
        <v>-0.003058</v>
      </c>
      <c r="T987" s="4">
        <v>0.037795</v>
      </c>
      <c r="U987" s="4">
        <v>0.021487</v>
      </c>
      <c r="V987" s="4">
        <v>-0.0025755497206138</v>
      </c>
      <c r="W987" s="4">
        <v>4.463486911718E-4</v>
      </c>
      <c r="X987" s="4">
        <v>0.0</v>
      </c>
      <c r="Y987" s="4">
        <v>-0.0023730074724853</v>
      </c>
      <c r="Z987" s="4">
        <v>-0.0089835045695839</v>
      </c>
      <c r="AA987" s="4">
        <v>-0.0078572806462093</v>
      </c>
      <c r="AB987" s="4">
        <v>-0.0023154976568797</v>
      </c>
      <c r="AC987" s="4">
        <v>0.0</v>
      </c>
      <c r="AD987" s="4">
        <v>0.0</v>
      </c>
      <c r="AE987" s="4">
        <v>0.0019821557311285</v>
      </c>
      <c r="AF987" s="4">
        <v>-0.0189701550899814</v>
      </c>
      <c r="AG987" s="4">
        <v>0.0087422021690488</v>
      </c>
      <c r="AH987" s="4">
        <v>-0.0176145390810157</v>
      </c>
      <c r="AI987" s="4">
        <v>0.0021701130104474</v>
      </c>
      <c r="AJ987" s="4">
        <v>0.003784</v>
      </c>
      <c r="AK987" s="4">
        <f>Weights!E1043</f>
        <v>0.004249759203</v>
      </c>
      <c r="AL987" s="5">
        <v>1.56944041513229E-4</v>
      </c>
      <c r="AM987" s="5">
        <v>4.44021619431245E-4</v>
      </c>
      <c r="AN987" s="5">
        <v>3.28782011206341E-4</v>
      </c>
      <c r="AO987" s="5">
        <v>4.89864912695869E-4</v>
      </c>
      <c r="AP987" s="6">
        <f t="shared" si="3"/>
        <v>1.590191561</v>
      </c>
      <c r="AQ987" s="4">
        <f t="shared" si="4"/>
        <v>1.413814864</v>
      </c>
      <c r="AR987" s="7">
        <f t="shared" si="5"/>
        <v>1.373985295</v>
      </c>
      <c r="AS987" s="7">
        <f t="shared" ref="AS987:AU987" si="989">AS986*(1+AM987)</f>
        <v>1.46380705</v>
      </c>
      <c r="AT987" s="5">
        <f t="shared" si="989"/>
        <v>1.336271385</v>
      </c>
      <c r="AU987" s="5">
        <f t="shared" si="989"/>
        <v>1.323938834</v>
      </c>
    </row>
    <row r="988" ht="15.75" customHeight="1">
      <c r="A988" s="3">
        <v>45261.0</v>
      </c>
      <c r="B988" s="4">
        <v>0.032942</v>
      </c>
      <c r="C988" s="4">
        <v>0.006522</v>
      </c>
      <c r="D988" s="4">
        <v>0.036195</v>
      </c>
      <c r="E988" s="4">
        <v>0.002377</v>
      </c>
      <c r="F988" s="4">
        <v>0.003422</v>
      </c>
      <c r="G988" s="4">
        <v>0.024053</v>
      </c>
      <c r="H988" s="4">
        <v>-0.005602</v>
      </c>
      <c r="I988" s="4">
        <v>0.00889</v>
      </c>
      <c r="J988" s="4">
        <v>0.013972</v>
      </c>
      <c r="K988" s="4">
        <v>-0.004755</v>
      </c>
      <c r="L988" s="4">
        <v>0.007633</v>
      </c>
      <c r="M988" s="4">
        <v>0.006636</v>
      </c>
      <c r="N988" s="4">
        <v>0.009703</v>
      </c>
      <c r="O988" s="4">
        <v>0.012109</v>
      </c>
      <c r="P988" s="4">
        <v>0.025131</v>
      </c>
      <c r="Q988" s="4">
        <v>0.011772</v>
      </c>
      <c r="R988" s="4">
        <v>0.051447</v>
      </c>
      <c r="S988" s="4">
        <v>0.013292</v>
      </c>
      <c r="T988" s="4">
        <v>0.002589</v>
      </c>
      <c r="U988" s="4">
        <v>0.030556</v>
      </c>
      <c r="V988" s="4">
        <v>0.00903809529967003</v>
      </c>
      <c r="W988" s="4">
        <v>0.0178411894939622</v>
      </c>
      <c r="X988" s="4">
        <v>0.0046154426396201</v>
      </c>
      <c r="Y988" s="4">
        <v>0.0118927249555942</v>
      </c>
      <c r="Z988" s="4">
        <v>0.0093704666680669</v>
      </c>
      <c r="AA988" s="4">
        <v>0.0130564249699631</v>
      </c>
      <c r="AB988" s="4">
        <v>0.0097988759015918</v>
      </c>
      <c r="AC988" s="4">
        <v>0.0</v>
      </c>
      <c r="AD988" s="4">
        <v>0.027855142203228</v>
      </c>
      <c r="AE988" s="4">
        <v>0.0072535267278965</v>
      </c>
      <c r="AF988" s="4">
        <v>0.0024861793668766</v>
      </c>
      <c r="AG988" s="4">
        <v>-6.990619065846E-4</v>
      </c>
      <c r="AH988" s="4">
        <v>0.0179303743609335</v>
      </c>
      <c r="AI988" s="4">
        <v>-0.0016240329210518</v>
      </c>
      <c r="AJ988" s="4">
        <v>0.005874</v>
      </c>
      <c r="AK988" s="4">
        <f>Weights!E1044</f>
        <v>0.01068547808</v>
      </c>
      <c r="AL988" s="5">
        <v>0.00274654928939277</v>
      </c>
      <c r="AM988" s="5">
        <v>0.00412728475927104</v>
      </c>
      <c r="AN988" s="5">
        <v>0.00460065366122641</v>
      </c>
      <c r="AO988" s="5">
        <v>0.0046523652296524</v>
      </c>
      <c r="AP988" s="6">
        <f t="shared" si="3"/>
        <v>1.607183518</v>
      </c>
      <c r="AQ988" s="4">
        <f t="shared" si="4"/>
        <v>1.422119612</v>
      </c>
      <c r="AR988" s="7">
        <f t="shared" si="5"/>
        <v>1.377759013</v>
      </c>
      <c r="AS988" s="7">
        <f t="shared" ref="AS988:AU988" si="990">AS987*(1+AM988)</f>
        <v>1.469848599</v>
      </c>
      <c r="AT988" s="5">
        <f t="shared" si="990"/>
        <v>1.342419107</v>
      </c>
      <c r="AU988" s="5">
        <f t="shared" si="990"/>
        <v>1.330098281</v>
      </c>
    </row>
    <row r="989" ht="15.75" customHeight="1">
      <c r="A989" s="3">
        <v>45264.0</v>
      </c>
      <c r="B989" s="4">
        <v>0.007568</v>
      </c>
      <c r="C989" s="4">
        <v>-0.013997</v>
      </c>
      <c r="D989" s="4">
        <v>0.003583</v>
      </c>
      <c r="E989" s="4">
        <v>0.002668</v>
      </c>
      <c r="F989" s="4">
        <v>-0.001194</v>
      </c>
      <c r="G989" s="4">
        <v>0.003157</v>
      </c>
      <c r="H989" s="4">
        <v>-0.00393</v>
      </c>
      <c r="I989" s="4">
        <v>-8.53E-4</v>
      </c>
      <c r="J989" s="4">
        <v>4.92E-4</v>
      </c>
      <c r="K989" s="4">
        <v>4.94E-4</v>
      </c>
      <c r="L989" s="4">
        <v>-8.78E-4</v>
      </c>
      <c r="M989" s="4">
        <v>0.006085</v>
      </c>
      <c r="N989" s="4">
        <v>0.004903</v>
      </c>
      <c r="O989" s="4">
        <v>0.011839</v>
      </c>
      <c r="P989" s="4">
        <v>-0.016019</v>
      </c>
      <c r="Q989" s="4">
        <v>-0.049127</v>
      </c>
      <c r="R989" s="4">
        <v>-0.041539</v>
      </c>
      <c r="S989" s="4">
        <v>-0.013118</v>
      </c>
      <c r="T989" s="4">
        <v>-0.017663</v>
      </c>
      <c r="U989" s="4">
        <v>0.001504</v>
      </c>
      <c r="V989" s="4">
        <v>6.39806863968139E-4</v>
      </c>
      <c r="W989" s="4">
        <v>-0.0063541687400624</v>
      </c>
      <c r="X989" s="4">
        <v>0.0107197890124759</v>
      </c>
      <c r="Y989" s="4">
        <v>-0.0021490746528407</v>
      </c>
      <c r="Z989" s="4">
        <v>-0.0042380597285551</v>
      </c>
      <c r="AA989" s="4">
        <v>-0.0069722305858113</v>
      </c>
      <c r="AB989" s="4">
        <v>0.0010215005535842</v>
      </c>
      <c r="AC989" s="4">
        <v>-0.001915750577197</v>
      </c>
      <c r="AD989" s="4">
        <v>0.0094851590071267</v>
      </c>
      <c r="AE989" s="4">
        <v>-0.0045827046432455</v>
      </c>
      <c r="AF989" s="4">
        <v>-0.005511111446053</v>
      </c>
      <c r="AG989" s="4">
        <v>0.0072738534093284</v>
      </c>
      <c r="AH989" s="4">
        <v>0.0286503038926184</v>
      </c>
      <c r="AI989" s="4">
        <v>-0.0010846330421994</v>
      </c>
      <c r="AJ989" s="4">
        <v>-0.005408</v>
      </c>
      <c r="AK989" s="4">
        <f>Weights!E1045</f>
        <v>-0.001069801648</v>
      </c>
      <c r="AL989" s="5">
        <v>0.00766951839085905</v>
      </c>
      <c r="AM989" s="5">
        <v>0.00844160629945123</v>
      </c>
      <c r="AN989" s="5">
        <v>0.00654246745802256</v>
      </c>
      <c r="AO989" s="5">
        <v>0.00658044602797658</v>
      </c>
      <c r="AP989" s="6">
        <f t="shared" si="3"/>
        <v>1.60546415</v>
      </c>
      <c r="AQ989" s="4">
        <f t="shared" si="4"/>
        <v>1.41442879</v>
      </c>
      <c r="AR989" s="7">
        <f t="shared" si="5"/>
        <v>1.388325761</v>
      </c>
      <c r="AS989" s="7">
        <f t="shared" ref="AS989:AU989" si="991">AS988*(1+AM989)</f>
        <v>1.482256482</v>
      </c>
      <c r="AT989" s="5">
        <f t="shared" si="991"/>
        <v>1.35120184</v>
      </c>
      <c r="AU989" s="5">
        <f t="shared" si="991"/>
        <v>1.338850921</v>
      </c>
    </row>
    <row r="990" ht="15.75" customHeight="1">
      <c r="A990" s="3">
        <v>45265.0</v>
      </c>
      <c r="B990" s="4">
        <v>-0.001609</v>
      </c>
      <c r="C990" s="4">
        <v>0.009989</v>
      </c>
      <c r="D990" s="4">
        <v>-0.001116</v>
      </c>
      <c r="E990" s="4">
        <v>-0.007095</v>
      </c>
      <c r="F990" s="4">
        <v>0.001537</v>
      </c>
      <c r="G990" s="4">
        <v>-0.002077</v>
      </c>
      <c r="H990" s="4">
        <v>-0.034855</v>
      </c>
      <c r="I990" s="4">
        <v>-0.001707</v>
      </c>
      <c r="J990" s="4">
        <v>-0.004427</v>
      </c>
      <c r="K990" s="4">
        <v>-0.006586</v>
      </c>
      <c r="L990" s="4">
        <v>0.002417</v>
      </c>
      <c r="M990" s="4">
        <v>-0.002016</v>
      </c>
      <c r="N990" s="4">
        <v>-3.9E-4</v>
      </c>
      <c r="O990" s="4">
        <v>-0.003591</v>
      </c>
      <c r="P990" s="4">
        <v>-0.016034</v>
      </c>
      <c r="Q990" s="4">
        <v>-0.006798</v>
      </c>
      <c r="R990" s="4">
        <v>-0.027652</v>
      </c>
      <c r="S990" s="4">
        <v>-0.015746</v>
      </c>
      <c r="T990" s="4">
        <v>-0.009797</v>
      </c>
      <c r="U990" s="4">
        <v>0.002002</v>
      </c>
      <c r="V990" s="4">
        <v>0.0108694497805681</v>
      </c>
      <c r="W990" s="4">
        <v>-0.0299890244655013</v>
      </c>
      <c r="X990" s="4">
        <v>0.001515011942635</v>
      </c>
      <c r="Y990" s="4">
        <v>-0.0273927163575321</v>
      </c>
      <c r="Z990" s="4">
        <v>-0.0143900337277991</v>
      </c>
      <c r="AA990" s="4">
        <v>-0.0234042157639259</v>
      </c>
      <c r="AB990" s="4">
        <v>-0.0033163598057108</v>
      </c>
      <c r="AC990" s="4">
        <v>-0.0211132434667467</v>
      </c>
      <c r="AD990" s="4">
        <v>-0.024161331660519</v>
      </c>
      <c r="AE990" s="4">
        <v>-0.0141400844573087</v>
      </c>
      <c r="AF990" s="4">
        <v>-0.0232752230287635</v>
      </c>
      <c r="AG990" s="4">
        <v>-0.0127760803634846</v>
      </c>
      <c r="AH990" s="4">
        <v>0.0117597858354874</v>
      </c>
      <c r="AI990" s="4">
        <v>-5.428503407178E-4</v>
      </c>
      <c r="AJ990" s="4">
        <v>-5.69E-4</v>
      </c>
      <c r="AK990" s="4">
        <f>Weights!E1046</f>
        <v>-0.007460339195</v>
      </c>
      <c r="AL990" s="5">
        <v>-0.00559189968623752</v>
      </c>
      <c r="AM990" s="5">
        <v>-0.00359389879381</v>
      </c>
      <c r="AN990" s="5">
        <v>0.00974971945304026</v>
      </c>
      <c r="AO990" s="5">
        <v>0.0104116684494579</v>
      </c>
      <c r="AP990" s="6">
        <f t="shared" si="3"/>
        <v>1.593486843</v>
      </c>
      <c r="AQ990" s="4">
        <f t="shared" si="4"/>
        <v>1.41362398</v>
      </c>
      <c r="AR990" s="7">
        <f t="shared" si="5"/>
        <v>1.380562383</v>
      </c>
      <c r="AS990" s="7">
        <f t="shared" ref="AS990:AU990" si="992">AS989*(1+AM990)</f>
        <v>1.476929402</v>
      </c>
      <c r="AT990" s="5">
        <f t="shared" si="992"/>
        <v>1.364375679</v>
      </c>
      <c r="AU990" s="5">
        <f t="shared" si="992"/>
        <v>1.352790593</v>
      </c>
    </row>
    <row r="991" ht="15.75" customHeight="1">
      <c r="A991" s="3">
        <v>45266.0</v>
      </c>
      <c r="B991" s="4">
        <v>0.011822</v>
      </c>
      <c r="C991" s="4">
        <v>0.002082</v>
      </c>
      <c r="D991" s="4">
        <v>0.017869</v>
      </c>
      <c r="E991" s="4">
        <v>-0.00256</v>
      </c>
      <c r="F991" s="4">
        <v>-0.001023</v>
      </c>
      <c r="G991" s="4">
        <v>-0.012173</v>
      </c>
      <c r="H991" s="4">
        <v>-7.5E-4</v>
      </c>
      <c r="I991" s="4">
        <v>-0.00627</v>
      </c>
      <c r="J991" s="4">
        <v>0.011364</v>
      </c>
      <c r="K991" s="4">
        <v>0.002652</v>
      </c>
      <c r="L991" s="4">
        <v>-0.001535</v>
      </c>
      <c r="M991" s="4">
        <v>-0.003535</v>
      </c>
      <c r="N991" s="4">
        <v>-0.009567</v>
      </c>
      <c r="O991" s="4">
        <v>0.01895</v>
      </c>
      <c r="P991" s="4">
        <v>-0.005014</v>
      </c>
      <c r="Q991" s="4">
        <v>-0.001369</v>
      </c>
      <c r="R991" s="4">
        <v>-0.00875</v>
      </c>
      <c r="S991" s="4">
        <v>-0.003324</v>
      </c>
      <c r="T991" s="4">
        <v>-0.021235</v>
      </c>
      <c r="U991" s="4">
        <v>-0.006566</v>
      </c>
      <c r="V991" s="4">
        <v>-0.0154964174562641</v>
      </c>
      <c r="W991" s="4">
        <v>-0.019777071467455</v>
      </c>
      <c r="X991" s="4">
        <v>-0.0105898718484156</v>
      </c>
      <c r="Y991" s="4">
        <v>-0.0026986292023092</v>
      </c>
      <c r="Z991" s="4">
        <v>0.0053465844611042</v>
      </c>
      <c r="AA991" s="4">
        <v>-0.0080609873923266</v>
      </c>
      <c r="AB991" s="4">
        <v>-0.0110058301479417</v>
      </c>
      <c r="AC991" s="4">
        <v>0.0</v>
      </c>
      <c r="AD991" s="4">
        <v>-0.0027510999581995</v>
      </c>
      <c r="AE991" s="4">
        <v>-0.0150099385015289</v>
      </c>
      <c r="AF991" s="4">
        <v>0.0070922747323702</v>
      </c>
      <c r="AG991" s="4">
        <v>0.0017736781638073</v>
      </c>
      <c r="AH991" s="4">
        <v>0.0171288976261498</v>
      </c>
      <c r="AI991" s="4">
        <v>-0.0048887471924559</v>
      </c>
      <c r="AJ991" s="4">
        <v>-0.003906</v>
      </c>
      <c r="AK991" s="4">
        <f>Weights!E1047</f>
        <v>-0.002666651711</v>
      </c>
      <c r="AL991" s="5">
        <v>-0.00156196232081473</v>
      </c>
      <c r="AM991" s="5">
        <v>-0.00193521688228071</v>
      </c>
      <c r="AN991" s="5">
        <v>-6.43679832758037E-4</v>
      </c>
      <c r="AO991" s="5">
        <v>-0.00215665572802226</v>
      </c>
      <c r="AP991" s="6">
        <f t="shared" si="3"/>
        <v>1.589237568</v>
      </c>
      <c r="AQ991" s="4">
        <f t="shared" si="4"/>
        <v>1.408102364</v>
      </c>
      <c r="AR991" s="7">
        <f t="shared" si="5"/>
        <v>1.378405997</v>
      </c>
      <c r="AS991" s="7">
        <f t="shared" ref="AS991:AU991" si="993">AS990*(1+AM991)</f>
        <v>1.474071224</v>
      </c>
      <c r="AT991" s="5">
        <f t="shared" si="993"/>
        <v>1.363497458</v>
      </c>
      <c r="AU991" s="5">
        <f t="shared" si="993"/>
        <v>1.349873089</v>
      </c>
    </row>
    <row r="992" ht="15.75" customHeight="1">
      <c r="A992" s="3">
        <v>45267.0</v>
      </c>
      <c r="B992" s="4">
        <v>0.006373</v>
      </c>
      <c r="C992" s="4">
        <v>0.003896</v>
      </c>
      <c r="D992" s="4">
        <v>-4.39E-4</v>
      </c>
      <c r="E992" s="4">
        <v>-2.98E-4</v>
      </c>
      <c r="F992" s="4">
        <v>0.002389</v>
      </c>
      <c r="G992" s="4">
        <v>-0.00779</v>
      </c>
      <c r="H992" s="4">
        <v>-0.001023</v>
      </c>
      <c r="I992" s="4">
        <v>-0.002007</v>
      </c>
      <c r="J992" s="4">
        <v>-0.001954</v>
      </c>
      <c r="K992" s="4">
        <v>-0.018846</v>
      </c>
      <c r="L992" s="4">
        <v>0.003623</v>
      </c>
      <c r="M992" s="4">
        <v>0.006082</v>
      </c>
      <c r="N992" s="4">
        <v>0.006505</v>
      </c>
      <c r="O992" s="4">
        <v>-0.00311</v>
      </c>
      <c r="P992" s="4">
        <v>0.001008</v>
      </c>
      <c r="Q992" s="4">
        <v>-0.012337</v>
      </c>
      <c r="R992" s="4">
        <v>0.00331</v>
      </c>
      <c r="S992" s="4">
        <v>-0.003127</v>
      </c>
      <c r="T992" s="4">
        <v>0.00604</v>
      </c>
      <c r="U992" s="4">
        <v>-0.005819</v>
      </c>
      <c r="V992" s="4">
        <v>0.0163828934627006</v>
      </c>
      <c r="W992" s="4">
        <v>-0.0440630785164968</v>
      </c>
      <c r="X992" s="4">
        <v>0.0</v>
      </c>
      <c r="Y992" s="4">
        <v>0.0125588271520811</v>
      </c>
      <c r="Z992" s="4">
        <v>-0.0018408982569825</v>
      </c>
      <c r="AA992" s="4">
        <v>-0.0270152602399361</v>
      </c>
      <c r="AB992" s="4">
        <v>-0.0284678873561095</v>
      </c>
      <c r="AC992" s="4">
        <v>0.0</v>
      </c>
      <c r="AD992" s="4">
        <v>0.0</v>
      </c>
      <c r="AE992" s="4">
        <v>-0.0040637872504128</v>
      </c>
      <c r="AF992" s="4">
        <v>-0.0107042266696812</v>
      </c>
      <c r="AG992" s="4">
        <v>-0.0220932474121089</v>
      </c>
      <c r="AH992" s="4">
        <v>-0.0128308201235991</v>
      </c>
      <c r="AI992" s="4">
        <v>0.0049127644558968</v>
      </c>
      <c r="AJ992" s="4">
        <v>0.007968</v>
      </c>
      <c r="AK992" s="4">
        <f>Weights!E1048</f>
        <v>-0.004752563553</v>
      </c>
      <c r="AL992" s="5">
        <v>-0.00234666987194576</v>
      </c>
      <c r="AM992" s="5">
        <v>-0.00423082792769513</v>
      </c>
      <c r="AN992" s="5">
        <v>6.44094423348784E-4</v>
      </c>
      <c r="AO992" s="5">
        <v>-0.00120088053086075</v>
      </c>
      <c r="AP992" s="6">
        <f t="shared" si="3"/>
        <v>1.581684616</v>
      </c>
      <c r="AQ992" s="4">
        <f t="shared" si="4"/>
        <v>1.419322124</v>
      </c>
      <c r="AR992" s="7">
        <f t="shared" si="5"/>
        <v>1.375171333</v>
      </c>
      <c r="AS992" s="7">
        <f t="shared" ref="AS992:AU992" si="994">AS991*(1+AM992)</f>
        <v>1.467834682</v>
      </c>
      <c r="AT992" s="5">
        <f t="shared" si="994"/>
        <v>1.364375679</v>
      </c>
      <c r="AU992" s="5">
        <f t="shared" si="994"/>
        <v>1.348252053</v>
      </c>
    </row>
    <row r="993" ht="15.75" customHeight="1">
      <c r="A993" s="3">
        <v>45268.0</v>
      </c>
      <c r="B993" s="4">
        <v>-0.011465</v>
      </c>
      <c r="C993" s="4">
        <v>-0.010349</v>
      </c>
      <c r="D993" s="4">
        <v>-0.001756</v>
      </c>
      <c r="E993" s="4">
        <v>-0.010629</v>
      </c>
      <c r="F993" s="4">
        <v>-0.002213</v>
      </c>
      <c r="G993" s="4">
        <v>-0.006306</v>
      </c>
      <c r="H993" s="4">
        <v>-0.009215</v>
      </c>
      <c r="I993" s="4">
        <v>0.003448</v>
      </c>
      <c r="J993" s="4">
        <v>-0.003671</v>
      </c>
      <c r="K993" s="4">
        <v>0.004549</v>
      </c>
      <c r="L993" s="4">
        <v>0.008313</v>
      </c>
      <c r="M993" s="4">
        <v>0.004534</v>
      </c>
      <c r="N993" s="4">
        <v>0.007638</v>
      </c>
      <c r="O993" s="4">
        <v>-0.003792</v>
      </c>
      <c r="P993" s="4">
        <v>-0.01636</v>
      </c>
      <c r="Q993" s="4">
        <v>-0.022207</v>
      </c>
      <c r="R993" s="4">
        <v>0.048942</v>
      </c>
      <c r="S993" s="4">
        <v>-0.010665</v>
      </c>
      <c r="T993" s="4">
        <v>-0.006923</v>
      </c>
      <c r="U993" s="4">
        <v>-4.34E-4</v>
      </c>
      <c r="V993" s="4">
        <v>0.0145385909453439</v>
      </c>
      <c r="W993" s="4">
        <v>-0.0143135338167685</v>
      </c>
      <c r="X993" s="4">
        <v>-0.0078125162796507</v>
      </c>
      <c r="Y993" s="4">
        <v>-0.0082230495581615</v>
      </c>
      <c r="Z993" s="4">
        <v>-0.0104508383173381</v>
      </c>
      <c r="AA993" s="4">
        <v>0.0203160458009332</v>
      </c>
      <c r="AB993" s="4">
        <v>-0.0093234399926521</v>
      </c>
      <c r="AC993" s="4">
        <v>-0.0136985377545916</v>
      </c>
      <c r="AD993" s="4">
        <v>-0.0138311394706124</v>
      </c>
      <c r="AE993" s="4">
        <v>-0.0085004570443441</v>
      </c>
      <c r="AF993" s="4">
        <v>-0.0099658820772787</v>
      </c>
      <c r="AG993" s="4">
        <v>-8.690724566282E-4</v>
      </c>
      <c r="AH993" s="4">
        <v>-0.0174654690086821</v>
      </c>
      <c r="AI993" s="4">
        <v>0.002715725936339</v>
      </c>
      <c r="AJ993" s="4">
        <v>0.004095</v>
      </c>
      <c r="AK993" s="4">
        <f>Weights!E1049</f>
        <v>-0.002231969404</v>
      </c>
      <c r="AL993" s="5">
        <v>0.00721347556993712</v>
      </c>
      <c r="AM993" s="5">
        <v>0.0080106507029356</v>
      </c>
      <c r="AN993" s="5">
        <v>-0.00579337367017751</v>
      </c>
      <c r="AO993" s="5">
        <v>-0.00504926405788019</v>
      </c>
      <c r="AP993" s="6">
        <f t="shared" si="3"/>
        <v>1.578154344</v>
      </c>
      <c r="AQ993" s="4">
        <f t="shared" si="4"/>
        <v>1.425134248</v>
      </c>
      <c r="AR993" s="7">
        <f t="shared" si="5"/>
        <v>1.385091098</v>
      </c>
      <c r="AS993" s="7">
        <f t="shared" ref="AS993:AU993" si="995">AS992*(1+AM993)</f>
        <v>1.479592993</v>
      </c>
      <c r="AT993" s="5">
        <f t="shared" si="995"/>
        <v>1.356471341</v>
      </c>
      <c r="AU993" s="5">
        <f t="shared" si="995"/>
        <v>1.341444372</v>
      </c>
    </row>
    <row r="994" ht="15.75" customHeight="1">
      <c r="A994" s="3">
        <v>45271.0</v>
      </c>
      <c r="B994" s="4">
        <v>-0.013543</v>
      </c>
      <c r="C994" s="4">
        <v>-0.015163</v>
      </c>
      <c r="D994" s="4">
        <v>-6.6E-4</v>
      </c>
      <c r="E994" s="4">
        <v>0.012917</v>
      </c>
      <c r="F994" s="4">
        <v>0.007337</v>
      </c>
      <c r="G994" s="4">
        <v>0.004145</v>
      </c>
      <c r="H994" s="4">
        <v>0.004616</v>
      </c>
      <c r="I994" s="4">
        <v>0.002005</v>
      </c>
      <c r="J994" s="4">
        <v>0.001228</v>
      </c>
      <c r="K994" s="4">
        <v>0.010567</v>
      </c>
      <c r="L994" s="4">
        <v>0.003038</v>
      </c>
      <c r="M994" s="4">
        <v>0.032598</v>
      </c>
      <c r="N994" s="4">
        <v>0.006997</v>
      </c>
      <c r="O994" s="4">
        <v>0.004114</v>
      </c>
      <c r="P994" s="4">
        <v>-0.005374</v>
      </c>
      <c r="Q994" s="4">
        <v>0.0</v>
      </c>
      <c r="R994" s="4">
        <v>-0.00734</v>
      </c>
      <c r="S994" s="4">
        <v>0.009089</v>
      </c>
      <c r="T994" s="4">
        <v>0.015362</v>
      </c>
      <c r="U994" s="4">
        <v>0.023061</v>
      </c>
      <c r="V994" s="4">
        <v>-0.00326659768419168</v>
      </c>
      <c r="W994" s="4">
        <v>0.018459334186381</v>
      </c>
      <c r="X994" s="4">
        <v>0.0220473151064526</v>
      </c>
      <c r="Y994" s="4">
        <v>0.0017966777622682</v>
      </c>
      <c r="Z994" s="4">
        <v>-0.0128389952829237</v>
      </c>
      <c r="AA994" s="4">
        <v>0.0057521366459778</v>
      </c>
      <c r="AB994" s="4">
        <v>0.0059155861898261</v>
      </c>
      <c r="AC994" s="4">
        <v>-0.0039682609093185</v>
      </c>
      <c r="AD994" s="4">
        <v>0.0098173871943776</v>
      </c>
      <c r="AE994" s="4">
        <v>0.0017147072814192</v>
      </c>
      <c r="AF994" s="4">
        <v>-0.0025884295226901</v>
      </c>
      <c r="AG994" s="4">
        <v>-2.898261229945E-4</v>
      </c>
      <c r="AH994" s="4">
        <v>4.134625780884E-4</v>
      </c>
      <c r="AI994" s="4">
        <v>0.0021669162519268</v>
      </c>
      <c r="AJ994" s="4">
        <v>0.003925</v>
      </c>
      <c r="AK994" s="4">
        <f>Weights!E1050</f>
        <v>0.004560562048</v>
      </c>
      <c r="AL994" s="5">
        <v>0.003580876609097</v>
      </c>
      <c r="AM994" s="5">
        <v>0.00478564270239267</v>
      </c>
      <c r="AN994" s="5">
        <v>-3.23715320191708E-4</v>
      </c>
      <c r="AO994" s="5">
        <v>0.0</v>
      </c>
      <c r="AP994" s="6">
        <f t="shared" si="3"/>
        <v>1.585351615</v>
      </c>
      <c r="AQ994" s="4">
        <f t="shared" si="4"/>
        <v>1.4307279</v>
      </c>
      <c r="AR994" s="7">
        <f t="shared" si="5"/>
        <v>1.390050938</v>
      </c>
      <c r="AS994" s="7">
        <f t="shared" ref="AS994:AU994" si="996">AS993*(1+AM994)</f>
        <v>1.486673796</v>
      </c>
      <c r="AT994" s="5">
        <f t="shared" si="996"/>
        <v>1.35603223</v>
      </c>
      <c r="AU994" s="5">
        <f t="shared" si="996"/>
        <v>1.341444372</v>
      </c>
    </row>
    <row r="995" ht="15.75" customHeight="1">
      <c r="A995" s="3">
        <v>45272.0</v>
      </c>
      <c r="B995" s="4">
        <v>-0.006041</v>
      </c>
      <c r="C995" s="4">
        <v>-0.009822</v>
      </c>
      <c r="D995" s="4">
        <v>-0.00154</v>
      </c>
      <c r="E995" s="4">
        <v>0.003873</v>
      </c>
      <c r="F995" s="4">
        <v>0.006436</v>
      </c>
      <c r="G995" s="4">
        <v>6.5E-5</v>
      </c>
      <c r="H995" s="4">
        <v>8.23E-4</v>
      </c>
      <c r="I995" s="4">
        <v>-0.00886</v>
      </c>
      <c r="J995" s="4">
        <v>-0.023062</v>
      </c>
      <c r="K995" s="4">
        <v>-0.01029</v>
      </c>
      <c r="L995" s="4">
        <v>-0.00119</v>
      </c>
      <c r="M995" s="4">
        <v>0.015542</v>
      </c>
      <c r="N995" s="4">
        <v>-0.004632</v>
      </c>
      <c r="O995" s="4">
        <v>0.025621</v>
      </c>
      <c r="P995" s="4">
        <v>-0.028299</v>
      </c>
      <c r="Q995" s="4">
        <v>-0.002129</v>
      </c>
      <c r="R995" s="4">
        <v>-0.011883</v>
      </c>
      <c r="S995" s="4">
        <v>-0.028697</v>
      </c>
      <c r="T995" s="4">
        <v>-0.004982</v>
      </c>
      <c r="U995" s="4">
        <v>0.028477</v>
      </c>
      <c r="V995" s="4">
        <v>0.0112535150772901</v>
      </c>
      <c r="W995" s="4">
        <v>0.0045915193159307</v>
      </c>
      <c r="X995" s="4">
        <v>0.0046224330091106</v>
      </c>
      <c r="Y995" s="4">
        <v>0.0108971785856482</v>
      </c>
      <c r="Z995" s="4">
        <v>0.0090203382374602</v>
      </c>
      <c r="AA995" s="4">
        <v>0.0065992145494522</v>
      </c>
      <c r="AB995" s="4">
        <v>0.0077518573861852</v>
      </c>
      <c r="AC995" s="4">
        <v>0.0119521324010054</v>
      </c>
      <c r="AD995" s="4">
        <v>0.0180555997945253</v>
      </c>
      <c r="AE995" s="4">
        <v>0.0027387815475365</v>
      </c>
      <c r="AF995" s="4">
        <v>0.0043252213253943</v>
      </c>
      <c r="AG995" s="4">
        <v>-0.0063796571777503</v>
      </c>
      <c r="AH995" s="4">
        <v>0.0233470893624332</v>
      </c>
      <c r="AI995" s="4">
        <v>-0.0052613554108101</v>
      </c>
      <c r="AJ995" s="4">
        <v>0.004599</v>
      </c>
      <c r="AK995" s="4">
        <f>Weights!E1051</f>
        <v>0.00107340539</v>
      </c>
      <c r="AL995" s="5">
        <v>0.00380078867152278</v>
      </c>
      <c r="AM995" s="5">
        <v>0.00410752262436897</v>
      </c>
      <c r="AN995" s="5">
        <v>0.00291444549795638</v>
      </c>
      <c r="AO995" s="5">
        <v>0.00289999133123353</v>
      </c>
      <c r="AP995" s="6">
        <f t="shared" si="3"/>
        <v>1.58705334</v>
      </c>
      <c r="AQ995" s="4">
        <f t="shared" si="4"/>
        <v>1.437307818</v>
      </c>
      <c r="AR995" s="7">
        <f t="shared" si="5"/>
        <v>1.395334228</v>
      </c>
      <c r="AS995" s="7">
        <f t="shared" ref="AS995:AU995" si="997">AS994*(1+AM995)</f>
        <v>1.492780342</v>
      </c>
      <c r="AT995" s="5">
        <f t="shared" si="997"/>
        <v>1.359984312</v>
      </c>
      <c r="AU995" s="5">
        <f t="shared" si="997"/>
        <v>1.345334549</v>
      </c>
    </row>
    <row r="996" ht="15.75" customHeight="1">
      <c r="A996" s="3">
        <v>45273.0</v>
      </c>
      <c r="B996" s="4">
        <v>0.020994</v>
      </c>
      <c r="C996" s="4">
        <v>-0.008311</v>
      </c>
      <c r="D996" s="4">
        <v>0.020057</v>
      </c>
      <c r="E996" s="4">
        <v>0.021013</v>
      </c>
      <c r="F996" s="4">
        <v>0.008583</v>
      </c>
      <c r="G996" s="4">
        <v>0.004643</v>
      </c>
      <c r="H996" s="4">
        <v>0.01809</v>
      </c>
      <c r="I996" s="4">
        <v>0.023068</v>
      </c>
      <c r="J996" s="4">
        <v>0.036916</v>
      </c>
      <c r="K996" s="4">
        <v>0.026161</v>
      </c>
      <c r="L996" s="4">
        <v>0.031835</v>
      </c>
      <c r="M996" s="4">
        <v>0.005261</v>
      </c>
      <c r="N996" s="4">
        <v>0.013186</v>
      </c>
      <c r="O996" s="4">
        <v>0.026054</v>
      </c>
      <c r="P996" s="4">
        <v>0.059042</v>
      </c>
      <c r="Q996" s="4">
        <v>0.049787</v>
      </c>
      <c r="R996" s="4">
        <v>0.047301</v>
      </c>
      <c r="S996" s="4">
        <v>0.044425</v>
      </c>
      <c r="T996" s="4">
        <v>0.018075</v>
      </c>
      <c r="U996" s="4">
        <v>0.021436</v>
      </c>
      <c r="V996" s="4">
        <v>0.0200927390870844</v>
      </c>
      <c r="W996" s="4">
        <v>0.0021650143457021</v>
      </c>
      <c r="X996" s="4">
        <v>-0.0153373952627775</v>
      </c>
      <c r="Y996" s="4">
        <v>-0.0130995347347708</v>
      </c>
      <c r="Z996" s="4">
        <v>0.0029105718111699</v>
      </c>
      <c r="AA996" s="4">
        <v>0.0091783859434726</v>
      </c>
      <c r="AB996" s="4">
        <v>0.0037136563033928</v>
      </c>
      <c r="AC996" s="4">
        <v>-0.007873951152806</v>
      </c>
      <c r="AD996" s="4">
        <v>-0.0163709158749975</v>
      </c>
      <c r="AE996" s="4">
        <v>0.0194605539462819</v>
      </c>
      <c r="AF996" s="4">
        <v>-0.0040195020831541</v>
      </c>
      <c r="AG996" s="4">
        <v>-0.0080255969629448</v>
      </c>
      <c r="AH996" s="4">
        <v>-0.0218050226076454</v>
      </c>
      <c r="AI996" s="4">
        <v>0.0076336155391762</v>
      </c>
      <c r="AJ996" s="4">
        <v>0.013651</v>
      </c>
      <c r="AK996" s="4">
        <f>Weights!E1052</f>
        <v>0.01217210475</v>
      </c>
      <c r="AL996" s="5">
        <v>0.00262729736927558</v>
      </c>
      <c r="AM996" s="5">
        <v>0.00378606584800267</v>
      </c>
      <c r="AN996" s="5">
        <v>0.00161452366016034</v>
      </c>
      <c r="AO996" s="5">
        <v>-2.40967141647563E-4</v>
      </c>
      <c r="AP996" s="6">
        <f t="shared" si="3"/>
        <v>1.60637112</v>
      </c>
      <c r="AQ996" s="4">
        <f t="shared" si="4"/>
        <v>1.456928507</v>
      </c>
      <c r="AR996" s="7">
        <f t="shared" si="5"/>
        <v>1.399000186</v>
      </c>
      <c r="AS996" s="7">
        <f t="shared" ref="AS996:AU996" si="998">AS995*(1+AM996)</f>
        <v>1.498432107</v>
      </c>
      <c r="AT996" s="5">
        <f t="shared" si="998"/>
        <v>1.362180039</v>
      </c>
      <c r="AU996" s="5">
        <f t="shared" si="998"/>
        <v>1.345010368</v>
      </c>
    </row>
    <row r="997" ht="15.75" customHeight="1">
      <c r="A997" s="3">
        <v>45274.0</v>
      </c>
      <c r="B997" s="4">
        <v>-0.005952</v>
      </c>
      <c r="C997" s="4">
        <v>0.02379</v>
      </c>
      <c r="D997" s="4">
        <v>-0.00713</v>
      </c>
      <c r="E997" s="4">
        <v>-0.021859</v>
      </c>
      <c r="F997" s="4">
        <v>-0.014851</v>
      </c>
      <c r="G997" s="4">
        <v>0.006932</v>
      </c>
      <c r="H997" s="4">
        <v>-0.026383</v>
      </c>
      <c r="I997" s="4">
        <v>0.002255</v>
      </c>
      <c r="J997" s="4">
        <v>0.003633</v>
      </c>
      <c r="K997" s="4">
        <v>0.028273</v>
      </c>
      <c r="L997" s="4">
        <v>0.024347</v>
      </c>
      <c r="M997" s="4">
        <v>0.016175</v>
      </c>
      <c r="N997" s="4">
        <v>-0.005742</v>
      </c>
      <c r="O997" s="4">
        <v>0.003138</v>
      </c>
      <c r="P997" s="4">
        <v>0.02875</v>
      </c>
      <c r="Q997" s="4">
        <v>0.105691</v>
      </c>
      <c r="R997" s="4">
        <v>0.070937</v>
      </c>
      <c r="S997" s="4">
        <v>0.013628</v>
      </c>
      <c r="T997" s="4">
        <v>0.024772</v>
      </c>
      <c r="U997" s="4">
        <v>-0.00935</v>
      </c>
      <c r="V997" s="4">
        <v>-0.00939400584378757</v>
      </c>
      <c r="W997" s="4">
        <v>0.0026404251410396</v>
      </c>
      <c r="X997" s="4">
        <v>0.0</v>
      </c>
      <c r="Y997" s="4">
        <v>0.0027652711130818</v>
      </c>
      <c r="Z997" s="4">
        <v>2.073003378302E-4</v>
      </c>
      <c r="AA997" s="4">
        <v>-0.0054135277041907</v>
      </c>
      <c r="AB997" s="4">
        <v>-0.0150634928300005</v>
      </c>
      <c r="AC997" s="4">
        <v>0.0</v>
      </c>
      <c r="AD997" s="4">
        <v>0.0</v>
      </c>
      <c r="AE997" s="4">
        <v>-0.0120562340048059</v>
      </c>
      <c r="AF997" s="4">
        <v>-0.0311328562798642</v>
      </c>
      <c r="AG997" s="4">
        <v>-0.0248602043484191</v>
      </c>
      <c r="AH997" s="4">
        <v>0.0</v>
      </c>
      <c r="AI997" s="4">
        <v>0.0010824268008875</v>
      </c>
      <c r="AJ997" s="4">
        <v>0.002647</v>
      </c>
      <c r="AK997" s="4">
        <f>Weights!E1053</f>
        <v>0.003281662175</v>
      </c>
      <c r="AL997" s="5">
        <v>0.0147974940561552</v>
      </c>
      <c r="AM997" s="5">
        <v>0.0155207789077835</v>
      </c>
      <c r="AN997" s="5">
        <v>-0.00354607323362943</v>
      </c>
      <c r="AO997" s="5">
        <v>-0.00385630746864051</v>
      </c>
      <c r="AP997" s="6">
        <f t="shared" si="3"/>
        <v>1.611642687</v>
      </c>
      <c r="AQ997" s="4">
        <f t="shared" si="4"/>
        <v>1.460784996</v>
      </c>
      <c r="AR997" s="7">
        <f t="shared" si="5"/>
        <v>1.419701883</v>
      </c>
      <c r="AS997" s="7">
        <f t="shared" ref="AS997:AU997" si="999">AS996*(1+AM997)</f>
        <v>1.521688941</v>
      </c>
      <c r="AT997" s="5">
        <f t="shared" si="999"/>
        <v>1.357349649</v>
      </c>
      <c r="AU997" s="5">
        <f t="shared" si="999"/>
        <v>1.339823594</v>
      </c>
    </row>
    <row r="998" ht="15.75" customHeight="1">
      <c r="A998" s="3">
        <v>45275.0</v>
      </c>
      <c r="B998" s="4">
        <v>-0.025041</v>
      </c>
      <c r="C998" s="4">
        <v>-0.013203</v>
      </c>
      <c r="D998" s="4">
        <v>-0.023286</v>
      </c>
      <c r="E998" s="4">
        <v>-0.007429</v>
      </c>
      <c r="F998" s="4">
        <v>-0.007453</v>
      </c>
      <c r="G998" s="4">
        <v>-0.010901</v>
      </c>
      <c r="H998" s="4">
        <v>-0.004839</v>
      </c>
      <c r="I998" s="4">
        <v>-0.005062</v>
      </c>
      <c r="J998" s="4">
        <v>-0.010376</v>
      </c>
      <c r="K998" s="4">
        <v>-0.008264</v>
      </c>
      <c r="L998" s="4">
        <v>0.005635</v>
      </c>
      <c r="M998" s="4">
        <v>-0.011236</v>
      </c>
      <c r="N998" s="4">
        <v>-0.016362</v>
      </c>
      <c r="O998" s="4">
        <v>-0.020795</v>
      </c>
      <c r="P998" s="4">
        <v>-0.006804</v>
      </c>
      <c r="Q998" s="4">
        <v>-0.016544</v>
      </c>
      <c r="R998" s="4">
        <v>-0.011199</v>
      </c>
      <c r="S998" s="4">
        <v>-0.006111</v>
      </c>
      <c r="T998" s="4">
        <v>0.011531</v>
      </c>
      <c r="U998" s="4">
        <v>-0.012697</v>
      </c>
      <c r="V998" s="4">
        <v>0.00428271715748018</v>
      </c>
      <c r="W998" s="4">
        <v>0.0045487662895049</v>
      </c>
      <c r="X998" s="4">
        <v>0.0030816220060736</v>
      </c>
      <c r="Y998" s="4">
        <v>0.0102720800856297</v>
      </c>
      <c r="Z998" s="4">
        <v>0.0176165577508835</v>
      </c>
      <c r="AA998" s="4">
        <v>0.0065315922003581</v>
      </c>
      <c r="AB998" s="4">
        <v>0.0225383605126672</v>
      </c>
      <c r="AC998" s="4">
        <v>-0.0010000217988402</v>
      </c>
      <c r="AD998" s="4">
        <v>0.0067843724413059</v>
      </c>
      <c r="AE998" s="4">
        <v>0.0105083494977793</v>
      </c>
      <c r="AF998" s="4">
        <v>-0.0029753512927734</v>
      </c>
      <c r="AG998" s="4">
        <v>0.025946557687789</v>
      </c>
      <c r="AH998" s="4">
        <v>0.0061919940366319</v>
      </c>
      <c r="AI998" s="4">
        <v>-0.00108125641996</v>
      </c>
      <c r="AJ998" s="4">
        <v>-7.6E-5</v>
      </c>
      <c r="AK998" s="4">
        <f>Weights!E1054</f>
        <v>-0.0004723454955</v>
      </c>
      <c r="AL998" s="5">
        <v>0.00524054600732593</v>
      </c>
      <c r="AM998" s="5">
        <v>0.00593401348265021</v>
      </c>
      <c r="AN998" s="5">
        <v>0.0181170330672355</v>
      </c>
      <c r="AO998" s="5">
        <v>0.0186305951768812</v>
      </c>
      <c r="AP998" s="6">
        <f t="shared" si="3"/>
        <v>1.610881435</v>
      </c>
      <c r="AQ998" s="4">
        <f t="shared" si="4"/>
        <v>1.460673977</v>
      </c>
      <c r="AR998" s="7">
        <f t="shared" si="5"/>
        <v>1.427141896</v>
      </c>
      <c r="AS998" s="7">
        <f t="shared" ref="AS998:AU998" si="1000">AS997*(1+AM998)</f>
        <v>1.530718663</v>
      </c>
      <c r="AT998" s="5">
        <f t="shared" si="1000"/>
        <v>1.381940797</v>
      </c>
      <c r="AU998" s="5">
        <f t="shared" si="1000"/>
        <v>1.364785305</v>
      </c>
    </row>
    <row r="999" ht="15.75" customHeight="1">
      <c r="A999" s="3">
        <v>45278.0</v>
      </c>
      <c r="B999" s="4">
        <v>-0.009492</v>
      </c>
      <c r="C999" s="4">
        <v>0.008028</v>
      </c>
      <c r="D999" s="4">
        <v>0.006239</v>
      </c>
      <c r="E999" s="4">
        <v>0.011437</v>
      </c>
      <c r="F999" s="4">
        <v>0.007167</v>
      </c>
      <c r="G999" s="4">
        <v>0.001805</v>
      </c>
      <c r="H999" s="4">
        <v>0.015351</v>
      </c>
      <c r="I999" s="4">
        <v>0.003674</v>
      </c>
      <c r="J999" s="4">
        <v>-0.011704</v>
      </c>
      <c r="K999" s="4">
        <v>-0.006891</v>
      </c>
      <c r="L999" s="4">
        <v>0.007131</v>
      </c>
      <c r="M999" s="4">
        <v>-0.002367</v>
      </c>
      <c r="N999" s="4">
        <v>-0.00137</v>
      </c>
      <c r="O999" s="4">
        <v>0.005087</v>
      </c>
      <c r="P999" s="4">
        <v>0.005383</v>
      </c>
      <c r="Q999" s="4">
        <v>-0.003115</v>
      </c>
      <c r="R999" s="4">
        <v>-0.003614</v>
      </c>
      <c r="S999" s="4">
        <v>0.001025</v>
      </c>
      <c r="T999" s="4">
        <v>0.008101</v>
      </c>
      <c r="U999" s="4">
        <v>0.014029</v>
      </c>
      <c r="V999" s="4">
        <v>0.0408163083124524</v>
      </c>
      <c r="W999" s="4">
        <v>-7.14924996313E-4</v>
      </c>
      <c r="X999" s="4">
        <v>0.0307219093778206</v>
      </c>
      <c r="Y999" s="4">
        <v>0.0012968184791635</v>
      </c>
      <c r="Z999" s="4">
        <v>0.0026477024498712</v>
      </c>
      <c r="AA999" s="4">
        <v>-0.0020213602390279</v>
      </c>
      <c r="AB999" s="4">
        <v>0.0081342405375441</v>
      </c>
      <c r="AC999" s="4">
        <v>-0.0050050339945046</v>
      </c>
      <c r="AD999" s="4">
        <v>0.0350403985491161</v>
      </c>
      <c r="AE999" s="4">
        <v>-0.0311975467246222</v>
      </c>
      <c r="AF999" s="4">
        <v>0.0188003674961758</v>
      </c>
      <c r="AG999" s="4">
        <v>0.0147037884527367</v>
      </c>
      <c r="AH999" s="4">
        <v>0.0</v>
      </c>
      <c r="AI999" s="4">
        <v>-0.0016230935211288</v>
      </c>
      <c r="AJ999" s="4">
        <v>0.004528</v>
      </c>
      <c r="AK999" s="4">
        <f>Weights!E1055</f>
        <v>0.004347900639</v>
      </c>
      <c r="AL999" s="5">
        <v>-0.00309759080465632</v>
      </c>
      <c r="AM999" s="5">
        <v>-0.0013579975819018</v>
      </c>
      <c r="AN999" s="5">
        <v>0.00730860902509711</v>
      </c>
      <c r="AO999" s="5">
        <v>0.00783839658376739</v>
      </c>
      <c r="AP999" s="6">
        <f t="shared" si="3"/>
        <v>1.617885387</v>
      </c>
      <c r="AQ999" s="4">
        <f t="shared" si="4"/>
        <v>1.467287908</v>
      </c>
      <c r="AR999" s="7">
        <f t="shared" si="5"/>
        <v>1.422721194</v>
      </c>
      <c r="AS999" s="7">
        <f t="shared" ref="AS999:AU999" si="1001">AS998*(1+AM999)</f>
        <v>1.528639951</v>
      </c>
      <c r="AT999" s="5">
        <f t="shared" si="1001"/>
        <v>1.392040862</v>
      </c>
      <c r="AU999" s="5">
        <f t="shared" si="1001"/>
        <v>1.375483034</v>
      </c>
    </row>
    <row r="1000" ht="15.75" customHeight="1">
      <c r="A1000" s="3">
        <v>45279.0</v>
      </c>
      <c r="B1000" s="4">
        <v>0.003946</v>
      </c>
      <c r="C1000" s="4">
        <v>-0.002655</v>
      </c>
      <c r="D1000" s="4">
        <v>0.014172</v>
      </c>
      <c r="E1000" s="4">
        <v>-0.005684</v>
      </c>
      <c r="F1000" s="4">
        <v>-0.003219</v>
      </c>
      <c r="G1000" s="4">
        <v>0.006562</v>
      </c>
      <c r="H1000" s="4">
        <v>0.0</v>
      </c>
      <c r="I1000" s="4">
        <v>0.011546</v>
      </c>
      <c r="J1000" s="4">
        <v>0.008389</v>
      </c>
      <c r="K1000" s="4">
        <v>0.023883</v>
      </c>
      <c r="L1000" s="4">
        <v>0.011835</v>
      </c>
      <c r="M1000" s="4">
        <v>0.0299</v>
      </c>
      <c r="N1000" s="4">
        <v>0.002939</v>
      </c>
      <c r="O1000" s="4">
        <v>0.0216</v>
      </c>
      <c r="P1000" s="4">
        <v>0.016549</v>
      </c>
      <c r="Q1000" s="4">
        <v>0.018125</v>
      </c>
      <c r="R1000" s="4">
        <v>0.020073</v>
      </c>
      <c r="S1000" s="4">
        <v>0.023137</v>
      </c>
      <c r="T1000" s="4">
        <v>0.020893</v>
      </c>
      <c r="U1000" s="4">
        <v>-7.46E-4</v>
      </c>
      <c r="V1000" s="4">
        <v>-0.0289727973876137</v>
      </c>
      <c r="W1000" s="4">
        <v>-0.0062008377665662</v>
      </c>
      <c r="X1000" s="4">
        <v>0.0417288985968427</v>
      </c>
      <c r="Y1000" s="4">
        <v>0.0081781072035809</v>
      </c>
      <c r="Z1000" s="4">
        <v>0.0087344237776658</v>
      </c>
      <c r="AA1000" s="4">
        <v>0.026860372741069</v>
      </c>
      <c r="AB1000" s="4">
        <v>0.0158771604943477</v>
      </c>
      <c r="AC1000" s="4">
        <v>0.0080482237122547</v>
      </c>
      <c r="AD1000" s="4">
        <v>0.0039062924166195</v>
      </c>
      <c r="AE1000" s="4">
        <v>0.0110804428259134</v>
      </c>
      <c r="AF1000" s="4">
        <v>-0.0046866005738017</v>
      </c>
      <c r="AG1000" s="4">
        <v>-0.0040573222746106</v>
      </c>
      <c r="AH1000" s="4">
        <v>-0.0176410185985076</v>
      </c>
      <c r="AI1000" s="4">
        <v>0.0075881011075129</v>
      </c>
      <c r="AJ1000" s="4">
        <v>0.005866</v>
      </c>
      <c r="AK1000" s="4">
        <f>Weights!E1056</f>
        <v>0.0084038573</v>
      </c>
      <c r="AL1000" s="5">
        <v>0.00462301147959687</v>
      </c>
      <c r="AM1000" s="5">
        <v>0.00433458632573691</v>
      </c>
      <c r="AN1000" s="5">
        <v>-0.0129337554422639</v>
      </c>
      <c r="AO1000" s="5">
        <v>-0.012019867095541</v>
      </c>
      <c r="AP1000" s="6">
        <f t="shared" si="3"/>
        <v>1.631481865</v>
      </c>
      <c r="AQ1000" s="4">
        <f t="shared" si="4"/>
        <v>1.475895019</v>
      </c>
      <c r="AR1000" s="7">
        <f t="shared" si="5"/>
        <v>1.42929845</v>
      </c>
      <c r="AS1000" s="7">
        <f t="shared" ref="AS1000:AU1000" si="1002">AS999*(1+AM1000)</f>
        <v>1.535265973</v>
      </c>
      <c r="AT1000" s="5">
        <f t="shared" si="1002"/>
        <v>1.374036546</v>
      </c>
      <c r="AU1000" s="5">
        <f t="shared" si="1002"/>
        <v>1.358949911</v>
      </c>
    </row>
    <row r="1001" ht="15.75" customHeight="1">
      <c r="A1001" s="3">
        <v>45280.0</v>
      </c>
      <c r="B1001" s="4">
        <v>-0.015721</v>
      </c>
      <c r="C1001" s="4">
        <v>-0.007187</v>
      </c>
      <c r="D1001" s="4">
        <v>0.004804</v>
      </c>
      <c r="E1001" s="4">
        <v>-0.013456</v>
      </c>
      <c r="F1001" s="4">
        <v>-0.020738</v>
      </c>
      <c r="G1001" s="4">
        <v>-0.020389</v>
      </c>
      <c r="H1001" s="4">
        <v>-0.015461</v>
      </c>
      <c r="I1001" s="4">
        <v>-0.015869</v>
      </c>
      <c r="J1001" s="4">
        <v>-0.019819</v>
      </c>
      <c r="K1001" s="4">
        <v>-0.017179</v>
      </c>
      <c r="L1001" s="4">
        <v>-0.010597</v>
      </c>
      <c r="M1001" s="4">
        <v>-0.004147</v>
      </c>
      <c r="N1001" s="4">
        <v>-0.016999</v>
      </c>
      <c r="O1001" s="4">
        <v>0.002247</v>
      </c>
      <c r="P1001" s="4">
        <v>-0.015561</v>
      </c>
      <c r="Q1001" s="4">
        <v>-0.030694</v>
      </c>
      <c r="R1001" s="4">
        <v>-0.019915</v>
      </c>
      <c r="S1001" s="4">
        <v>-0.023814</v>
      </c>
      <c r="T1001" s="4">
        <v>-0.012201</v>
      </c>
      <c r="U1001" s="4">
        <v>-0.00638</v>
      </c>
      <c r="V1001" s="4">
        <v>0.0201929525242809</v>
      </c>
      <c r="W1001" s="4">
        <v>0.0345572149158406</v>
      </c>
      <c r="X1001" s="4">
        <v>0.0014305955764553</v>
      </c>
      <c r="Y1001" s="4">
        <v>0.0114920621602683</v>
      </c>
      <c r="Z1001" s="4">
        <v>0.0149015032523358</v>
      </c>
      <c r="AA1001" s="4">
        <v>0.0379503708031936</v>
      </c>
      <c r="AB1001" s="4">
        <v>0.0053806102869395</v>
      </c>
      <c r="AC1001" s="4">
        <v>0.0059881551814242</v>
      </c>
      <c r="AD1001" s="4">
        <v>-0.0077820771776284</v>
      </c>
      <c r="AE1001" s="4">
        <v>-0.0116438074161063</v>
      </c>
      <c r="AF1001" s="4">
        <v>0.0120659443508486</v>
      </c>
      <c r="AG1001" s="4">
        <v>0.013240133524502</v>
      </c>
      <c r="AH1001" s="4">
        <v>-0.025057399185384</v>
      </c>
      <c r="AI1001" s="4">
        <v>0.0043032167936751</v>
      </c>
      <c r="AJ1001" s="4">
        <v>-0.014684</v>
      </c>
      <c r="AK1001" s="4">
        <f>Weights!E1057</f>
        <v>-0.003846927146</v>
      </c>
      <c r="AL1001" s="5">
        <v>0.00694012663819765</v>
      </c>
      <c r="AM1001" s="5">
        <v>0.00732031652107734</v>
      </c>
      <c r="AN1001" s="5">
        <v>0.0054329999892313</v>
      </c>
      <c r="AO1001" s="5">
        <v>0.00524825853542032</v>
      </c>
      <c r="AP1001" s="6">
        <f t="shared" si="3"/>
        <v>1.625205673</v>
      </c>
      <c r="AQ1001" s="4">
        <f t="shared" si="4"/>
        <v>1.454222977</v>
      </c>
      <c r="AR1001" s="7">
        <f t="shared" si="5"/>
        <v>1.439217963</v>
      </c>
      <c r="AS1001" s="7">
        <f t="shared" ref="AS1001:AU1001" si="1003">AS1000*(1+AM1001)</f>
        <v>1.546504606</v>
      </c>
      <c r="AT1001" s="5">
        <f t="shared" si="1003"/>
        <v>1.381501687</v>
      </c>
      <c r="AU1001" s="5">
        <f t="shared" si="1003"/>
        <v>1.366082031</v>
      </c>
    </row>
    <row r="1002" ht="15.75" customHeight="1">
      <c r="A1002" s="3">
        <v>45281.0</v>
      </c>
      <c r="B1002" s="4">
        <v>0.007416</v>
      </c>
      <c r="C1002" s="4">
        <v>0.003485</v>
      </c>
      <c r="D1002" s="4">
        <v>0.010213</v>
      </c>
      <c r="E1002" s="4">
        <v>0.007725</v>
      </c>
      <c r="F1002" s="4">
        <v>0.006596</v>
      </c>
      <c r="G1002" s="4">
        <v>0.010243</v>
      </c>
      <c r="H1002" s="4">
        <v>0.002432</v>
      </c>
      <c r="I1002" s="4">
        <v>0.013013</v>
      </c>
      <c r="J1002" s="4">
        <v>0.007988</v>
      </c>
      <c r="K1002" s="4">
        <v>0.023092</v>
      </c>
      <c r="L1002" s="4">
        <v>0.012226</v>
      </c>
      <c r="M1002" s="4">
        <v>0.008792</v>
      </c>
      <c r="N1002" s="4">
        <v>0.008746</v>
      </c>
      <c r="O1002" s="4">
        <v>0.004828</v>
      </c>
      <c r="P1002" s="4">
        <v>0.007539</v>
      </c>
      <c r="Q1002" s="4">
        <v>0.0133</v>
      </c>
      <c r="R1002" s="4">
        <v>0.021529</v>
      </c>
      <c r="S1002" s="4">
        <v>0.015785</v>
      </c>
      <c r="T1002" s="4">
        <v>0.005293</v>
      </c>
      <c r="U1002" s="4">
        <v>0.006148</v>
      </c>
      <c r="V1002" s="4">
        <v>0.00118165964378347</v>
      </c>
      <c r="W1002" s="4">
        <v>0.0243562390274452</v>
      </c>
      <c r="X1002" s="4">
        <v>0.0</v>
      </c>
      <c r="Y1002" s="4">
        <v>0.0143018982247684</v>
      </c>
      <c r="Z1002" s="4">
        <v>0.007440409730981</v>
      </c>
      <c r="AA1002" s="4">
        <v>0.0014458244190755</v>
      </c>
      <c r="AB1002" s="4">
        <v>0.023190541190756</v>
      </c>
      <c r="AC1002" s="4">
        <v>0.0</v>
      </c>
      <c r="AD1002" s="4">
        <v>0.0</v>
      </c>
      <c r="AE1002" s="4">
        <v>0.0069298538126754</v>
      </c>
      <c r="AF1002" s="4">
        <v>0.0180284512739254</v>
      </c>
      <c r="AG1002" s="4">
        <v>0.008759268868058</v>
      </c>
      <c r="AH1002" s="4">
        <v>-0.0237738396869235</v>
      </c>
      <c r="AI1002" s="4">
        <v>0.0096410762118497</v>
      </c>
      <c r="AJ1002" s="4">
        <v>0.010301</v>
      </c>
      <c r="AK1002" s="4">
        <f>Weights!E1058</f>
        <v>0.007911125319</v>
      </c>
      <c r="AL1002" s="5">
        <v>-0.013301530488509</v>
      </c>
      <c r="AM1002" s="5">
        <v>-0.0149122351056696</v>
      </c>
      <c r="AN1002" s="5">
        <v>0.0101717096584492</v>
      </c>
      <c r="AO1002" s="5">
        <v>0.01044133791453</v>
      </c>
      <c r="AP1002" s="6">
        <f t="shared" si="3"/>
        <v>1.638062879</v>
      </c>
      <c r="AQ1002" s="4">
        <f t="shared" si="4"/>
        <v>1.469202928</v>
      </c>
      <c r="AR1002" s="7">
        <f t="shared" si="5"/>
        <v>1.420074161</v>
      </c>
      <c r="AS1002" s="7">
        <f t="shared" ref="AS1002:AU1002" si="1004">AS1001*(1+AM1002)</f>
        <v>1.523442765</v>
      </c>
      <c r="AT1002" s="5">
        <f t="shared" si="1004"/>
        <v>1.395553921</v>
      </c>
      <c r="AU1002" s="5">
        <f t="shared" si="1004"/>
        <v>1.380345755</v>
      </c>
    </row>
    <row r="1003" ht="15.75" customHeight="1">
      <c r="A1003" s="3">
        <v>45282.0</v>
      </c>
      <c r="B1003" s="4">
        <v>-0.005663</v>
      </c>
      <c r="C1003" s="4">
        <v>0.001603</v>
      </c>
      <c r="D1003" s="4">
        <v>-0.01011</v>
      </c>
      <c r="E1003" s="4">
        <v>0.004252</v>
      </c>
      <c r="F1003" s="4">
        <v>0.005691</v>
      </c>
      <c r="G1003" s="4">
        <v>0.004004</v>
      </c>
      <c r="H1003" s="4">
        <v>0.007071</v>
      </c>
      <c r="I1003" s="4">
        <v>0.006981</v>
      </c>
      <c r="J1003" s="4">
        <v>0.008172</v>
      </c>
      <c r="K1003" s="4">
        <v>0.005956</v>
      </c>
      <c r="L1003" s="4">
        <v>0.005989</v>
      </c>
      <c r="M1003" s="4">
        <v>0.004587</v>
      </c>
      <c r="N1003" s="4">
        <v>0.002365</v>
      </c>
      <c r="O1003" s="4">
        <v>-0.019507</v>
      </c>
      <c r="P1003" s="4">
        <v>0.015206</v>
      </c>
      <c r="Q1003" s="4">
        <v>-0.008125</v>
      </c>
      <c r="R1003" s="4">
        <v>0.003552</v>
      </c>
      <c r="S1003" s="4">
        <v>0.006256</v>
      </c>
      <c r="T1003" s="4">
        <v>0.008153</v>
      </c>
      <c r="U1003" s="4">
        <v>2.04E-4</v>
      </c>
      <c r="V1003" s="4">
        <v>-8.85234761246356E-4</v>
      </c>
      <c r="W1003" s="4">
        <v>0.004528980097439</v>
      </c>
      <c r="X1003" s="4">
        <v>0.0057142075857259</v>
      </c>
      <c r="Y1003" s="4">
        <v>-0.0019766320290772</v>
      </c>
      <c r="Z1003" s="4">
        <v>0.0023632559097879</v>
      </c>
      <c r="AA1003" s="4">
        <v>8.250293238993E-4</v>
      </c>
      <c r="AB1003" s="4">
        <v>4.980050030582E-4</v>
      </c>
      <c r="AC1003" s="4">
        <v>0.0</v>
      </c>
      <c r="AD1003" s="4">
        <v>3.26184421917119E-7</v>
      </c>
      <c r="AE1003" s="4">
        <v>0.0037854321498906</v>
      </c>
      <c r="AF1003" s="4">
        <v>-0.0028562319541289</v>
      </c>
      <c r="AG1003" s="4">
        <v>0.0118151473092074</v>
      </c>
      <c r="AH1003" s="4">
        <v>0.022817044657923</v>
      </c>
      <c r="AI1003" s="4">
        <v>-0.0068963846557209</v>
      </c>
      <c r="AJ1003" s="4">
        <v>0.00166</v>
      </c>
      <c r="AK1003" s="4">
        <f>Weights!E1059</f>
        <v>0.003693039578</v>
      </c>
      <c r="AL1003" s="5">
        <v>0.0117125205389729</v>
      </c>
      <c r="AM1003" s="5">
        <v>0.0110575516628925</v>
      </c>
      <c r="AN1003" s="5">
        <v>-0.0113278863913308</v>
      </c>
      <c r="AO1003" s="5">
        <v>-0.0119775231656276</v>
      </c>
      <c r="AP1003" s="6">
        <f t="shared" si="3"/>
        <v>1.64411231</v>
      </c>
      <c r="AQ1003" s="4">
        <f t="shared" si="4"/>
        <v>1.471641805</v>
      </c>
      <c r="AR1003" s="7">
        <f t="shared" si="5"/>
        <v>1.436706809</v>
      </c>
      <c r="AS1003" s="7">
        <f t="shared" ref="AS1003:AU1003" si="1005">AS1002*(1+AM1003)</f>
        <v>1.540288312</v>
      </c>
      <c r="AT1003" s="5">
        <f t="shared" si="1005"/>
        <v>1.379745245</v>
      </c>
      <c r="AU1003" s="5">
        <f t="shared" si="1005"/>
        <v>1.363812632</v>
      </c>
    </row>
    <row r="1004" ht="15.75" customHeight="1">
      <c r="A1004" s="3">
        <v>45286.0</v>
      </c>
      <c r="B1004" s="4">
        <v>0.009681</v>
      </c>
      <c r="C1004" s="4">
        <v>-2.67E-4</v>
      </c>
      <c r="D1004" s="4">
        <v>0.013255</v>
      </c>
      <c r="E1004" s="4">
        <v>0.007037</v>
      </c>
      <c r="F1004" s="4">
        <v>0.004115</v>
      </c>
      <c r="G1004" s="4">
        <v>0.004374</v>
      </c>
      <c r="H1004" s="4">
        <v>0.004543</v>
      </c>
      <c r="I1004" s="4">
        <v>0.00721</v>
      </c>
      <c r="J1004" s="4">
        <v>0.005895</v>
      </c>
      <c r="K1004" s="4">
        <v>0.009037</v>
      </c>
      <c r="L1004" s="4">
        <v>0.011609</v>
      </c>
      <c r="M1004" s="4">
        <v>0.010046</v>
      </c>
      <c r="N1004" s="4">
        <v>0.006094</v>
      </c>
      <c r="O1004" s="4">
        <v>0.01161</v>
      </c>
      <c r="P1004" s="4">
        <v>-0.003566</v>
      </c>
      <c r="Q1004" s="4">
        <v>-6.3E-4</v>
      </c>
      <c r="R1004" s="4">
        <v>0.010618</v>
      </c>
      <c r="S1004" s="4">
        <v>0.002607</v>
      </c>
      <c r="T1004" s="4">
        <v>0.001067</v>
      </c>
      <c r="U1004" s="4">
        <v>0.005566</v>
      </c>
      <c r="V1004" s="4">
        <v>-5.90655354800406E-4</v>
      </c>
      <c r="W1004" s="4">
        <v>-0.0353922417167346</v>
      </c>
      <c r="X1004" s="4">
        <v>0.0028408704692775</v>
      </c>
      <c r="Y1004" s="4">
        <v>-3.300564777171E-4</v>
      </c>
      <c r="Z1004" s="4">
        <v>-0.006385614936646</v>
      </c>
      <c r="AA1004" s="4">
        <v>-0.0068012021709376</v>
      </c>
      <c r="AB1004" s="4">
        <v>-0.0154343034234596</v>
      </c>
      <c r="AC1004" s="4">
        <v>0.0198806716763084</v>
      </c>
      <c r="AD1004" s="4">
        <v>0.0</v>
      </c>
      <c r="AE1004" s="4">
        <v>0.0023996188301924</v>
      </c>
      <c r="AF1004" s="4">
        <v>-5.730085818387E-4</v>
      </c>
      <c r="AG1004" s="4">
        <v>-0.0116771797107686</v>
      </c>
      <c r="AH1004" s="4">
        <v>-0.0195195359521601</v>
      </c>
      <c r="AI1004" s="4">
        <v>0.0048076082435013</v>
      </c>
      <c r="AJ1004" s="4">
        <v>0.004232</v>
      </c>
      <c r="AK1004" s="4">
        <f>Weights!E1060</f>
        <v>0.0007676160322</v>
      </c>
      <c r="AL1004" s="5">
        <v>0.00204295239435725</v>
      </c>
      <c r="AM1004" s="5">
        <v>0.00228719346500372</v>
      </c>
      <c r="AN1004" s="5">
        <v>0.00827494035797693</v>
      </c>
      <c r="AO1004" s="5">
        <v>0.00808178399709191</v>
      </c>
      <c r="AP1004" s="6">
        <f t="shared" si="3"/>
        <v>1.645374357</v>
      </c>
      <c r="AQ1004" s="4">
        <f t="shared" si="4"/>
        <v>1.477869793</v>
      </c>
      <c r="AR1004" s="7">
        <f t="shared" si="5"/>
        <v>1.439641932</v>
      </c>
      <c r="AS1004" s="7">
        <f t="shared" ref="AS1004:AU1004" si="1006">AS1003*(1+AM1004)</f>
        <v>1.54381125</v>
      </c>
      <c r="AT1004" s="5">
        <f t="shared" si="1006"/>
        <v>1.391162554</v>
      </c>
      <c r="AU1004" s="5">
        <f t="shared" si="1006"/>
        <v>1.374834671</v>
      </c>
    </row>
    <row r="1005" ht="15.75" customHeight="1">
      <c r="A1005" s="3">
        <v>45287.0</v>
      </c>
      <c r="B1005" s="4">
        <v>-5.64E-4</v>
      </c>
      <c r="C1005" s="4">
        <v>-0.004536</v>
      </c>
      <c r="D1005" s="4">
        <v>0.002145</v>
      </c>
      <c r="E1005" s="4">
        <v>0.003198</v>
      </c>
      <c r="F1005" s="4">
        <v>0.002561</v>
      </c>
      <c r="G1005" s="4">
        <v>0.001345</v>
      </c>
      <c r="H1005" s="4">
        <v>8.22E-4</v>
      </c>
      <c r="I1005" s="4">
        <v>-2.75E-4</v>
      </c>
      <c r="J1005" s="4">
        <v>0.002686</v>
      </c>
      <c r="K1005" s="4">
        <v>6.18E-4</v>
      </c>
      <c r="L1005" s="4">
        <v>-0.003433</v>
      </c>
      <c r="M1005" s="4">
        <v>-9.04E-4</v>
      </c>
      <c r="N1005" s="4">
        <v>0.005471</v>
      </c>
      <c r="O1005" s="4">
        <v>-0.002365</v>
      </c>
      <c r="P1005" s="4">
        <v>0.011215</v>
      </c>
      <c r="Q1005" s="4">
        <v>0.017654</v>
      </c>
      <c r="R1005" s="4">
        <v>0.008639</v>
      </c>
      <c r="S1005" s="4">
        <v>0.009202</v>
      </c>
      <c r="T1005" s="4">
        <v>-0.002132</v>
      </c>
      <c r="U1005" s="4">
        <v>-0.001147</v>
      </c>
      <c r="V1005" s="4">
        <v>2.9553830262996E-4</v>
      </c>
      <c r="W1005" s="4">
        <v>-0.0205654596841086</v>
      </c>
      <c r="X1005" s="4">
        <v>0.0056658678078258</v>
      </c>
      <c r="Y1005" s="4">
        <v>0.0048209981065936</v>
      </c>
      <c r="Z1005" s="4">
        <v>0.0063278165996873</v>
      </c>
      <c r="AA1005" s="4">
        <v>-0.0043577927656759</v>
      </c>
      <c r="AB1005" s="4">
        <v>-0.0108723590376061</v>
      </c>
      <c r="AC1005" s="4">
        <v>0.0077973633799577</v>
      </c>
      <c r="AD1005" s="4">
        <v>0.0065876184348068</v>
      </c>
      <c r="AE1005" s="4">
        <v>-0.0010259557878962</v>
      </c>
      <c r="AF1005" s="4">
        <v>0.0154773024433034</v>
      </c>
      <c r="AG1005" s="4">
        <v>-0.0213523555757427</v>
      </c>
      <c r="AH1005" s="4">
        <v>-0.0105010576792479</v>
      </c>
      <c r="AI1005" s="4">
        <v>0.0010632218479307</v>
      </c>
      <c r="AJ1005" s="4">
        <v>0.00143</v>
      </c>
      <c r="AK1005" s="4">
        <f>Weights!E1061</f>
        <v>-0.0001936849867</v>
      </c>
      <c r="AL1005" s="5">
        <v>0.00415312845423976</v>
      </c>
      <c r="AM1005" s="5">
        <v>0.00494444127111926</v>
      </c>
      <c r="AN1005" s="5">
        <v>0.0047348308883055</v>
      </c>
      <c r="AO1005" s="5">
        <v>0.00565893183456012</v>
      </c>
      <c r="AP1005" s="6">
        <f t="shared" si="3"/>
        <v>1.645055673</v>
      </c>
      <c r="AQ1005" s="4">
        <f t="shared" si="4"/>
        <v>1.479983146</v>
      </c>
      <c r="AR1005" s="7">
        <f t="shared" si="5"/>
        <v>1.44562095</v>
      </c>
      <c r="AS1005" s="7">
        <f t="shared" ref="AS1005:AU1005" si="1007">AS1004*(1+AM1005)</f>
        <v>1.551444534</v>
      </c>
      <c r="AT1005" s="5">
        <f t="shared" si="1007"/>
        <v>1.397749474</v>
      </c>
      <c r="AU1005" s="5">
        <f t="shared" si="1007"/>
        <v>1.382614767</v>
      </c>
    </row>
    <row r="1006" ht="15.75" customHeight="1">
      <c r="A1006" s="3">
        <v>45288.0</v>
      </c>
      <c r="B1006" s="4">
        <v>0.006208</v>
      </c>
      <c r="C1006" s="4">
        <v>0.004824</v>
      </c>
      <c r="D1006" s="4">
        <v>0.0</v>
      </c>
      <c r="E1006" s="4">
        <v>-5.9E-5</v>
      </c>
      <c r="F1006" s="4">
        <v>6.81E-4</v>
      </c>
      <c r="G1006" s="4">
        <v>0.001471</v>
      </c>
      <c r="H1006" s="4">
        <v>-0.002259</v>
      </c>
      <c r="I1006" s="4">
        <v>-0.006334</v>
      </c>
      <c r="J1006" s="4">
        <v>-9.74E-4</v>
      </c>
      <c r="K1006" s="4">
        <v>-0.005556</v>
      </c>
      <c r="L1006" s="4">
        <v>-0.002657</v>
      </c>
      <c r="M1006" s="4">
        <v>-4.52E-4</v>
      </c>
      <c r="N1006" s="4">
        <v>5.83E-4</v>
      </c>
      <c r="O1006" s="4">
        <v>1.16E-4</v>
      </c>
      <c r="P1006" s="4">
        <v>-0.016045</v>
      </c>
      <c r="Q1006" s="4">
        <v>-0.107187</v>
      </c>
      <c r="R1006" s="4">
        <v>-0.004167</v>
      </c>
      <c r="S1006" s="4">
        <v>-0.016848</v>
      </c>
      <c r="T1006" s="4">
        <v>-0.012031</v>
      </c>
      <c r="U1006" s="4">
        <v>0.005677</v>
      </c>
      <c r="V1006" s="4">
        <v>-0.00147718277853359</v>
      </c>
      <c r="W1006" s="4">
        <v>-0.0093056954338217</v>
      </c>
      <c r="X1006" s="4">
        <v>-0.0028169733055455</v>
      </c>
      <c r="Y1006" s="4">
        <v>0.0015772733502916</v>
      </c>
      <c r="Z1006" s="4">
        <v>-0.0120848281063907</v>
      </c>
      <c r="AA1006" s="4">
        <v>0.0016674271076599</v>
      </c>
      <c r="AB1006" s="4">
        <v>0.0184048774763676</v>
      </c>
      <c r="AC1006" s="4">
        <v>-0.0116055136071845</v>
      </c>
      <c r="AD1006" s="4">
        <v>0.0</v>
      </c>
      <c r="AE1006" s="4">
        <v>0.0037657910017265</v>
      </c>
      <c r="AF1006" s="4">
        <v>0.0211685207033056</v>
      </c>
      <c r="AG1006" s="4">
        <v>-0.0292364065786964</v>
      </c>
      <c r="AH1006" s="4">
        <v>0.0236569437424898</v>
      </c>
      <c r="AI1006" s="4">
        <v>-0.0063729848622294</v>
      </c>
      <c r="AJ1006" s="4">
        <v>3.7E-4</v>
      </c>
      <c r="AK1006" s="4">
        <f>Weights!E1062</f>
        <v>-0.003743744437</v>
      </c>
      <c r="AL1006" s="5">
        <v>0.00285766166054668</v>
      </c>
      <c r="AM1006" s="5">
        <v>0.00189232144144813</v>
      </c>
      <c r="AN1006" s="5">
        <v>0.00722601024937463</v>
      </c>
      <c r="AO1006" s="5">
        <v>0.00679962447449877</v>
      </c>
      <c r="AP1006" s="6">
        <f t="shared" si="3"/>
        <v>1.638897005</v>
      </c>
      <c r="AQ1006" s="4">
        <f t="shared" si="4"/>
        <v>1.48053074</v>
      </c>
      <c r="AR1006" s="7">
        <f t="shared" si="5"/>
        <v>1.449752046</v>
      </c>
      <c r="AS1006" s="7">
        <f t="shared" ref="AS1006:AU1006" si="1008">AS1005*(1+AM1006)</f>
        <v>1.554380366</v>
      </c>
      <c r="AT1006" s="5">
        <f t="shared" si="1008"/>
        <v>1.407849626</v>
      </c>
      <c r="AU1006" s="5">
        <f t="shared" si="1008"/>
        <v>1.392016028</v>
      </c>
    </row>
    <row r="1007" ht="15.75" customHeight="1">
      <c r="A1007" s="3">
        <v>45289.0</v>
      </c>
      <c r="B1007" s="4">
        <v>-0.002243</v>
      </c>
      <c r="C1007" s="4">
        <v>0.005601</v>
      </c>
      <c r="D1007" s="4">
        <v>0.001712</v>
      </c>
      <c r="E1007" s="4">
        <v>0.002657</v>
      </c>
      <c r="F1007" s="4">
        <v>0.003064</v>
      </c>
      <c r="G1007" s="4">
        <v>0.001022</v>
      </c>
      <c r="H1007" s="4">
        <v>0.005558</v>
      </c>
      <c r="I1007" s="4">
        <v>-0.001663</v>
      </c>
      <c r="J1007" s="4">
        <v>0.002682</v>
      </c>
      <c r="K1007" s="4">
        <v>0.002793</v>
      </c>
      <c r="L1007" s="4">
        <v>-0.001974</v>
      </c>
      <c r="M1007" s="4">
        <v>4.53E-4</v>
      </c>
      <c r="N1007" s="4">
        <v>0.007186</v>
      </c>
      <c r="O1007" s="4">
        <v>-0.005665</v>
      </c>
      <c r="P1007" s="4">
        <v>-0.007434</v>
      </c>
      <c r="Q1007" s="4">
        <v>0.00347</v>
      </c>
      <c r="R1007" s="4">
        <v>-0.01046</v>
      </c>
      <c r="S1007" s="4">
        <v>-0.005242</v>
      </c>
      <c r="T1007" s="4">
        <v>-0.006564</v>
      </c>
      <c r="U1007" s="4">
        <v>0.003024</v>
      </c>
      <c r="V1007" s="4">
        <v>-0.00680470296559321</v>
      </c>
      <c r="W1007" s="4">
        <v>-0.0276974900550204</v>
      </c>
      <c r="X1007" s="4">
        <v>0.0</v>
      </c>
      <c r="Y1007" s="4">
        <v>0.0114837873996995</v>
      </c>
      <c r="Z1007" s="4">
        <v>-0.0299353609638507</v>
      </c>
      <c r="AA1007" s="4">
        <v>4.160763892731E-4</v>
      </c>
      <c r="AB1007" s="4">
        <v>0.018323250645325</v>
      </c>
      <c r="AC1007" s="4">
        <v>0.0</v>
      </c>
      <c r="AD1007" s="4">
        <v>0.0</v>
      </c>
      <c r="AE1007" s="4">
        <v>-0.0040926928431508</v>
      </c>
      <c r="AF1007" s="4">
        <v>-0.0121614557760182</v>
      </c>
      <c r="AG1007" s="4">
        <v>0.0140846174605113</v>
      </c>
      <c r="AH1007" s="4">
        <v>-4.320371121424E-4</v>
      </c>
      <c r="AI1007" s="4">
        <v>5.347763367087E-4</v>
      </c>
      <c r="AJ1007" s="4">
        <v>-0.002826</v>
      </c>
      <c r="AK1007" s="4">
        <f>Weights!E1063</f>
        <v>-0.0002396077498</v>
      </c>
      <c r="AL1007" s="5">
        <v>-5.99868110314427E-4</v>
      </c>
      <c r="AM1007" s="5">
        <v>-5.03613846202233E-4</v>
      </c>
      <c r="AN1007" s="5">
        <v>-0.00311920149727606</v>
      </c>
      <c r="AO1007" s="5">
        <v>-0.00276864554403355</v>
      </c>
      <c r="AP1007" s="6">
        <f t="shared" si="3"/>
        <v>1.638504312</v>
      </c>
      <c r="AQ1007" s="4">
        <f t="shared" si="4"/>
        <v>1.47634676</v>
      </c>
      <c r="AR1007" s="7">
        <f t="shared" si="5"/>
        <v>1.448882386</v>
      </c>
      <c r="AS1007" s="7">
        <f t="shared" ref="AS1007:AU1007" si="1009">AS1006*(1+AM1007)</f>
        <v>1.553597558</v>
      </c>
      <c r="AT1007" s="5">
        <f t="shared" si="1009"/>
        <v>1.403458259</v>
      </c>
      <c r="AU1007" s="5">
        <f t="shared" si="1009"/>
        <v>1.388162029</v>
      </c>
    </row>
    <row r="1008" ht="15.75" customHeight="1">
      <c r="A1008" s="3">
        <v>45293.0</v>
      </c>
      <c r="B1008" s="4">
        <v>0.006745</v>
      </c>
      <c r="C1008" s="4">
        <v>0.0313</v>
      </c>
      <c r="D1008" s="4">
        <v>-0.006195</v>
      </c>
      <c r="E1008" s="4">
        <v>0.018076</v>
      </c>
      <c r="F1008" s="4">
        <v>0.015103</v>
      </c>
      <c r="G1008" s="4">
        <v>0.020607</v>
      </c>
      <c r="H1008" s="4">
        <v>0.015013</v>
      </c>
      <c r="I1008" s="4">
        <v>0.007773</v>
      </c>
      <c r="J1008" s="4">
        <v>-0.002188</v>
      </c>
      <c r="K1008" s="4">
        <v>-0.005416</v>
      </c>
      <c r="L1008" s="4">
        <v>-0.006328</v>
      </c>
      <c r="M1008" s="4">
        <v>-0.012217</v>
      </c>
      <c r="N1008" s="4">
        <v>-0.010798</v>
      </c>
      <c r="O1008" s="4">
        <v>-0.001395</v>
      </c>
      <c r="P1008" s="4">
        <v>-0.011597</v>
      </c>
      <c r="Q1008" s="4">
        <v>-0.027662</v>
      </c>
      <c r="R1008" s="4">
        <v>-0.011276</v>
      </c>
      <c r="S1008" s="4">
        <v>-0.018443</v>
      </c>
      <c r="T1008" s="4">
        <v>0.007987</v>
      </c>
      <c r="U1008" s="4">
        <v>-0.004288</v>
      </c>
      <c r="V1008" s="4">
        <v>0.00119151566350583</v>
      </c>
      <c r="W1008" s="4">
        <v>0.0064403937975934</v>
      </c>
      <c r="X1008" s="4">
        <v>-0.0099009659294924</v>
      </c>
      <c r="Y1008" s="4">
        <v>0.0077851643702171</v>
      </c>
      <c r="Z1008" s="4">
        <v>-0.016916145106433</v>
      </c>
      <c r="AA1008" s="4">
        <v>-0.0101913604810235</v>
      </c>
      <c r="AB1008" s="4">
        <v>0.0108453851761063</v>
      </c>
      <c r="AC1008" s="4">
        <v>-0.0038986426340329</v>
      </c>
      <c r="AD1008" s="4">
        <v>-0.0159151051379135</v>
      </c>
      <c r="AE1008" s="4">
        <v>-0.0034247165153331</v>
      </c>
      <c r="AF1008" s="4">
        <v>-0.0011191979652883</v>
      </c>
      <c r="AG1008" s="4">
        <v>0.0017730911884812</v>
      </c>
      <c r="AH1008" s="4">
        <v>8.643446646732E-4</v>
      </c>
      <c r="AI1008" s="4">
        <v>0.0</v>
      </c>
      <c r="AJ1008" s="4">
        <v>-0.005661</v>
      </c>
      <c r="AK1008" s="4">
        <f>Weights!E1064</f>
        <v>-0.001440992815</v>
      </c>
      <c r="AL1008" s="5">
        <v>-0.00195082870417773</v>
      </c>
      <c r="AM1008" s="5">
        <v>-0.00382143041703775</v>
      </c>
      <c r="AN1008" s="5">
        <v>0.00187726518370778</v>
      </c>
      <c r="AO1008" s="5">
        <v>0.00164701618282991</v>
      </c>
      <c r="AP1008" s="6">
        <f t="shared" si="3"/>
        <v>1.636143239</v>
      </c>
      <c r="AQ1008" s="4">
        <f t="shared" si="4"/>
        <v>1.467989161</v>
      </c>
      <c r="AR1008" s="7">
        <f t="shared" si="5"/>
        <v>1.446055865</v>
      </c>
      <c r="AS1008" s="7">
        <f t="shared" ref="AS1008:AU1008" si="1010">AS1007*(1+AM1008)</f>
        <v>1.547660593</v>
      </c>
      <c r="AT1008" s="5">
        <f t="shared" si="1010"/>
        <v>1.406092922</v>
      </c>
      <c r="AU1008" s="5">
        <f t="shared" si="1010"/>
        <v>1.390448354</v>
      </c>
    </row>
    <row r="1009" ht="15.75" customHeight="1">
      <c r="A1009" s="3">
        <v>45294.0</v>
      </c>
      <c r="B1009" s="4">
        <v>-5.58E-4</v>
      </c>
      <c r="C1009" s="4">
        <v>0.007202</v>
      </c>
      <c r="D1009" s="4">
        <v>0.003224</v>
      </c>
      <c r="E1009" s="4">
        <v>2.31E-4</v>
      </c>
      <c r="F1009" s="4">
        <v>0.00234</v>
      </c>
      <c r="G1009" s="4">
        <v>0.006251</v>
      </c>
      <c r="H1009" s="4">
        <v>-0.006051</v>
      </c>
      <c r="I1009" s="4">
        <v>0.004683</v>
      </c>
      <c r="J1009" s="4">
        <v>0.003899</v>
      </c>
      <c r="K1009" s="4">
        <v>-0.010425</v>
      </c>
      <c r="L1009" s="4">
        <v>-0.004777</v>
      </c>
      <c r="M1009" s="4">
        <v>-0.010078</v>
      </c>
      <c r="N1009" s="4">
        <v>-0.002924</v>
      </c>
      <c r="O1009" s="4">
        <v>-0.03487</v>
      </c>
      <c r="P1009" s="4">
        <v>-0.022244</v>
      </c>
      <c r="Q1009" s="4">
        <v>-0.049787</v>
      </c>
      <c r="R1009" s="4">
        <v>-0.017106</v>
      </c>
      <c r="S1009" s="4">
        <v>-0.017345</v>
      </c>
      <c r="T1009" s="4">
        <v>0.006498</v>
      </c>
      <c r="U1009" s="4">
        <v>-0.007872</v>
      </c>
      <c r="V1009" s="4">
        <v>-0.0175542672317825</v>
      </c>
      <c r="W1009" s="4">
        <v>0.0551316929804595</v>
      </c>
      <c r="X1009" s="4">
        <v>0.0171427348268333</v>
      </c>
      <c r="Y1009" s="4">
        <v>0.0104930576081385</v>
      </c>
      <c r="Z1009" s="4">
        <v>0.0123056529105596</v>
      </c>
      <c r="AA1009" s="4">
        <v>0.0178609444116799</v>
      </c>
      <c r="AB1009" s="4">
        <v>0.0219461052169003</v>
      </c>
      <c r="AC1009" s="4">
        <v>-0.001956911559909</v>
      </c>
      <c r="AD1009" s="4">
        <v>0.0</v>
      </c>
      <c r="AE1009" s="4">
        <v>0.0068728359950018</v>
      </c>
      <c r="AF1009" s="4">
        <v>0.0089635473833673</v>
      </c>
      <c r="AG1009" s="4">
        <v>0.0103244482283433</v>
      </c>
      <c r="AH1009" s="4">
        <v>-0.0412348847149395</v>
      </c>
      <c r="AI1009" s="4">
        <v>0.0106834419547845</v>
      </c>
      <c r="AJ1009" s="4">
        <v>-0.008016</v>
      </c>
      <c r="AK1009" s="4">
        <f>Weights!E1065</f>
        <v>-0.00038638293</v>
      </c>
      <c r="AL1009" s="5">
        <v>-0.00834463362487036</v>
      </c>
      <c r="AM1009" s="5">
        <v>-0.00670270680449491</v>
      </c>
      <c r="AN1009" s="5">
        <v>-0.00281068339483214</v>
      </c>
      <c r="AO1009" s="5">
        <v>-0.00352371622710345</v>
      </c>
      <c r="AP1009" s="6">
        <f t="shared" si="3"/>
        <v>1.635511061</v>
      </c>
      <c r="AQ1009" s="4">
        <f t="shared" si="4"/>
        <v>1.45622176</v>
      </c>
      <c r="AR1009" s="7">
        <f t="shared" si="5"/>
        <v>1.433989058</v>
      </c>
      <c r="AS1009" s="7">
        <f t="shared" ref="AS1009:AU1009" si="1011">AS1008*(1+AM1009)</f>
        <v>1.537287078</v>
      </c>
      <c r="AT1009" s="5">
        <f t="shared" si="1011"/>
        <v>1.40214084</v>
      </c>
      <c r="AU1009" s="5">
        <f t="shared" si="1011"/>
        <v>1.385548809</v>
      </c>
    </row>
    <row r="1010" ht="15.75" customHeight="1">
      <c r="A1010" s="3">
        <v>45295.0</v>
      </c>
      <c r="B1010" s="4">
        <v>-0.002235</v>
      </c>
      <c r="C1010" s="4">
        <v>0.005363</v>
      </c>
      <c r="D1010" s="4">
        <v>-0.002785</v>
      </c>
      <c r="E1010" s="4">
        <v>-0.008557</v>
      </c>
      <c r="F1010" s="4">
        <v>-0.003336</v>
      </c>
      <c r="G1010" s="4">
        <v>-0.002112</v>
      </c>
      <c r="H1010" s="4">
        <v>0.005479</v>
      </c>
      <c r="I1010" s="4">
        <v>8.23E-4</v>
      </c>
      <c r="J1010" s="4">
        <v>0.004854</v>
      </c>
      <c r="K1010" s="4">
        <v>0.007862</v>
      </c>
      <c r="L1010" s="4">
        <v>0.0016</v>
      </c>
      <c r="M1010" s="4">
        <v>4.63E-4</v>
      </c>
      <c r="N1010" s="4">
        <v>0.002737</v>
      </c>
      <c r="O1010" s="4">
        <v>0.010797</v>
      </c>
      <c r="P1010" s="4">
        <v>0.003</v>
      </c>
      <c r="Q1010" s="4">
        <v>-0.018713</v>
      </c>
      <c r="R1010" s="4">
        <v>0.004351</v>
      </c>
      <c r="S1010" s="4">
        <v>0.007565</v>
      </c>
      <c r="T1010" s="4">
        <v>-0.025486</v>
      </c>
      <c r="U1010" s="4">
        <v>1.36E-4</v>
      </c>
      <c r="V1010" s="4">
        <v>-0.0269533641077619</v>
      </c>
      <c r="W1010" s="4">
        <v>0.0312573305919079</v>
      </c>
      <c r="X1010" s="4">
        <v>0.0393258606474424</v>
      </c>
      <c r="Y1010" s="4">
        <v>-0.004841496650518</v>
      </c>
      <c r="Z1010" s="4">
        <v>0.0082416147159276</v>
      </c>
      <c r="AA1010" s="4">
        <v>-0.0020644050804747</v>
      </c>
      <c r="AB1010" s="4">
        <v>0.0078739898665207</v>
      </c>
      <c r="AC1010" s="4">
        <v>0.007843151428561</v>
      </c>
      <c r="AD1010" s="4">
        <v>0.0444742141113783</v>
      </c>
      <c r="AE1010" s="4">
        <v>-0.0040954864835872</v>
      </c>
      <c r="AF1010" s="4">
        <v>0.0238756724949562</v>
      </c>
      <c r="AG1010" s="4">
        <v>0.009197060700953</v>
      </c>
      <c r="AH1010" s="4">
        <v>0.0211663731127835</v>
      </c>
      <c r="AI1010" s="4">
        <v>-0.0047566825671284</v>
      </c>
      <c r="AJ1010" s="4">
        <v>-0.003428</v>
      </c>
      <c r="AK1010" s="4">
        <f>Weights!E1066</f>
        <v>0.004199961099</v>
      </c>
      <c r="AL1010" s="5">
        <v>-0.00803571093092458</v>
      </c>
      <c r="AM1010" s="5">
        <v>-0.00959128694185884</v>
      </c>
      <c r="AN1010" s="5">
        <v>-0.00125281016331846</v>
      </c>
      <c r="AO1010" s="5">
        <v>-0.0023573578866346</v>
      </c>
      <c r="AP1010" s="6">
        <f t="shared" si="3"/>
        <v>1.642380144</v>
      </c>
      <c r="AQ1010" s="4">
        <f t="shared" si="4"/>
        <v>1.451229832</v>
      </c>
      <c r="AR1010" s="7">
        <f t="shared" si="5"/>
        <v>1.422465937</v>
      </c>
      <c r="AS1010" s="7">
        <f t="shared" ref="AS1010:AU1010" si="1012">AS1009*(1+AM1010)</f>
        <v>1.522542517</v>
      </c>
      <c r="AT1010" s="5">
        <f t="shared" si="1012"/>
        <v>1.400384224</v>
      </c>
      <c r="AU1010" s="5">
        <f t="shared" si="1012"/>
        <v>1.382282574</v>
      </c>
    </row>
    <row r="1011" ht="15.75" customHeight="1">
      <c r="A1011" s="3">
        <v>45296.0</v>
      </c>
      <c r="B1011" s="4">
        <v>0.003359</v>
      </c>
      <c r="C1011" s="4">
        <v>0.021082</v>
      </c>
      <c r="D1011" s="4">
        <v>0.005372</v>
      </c>
      <c r="E1011" s="4">
        <v>-0.014755</v>
      </c>
      <c r="F1011" s="4">
        <v>-0.001506</v>
      </c>
      <c r="G1011" s="4">
        <v>0.003113</v>
      </c>
      <c r="H1011" s="4">
        <v>-0.008274</v>
      </c>
      <c r="I1011" s="4">
        <v>0.005479</v>
      </c>
      <c r="J1011" s="4">
        <v>0.005556</v>
      </c>
      <c r="K1011" s="4">
        <v>0.004992</v>
      </c>
      <c r="L1011" s="4">
        <v>0.00579</v>
      </c>
      <c r="M1011" s="4">
        <v>0.009713</v>
      </c>
      <c r="N1011" s="4">
        <v>-9.75E-4</v>
      </c>
      <c r="O1011" s="4">
        <v>-0.004535</v>
      </c>
      <c r="P1011" s="4">
        <v>0.005484</v>
      </c>
      <c r="Q1011" s="4">
        <v>-0.025172</v>
      </c>
      <c r="R1011" s="4">
        <v>-0.003369</v>
      </c>
      <c r="S1011" s="4">
        <v>-0.006882</v>
      </c>
      <c r="T1011" s="4">
        <v>-0.008717</v>
      </c>
      <c r="U1011" s="4">
        <v>-0.006781</v>
      </c>
      <c r="V1011" s="4">
        <v>0.0062247366162309</v>
      </c>
      <c r="W1011" s="4">
        <v>-0.015607303220093</v>
      </c>
      <c r="X1011" s="4">
        <v>0.0067567710826821</v>
      </c>
      <c r="Y1011" s="4">
        <v>0.005121063625999</v>
      </c>
      <c r="Z1011" s="4">
        <v>0.0076632374306229</v>
      </c>
      <c r="AA1011" s="4">
        <v>0.0072402788620187</v>
      </c>
      <c r="AB1011" s="4">
        <v>0.0061552684228811</v>
      </c>
      <c r="AC1011" s="4">
        <v>0.0038910575606154</v>
      </c>
      <c r="AD1011" s="4">
        <v>0.0116130810187566</v>
      </c>
      <c r="AE1011" s="4">
        <v>0.0093102820329586</v>
      </c>
      <c r="AF1011" s="4">
        <v>-0.0181670398870281</v>
      </c>
      <c r="AG1011" s="4">
        <v>-0.0127295500992135</v>
      </c>
      <c r="AH1011" s="4">
        <v>-0.0198455741519132</v>
      </c>
      <c r="AI1011" s="4">
        <v>0.0042485850389801</v>
      </c>
      <c r="AJ1011" s="4">
        <v>0.001826</v>
      </c>
      <c r="AK1011" s="6">
        <f>Weights!E1067</f>
        <v>0.00004049585018</v>
      </c>
      <c r="AL1011" s="5">
        <v>-0.0011464019845242</v>
      </c>
      <c r="AM1011" s="5">
        <v>-0.00257105699334814</v>
      </c>
      <c r="AN1011" s="5">
        <v>0.00219513683773753</v>
      </c>
      <c r="AO1011" s="5">
        <v>0.00236292815395389</v>
      </c>
      <c r="AP1011" s="6">
        <f t="shared" si="3"/>
        <v>1.642446654</v>
      </c>
      <c r="AQ1011" s="4">
        <f t="shared" si="4"/>
        <v>1.453879778</v>
      </c>
      <c r="AR1011" s="7">
        <f t="shared" si="5"/>
        <v>1.420835219</v>
      </c>
      <c r="AS1011" s="7">
        <f t="shared" ref="AS1011:AU1011" si="1013">AS1010*(1+AM1011)</f>
        <v>1.518627973</v>
      </c>
      <c r="AT1011" s="5">
        <f t="shared" si="1013"/>
        <v>1.403458259</v>
      </c>
      <c r="AU1011" s="5">
        <f t="shared" si="1013"/>
        <v>1.385548809</v>
      </c>
    </row>
    <row r="1012" ht="15.75" customHeight="1">
      <c r="A1012" s="3">
        <v>45299.0</v>
      </c>
      <c r="B1012" s="4">
        <v>0.011719</v>
      </c>
      <c r="C1012" s="4">
        <v>-0.002488</v>
      </c>
      <c r="D1012" s="4">
        <v>0.00919</v>
      </c>
      <c r="E1012" s="4">
        <v>0.001006</v>
      </c>
      <c r="F1012" s="4">
        <v>0.007374</v>
      </c>
      <c r="G1012" s="4">
        <v>0.002482</v>
      </c>
      <c r="H1012" s="4">
        <v>0.008615</v>
      </c>
      <c r="I1012" s="4">
        <v>0.013896</v>
      </c>
      <c r="J1012" s="4">
        <v>0.009128</v>
      </c>
      <c r="K1012" s="4">
        <v>0.00978</v>
      </c>
      <c r="L1012" s="4">
        <v>0.005558</v>
      </c>
      <c r="M1012" s="4">
        <v>0.003207</v>
      </c>
      <c r="N1012" s="4">
        <v>0.004293</v>
      </c>
      <c r="O1012" s="4">
        <v>0.035667</v>
      </c>
      <c r="P1012" s="4">
        <v>-0.002727</v>
      </c>
      <c r="Q1012" s="4">
        <v>-0.014084</v>
      </c>
      <c r="R1012" s="4">
        <v>0.019078</v>
      </c>
      <c r="S1012" s="4">
        <v>0.00546</v>
      </c>
      <c r="T1012" s="4">
        <v>0.012781</v>
      </c>
      <c r="U1012" s="4">
        <v>0.003345</v>
      </c>
      <c r="V1012" s="4">
        <v>-0.0157748385493349</v>
      </c>
      <c r="W1012" s="4">
        <v>0.0266543546197222</v>
      </c>
      <c r="X1012" s="4">
        <v>0.0</v>
      </c>
      <c r="Y1012" s="4">
        <v>0.0071970441377977</v>
      </c>
      <c r="Z1012" s="4">
        <v>-0.0023321842519196</v>
      </c>
      <c r="AA1012" s="4">
        <v>0.0082153075083901</v>
      </c>
      <c r="AB1012" s="4">
        <v>0.0049412038591936</v>
      </c>
      <c r="AC1012" s="4">
        <v>0.0</v>
      </c>
      <c r="AD1012" s="4">
        <v>0.0</v>
      </c>
      <c r="AE1012" s="4">
        <v>-0.0099077459922891</v>
      </c>
      <c r="AF1012" s="4">
        <v>0.0151891751551873</v>
      </c>
      <c r="AG1012" s="4">
        <v>0.0082048873610389</v>
      </c>
      <c r="AH1012" s="4">
        <v>-8.999295310873E-4</v>
      </c>
      <c r="AI1012" s="4">
        <v>-5.289065034344E-4</v>
      </c>
      <c r="AJ1012" s="4">
        <v>0.014115</v>
      </c>
      <c r="AK1012" s="4">
        <f>Weights!E1068</f>
        <v>0.004465569077</v>
      </c>
      <c r="AL1012" s="5">
        <v>0.00122415324265512</v>
      </c>
      <c r="AM1012" s="5">
        <v>0.00150361032479096</v>
      </c>
      <c r="AN1012" s="5">
        <v>0.0028159597929116</v>
      </c>
      <c r="AO1012" s="5">
        <v>0.00330052484994092</v>
      </c>
      <c r="AP1012" s="6">
        <f t="shared" si="3"/>
        <v>1.649781113</v>
      </c>
      <c r="AQ1012" s="4">
        <f t="shared" si="4"/>
        <v>1.474401291</v>
      </c>
      <c r="AR1012" s="7">
        <f t="shared" si="5"/>
        <v>1.422574539</v>
      </c>
      <c r="AS1012" s="7">
        <f t="shared" ref="AS1012:AU1012" si="1014">AS1011*(1+AM1012)</f>
        <v>1.520911398</v>
      </c>
      <c r="AT1012" s="5">
        <f t="shared" si="1014"/>
        <v>1.407410341</v>
      </c>
      <c r="AU1012" s="5">
        <f t="shared" si="1014"/>
        <v>1.390121847</v>
      </c>
    </row>
    <row r="1013" ht="15.75" customHeight="1">
      <c r="A1013" s="3">
        <v>45300.0</v>
      </c>
      <c r="B1013" s="4">
        <v>-0.001655</v>
      </c>
      <c r="C1013" s="4">
        <v>-0.026434</v>
      </c>
      <c r="D1013" s="4">
        <v>-0.001482</v>
      </c>
      <c r="E1013" s="4">
        <v>-0.011472</v>
      </c>
      <c r="F1013" s="4">
        <v>-0.00183</v>
      </c>
      <c r="G1013" s="4">
        <v>6.19E-4</v>
      </c>
      <c r="H1013" s="4">
        <v>0.004102</v>
      </c>
      <c r="I1013" s="4">
        <v>-0.013706</v>
      </c>
      <c r="J1013" s="4">
        <v>-0.006903</v>
      </c>
      <c r="K1013" s="4">
        <v>-0.035467</v>
      </c>
      <c r="L1013" s="4">
        <v>-0.003159</v>
      </c>
      <c r="M1013" s="4">
        <v>-0.016438</v>
      </c>
      <c r="N1013" s="4">
        <v>-0.009911</v>
      </c>
      <c r="O1013" s="4">
        <v>0.029287</v>
      </c>
      <c r="P1013" s="4">
        <v>-0.038528</v>
      </c>
      <c r="Q1013" s="4">
        <v>-0.01746</v>
      </c>
      <c r="R1013" s="4">
        <v>-0.011848</v>
      </c>
      <c r="S1013" s="4">
        <v>-0.004177</v>
      </c>
      <c r="T1013" s="4">
        <v>-0.032648</v>
      </c>
      <c r="U1013" s="4">
        <v>0.002109</v>
      </c>
      <c r="V1013" s="4">
        <v>0.0109993379367172</v>
      </c>
      <c r="W1013" s="4">
        <v>0.0087287760037202</v>
      </c>
      <c r="X1013" s="4">
        <v>0.0013350953058208</v>
      </c>
      <c r="Y1013" s="4">
        <v>-0.0048056768121835</v>
      </c>
      <c r="Z1013" s="4">
        <v>-0.0026425893073486</v>
      </c>
      <c r="AA1013" s="4">
        <v>-0.0034629519252575</v>
      </c>
      <c r="AB1013" s="4">
        <v>0.0140481606772546</v>
      </c>
      <c r="AC1013" s="4">
        <v>0.0018867579306587</v>
      </c>
      <c r="AD1013" s="4">
        <v>-0.0102429891294643</v>
      </c>
      <c r="AE1013" s="4">
        <v>-0.0020704843144004</v>
      </c>
      <c r="AF1013" s="4">
        <v>-0.0062567722468475</v>
      </c>
      <c r="AG1013" s="4">
        <v>-0.0079928228954221</v>
      </c>
      <c r="AH1013" s="4">
        <v>-0.0042783277349794</v>
      </c>
      <c r="AI1013" s="4">
        <v>0.0042330635231071</v>
      </c>
      <c r="AJ1013" s="4">
        <v>-0.001478</v>
      </c>
      <c r="AK1013" s="4">
        <f>Weights!E1069</f>
        <v>-0.005885251903</v>
      </c>
      <c r="AL1013" s="5">
        <v>0.0132201955871686</v>
      </c>
      <c r="AM1013" s="5">
        <v>0.0142845531664572</v>
      </c>
      <c r="AN1013" s="5">
        <v>0.00624028829816536</v>
      </c>
      <c r="AO1013" s="5">
        <v>0.00681374635311482</v>
      </c>
      <c r="AP1013" s="6">
        <f t="shared" si="3"/>
        <v>1.640071735</v>
      </c>
      <c r="AQ1013" s="4">
        <f t="shared" si="4"/>
        <v>1.472222126</v>
      </c>
      <c r="AR1013" s="7">
        <f t="shared" si="5"/>
        <v>1.441381252</v>
      </c>
      <c r="AS1013" s="7">
        <f t="shared" ref="AS1013:AU1013" si="1015">AS1012*(1+AM1013)</f>
        <v>1.542636937</v>
      </c>
      <c r="AT1013" s="5">
        <f t="shared" si="1015"/>
        <v>1.416192987</v>
      </c>
      <c r="AU1013" s="5">
        <f t="shared" si="1015"/>
        <v>1.399593785</v>
      </c>
    </row>
    <row r="1014" ht="15.75" customHeight="1">
      <c r="A1014" s="3">
        <v>45301.0</v>
      </c>
      <c r="B1014" s="4">
        <v>0.009392</v>
      </c>
      <c r="C1014" s="4">
        <v>0.001025</v>
      </c>
      <c r="D1014" s="4">
        <v>0.006575</v>
      </c>
      <c r="E1014" s="4">
        <v>-0.001495</v>
      </c>
      <c r="F1014" s="4">
        <v>0.003333</v>
      </c>
      <c r="G1014" s="4">
        <v>0.001485</v>
      </c>
      <c r="H1014" s="4">
        <v>0.004287</v>
      </c>
      <c r="I1014" s="4">
        <v>0.00545</v>
      </c>
      <c r="J1014" s="4">
        <v>0.001198</v>
      </c>
      <c r="K1014" s="4">
        <v>-0.012101</v>
      </c>
      <c r="L1014" s="4">
        <v>-0.003367</v>
      </c>
      <c r="M1014" s="4">
        <v>0.00325</v>
      </c>
      <c r="N1014" s="4">
        <v>0.00471</v>
      </c>
      <c r="O1014" s="4">
        <v>-0.003037</v>
      </c>
      <c r="P1014" s="4">
        <v>-0.018873</v>
      </c>
      <c r="Q1014" s="4">
        <v>-8.08E-4</v>
      </c>
      <c r="R1014" s="4">
        <v>-0.009592</v>
      </c>
      <c r="S1014" s="4">
        <v>0.012374</v>
      </c>
      <c r="T1014" s="4">
        <v>0.010472</v>
      </c>
      <c r="U1014" s="4">
        <v>0.009234</v>
      </c>
      <c r="V1014" s="4">
        <v>-0.0174075459700359</v>
      </c>
      <c r="W1014" s="4">
        <v>-0.0075437785256813</v>
      </c>
      <c r="X1014" s="4">
        <v>0.0066666806131137</v>
      </c>
      <c r="Y1014" s="4">
        <v>-0.0038125445867751</v>
      </c>
      <c r="Z1014" s="4">
        <v>-0.0093753977386213</v>
      </c>
      <c r="AA1014" s="4">
        <v>-0.0098119839774178</v>
      </c>
      <c r="AB1014" s="4">
        <v>0.0060031992240583</v>
      </c>
      <c r="AC1014" s="4">
        <v>-0.0018832047791066</v>
      </c>
      <c r="AD1014" s="4">
        <v>-0.0090559300242417</v>
      </c>
      <c r="AE1014" s="4">
        <v>-0.0096818796506019</v>
      </c>
      <c r="AF1014" s="4">
        <v>-0.0035587809489077</v>
      </c>
      <c r="AG1014" s="4">
        <v>-0.0026370379420018</v>
      </c>
      <c r="AH1014" s="4">
        <v>-9.045025203787E-4</v>
      </c>
      <c r="AI1014" s="4">
        <v>0.0012158306451492</v>
      </c>
      <c r="AJ1014" s="4">
        <v>0.005666</v>
      </c>
      <c r="AK1014" s="4">
        <f>Weights!E1070</f>
        <v>-0.001368350085</v>
      </c>
      <c r="AL1014" s="5">
        <v>-0.00399730810462128</v>
      </c>
      <c r="AM1014" s="5">
        <v>-0.00186092574410778</v>
      </c>
      <c r="AN1014" s="5">
        <v>-0.00465120681297714</v>
      </c>
      <c r="AO1014" s="5">
        <v>-0.00466740342427041</v>
      </c>
      <c r="AP1014" s="6">
        <f t="shared" si="3"/>
        <v>1.637827543</v>
      </c>
      <c r="AQ1014" s="4">
        <f t="shared" si="4"/>
        <v>1.480563736</v>
      </c>
      <c r="AR1014" s="7">
        <f t="shared" si="5"/>
        <v>1.435619608</v>
      </c>
      <c r="AS1014" s="7">
        <f t="shared" ref="AS1014:AU1014" si="1016">AS1013*(1+AM1014)</f>
        <v>1.539766205</v>
      </c>
      <c r="AT1014" s="5">
        <f t="shared" si="1016"/>
        <v>1.409605981</v>
      </c>
      <c r="AU1014" s="5">
        <f t="shared" si="1016"/>
        <v>1.393061316</v>
      </c>
    </row>
    <row r="1015" ht="15.75" customHeight="1">
      <c r="A1015" s="3">
        <v>45302.0</v>
      </c>
      <c r="B1015" s="4">
        <v>-0.011494</v>
      </c>
      <c r="C1015" s="4">
        <v>-0.030194</v>
      </c>
      <c r="D1015" s="4">
        <v>-0.00295</v>
      </c>
      <c r="E1015" s="4">
        <v>-0.004733</v>
      </c>
      <c r="F1015" s="4">
        <v>-0.006478</v>
      </c>
      <c r="G1015" s="4">
        <v>-0.004448</v>
      </c>
      <c r="H1015" s="4">
        <v>0.003801</v>
      </c>
      <c r="I1015" s="4">
        <v>-0.007588</v>
      </c>
      <c r="J1015" s="4">
        <v>-0.017955</v>
      </c>
      <c r="K1015" s="4">
        <v>-0.015189</v>
      </c>
      <c r="L1015" s="4">
        <v>-0.010929</v>
      </c>
      <c r="M1015" s="4">
        <v>-0.006016</v>
      </c>
      <c r="N1015" s="4">
        <v>-0.003907</v>
      </c>
      <c r="O1015" s="4">
        <v>0.003384</v>
      </c>
      <c r="P1015" s="4">
        <v>-0.011331</v>
      </c>
      <c r="Q1015" s="4">
        <v>0.009701</v>
      </c>
      <c r="R1015" s="4">
        <v>-0.006538</v>
      </c>
      <c r="S1015" s="4">
        <v>-0.010773</v>
      </c>
      <c r="T1015" s="4">
        <v>-0.003968</v>
      </c>
      <c r="U1015" s="4">
        <v>-0.003969</v>
      </c>
      <c r="V1015" s="4">
        <v>0.0101234808462564</v>
      </c>
      <c r="W1015" s="4">
        <v>6.705425137711E-4</v>
      </c>
      <c r="X1015" s="4">
        <v>-0.0013244852825963</v>
      </c>
      <c r="Y1015" s="4">
        <v>-0.0063783585893748</v>
      </c>
      <c r="Z1015" s="4">
        <v>1.029905576419E-4</v>
      </c>
      <c r="AA1015" s="4">
        <v>-0.0018579988876713</v>
      </c>
      <c r="AB1015" s="4">
        <v>-2.293177434462E-4</v>
      </c>
      <c r="AC1015" s="4">
        <v>0.0018867579306587</v>
      </c>
      <c r="AD1015" s="4">
        <v>0.0</v>
      </c>
      <c r="AE1015" s="4">
        <v>0.0094274483959029</v>
      </c>
      <c r="AF1015" s="4">
        <v>-5.494188872233E-4</v>
      </c>
      <c r="AG1015" s="4">
        <v>0.0155698887403965</v>
      </c>
      <c r="AH1015" s="4">
        <v>-4.527686234689E-4</v>
      </c>
      <c r="AI1015" s="4">
        <v>0.0</v>
      </c>
      <c r="AJ1015" s="4">
        <v>-6.71E-4</v>
      </c>
      <c r="AK1015" s="4">
        <f>Weights!E1071</f>
        <v>-0.002809998848</v>
      </c>
      <c r="AL1015" s="5">
        <v>0.00583078787355639</v>
      </c>
      <c r="AM1015" s="5">
        <v>0.00516928320890341</v>
      </c>
      <c r="AN1015" s="5">
        <v>9.34724169306955E-4</v>
      </c>
      <c r="AO1015" s="5">
        <v>7.03421360246592E-4</v>
      </c>
      <c r="AP1015" s="6">
        <f t="shared" si="3"/>
        <v>1.63322525</v>
      </c>
      <c r="AQ1015" s="4">
        <f t="shared" si="4"/>
        <v>1.479570278</v>
      </c>
      <c r="AR1015" s="7">
        <f t="shared" si="5"/>
        <v>1.443990401</v>
      </c>
      <c r="AS1015" s="7">
        <f t="shared" ref="AS1015:AU1015" si="1017">AS1014*(1+AM1015)</f>
        <v>1.547725692</v>
      </c>
      <c r="AT1015" s="5">
        <f t="shared" si="1017"/>
        <v>1.410923574</v>
      </c>
      <c r="AU1015" s="5">
        <f t="shared" si="1017"/>
        <v>1.394041225</v>
      </c>
    </row>
    <row r="1016" ht="15.75" customHeight="1">
      <c r="A1016" s="3">
        <v>45303.0</v>
      </c>
      <c r="B1016" s="4">
        <v>0.003322</v>
      </c>
      <c r="C1016" s="4">
        <v>0.017414</v>
      </c>
      <c r="D1016" s="4">
        <v>8.45E-4</v>
      </c>
      <c r="E1016" s="4">
        <v>0.006862</v>
      </c>
      <c r="F1016" s="4">
        <v>0.009697</v>
      </c>
      <c r="G1016" s="4">
        <v>0.007695</v>
      </c>
      <c r="H1016" s="4">
        <v>5.98E-4</v>
      </c>
      <c r="I1016" s="4">
        <v>0.006008</v>
      </c>
      <c r="J1016" s="4">
        <v>9.75E-4</v>
      </c>
      <c r="K1016" s="4">
        <v>-0.004146</v>
      </c>
      <c r="L1016" s="4">
        <v>-0.009945</v>
      </c>
      <c r="M1016" s="4">
        <v>-0.006983</v>
      </c>
      <c r="N1016" s="4">
        <v>-1.96E-4</v>
      </c>
      <c r="O1016" s="4">
        <v>-0.02243</v>
      </c>
      <c r="P1016" s="4">
        <v>0.003198</v>
      </c>
      <c r="Q1016" s="4">
        <v>0.060849</v>
      </c>
      <c r="R1016" s="4">
        <v>-0.002194</v>
      </c>
      <c r="S1016" s="4">
        <v>0.015916</v>
      </c>
      <c r="T1016" s="4">
        <v>0.004162</v>
      </c>
      <c r="U1016" s="4">
        <v>0.005876</v>
      </c>
      <c r="V1016" s="4">
        <v>-0.00782965773232335</v>
      </c>
      <c r="W1016" s="4">
        <v>-0.0029042827367692</v>
      </c>
      <c r="X1016" s="4">
        <v>0.0</v>
      </c>
      <c r="Y1016" s="4">
        <v>0.0121325518166017</v>
      </c>
      <c r="Z1016" s="4">
        <v>0.0080230960047815</v>
      </c>
      <c r="AA1016" s="4">
        <v>-6.20457175262E-4</v>
      </c>
      <c r="AB1016" s="4">
        <v>0.0027545834072788</v>
      </c>
      <c r="AC1016" s="4">
        <v>0.0</v>
      </c>
      <c r="AD1016" s="4">
        <v>0.0</v>
      </c>
      <c r="AE1016" s="4">
        <v>0.0100311216594528</v>
      </c>
      <c r="AF1016" s="4">
        <v>0.0181417969859856</v>
      </c>
      <c r="AG1016" s="4">
        <v>0.0</v>
      </c>
      <c r="AH1016" s="4">
        <v>0.0</v>
      </c>
      <c r="AI1016" s="4">
        <v>-0.001584051205109</v>
      </c>
      <c r="AJ1016" s="4">
        <v>7.51E-4</v>
      </c>
      <c r="AK1016" s="4">
        <f>Weights!E1072</f>
        <v>0.003091793177</v>
      </c>
      <c r="AL1016" s="7">
        <v>-7.53264310535684E-5</v>
      </c>
      <c r="AM1016" s="5">
        <v>-6.74415886176893E-4</v>
      </c>
      <c r="AN1016" s="5">
        <v>-0.00373497327931826</v>
      </c>
      <c r="AO1016" s="5">
        <v>-0.00328014019239475</v>
      </c>
      <c r="AP1016" s="6">
        <f t="shared" si="3"/>
        <v>1.638274844</v>
      </c>
      <c r="AQ1016" s="4">
        <f t="shared" si="4"/>
        <v>1.480681435</v>
      </c>
      <c r="AR1016" s="7">
        <f t="shared" si="5"/>
        <v>1.44388163</v>
      </c>
      <c r="AS1016" s="7">
        <f t="shared" ref="AS1016:AU1016" si="1018">AS1015*(1+AM1016)</f>
        <v>1.546681881</v>
      </c>
      <c r="AT1016" s="5">
        <f t="shared" si="1018"/>
        <v>1.405653812</v>
      </c>
      <c r="AU1016" s="5">
        <f t="shared" si="1018"/>
        <v>1.389468574</v>
      </c>
    </row>
    <row r="1017" ht="15.75" customHeight="1">
      <c r="A1017" s="3">
        <v>45307.0</v>
      </c>
      <c r="B1017" s="4">
        <v>0.013245</v>
      </c>
      <c r="C1017" s="4">
        <v>0.018932</v>
      </c>
      <c r="D1017" s="4">
        <v>0.004012</v>
      </c>
      <c r="E1017" s="4">
        <v>-0.006576</v>
      </c>
      <c r="F1017" s="4">
        <v>-0.006624</v>
      </c>
      <c r="G1017" s="4">
        <v>-0.011515</v>
      </c>
      <c r="H1017" s="4">
        <v>-0.005379</v>
      </c>
      <c r="I1017" s="4">
        <v>-0.005429</v>
      </c>
      <c r="J1017" s="4">
        <v>-0.001705</v>
      </c>
      <c r="K1017" s="4">
        <v>-0.007327</v>
      </c>
      <c r="L1017" s="4">
        <v>-0.002131</v>
      </c>
      <c r="M1017" s="4">
        <v>-0.003751</v>
      </c>
      <c r="N1017" s="4">
        <v>-0.005885</v>
      </c>
      <c r="O1017" s="4">
        <v>-0.021219</v>
      </c>
      <c r="P1017" s="4">
        <v>-0.043305</v>
      </c>
      <c r="Q1017" s="4">
        <v>-0.042264</v>
      </c>
      <c r="R1017" s="4">
        <v>-0.049829</v>
      </c>
      <c r="S1017" s="4">
        <v>-0.01443</v>
      </c>
      <c r="T1017" s="4">
        <v>0.011309</v>
      </c>
      <c r="U1017" s="4">
        <v>-0.014034</v>
      </c>
      <c r="V1017" s="4">
        <v>0.0126262349824333</v>
      </c>
      <c r="W1017" s="4">
        <v>-0.0067219820654489</v>
      </c>
      <c r="X1017" s="4">
        <v>0.0</v>
      </c>
      <c r="Y1017" s="4">
        <v>-0.0027273282163337</v>
      </c>
      <c r="Z1017" s="4">
        <v>-0.0019389257242722</v>
      </c>
      <c r="AA1017" s="4">
        <v>-0.0024834555266494</v>
      </c>
      <c r="AB1017" s="4">
        <v>-0.0013735546393783</v>
      </c>
      <c r="AC1017" s="4">
        <v>0.0</v>
      </c>
      <c r="AD1017" s="4">
        <v>0.0</v>
      </c>
      <c r="AE1017" s="4">
        <v>-0.0102739561166355</v>
      </c>
      <c r="AF1017" s="4">
        <v>0.0099892845516513</v>
      </c>
      <c r="AG1017" s="4">
        <v>0.0040498103976218</v>
      </c>
      <c r="AH1017" s="4">
        <v>0.0126812124319311</v>
      </c>
      <c r="AI1017" s="4">
        <v>-5.290677917095E-4</v>
      </c>
      <c r="AJ1017" s="4">
        <v>-0.003731</v>
      </c>
      <c r="AK1017" s="4">
        <f>Weights!E1073</f>
        <v>-0.003847606331</v>
      </c>
      <c r="AL1017" s="5">
        <v>8.28186708407896E-4</v>
      </c>
      <c r="AM1017" s="5">
        <v>1.68750486434055E-4</v>
      </c>
      <c r="AN1017" s="5">
        <v>0.00218690759513551</v>
      </c>
      <c r="AO1017" s="5">
        <v>0.00282077479153142</v>
      </c>
      <c r="AP1017" s="6">
        <f t="shared" si="3"/>
        <v>1.631971408</v>
      </c>
      <c r="AQ1017" s="4">
        <f t="shared" si="4"/>
        <v>1.475157013</v>
      </c>
      <c r="AR1017" s="7">
        <f t="shared" si="5"/>
        <v>1.445077434</v>
      </c>
      <c r="AS1017" s="7">
        <f t="shared" ref="AS1017:AU1017" si="1019">AS1016*(1+AM1017)</f>
        <v>1.546942885</v>
      </c>
      <c r="AT1017" s="5">
        <f t="shared" si="1019"/>
        <v>1.408727847</v>
      </c>
      <c r="AU1017" s="5">
        <f t="shared" si="1019"/>
        <v>1.393387952</v>
      </c>
    </row>
    <row r="1018" ht="15.75" customHeight="1">
      <c r="A1018" s="3">
        <v>45308.0</v>
      </c>
      <c r="B1018" s="4">
        <v>-0.009804</v>
      </c>
      <c r="C1018" s="4">
        <v>-0.01069</v>
      </c>
      <c r="D1018" s="4">
        <v>-0.012408</v>
      </c>
      <c r="E1018" s="4">
        <v>0.001625</v>
      </c>
      <c r="F1018" s="4">
        <v>0.0</v>
      </c>
      <c r="G1018" s="4">
        <v>-5.61E-4</v>
      </c>
      <c r="H1018" s="4">
        <v>0.001001</v>
      </c>
      <c r="I1018" s="4">
        <v>-0.015011</v>
      </c>
      <c r="J1018" s="4">
        <v>-0.01537</v>
      </c>
      <c r="K1018" s="4">
        <v>-0.008388</v>
      </c>
      <c r="L1018" s="4">
        <v>-0.008846</v>
      </c>
      <c r="M1018" s="4">
        <v>-0.011294</v>
      </c>
      <c r="N1018" s="4">
        <v>-0.013023</v>
      </c>
      <c r="O1018" s="4">
        <v>0.002938</v>
      </c>
      <c r="P1018" s="4">
        <v>-0.035546</v>
      </c>
      <c r="Q1018" s="4">
        <v>-0.014972</v>
      </c>
      <c r="R1018" s="4">
        <v>-0.016967</v>
      </c>
      <c r="S1018" s="4">
        <v>-0.037022</v>
      </c>
      <c r="T1018" s="4">
        <v>-0.010246</v>
      </c>
      <c r="U1018" s="4">
        <v>-7.49E-4</v>
      </c>
      <c r="V1018" s="4">
        <v>0.00280546689581795</v>
      </c>
      <c r="W1018" s="4">
        <v>-0.0051884252679792</v>
      </c>
      <c r="X1018" s="4">
        <v>0.0066489503200228</v>
      </c>
      <c r="Y1018" s="4">
        <v>-0.030272080291203</v>
      </c>
      <c r="Z1018" s="4">
        <v>-0.0302627143013934</v>
      </c>
      <c r="AA1018" s="4">
        <v>-0.0066389208675704</v>
      </c>
      <c r="AB1018" s="4">
        <v>-2.29240647785E-4</v>
      </c>
      <c r="AC1018" s="4">
        <v>-0.0037807250665761</v>
      </c>
      <c r="AD1018" s="4">
        <v>0.0105540092769458</v>
      </c>
      <c r="AE1018" s="4">
        <v>-0.0048442557816233</v>
      </c>
      <c r="AF1018" s="4">
        <v>-0.0013365944575813</v>
      </c>
      <c r="AG1018" s="4">
        <v>-0.0097954841770875</v>
      </c>
      <c r="AH1018" s="4">
        <v>-0.0185599688818979</v>
      </c>
      <c r="AI1018" s="4">
        <v>0.0058202691426962</v>
      </c>
      <c r="AJ1018" s="4">
        <v>-0.005617</v>
      </c>
      <c r="AK1018" s="4">
        <f>Weights!E1074</f>
        <v>-0.00877692873</v>
      </c>
      <c r="AL1018" s="5">
        <v>-0.0069209736179463</v>
      </c>
      <c r="AM1018" s="5">
        <v>-0.0046392663773086</v>
      </c>
      <c r="AN1018" s="5">
        <v>0.00280536442768242</v>
      </c>
      <c r="AO1018" s="5">
        <v>0.00351628232520107</v>
      </c>
      <c r="AP1018" s="6">
        <f t="shared" si="3"/>
        <v>1.617647711</v>
      </c>
      <c r="AQ1018" s="4">
        <f t="shared" si="4"/>
        <v>1.466871056</v>
      </c>
      <c r="AR1018" s="7">
        <f t="shared" si="5"/>
        <v>1.435076091</v>
      </c>
      <c r="AS1018" s="7">
        <f t="shared" ref="AS1018:AU1018" si="1020">AS1017*(1+AM1018)</f>
        <v>1.539766205</v>
      </c>
      <c r="AT1018" s="5">
        <f t="shared" si="1020"/>
        <v>1.412679842</v>
      </c>
      <c r="AU1018" s="5">
        <f t="shared" si="1020"/>
        <v>1.398287498</v>
      </c>
    </row>
    <row r="1019" ht="15.75" customHeight="1">
      <c r="A1019" s="3">
        <v>45309.0</v>
      </c>
      <c r="B1019" s="4">
        <v>0.0033</v>
      </c>
      <c r="C1019" s="4">
        <v>0.001801</v>
      </c>
      <c r="D1019" s="4">
        <v>0.001491</v>
      </c>
      <c r="E1019" s="4">
        <v>0.004386</v>
      </c>
      <c r="F1019" s="4">
        <v>0.002834</v>
      </c>
      <c r="G1019" s="4">
        <v>0.004862</v>
      </c>
      <c r="H1019" s="4">
        <v>-0.005731</v>
      </c>
      <c r="I1019" s="4">
        <v>-0.008313</v>
      </c>
      <c r="J1019" s="4">
        <v>-0.011645</v>
      </c>
      <c r="K1019" s="4">
        <v>0.005414</v>
      </c>
      <c r="L1019" s="4">
        <v>0.007078</v>
      </c>
      <c r="M1019" s="4">
        <v>-4.76E-4</v>
      </c>
      <c r="N1019" s="4">
        <v>0.007997</v>
      </c>
      <c r="O1019" s="4">
        <v>0.012009</v>
      </c>
      <c r="P1019" s="4">
        <v>-0.003167</v>
      </c>
      <c r="Q1019" s="4">
        <v>-0.0016</v>
      </c>
      <c r="R1019" s="4">
        <v>-7.85E-4</v>
      </c>
      <c r="S1019" s="4">
        <v>0.00695</v>
      </c>
      <c r="T1019" s="4">
        <v>-0.015676</v>
      </c>
      <c r="U1019" s="4">
        <v>0.019561</v>
      </c>
      <c r="V1019" s="4">
        <v>-0.0133664827551441</v>
      </c>
      <c r="W1019" s="4">
        <v>-4.534145359561E-4</v>
      </c>
      <c r="X1019" s="4">
        <v>0.0</v>
      </c>
      <c r="Y1019" s="4">
        <v>0.005246336510114</v>
      </c>
      <c r="Z1019" s="4">
        <v>0.0050607072301032</v>
      </c>
      <c r="AA1019" s="4">
        <v>-0.0016708226764251</v>
      </c>
      <c r="AB1019" s="4">
        <v>-0.0022931179240677</v>
      </c>
      <c r="AC1019" s="4">
        <v>0.0075901463898673</v>
      </c>
      <c r="AD1019" s="4">
        <v>0.0039166888869137</v>
      </c>
      <c r="AE1019" s="4">
        <v>0.0017384889089704</v>
      </c>
      <c r="AF1019" s="4">
        <v>0.0029443518288667</v>
      </c>
      <c r="AG1019" s="4">
        <v>0.0084375156257336</v>
      </c>
      <c r="AH1019" s="4">
        <v>-0.0120756377384728</v>
      </c>
      <c r="AI1019" s="4">
        <v>5.259669290216E-4</v>
      </c>
      <c r="AJ1019" s="4">
        <v>0.008805</v>
      </c>
      <c r="AK1019" s="4">
        <f>Weights!E1075</f>
        <v>0.00029715832</v>
      </c>
      <c r="AL1019" s="5">
        <v>-0.00651467594282995</v>
      </c>
      <c r="AM1019" s="5">
        <v>-0.00601669375097191</v>
      </c>
      <c r="AN1019" s="5">
        <v>-0.00466271212881841</v>
      </c>
      <c r="AO1019" s="5">
        <v>-0.00583975087130084</v>
      </c>
      <c r="AP1019" s="6">
        <f t="shared" si="3"/>
        <v>1.618128408</v>
      </c>
      <c r="AQ1019" s="4">
        <f t="shared" si="4"/>
        <v>1.479786856</v>
      </c>
      <c r="AR1019" s="7">
        <f t="shared" si="5"/>
        <v>1.425727035</v>
      </c>
      <c r="AS1019" s="7">
        <f t="shared" ref="AS1019:AU1019" si="1021">AS1018*(1+AM1019)</f>
        <v>1.530501903</v>
      </c>
      <c r="AT1019" s="5">
        <f t="shared" si="1021"/>
        <v>1.406092922</v>
      </c>
      <c r="AU1019" s="5">
        <f t="shared" si="1021"/>
        <v>1.390121847</v>
      </c>
    </row>
    <row r="1020" ht="15.75" customHeight="1">
      <c r="A1020" s="3">
        <v>45310.0</v>
      </c>
      <c r="B1020" s="4">
        <v>0.004934</v>
      </c>
      <c r="C1020" s="4">
        <v>0.010015</v>
      </c>
      <c r="D1020" s="4">
        <v>0.012758</v>
      </c>
      <c r="E1020" s="4">
        <v>-0.008315</v>
      </c>
      <c r="F1020" s="4">
        <v>-0.005485</v>
      </c>
      <c r="G1020" s="4">
        <v>0.002915</v>
      </c>
      <c r="H1020" s="4">
        <v>-0.003848</v>
      </c>
      <c r="I1020" s="4">
        <v>0.005309</v>
      </c>
      <c r="J1020" s="4">
        <v>0.014791</v>
      </c>
      <c r="K1020" s="4">
        <v>0.016658</v>
      </c>
      <c r="L1020" s="4">
        <v>0.01477</v>
      </c>
      <c r="M1020" s="4">
        <v>0.009524</v>
      </c>
      <c r="N1020" s="4">
        <v>0.011107</v>
      </c>
      <c r="O1020" s="4">
        <v>-0.001273</v>
      </c>
      <c r="P1020" s="4">
        <v>-0.001155</v>
      </c>
      <c r="Q1020" s="4">
        <v>0.013622</v>
      </c>
      <c r="R1020" s="4">
        <v>0.014656</v>
      </c>
      <c r="S1020" s="4">
        <v>-0.003667</v>
      </c>
      <c r="T1020" s="4">
        <v>0.002344</v>
      </c>
      <c r="U1020" s="4">
        <v>0.017448</v>
      </c>
      <c r="V1020" s="4">
        <v>-0.0170132690232974</v>
      </c>
      <c r="W1020" s="4">
        <v>-0.0297186612863069</v>
      </c>
      <c r="X1020" s="4">
        <v>0.0</v>
      </c>
      <c r="Y1020" s="4">
        <v>0.0146791104468728</v>
      </c>
      <c r="Z1020" s="4">
        <v>0.0169934822019439</v>
      </c>
      <c r="AA1020" s="4">
        <v>-0.0062761364412866</v>
      </c>
      <c r="AB1020" s="4">
        <v>0.0013957760198994</v>
      </c>
      <c r="AC1020" s="4">
        <v>-0.0056497652653726</v>
      </c>
      <c r="AD1020" s="4">
        <v>0.0</v>
      </c>
      <c r="AE1020" s="4">
        <v>-0.0038181057484437</v>
      </c>
      <c r="AF1020" s="4">
        <v>0.0</v>
      </c>
      <c r="AG1020" s="4">
        <v>-0.0349104329808032</v>
      </c>
      <c r="AH1020" s="4">
        <v>-0.0149907882230458</v>
      </c>
      <c r="AI1020" s="4">
        <v>0.0052576454870774</v>
      </c>
      <c r="AJ1020" s="4">
        <v>0.012313</v>
      </c>
      <c r="AK1020" s="4">
        <f>Weights!E1076</f>
        <v>0.0008138700812</v>
      </c>
      <c r="AL1020" s="5">
        <v>0.00838744291582238</v>
      </c>
      <c r="AM1020" s="5">
        <v>0.00882406697704651</v>
      </c>
      <c r="AN1020" s="5">
        <v>-0.0112429192827637</v>
      </c>
      <c r="AO1020" s="5">
        <v>-0.0115133240677735</v>
      </c>
      <c r="AP1020" s="6">
        <f t="shared" si="3"/>
        <v>1.619445355</v>
      </c>
      <c r="AQ1020" s="4">
        <f t="shared" si="4"/>
        <v>1.498007471</v>
      </c>
      <c r="AR1020" s="7">
        <f t="shared" si="5"/>
        <v>1.437685239</v>
      </c>
      <c r="AS1020" s="7">
        <f t="shared" ref="AS1020:AU1020" si="1022">AS1019*(1+AM1020)</f>
        <v>1.544007154</v>
      </c>
      <c r="AT1020" s="5">
        <f t="shared" si="1022"/>
        <v>1.390284333</v>
      </c>
      <c r="AU1020" s="5">
        <f t="shared" si="1022"/>
        <v>1.374116924</v>
      </c>
    </row>
    <row r="1021" ht="15.75" customHeight="1">
      <c r="A1021" s="3">
        <v>45313.0</v>
      </c>
      <c r="B1021" s="4">
        <v>-0.007092</v>
      </c>
      <c r="C1021" s="4">
        <v>0.006356</v>
      </c>
      <c r="D1021" s="4">
        <v>-0.006299</v>
      </c>
      <c r="E1021" s="4">
        <v>-0.004041</v>
      </c>
      <c r="F1021" s="4">
        <v>-0.004346</v>
      </c>
      <c r="G1021" s="4">
        <v>0.004886</v>
      </c>
      <c r="H1021" s="4">
        <v>0.001965</v>
      </c>
      <c r="I1021" s="4">
        <v>-0.005003</v>
      </c>
      <c r="J1021" s="4">
        <v>-0.007905</v>
      </c>
      <c r="K1021" s="4">
        <v>0.00331</v>
      </c>
      <c r="L1021" s="4">
        <v>-0.006726</v>
      </c>
      <c r="M1021" s="4">
        <v>0.009906</v>
      </c>
      <c r="N1021" s="4">
        <v>-0.002158</v>
      </c>
      <c r="O1021" s="4">
        <v>0.024806</v>
      </c>
      <c r="P1021" s="4">
        <v>0.012146</v>
      </c>
      <c r="Q1021" s="4">
        <v>7.91E-4</v>
      </c>
      <c r="R1021" s="4">
        <v>-0.033273</v>
      </c>
      <c r="S1021" s="4">
        <v>-0.001732</v>
      </c>
      <c r="T1021" s="4">
        <v>0.021884</v>
      </c>
      <c r="U1021" s="4">
        <v>0.002628</v>
      </c>
      <c r="V1021" s="4">
        <v>0.0166667175468906</v>
      </c>
      <c r="W1021" s="4">
        <v>0.0016365277656444</v>
      </c>
      <c r="X1021" s="4">
        <v>0.0092471094686727</v>
      </c>
      <c r="Y1021" s="4">
        <v>0.012409288478967</v>
      </c>
      <c r="Z1021" s="4">
        <v>0.0076328497814017</v>
      </c>
      <c r="AA1021" s="4">
        <v>0.0039998509241911</v>
      </c>
      <c r="AB1021" s="4">
        <v>0.0074331739666786</v>
      </c>
      <c r="AC1021" s="4">
        <v>0.0</v>
      </c>
      <c r="AD1021" s="4">
        <v>0.0</v>
      </c>
      <c r="AE1021" s="4">
        <v>0.0209058892138751</v>
      </c>
      <c r="AF1021" s="4">
        <v>-2.66929947181E-4</v>
      </c>
      <c r="AG1021" s="4">
        <v>0.0156948931210632</v>
      </c>
      <c r="AH1021" s="4">
        <v>0.0189651907750598</v>
      </c>
      <c r="AI1021" s="4">
        <v>0.0</v>
      </c>
      <c r="AJ1021" s="4">
        <v>0.002194</v>
      </c>
      <c r="AK1021" s="4">
        <f>Weights!E1077</f>
        <v>0.004256368138</v>
      </c>
      <c r="AL1021" s="5">
        <v>0.0104347805718996</v>
      </c>
      <c r="AM1021" s="5">
        <v>0.0121692468755603</v>
      </c>
      <c r="AN1021" s="5">
        <v>0.00284276821065443</v>
      </c>
      <c r="AO1021" s="5">
        <v>0.00309018296151131</v>
      </c>
      <c r="AP1021" s="6">
        <f t="shared" si="3"/>
        <v>1.62633831</v>
      </c>
      <c r="AQ1021" s="4">
        <f t="shared" si="4"/>
        <v>1.501294099</v>
      </c>
      <c r="AR1021" s="7">
        <f t="shared" si="5"/>
        <v>1.452687169</v>
      </c>
      <c r="AS1021" s="7">
        <f t="shared" ref="AS1021:AU1021" si="1023">AS1020*(1+AM1021)</f>
        <v>1.562796558</v>
      </c>
      <c r="AT1021" s="5">
        <f t="shared" si="1023"/>
        <v>1.394236589</v>
      </c>
      <c r="AU1021" s="5">
        <f t="shared" si="1023"/>
        <v>1.378363197</v>
      </c>
    </row>
    <row r="1022" ht="15.75" customHeight="1">
      <c r="A1022" s="3">
        <v>45314.0</v>
      </c>
      <c r="B1022" s="4">
        <v>0.008242</v>
      </c>
      <c r="C1022" s="4">
        <v>0.066953</v>
      </c>
      <c r="D1022" s="4">
        <v>0.007606</v>
      </c>
      <c r="E1022" s="4">
        <v>0.015323</v>
      </c>
      <c r="F1022" s="4">
        <v>0.0047</v>
      </c>
      <c r="G1022" s="4">
        <v>-0.016372</v>
      </c>
      <c r="H1022" s="4">
        <v>0.04139</v>
      </c>
      <c r="I1022" s="4">
        <v>8.38E-4</v>
      </c>
      <c r="J1022" s="4">
        <v>-0.008715</v>
      </c>
      <c r="K1022" s="4">
        <v>-0.001155</v>
      </c>
      <c r="L1022" s="4">
        <v>0.003234</v>
      </c>
      <c r="M1022" s="4">
        <v>0.004671</v>
      </c>
      <c r="N1022" s="4">
        <v>-3.93E-4</v>
      </c>
      <c r="O1022" s="4">
        <v>-0.010463</v>
      </c>
      <c r="P1022" s="4">
        <v>0.010286</v>
      </c>
      <c r="Q1022" s="4">
        <v>0.051343</v>
      </c>
      <c r="R1022" s="4">
        <v>0.01841</v>
      </c>
      <c r="S1022" s="4">
        <v>0.025374</v>
      </c>
      <c r="T1022" s="4">
        <v>0.007627</v>
      </c>
      <c r="U1022" s="4">
        <v>0.004915</v>
      </c>
      <c r="V1022" s="4">
        <v>6.30504110711305E-4</v>
      </c>
      <c r="W1022" s="4">
        <v>0.0788983508233569</v>
      </c>
      <c r="X1022" s="4">
        <v>0.0</v>
      </c>
      <c r="Y1022" s="4">
        <v>0.0175915765297598</v>
      </c>
      <c r="Z1022" s="4">
        <v>0.0337802634537103</v>
      </c>
      <c r="AA1022" s="4">
        <v>0.014258619574899</v>
      </c>
      <c r="AB1022" s="4">
        <v>0.0076089975468334</v>
      </c>
      <c r="AC1022" s="4">
        <v>0.0</v>
      </c>
      <c r="AD1022" s="4">
        <v>0.0</v>
      </c>
      <c r="AE1022" s="4">
        <v>0.0167235960395732</v>
      </c>
      <c r="AF1022" s="4">
        <v>0.0141484571097352</v>
      </c>
      <c r="AG1022" s="4">
        <v>0.007799839269434</v>
      </c>
      <c r="AH1022" s="4">
        <v>-0.0289522972220513</v>
      </c>
      <c r="AI1022" s="4">
        <v>0.0094140964880378</v>
      </c>
      <c r="AJ1022" s="4">
        <v>0.002921</v>
      </c>
      <c r="AK1022" s="4">
        <f>Weights!E1078</f>
        <v>0.00908954622</v>
      </c>
      <c r="AL1022" s="5">
        <v>0.00231986478833534</v>
      </c>
      <c r="AM1022" s="5">
        <v>0.00434168804395818</v>
      </c>
      <c r="AN1022" s="5">
        <v>0.00755897639059055</v>
      </c>
      <c r="AO1022" s="5">
        <v>0.00734582178029974</v>
      </c>
      <c r="AP1022" s="6">
        <f t="shared" si="3"/>
        <v>1.641120988</v>
      </c>
      <c r="AQ1022" s="4">
        <f t="shared" si="4"/>
        <v>1.50567938</v>
      </c>
      <c r="AR1022" s="7">
        <f t="shared" si="5"/>
        <v>1.456057207</v>
      </c>
      <c r="AS1022" s="7">
        <f t="shared" ref="AS1022:AU1022" si="1024">AS1021*(1+AM1022)</f>
        <v>1.569581734</v>
      </c>
      <c r="AT1022" s="5">
        <f t="shared" si="1024"/>
        <v>1.404775591</v>
      </c>
      <c r="AU1022" s="5">
        <f t="shared" si="1024"/>
        <v>1.388488407</v>
      </c>
    </row>
    <row r="1023" ht="15.75" customHeight="1">
      <c r="A1023" s="3">
        <v>45315.0</v>
      </c>
      <c r="B1023" s="4">
        <v>-0.013624</v>
      </c>
      <c r="C1023" s="4">
        <v>-0.022496</v>
      </c>
      <c r="D1023" s="4">
        <v>-0.007549</v>
      </c>
      <c r="E1023" s="4">
        <v>-0.012169</v>
      </c>
      <c r="F1023" s="4">
        <v>-0.015706</v>
      </c>
      <c r="G1023" s="4">
        <v>-0.005319</v>
      </c>
      <c r="H1023" s="4">
        <v>-0.012079</v>
      </c>
      <c r="I1023" s="4">
        <v>-0.00921</v>
      </c>
      <c r="J1023" s="4">
        <v>-0.009545</v>
      </c>
      <c r="K1023" s="4">
        <v>0.004129</v>
      </c>
      <c r="L1023" s="4">
        <v>-0.004188</v>
      </c>
      <c r="M1023" s="4">
        <v>0.005114</v>
      </c>
      <c r="N1023" s="4">
        <v>0.00531</v>
      </c>
      <c r="O1023" s="4">
        <v>-0.018232</v>
      </c>
      <c r="P1023" s="4">
        <v>-0.026018</v>
      </c>
      <c r="Q1023" s="4">
        <v>0.010518</v>
      </c>
      <c r="R1023" s="4">
        <v>0.040608</v>
      </c>
      <c r="S1023" s="4">
        <v>-0.027284</v>
      </c>
      <c r="T1023" s="4">
        <v>0.005182</v>
      </c>
      <c r="U1023" s="4">
        <v>-0.010108</v>
      </c>
      <c r="V1023" s="4">
        <v>0.017013192077782</v>
      </c>
      <c r="W1023" s="4">
        <v>-0.0374296521117416</v>
      </c>
      <c r="X1023" s="4">
        <v>0.0</v>
      </c>
      <c r="Y1023" s="4">
        <v>0.0023718406832411</v>
      </c>
      <c r="Z1023" s="4">
        <v>2.970260287917E-4</v>
      </c>
      <c r="AA1023" s="4">
        <v>-0.0016536395017775</v>
      </c>
      <c r="AB1023" s="4">
        <v>-0.0043479467693252</v>
      </c>
      <c r="AC1023" s="4">
        <v>-0.0018868335370674</v>
      </c>
      <c r="AD1023" s="4">
        <v>-0.003916473417851</v>
      </c>
      <c r="AE1023" s="4">
        <v>-0.0097348008793111</v>
      </c>
      <c r="AF1023" s="4">
        <v>-0.0150039832104817</v>
      </c>
      <c r="AG1023" s="4">
        <v>0.0</v>
      </c>
      <c r="AH1023" s="4">
        <v>0.0146711493423348</v>
      </c>
      <c r="AI1023" s="4">
        <v>-0.0031086963780393</v>
      </c>
      <c r="AJ1023" s="4">
        <v>8.12E-4</v>
      </c>
      <c r="AK1023" s="4">
        <f>Weights!E1079</f>
        <v>-0.003115009347</v>
      </c>
      <c r="AL1023" s="5">
        <v>0.00126924318253007</v>
      </c>
      <c r="AM1023" s="5">
        <v>0.00182885047913705</v>
      </c>
      <c r="AN1023" s="5">
        <v>-3.12584128966841E-4</v>
      </c>
      <c r="AO1023" s="5">
        <v>9.40984052311799E-4</v>
      </c>
      <c r="AP1023" s="6">
        <f t="shared" si="3"/>
        <v>1.63600888</v>
      </c>
      <c r="AQ1023" s="4">
        <f t="shared" si="4"/>
        <v>1.506901991</v>
      </c>
      <c r="AR1023" s="7">
        <f t="shared" si="5"/>
        <v>1.457905298</v>
      </c>
      <c r="AS1023" s="7">
        <f t="shared" ref="AS1023:AU1023" si="1025">AS1022*(1+AM1023)</f>
        <v>1.572452264</v>
      </c>
      <c r="AT1023" s="5">
        <f t="shared" si="1025"/>
        <v>1.40433648</v>
      </c>
      <c r="AU1023" s="5">
        <f t="shared" si="1025"/>
        <v>1.389794952</v>
      </c>
    </row>
    <row r="1024" ht="15.75" customHeight="1">
      <c r="A1024" s="3">
        <v>45316.0</v>
      </c>
      <c r="B1024" s="4">
        <v>0.002762</v>
      </c>
      <c r="C1024" s="4">
        <v>0.024467</v>
      </c>
      <c r="D1024" s="4">
        <v>-0.00169</v>
      </c>
      <c r="E1024" s="4">
        <v>0.005797</v>
      </c>
      <c r="F1024" s="4">
        <v>0.004244</v>
      </c>
      <c r="G1024" s="4">
        <v>0.003774</v>
      </c>
      <c r="H1024" s="4">
        <v>0.023008</v>
      </c>
      <c r="I1024" s="4">
        <v>0.005352</v>
      </c>
      <c r="J1024" s="4">
        <v>0.009384</v>
      </c>
      <c r="K1024" s="4">
        <v>0.007401</v>
      </c>
      <c r="L1024" s="4">
        <v>0.003884</v>
      </c>
      <c r="M1024" s="4">
        <v>0.013876</v>
      </c>
      <c r="N1024" s="4">
        <v>0.003326</v>
      </c>
      <c r="O1024" s="4">
        <v>0.084818</v>
      </c>
      <c r="P1024" s="4">
        <v>0.001452</v>
      </c>
      <c r="Q1024" s="4">
        <v>0.013383</v>
      </c>
      <c r="R1024" s="4">
        <v>-0.007049</v>
      </c>
      <c r="S1024" s="4">
        <v>0.017178</v>
      </c>
      <c r="T1024" s="4">
        <v>0.011991</v>
      </c>
      <c r="U1024" s="4">
        <v>0.010738</v>
      </c>
      <c r="V1024" s="4">
        <v>-0.00433703786759731</v>
      </c>
      <c r="W1024" s="4">
        <v>-0.0312430941440317</v>
      </c>
      <c r="X1024" s="4">
        <v>-0.0195311889513085</v>
      </c>
      <c r="Y1024" s="4">
        <v>-0.0082188384650976</v>
      </c>
      <c r="Z1024" s="4">
        <v>-0.0113838102760753</v>
      </c>
      <c r="AA1024" s="4">
        <v>-0.0043488542521117</v>
      </c>
      <c r="AB1024" s="4">
        <v>0.0071247553990698</v>
      </c>
      <c r="AC1024" s="4">
        <v>-0.0037807250665761</v>
      </c>
      <c r="AD1024" s="4">
        <v>0.0026214285915151</v>
      </c>
      <c r="AE1024" s="4">
        <v>0.0061016318756443</v>
      </c>
      <c r="AF1024" s="4">
        <v>-0.0034740083656277</v>
      </c>
      <c r="AG1024" s="4">
        <v>0.0370912127446341</v>
      </c>
      <c r="AH1024" s="4">
        <v>-0.0272854711013114</v>
      </c>
      <c r="AI1024" s="4">
        <v>0.0057174156033819</v>
      </c>
      <c r="AJ1024" s="4">
        <v>0.00526</v>
      </c>
      <c r="AK1024" s="4">
        <f>Weights!E1080</f>
        <v>0.003678354721</v>
      </c>
      <c r="AL1024" s="5">
        <v>0.00231144604660604</v>
      </c>
      <c r="AM1024" s="5">
        <v>-1.6598489241304E-4</v>
      </c>
      <c r="AN1024" s="5">
        <v>0.00437773209268765</v>
      </c>
      <c r="AO1024" s="5">
        <v>0.00493542905842514</v>
      </c>
      <c r="AP1024" s="6">
        <f t="shared" si="3"/>
        <v>1.642026701</v>
      </c>
      <c r="AQ1024" s="4">
        <f t="shared" si="4"/>
        <v>1.514828296</v>
      </c>
      <c r="AR1024" s="7">
        <f t="shared" si="5"/>
        <v>1.461275167</v>
      </c>
      <c r="AS1024" s="7">
        <f t="shared" ref="AS1024:AU1024" si="1026">AS1023*(1+AM1024)</f>
        <v>1.572191261</v>
      </c>
      <c r="AT1024" s="5">
        <f t="shared" si="1026"/>
        <v>1.410484289</v>
      </c>
      <c r="AU1024" s="5">
        <f t="shared" si="1026"/>
        <v>1.396654187</v>
      </c>
    </row>
    <row r="1025" ht="15.75" customHeight="1">
      <c r="A1025" s="3">
        <v>45317.0</v>
      </c>
      <c r="B1025" s="4">
        <v>-0.001653</v>
      </c>
      <c r="C1025" s="4">
        <v>0.002601</v>
      </c>
      <c r="D1025" s="4">
        <v>0.004021</v>
      </c>
      <c r="E1025" s="4">
        <v>0.007805</v>
      </c>
      <c r="F1025" s="4">
        <v>0.00355</v>
      </c>
      <c r="G1025" s="4">
        <v>-3.76E-4</v>
      </c>
      <c r="H1025" s="4">
        <v>0.003342</v>
      </c>
      <c r="I1025" s="4">
        <v>0.006164</v>
      </c>
      <c r="J1025" s="4">
        <v>-0.001759</v>
      </c>
      <c r="K1025" s="4">
        <v>-0.001633</v>
      </c>
      <c r="L1025" s="4">
        <v>0.006517</v>
      </c>
      <c r="M1025" s="4">
        <v>-0.003193</v>
      </c>
      <c r="N1025" s="4">
        <v>0.00195</v>
      </c>
      <c r="O1025" s="4">
        <v>0.020392</v>
      </c>
      <c r="P1025" s="4">
        <v>-0.008118</v>
      </c>
      <c r="Q1025" s="4">
        <v>0.028613</v>
      </c>
      <c r="R1025" s="4">
        <v>0.003803</v>
      </c>
      <c r="S1025" s="4">
        <v>-2.14E-4</v>
      </c>
      <c r="T1025" s="4">
        <v>0.00229</v>
      </c>
      <c r="U1025" s="4">
        <v>0.006387</v>
      </c>
      <c r="V1025" s="4">
        <v>0.0186684004063224</v>
      </c>
      <c r="W1025" s="4">
        <v>0.0204177677652721</v>
      </c>
      <c r="X1025" s="4">
        <v>0.0</v>
      </c>
      <c r="Y1025" s="4">
        <v>0.0097160964507903</v>
      </c>
      <c r="Z1025" s="4">
        <v>0.0068088890888871</v>
      </c>
      <c r="AA1025" s="4">
        <v>0.0170550620760803</v>
      </c>
      <c r="AB1025" s="4">
        <v>-0.0038793509432208</v>
      </c>
      <c r="AC1025" s="4">
        <v>0.0</v>
      </c>
      <c r="AD1025" s="4">
        <v>-0.0039217001930644</v>
      </c>
      <c r="AE1025" s="4">
        <v>0.0040431728717873</v>
      </c>
      <c r="AF1025" s="4">
        <v>0.0158219401621462</v>
      </c>
      <c r="AG1025" s="4">
        <v>0.034919805903856</v>
      </c>
      <c r="AH1025" s="4">
        <v>-0.0119875786835613</v>
      </c>
      <c r="AI1025" s="4">
        <v>0.0031004545827792</v>
      </c>
      <c r="AJ1025" s="4">
        <v>-6.52E-4</v>
      </c>
      <c r="AK1025" s="4">
        <f>Weights!E1081</f>
        <v>0.005596629514</v>
      </c>
      <c r="AL1025" s="5">
        <v>0.00394288843800016</v>
      </c>
      <c r="AM1025" s="5">
        <v>0.00556070865291902</v>
      </c>
      <c r="AN1025" s="5">
        <v>9.34018699997318E-4</v>
      </c>
      <c r="AO1025" s="5">
        <v>-2.33778094539283E-4</v>
      </c>
      <c r="AP1025" s="6">
        <f t="shared" si="3"/>
        <v>1.651216516</v>
      </c>
      <c r="AQ1025" s="4">
        <f t="shared" si="4"/>
        <v>1.513840628</v>
      </c>
      <c r="AR1025" s="7">
        <f t="shared" si="5"/>
        <v>1.467036812</v>
      </c>
      <c r="AS1025" s="7">
        <f t="shared" ref="AS1025:AU1025" si="1027">AS1024*(1+AM1025)</f>
        <v>1.580933758</v>
      </c>
      <c r="AT1025" s="5">
        <f t="shared" si="1027"/>
        <v>1.411801708</v>
      </c>
      <c r="AU1025" s="5">
        <f t="shared" si="1027"/>
        <v>1.39632768</v>
      </c>
    </row>
    <row r="1026" ht="15.75" customHeight="1">
      <c r="A1026" s="3">
        <v>45320.0</v>
      </c>
      <c r="B1026" s="4">
        <v>0.007726</v>
      </c>
      <c r="C1026" s="4">
        <v>-0.008255</v>
      </c>
      <c r="D1026" s="4">
        <v>0.006324</v>
      </c>
      <c r="E1026" s="4">
        <v>0.001728</v>
      </c>
      <c r="F1026" s="4">
        <v>0.006064</v>
      </c>
      <c r="G1026" s="4">
        <v>-8.78E-4</v>
      </c>
      <c r="H1026" s="4">
        <v>1.28E-4</v>
      </c>
      <c r="I1026" s="4">
        <v>0.001114</v>
      </c>
      <c r="J1026" s="4">
        <v>0.010823</v>
      </c>
      <c r="K1026" s="4">
        <v>0.009812</v>
      </c>
      <c r="L1026" s="4">
        <v>0.001416</v>
      </c>
      <c r="M1026" s="4">
        <v>4.58E-4</v>
      </c>
      <c r="N1026" s="4">
        <v>0.006422</v>
      </c>
      <c r="O1026" s="4">
        <v>0.00568</v>
      </c>
      <c r="P1026" s="4">
        <v>0.012862</v>
      </c>
      <c r="Q1026" s="4">
        <v>0.027104</v>
      </c>
      <c r="R1026" s="4">
        <v>0.016166</v>
      </c>
      <c r="S1026" s="4">
        <v>0.020526</v>
      </c>
      <c r="T1026" s="4">
        <v>0.008795</v>
      </c>
      <c r="U1026" s="4">
        <v>0.00965</v>
      </c>
      <c r="V1026" s="4">
        <v>0.0858276514083447</v>
      </c>
      <c r="W1026" s="4">
        <v>0.0115961703097839</v>
      </c>
      <c r="X1026" s="4">
        <v>0.014608242724841</v>
      </c>
      <c r="Y1026" s="4">
        <v>0.0051862300001634</v>
      </c>
      <c r="Z1026" s="4">
        <v>-0.0090502610044364</v>
      </c>
      <c r="AA1026" s="4">
        <v>0.011860811503177</v>
      </c>
      <c r="AB1026" s="4">
        <v>0.0025198792666376</v>
      </c>
      <c r="AC1026" s="4">
        <v>0.0037950731949336</v>
      </c>
      <c r="AD1026" s="4">
        <v>0.0013122718591491</v>
      </c>
      <c r="AE1026" s="4">
        <v>-0.0016778823579819</v>
      </c>
      <c r="AF1026" s="4">
        <v>0.0018478987130268</v>
      </c>
      <c r="AG1026" s="4">
        <v>0.0069388286151605</v>
      </c>
      <c r="AH1026" s="4">
        <v>0.0019413671932086</v>
      </c>
      <c r="AI1026" s="4">
        <v>0.0020609268236102</v>
      </c>
      <c r="AJ1026" s="4">
        <v>0.007557</v>
      </c>
      <c r="AK1026" s="4">
        <f>Weights!E1082</f>
        <v>0.008776131183</v>
      </c>
      <c r="AL1026" s="5">
        <v>8.89257997525927E-4</v>
      </c>
      <c r="AM1026" s="5">
        <v>-8.25407990671767E-4</v>
      </c>
      <c r="AN1026" s="5">
        <v>0.00342143670009198</v>
      </c>
      <c r="AO1026" s="5">
        <v>0.00374252709087152</v>
      </c>
      <c r="AP1026" s="6">
        <f t="shared" si="3"/>
        <v>1.665707809</v>
      </c>
      <c r="AQ1026" s="4">
        <f t="shared" si="4"/>
        <v>1.525280721</v>
      </c>
      <c r="AR1026" s="7">
        <f t="shared" si="5"/>
        <v>1.468341387</v>
      </c>
      <c r="AS1026" s="7">
        <f t="shared" ref="AS1026:AU1026" si="1028">AS1025*(1+AM1026)</f>
        <v>1.579628843</v>
      </c>
      <c r="AT1026" s="5">
        <f t="shared" si="1028"/>
        <v>1.416632098</v>
      </c>
      <c r="AU1026" s="5">
        <f t="shared" si="1028"/>
        <v>1.401553474</v>
      </c>
    </row>
    <row r="1027" ht="15.75" customHeight="1">
      <c r="A1027" s="3">
        <v>45321.0</v>
      </c>
      <c r="B1027" s="4">
        <v>-0.008215</v>
      </c>
      <c r="C1027" s="4">
        <v>0.009988</v>
      </c>
      <c r="D1027" s="4">
        <v>-0.009426</v>
      </c>
      <c r="E1027" s="4">
        <v>0.008742</v>
      </c>
      <c r="F1027" s="4">
        <v>0.002846</v>
      </c>
      <c r="G1027" s="4">
        <v>-0.003702</v>
      </c>
      <c r="H1027" s="4">
        <v>0.008517</v>
      </c>
      <c r="I1027" s="4">
        <v>8.34E-4</v>
      </c>
      <c r="J1027" s="4">
        <v>0.003735</v>
      </c>
      <c r="K1027" s="4">
        <v>0.0</v>
      </c>
      <c r="L1027" s="4">
        <v>0.00293</v>
      </c>
      <c r="M1027" s="4">
        <v>0.016468</v>
      </c>
      <c r="N1027" s="4">
        <v>0.003094</v>
      </c>
      <c r="O1027" s="4">
        <v>7.84E-4</v>
      </c>
      <c r="P1027" s="4">
        <v>-0.00404</v>
      </c>
      <c r="Q1027" s="4">
        <v>0.017361</v>
      </c>
      <c r="R1027" s="4">
        <v>-0.006463</v>
      </c>
      <c r="S1027" s="4">
        <v>-0.006914</v>
      </c>
      <c r="T1027" s="4">
        <v>0.069407</v>
      </c>
      <c r="U1027" s="4">
        <v>0.004811</v>
      </c>
      <c r="V1027" s="4">
        <v>0.0210971304756137</v>
      </c>
      <c r="W1027" s="4">
        <v>-0.18966064438518</v>
      </c>
      <c r="X1027" s="4">
        <v>0.0</v>
      </c>
      <c r="Y1027" s="4">
        <v>-0.0050350591359565</v>
      </c>
      <c r="Z1027" s="4">
        <v>-0.0058209762125426</v>
      </c>
      <c r="AA1027" s="4">
        <v>-0.0076800051869114</v>
      </c>
      <c r="AB1027" s="4">
        <v>0.0034279029341133</v>
      </c>
      <c r="AC1027" s="4">
        <v>0.0</v>
      </c>
      <c r="AD1027" s="4">
        <v>0.0</v>
      </c>
      <c r="AE1027" s="4">
        <v>0.0137815495090256</v>
      </c>
      <c r="AF1027" s="4">
        <v>0.0071146003959354</v>
      </c>
      <c r="AG1027" s="4">
        <v>0.0147276125823254</v>
      </c>
      <c r="AH1027" s="4">
        <v>0.028093895225866</v>
      </c>
      <c r="AI1027" s="4">
        <v>-0.0056553746922579</v>
      </c>
      <c r="AJ1027" s="4">
        <v>-6.01E-4</v>
      </c>
      <c r="AK1027" s="4">
        <f>Weights!E1083</f>
        <v>0.001633397363</v>
      </c>
      <c r="AL1027" s="5">
        <v>0.00769967307407837</v>
      </c>
      <c r="AM1027" s="5">
        <v>0.00908647562919573</v>
      </c>
      <c r="AN1027" s="5">
        <v>6.1999735068019E-4</v>
      </c>
      <c r="AO1027" s="5">
        <v>0.00139841070333179</v>
      </c>
      <c r="AP1027" s="6">
        <f t="shared" si="3"/>
        <v>1.668428572</v>
      </c>
      <c r="AQ1027" s="4">
        <f t="shared" si="4"/>
        <v>1.524364028</v>
      </c>
      <c r="AR1027" s="7">
        <f t="shared" si="5"/>
        <v>1.479647135</v>
      </c>
      <c r="AS1027" s="7">
        <f t="shared" ref="AS1027:AU1027" si="1029">AS1026*(1+AM1027)</f>
        <v>1.593982102</v>
      </c>
      <c r="AT1027" s="5">
        <f t="shared" si="1029"/>
        <v>1.417510406</v>
      </c>
      <c r="AU1027" s="5">
        <f t="shared" si="1029"/>
        <v>1.403513421</v>
      </c>
    </row>
    <row r="1028" ht="15.75" customHeight="1">
      <c r="A1028" s="3">
        <v>45322.0</v>
      </c>
      <c r="B1028" s="4">
        <v>-0.011596</v>
      </c>
      <c r="C1028" s="4">
        <v>-0.002826</v>
      </c>
      <c r="D1028" s="4">
        <v>-0.012265</v>
      </c>
      <c r="E1028" s="4">
        <v>-0.006426</v>
      </c>
      <c r="F1028" s="4">
        <v>-0.006845</v>
      </c>
      <c r="G1028" s="4">
        <v>8.19E-4</v>
      </c>
      <c r="H1028" s="4">
        <v>-0.002222</v>
      </c>
      <c r="I1028" s="4">
        <v>-0.013341</v>
      </c>
      <c r="J1028" s="4">
        <v>-0.004465</v>
      </c>
      <c r="K1028" s="4">
        <v>-0.016518</v>
      </c>
      <c r="L1028" s="4">
        <v>-0.016821</v>
      </c>
      <c r="M1028" s="4">
        <v>-0.00495</v>
      </c>
      <c r="N1028" s="4">
        <v>-3.86E-4</v>
      </c>
      <c r="O1028" s="4">
        <v>-0.006166</v>
      </c>
      <c r="P1028" s="4">
        <v>0.0</v>
      </c>
      <c r="Q1028" s="4">
        <v>0.010239</v>
      </c>
      <c r="R1028" s="4">
        <v>-0.007005</v>
      </c>
      <c r="S1028" s="4">
        <v>-0.011181</v>
      </c>
      <c r="T1028" s="4">
        <v>-0.010429</v>
      </c>
      <c r="U1028" s="4">
        <v>-0.008873</v>
      </c>
      <c r="V1028" s="4">
        <v>-0.0341598187217677</v>
      </c>
      <c r="W1028" s="4">
        <v>-0.007544629285525</v>
      </c>
      <c r="X1028" s="4">
        <v>0.0216560564295458</v>
      </c>
      <c r="Y1028" s="4">
        <v>0.0086218444211962</v>
      </c>
      <c r="Z1028" s="4">
        <v>8.076826569241E-4</v>
      </c>
      <c r="AA1028" s="4">
        <v>-0.0050915547171803</v>
      </c>
      <c r="AB1028" s="4">
        <v>2.277400925767E-4</v>
      </c>
      <c r="AC1028" s="4">
        <v>0.0</v>
      </c>
      <c r="AD1028" s="4">
        <v>0.0416666666666667</v>
      </c>
      <c r="AE1028" s="4">
        <v>0.004641811557132</v>
      </c>
      <c r="AF1028" s="4">
        <v>5.233199710299E-4</v>
      </c>
      <c r="AG1028" s="4">
        <v>-0.0178429026258496</v>
      </c>
      <c r="AH1028" s="4">
        <v>-0.0014134374849057</v>
      </c>
      <c r="AI1028" s="4">
        <v>-0.0020684897629801</v>
      </c>
      <c r="AJ1028" s="4">
        <v>-0.016106</v>
      </c>
      <c r="AK1028" s="4">
        <f>Weights!E1084</f>
        <v>-0.004419552915</v>
      </c>
      <c r="AL1028" s="5">
        <v>-8.81679278124547E-4</v>
      </c>
      <c r="AM1028" s="5">
        <v>-0.00139168798140776</v>
      </c>
      <c r="AN1028" s="5">
        <v>0.00526631301659885</v>
      </c>
      <c r="AO1028" s="5">
        <v>0.00442164098208475</v>
      </c>
      <c r="AP1028" s="6">
        <f t="shared" si="3"/>
        <v>1.661054864</v>
      </c>
      <c r="AQ1028" s="4">
        <f t="shared" si="4"/>
        <v>1.499812621</v>
      </c>
      <c r="AR1028" s="7">
        <f t="shared" si="5"/>
        <v>1.478342561</v>
      </c>
      <c r="AS1028" s="7">
        <f t="shared" ref="AS1028:AU1028" si="1030">AS1027*(1+AM1028)</f>
        <v>1.591763776</v>
      </c>
      <c r="AT1028" s="5">
        <f t="shared" si="1030"/>
        <v>1.424975459</v>
      </c>
      <c r="AU1028" s="5">
        <f t="shared" si="1030"/>
        <v>1.409719254</v>
      </c>
    </row>
    <row r="1029" ht="15.75" customHeight="1">
      <c r="A1029" s="3">
        <v>45323.0</v>
      </c>
      <c r="B1029" s="4">
        <v>0.012291</v>
      </c>
      <c r="C1029" s="4">
        <v>0.003306</v>
      </c>
      <c r="D1029" s="4">
        <v>0.011561</v>
      </c>
      <c r="E1029" s="4">
        <v>0.01881</v>
      </c>
      <c r="F1029" s="4">
        <v>0.025046</v>
      </c>
      <c r="G1029" s="4">
        <v>-0.003398</v>
      </c>
      <c r="H1029" s="4">
        <v>0.012982</v>
      </c>
      <c r="I1029" s="4">
        <v>0.010141</v>
      </c>
      <c r="J1029" s="4">
        <v>0.008223</v>
      </c>
      <c r="K1029" s="4">
        <v>-0.003129</v>
      </c>
      <c r="L1029" s="4">
        <v>0.006044</v>
      </c>
      <c r="M1029" s="4">
        <v>-0.010403</v>
      </c>
      <c r="N1029" s="4">
        <v>0.001928</v>
      </c>
      <c r="O1029" s="4">
        <v>0.018191</v>
      </c>
      <c r="P1029" s="4">
        <v>0.031875</v>
      </c>
      <c r="Q1029" s="4">
        <v>0.068243</v>
      </c>
      <c r="R1029" s="4">
        <v>0.012346</v>
      </c>
      <c r="S1029" s="4">
        <v>0.024963</v>
      </c>
      <c r="T1029" s="4">
        <v>-0.007008</v>
      </c>
      <c r="U1029" s="4">
        <v>0.020224</v>
      </c>
      <c r="V1029" s="4">
        <v>0.0145464376263748</v>
      </c>
      <c r="W1029" s="4">
        <v>-0.0519843912983801</v>
      </c>
      <c r="X1029" s="4">
        <v>-0.0012468658397983</v>
      </c>
      <c r="Y1029" s="4">
        <v>0.0024155876760176</v>
      </c>
      <c r="Z1029" s="4">
        <v>0.0132135871484242</v>
      </c>
      <c r="AA1029" s="4">
        <v>-0.0163766284265746</v>
      </c>
      <c r="AB1029" s="4">
        <v>-0.0011384411941802</v>
      </c>
      <c r="AC1029" s="4">
        <v>0.0038022883207333</v>
      </c>
      <c r="AD1029" s="4">
        <v>-0.0237501772990202</v>
      </c>
      <c r="AE1029" s="4">
        <v>0.006930869207558</v>
      </c>
      <c r="AF1029" s="4">
        <v>-0.0031380220780306</v>
      </c>
      <c r="AG1029" s="4">
        <v>-0.0023048628568403</v>
      </c>
      <c r="AH1029" s="4">
        <v>-0.0077848534060336</v>
      </c>
      <c r="AI1029" s="4">
        <v>0.002072777281568</v>
      </c>
      <c r="AJ1029" s="4">
        <v>0.012494</v>
      </c>
      <c r="AK1029" s="4">
        <f>Weights!E1085</f>
        <v>0.004160216446</v>
      </c>
      <c r="AL1029" s="5">
        <v>-0.0131627142874715</v>
      </c>
      <c r="AM1029" s="5">
        <v>-0.0168455858085204</v>
      </c>
      <c r="AN1029" s="5">
        <v>0.00123285658073846</v>
      </c>
      <c r="AO1029" s="5">
        <v>0.0011585156444982</v>
      </c>
      <c r="AP1029" s="6">
        <f t="shared" si="3"/>
        <v>1.667965211</v>
      </c>
      <c r="AQ1029" s="4">
        <f t="shared" si="4"/>
        <v>1.518551279</v>
      </c>
      <c r="AR1029" s="7">
        <f t="shared" si="5"/>
        <v>1.45888356</v>
      </c>
      <c r="AS1029" s="7">
        <f t="shared" ref="AS1029:AU1029" si="1031">AS1028*(1+AM1029)</f>
        <v>1.564949583</v>
      </c>
      <c r="AT1029" s="5">
        <f t="shared" si="1031"/>
        <v>1.42673225</v>
      </c>
      <c r="AU1029" s="5">
        <f t="shared" si="1031"/>
        <v>1.411352435</v>
      </c>
    </row>
    <row r="1030" ht="15.75" customHeight="1">
      <c r="A1030" s="3">
        <v>45324.0</v>
      </c>
      <c r="B1030" s="4">
        <v>-0.022627</v>
      </c>
      <c r="C1030" s="4">
        <v>-0.008473</v>
      </c>
      <c r="D1030" s="4">
        <v>0.00127</v>
      </c>
      <c r="E1030" s="4">
        <v>-0.004252</v>
      </c>
      <c r="F1030" s="4">
        <v>-0.007215</v>
      </c>
      <c r="G1030" s="4">
        <v>-0.011051</v>
      </c>
      <c r="H1030" s="4">
        <v>-0.006848</v>
      </c>
      <c r="I1030" s="4">
        <v>-0.015616</v>
      </c>
      <c r="J1030" s="4">
        <v>-0.011369</v>
      </c>
      <c r="K1030" s="4">
        <v>-0.004625</v>
      </c>
      <c r="L1030" s="4">
        <v>-0.007739</v>
      </c>
      <c r="M1030" s="4">
        <v>-4.57E-4</v>
      </c>
      <c r="N1030" s="4">
        <v>-0.005966</v>
      </c>
      <c r="O1030" s="4">
        <v>-0.009295</v>
      </c>
      <c r="P1030" s="4">
        <v>-0.033698</v>
      </c>
      <c r="Q1030" s="4">
        <v>-0.080961</v>
      </c>
      <c r="R1030" s="4">
        <v>-0.001991</v>
      </c>
      <c r="S1030" s="4">
        <v>-0.017485</v>
      </c>
      <c r="T1030" s="4">
        <v>-0.012014</v>
      </c>
      <c r="U1030" s="4">
        <v>-0.002146</v>
      </c>
      <c r="V1030" s="4">
        <v>0.00421705368021863</v>
      </c>
      <c r="W1030" s="4">
        <v>-0.0152122568326177</v>
      </c>
      <c r="X1030" s="4">
        <v>0.0024968449102227</v>
      </c>
      <c r="Y1030" s="4">
        <v>4.325222234198E-4</v>
      </c>
      <c r="Z1030" s="4">
        <v>0.0071677124592188</v>
      </c>
      <c r="AA1030" s="4">
        <v>0.0374608971529935</v>
      </c>
      <c r="AB1030" s="4">
        <v>0.0018236732036021</v>
      </c>
      <c r="AC1030" s="4">
        <v>-0.0113635811688705</v>
      </c>
      <c r="AD1030" s="4">
        <v>-0.0012804528902066</v>
      </c>
      <c r="AE1030" s="4">
        <v>0.0154047140070672</v>
      </c>
      <c r="AF1030" s="4">
        <v>-0.064270793984847</v>
      </c>
      <c r="AG1030" s="4">
        <v>0.0231011095353754</v>
      </c>
      <c r="AH1030" s="4">
        <v>-0.041131684492509</v>
      </c>
      <c r="AI1030" s="4">
        <v>0.0108581915682879</v>
      </c>
      <c r="AJ1030" s="4">
        <v>0.010684</v>
      </c>
      <c r="AK1030" s="4">
        <f>Weights!E1086</f>
        <v>-0.006261095431</v>
      </c>
      <c r="AL1030" s="5">
        <v>0.0115499421256421</v>
      </c>
      <c r="AM1030" s="5">
        <v>0.0134656295989217</v>
      </c>
      <c r="AN1030" s="5">
        <v>-0.00954159238717522</v>
      </c>
      <c r="AO1030" s="5">
        <v>-0.00971999568256531</v>
      </c>
      <c r="AP1030" s="6">
        <f t="shared" si="3"/>
        <v>1.657521922</v>
      </c>
      <c r="AQ1030" s="4">
        <f t="shared" si="4"/>
        <v>1.534775481</v>
      </c>
      <c r="AR1030" s="7">
        <f t="shared" si="5"/>
        <v>1.475733581</v>
      </c>
      <c r="AS1030" s="7">
        <f t="shared" ref="AS1030:AU1030" si="1032">AS1029*(1+AM1030)</f>
        <v>1.586022614</v>
      </c>
      <c r="AT1030" s="5">
        <f t="shared" si="1032"/>
        <v>1.413118952</v>
      </c>
      <c r="AU1030" s="5">
        <f t="shared" si="1032"/>
        <v>1.397634096</v>
      </c>
    </row>
    <row r="1031" ht="15.75" customHeight="1">
      <c r="A1031" s="3">
        <v>45327.0</v>
      </c>
      <c r="B1031" s="4">
        <v>-0.024845</v>
      </c>
      <c r="C1031" s="4">
        <v>-0.017802</v>
      </c>
      <c r="D1031" s="4">
        <v>-0.015642</v>
      </c>
      <c r="E1031" s="4">
        <v>-2.92E-4</v>
      </c>
      <c r="F1031" s="4">
        <v>-0.008259</v>
      </c>
      <c r="G1031" s="4">
        <v>-0.005172</v>
      </c>
      <c r="H1031" s="4">
        <v>7.59E-4</v>
      </c>
      <c r="I1031" s="4">
        <v>-0.020397</v>
      </c>
      <c r="J1031" s="4">
        <v>-0.014</v>
      </c>
      <c r="K1031" s="4">
        <v>-0.01759</v>
      </c>
      <c r="L1031" s="4">
        <v>-0.010263</v>
      </c>
      <c r="M1031" s="4">
        <v>-4.57E-4</v>
      </c>
      <c r="N1031" s="4">
        <v>-0.011423</v>
      </c>
      <c r="O1031" s="4">
        <v>-0.009121</v>
      </c>
      <c r="P1031" s="4">
        <v>-0.030514</v>
      </c>
      <c r="Q1031" s="4">
        <v>-0.024088</v>
      </c>
      <c r="R1031" s="4">
        <v>-0.035411</v>
      </c>
      <c r="S1031" s="4">
        <v>-0.015042</v>
      </c>
      <c r="T1031" s="4">
        <v>-0.005889</v>
      </c>
      <c r="U1031" s="4">
        <v>-0.005631</v>
      </c>
      <c r="V1031" s="4">
        <v>5.59967340024503E-4</v>
      </c>
      <c r="W1031" s="4">
        <v>0.07496113826094</v>
      </c>
      <c r="X1031" s="4">
        <v>0.0361145684145534</v>
      </c>
      <c r="Y1031" s="4">
        <v>8.031986998577E-4</v>
      </c>
      <c r="Z1031" s="4">
        <v>0.0180884046484246</v>
      </c>
      <c r="AA1031" s="4">
        <v>0.0076228360471288</v>
      </c>
      <c r="AB1031" s="4">
        <v>-0.001365196790822</v>
      </c>
      <c r="AC1031" s="4">
        <v>0.0019156738120673</v>
      </c>
      <c r="AD1031" s="4">
        <v>0.0064104727594054</v>
      </c>
      <c r="AE1031" s="4">
        <v>0.0</v>
      </c>
      <c r="AF1031" s="4">
        <v>0.0302775788150735</v>
      </c>
      <c r="AG1031" s="4">
        <v>-0.0106255455289187</v>
      </c>
      <c r="AH1031" s="4">
        <v>-0.0255392823724901</v>
      </c>
      <c r="AI1031" s="4">
        <v>0.0081841567638245</v>
      </c>
      <c r="AJ1031" s="4">
        <v>-0.003186</v>
      </c>
      <c r="AK1031" s="4">
        <f>Weights!E1087</f>
        <v>-0.00359164153</v>
      </c>
      <c r="AL1031" s="5">
        <v>0.00515657822270743</v>
      </c>
      <c r="AM1031" s="5">
        <v>0.00855602336129179</v>
      </c>
      <c r="AN1031" s="5">
        <v>0.00310763201630903</v>
      </c>
      <c r="AO1031" s="5">
        <v>0.00444033362361762</v>
      </c>
      <c r="AP1031" s="6">
        <f t="shared" si="3"/>
        <v>1.651568697</v>
      </c>
      <c r="AQ1031" s="4">
        <f t="shared" si="4"/>
        <v>1.529885687</v>
      </c>
      <c r="AR1031" s="7">
        <f t="shared" si="5"/>
        <v>1.483343317</v>
      </c>
      <c r="AS1031" s="7">
        <f t="shared" ref="AS1031:AU1031" si="1033">AS1030*(1+AM1031)</f>
        <v>1.599592661</v>
      </c>
      <c r="AT1031" s="5">
        <f t="shared" si="1033"/>
        <v>1.417510406</v>
      </c>
      <c r="AU1031" s="5">
        <f t="shared" si="1033"/>
        <v>1.403840057</v>
      </c>
    </row>
    <row r="1032" ht="15.75" customHeight="1">
      <c r="A1032" s="3">
        <v>45328.0</v>
      </c>
      <c r="B1032" s="4">
        <v>0.007527</v>
      </c>
      <c r="C1032" s="4">
        <v>-0.006767</v>
      </c>
      <c r="D1032" s="4">
        <v>0.001074</v>
      </c>
      <c r="E1032" s="4">
        <v>0.002925</v>
      </c>
      <c r="F1032" s="4">
        <v>-0.001666</v>
      </c>
      <c r="G1032" s="4">
        <v>0.014506</v>
      </c>
      <c r="H1032" s="4">
        <v>0.004741</v>
      </c>
      <c r="I1032" s="4">
        <v>0.002313</v>
      </c>
      <c r="J1032" s="4">
        <v>0.005578</v>
      </c>
      <c r="K1032" s="4">
        <v>0.010473</v>
      </c>
      <c r="L1032" s="4">
        <v>0.005185</v>
      </c>
      <c r="M1032" s="4">
        <v>0.018298</v>
      </c>
      <c r="N1032" s="4">
        <v>0.024285</v>
      </c>
      <c r="O1032" s="4">
        <v>0.003209</v>
      </c>
      <c r="P1032" s="4">
        <v>0.008993</v>
      </c>
      <c r="Q1032" s="4">
        <v>0.004937</v>
      </c>
      <c r="R1032" s="4">
        <v>0.038521</v>
      </c>
      <c r="S1032" s="4">
        <v>0.009895</v>
      </c>
      <c r="T1032" s="4">
        <v>-0.005266</v>
      </c>
      <c r="U1032" s="4">
        <v>-0.001463</v>
      </c>
      <c r="V1032" s="4">
        <v>-0.00503640723209575</v>
      </c>
      <c r="W1032" s="4">
        <v>0.0159295581483822</v>
      </c>
      <c r="X1032" s="4">
        <v>0.0</v>
      </c>
      <c r="Y1032" s="4">
        <v>-0.0062952663914683</v>
      </c>
      <c r="Z1032" s="4">
        <v>-0.0135922373618984</v>
      </c>
      <c r="AA1032" s="4">
        <v>-0.0133385486936283</v>
      </c>
      <c r="AB1032" s="4">
        <v>-0.0202780114540331</v>
      </c>
      <c r="AC1032" s="4">
        <v>0.0</v>
      </c>
      <c r="AD1032" s="4">
        <v>0.0</v>
      </c>
      <c r="AE1032" s="4">
        <v>-0.0032279466498347</v>
      </c>
      <c r="AF1032" s="4">
        <v>-0.008163326056032</v>
      </c>
      <c r="AG1032" s="4">
        <v>-8.053880710496E-4</v>
      </c>
      <c r="AH1032" s="4">
        <v>-5.089296249639E-4</v>
      </c>
      <c r="AI1032" s="4">
        <v>0.0</v>
      </c>
      <c r="AJ1032" s="4">
        <v>0.00231</v>
      </c>
      <c r="AK1032" s="4">
        <f>Weights!E1088</f>
        <v>0.002100210938</v>
      </c>
      <c r="AL1032" s="5">
        <v>-0.00447062610786619</v>
      </c>
      <c r="AM1032" s="5">
        <v>-0.00473113033760908</v>
      </c>
      <c r="AN1032" s="5">
        <v>-6.19613192142654E-4</v>
      </c>
      <c r="AO1032" s="5">
        <v>-6.98020462197468E-4</v>
      </c>
      <c r="AP1032" s="6">
        <f t="shared" si="3"/>
        <v>1.65503734</v>
      </c>
      <c r="AQ1032" s="4">
        <f t="shared" si="4"/>
        <v>1.533419723</v>
      </c>
      <c r="AR1032" s="7">
        <f t="shared" si="5"/>
        <v>1.476711843</v>
      </c>
      <c r="AS1032" s="7">
        <f t="shared" ref="AS1032:AU1032" si="1034">AS1031*(1+AM1032)</f>
        <v>1.592024779</v>
      </c>
      <c r="AT1032" s="5">
        <f t="shared" si="1034"/>
        <v>1.416632098</v>
      </c>
      <c r="AU1032" s="5">
        <f t="shared" si="1034"/>
        <v>1.402860148</v>
      </c>
    </row>
    <row r="1033" ht="15.75" customHeight="1">
      <c r="A1033" s="3">
        <v>45329.0</v>
      </c>
      <c r="B1033" s="4">
        <v>0.003448</v>
      </c>
      <c r="C1033" s="4">
        <v>-0.016545</v>
      </c>
      <c r="D1033" s="4">
        <v>-0.004933</v>
      </c>
      <c r="E1033" s="4">
        <v>2.92E-4</v>
      </c>
      <c r="F1033" s="4">
        <v>8.34E-4</v>
      </c>
      <c r="G1033" s="4">
        <v>-5.06E-4</v>
      </c>
      <c r="H1033" s="4">
        <v>0.001006</v>
      </c>
      <c r="I1033" s="4">
        <v>-0.006924</v>
      </c>
      <c r="J1033" s="4">
        <v>-0.008321</v>
      </c>
      <c r="K1033" s="4">
        <v>-0.009529</v>
      </c>
      <c r="L1033" s="4">
        <v>9.28E-4</v>
      </c>
      <c r="M1033" s="4">
        <v>0.014376</v>
      </c>
      <c r="N1033" s="4">
        <v>0.005354</v>
      </c>
      <c r="O1033" s="4">
        <v>-0.019138</v>
      </c>
      <c r="P1033" s="4">
        <v>-2.97E-4</v>
      </c>
      <c r="Q1033" s="4">
        <v>-0.011228</v>
      </c>
      <c r="R1033" s="4">
        <v>-0.024147</v>
      </c>
      <c r="S1033" s="4">
        <v>-0.006177</v>
      </c>
      <c r="T1033" s="4">
        <v>0.026799</v>
      </c>
      <c r="U1033" s="4">
        <v>1.27E-4</v>
      </c>
      <c r="V1033" s="4">
        <v>-0.00731157376819502</v>
      </c>
      <c r="W1033" s="4">
        <v>-0.0014254716126037</v>
      </c>
      <c r="X1033" s="4">
        <v>0.0060168597818481</v>
      </c>
      <c r="Y1033" s="4">
        <v>0.0056518139205825</v>
      </c>
      <c r="Z1033" s="4">
        <v>0.0042322410161919</v>
      </c>
      <c r="AA1033" s="4">
        <v>-0.0052462053116245</v>
      </c>
      <c r="AB1033" s="4">
        <v>-0.002093130383878</v>
      </c>
      <c r="AC1033" s="4">
        <v>-0.0095056827111487</v>
      </c>
      <c r="AD1033" s="4">
        <v>0.0</v>
      </c>
      <c r="AE1033" s="4">
        <v>-6.475914945056E-4</v>
      </c>
      <c r="AF1033" s="4">
        <v>0.0085048470453306</v>
      </c>
      <c r="AG1033" s="4">
        <v>0.0060458741502569</v>
      </c>
      <c r="AH1033" s="4">
        <v>0.0066191504747796</v>
      </c>
      <c r="AI1033" s="4">
        <v>-0.001522168300033</v>
      </c>
      <c r="AJ1033" s="4">
        <v>0.008241</v>
      </c>
      <c r="AK1033" s="4">
        <f>Weights!E1089</f>
        <v>-0.0006610581045</v>
      </c>
      <c r="AL1033" s="5">
        <v>0.00390167180462608</v>
      </c>
      <c r="AM1033" s="5">
        <v>0.00340136638444477</v>
      </c>
      <c r="AN1033" s="5">
        <v>-0.00960937524960259</v>
      </c>
      <c r="AO1033" s="5">
        <v>-0.0104772521150728</v>
      </c>
      <c r="AP1033" s="6">
        <f t="shared" si="3"/>
        <v>1.653943264</v>
      </c>
      <c r="AQ1033" s="4">
        <f t="shared" si="4"/>
        <v>1.546056634</v>
      </c>
      <c r="AR1033" s="7">
        <f t="shared" si="5"/>
        <v>1.482473488</v>
      </c>
      <c r="AS1033" s="7">
        <f t="shared" ref="AS1033:AU1033" si="1035">AS1032*(1+AM1033)</f>
        <v>1.597439839</v>
      </c>
      <c r="AT1033" s="5">
        <f t="shared" si="1035"/>
        <v>1.403019148</v>
      </c>
      <c r="AU1033" s="5">
        <f t="shared" si="1035"/>
        <v>1.388162029</v>
      </c>
    </row>
    <row r="1034" ht="15.75" customHeight="1">
      <c r="A1034" s="3">
        <v>45330.0</v>
      </c>
      <c r="B1034" s="4">
        <v>-0.022909</v>
      </c>
      <c r="C1034" s="4">
        <v>-0.012617</v>
      </c>
      <c r="D1034" s="4">
        <v>-0.012287</v>
      </c>
      <c r="E1034" s="4">
        <v>0.01388</v>
      </c>
      <c r="F1034" s="4">
        <v>-0.002667</v>
      </c>
      <c r="G1034" s="4">
        <v>-0.010001</v>
      </c>
      <c r="H1034" s="4">
        <v>-0.003017</v>
      </c>
      <c r="I1034" s="4">
        <v>-0.002034</v>
      </c>
      <c r="J1034" s="4">
        <v>-0.009916</v>
      </c>
      <c r="K1034" s="4">
        <v>-0.002869</v>
      </c>
      <c r="L1034" s="4">
        <v>-0.002783</v>
      </c>
      <c r="M1034" s="4">
        <v>-0.004872</v>
      </c>
      <c r="N1034" s="4">
        <v>0.003804</v>
      </c>
      <c r="O1034" s="4">
        <v>-0.015221</v>
      </c>
      <c r="P1034" s="4">
        <v>-0.009213</v>
      </c>
      <c r="Q1034" s="4">
        <v>-0.024131</v>
      </c>
      <c r="R1034" s="4">
        <v>-0.027551</v>
      </c>
      <c r="S1034" s="4">
        <v>-0.016288</v>
      </c>
      <c r="T1034" s="4">
        <v>4.3E-4</v>
      </c>
      <c r="U1034" s="4">
        <v>-0.006244</v>
      </c>
      <c r="V1034" s="4">
        <v>0.0104815447145303</v>
      </c>
      <c r="W1034" s="4">
        <v>0.0385418035358504</v>
      </c>
      <c r="X1034" s="4">
        <v>0.0011961559730335</v>
      </c>
      <c r="Y1034" s="4">
        <v>0.0121665157971602</v>
      </c>
      <c r="Z1034" s="4">
        <v>0.0159757741687927</v>
      </c>
      <c r="AA1034" s="4">
        <v>0.0099392451366058</v>
      </c>
      <c r="AB1034" s="4">
        <v>0.0086226641023359</v>
      </c>
      <c r="AC1034" s="4">
        <v>0.0</v>
      </c>
      <c r="AD1034" s="4">
        <v>-0.0063131347337652</v>
      </c>
      <c r="AE1034" s="4">
        <v>0.003888509692679</v>
      </c>
      <c r="AF1034" s="4">
        <v>0.0100652394220093</v>
      </c>
      <c r="AG1034" s="4">
        <v>0.0184294890745093</v>
      </c>
      <c r="AH1034" s="4">
        <v>-0.0080930867174321</v>
      </c>
      <c r="AI1034" s="4">
        <v>0.0010165305425779</v>
      </c>
      <c r="AJ1034" s="4">
        <v>5.71E-4</v>
      </c>
      <c r="AK1034" s="6">
        <f>Weights!E1090</f>
        <v>0.000001159515115</v>
      </c>
      <c r="AL1034" s="5">
        <v>0.00571976209605873</v>
      </c>
      <c r="AM1034" s="5">
        <v>0.00788238663590967</v>
      </c>
      <c r="AN1034" s="5">
        <v>0.0037558295167801</v>
      </c>
      <c r="AO1034" s="5">
        <v>0.00447044590252243</v>
      </c>
      <c r="AP1034" s="6">
        <f t="shared" si="3"/>
        <v>1.653945182</v>
      </c>
      <c r="AQ1034" s="4">
        <f t="shared" si="4"/>
        <v>1.546939433</v>
      </c>
      <c r="AR1034" s="7">
        <f t="shared" si="5"/>
        <v>1.490952884</v>
      </c>
      <c r="AS1034" s="7">
        <f t="shared" ref="AS1034:AU1034" si="1036">AS1033*(1+AM1034)</f>
        <v>1.610031477</v>
      </c>
      <c r="AT1034" s="5">
        <f t="shared" si="1036"/>
        <v>1.408288649</v>
      </c>
      <c r="AU1034" s="5">
        <f t="shared" si="1036"/>
        <v>1.394367732</v>
      </c>
    </row>
    <row r="1035" ht="15.75" customHeight="1">
      <c r="A1035" s="3">
        <v>45331.0</v>
      </c>
      <c r="B1035" s="4">
        <v>0.029308</v>
      </c>
      <c r="C1035" s="4">
        <v>-0.004761</v>
      </c>
      <c r="D1035" s="4">
        <v>-0.004365</v>
      </c>
      <c r="E1035" s="4">
        <v>-0.035548</v>
      </c>
      <c r="F1035" s="4">
        <v>-0.004513</v>
      </c>
      <c r="G1035" s="4">
        <v>0.002302</v>
      </c>
      <c r="H1035" s="4">
        <v>-0.00769</v>
      </c>
      <c r="I1035" s="4">
        <v>-0.003493</v>
      </c>
      <c r="J1035" s="4">
        <v>0.003082</v>
      </c>
      <c r="K1035" s="4">
        <v>0.004739</v>
      </c>
      <c r="L1035" s="4">
        <v>0.005994</v>
      </c>
      <c r="M1035" s="4">
        <v>0.006231</v>
      </c>
      <c r="N1035" s="4">
        <v>0.005873</v>
      </c>
      <c r="O1035" s="4">
        <v>0.004789</v>
      </c>
      <c r="P1035" s="4">
        <v>-0.016497</v>
      </c>
      <c r="Q1035" s="4">
        <v>-0.019636</v>
      </c>
      <c r="R1035" s="4">
        <v>-0.019937</v>
      </c>
      <c r="S1035" s="4">
        <v>-0.008932</v>
      </c>
      <c r="T1035" s="4">
        <v>0.001342</v>
      </c>
      <c r="U1035" s="4">
        <v>0.00468</v>
      </c>
      <c r="V1035" s="4">
        <v>-0.00448553889046365</v>
      </c>
      <c r="W1035" s="4">
        <v>0.0107845127549366</v>
      </c>
      <c r="X1035" s="4">
        <v>-0.0011947268933238</v>
      </c>
      <c r="Y1035" s="4">
        <v>-0.0034169720545793</v>
      </c>
      <c r="Z1035" s="4">
        <v>-0.0040518497198782</v>
      </c>
      <c r="AA1035" s="4">
        <v>-0.0202852866738132</v>
      </c>
      <c r="AB1035" s="4">
        <v>-0.0108594087466135</v>
      </c>
      <c r="AC1035" s="4">
        <v>-0.0038387785314516</v>
      </c>
      <c r="AD1035" s="4">
        <v>-0.001270585807482</v>
      </c>
      <c r="AE1035" s="4">
        <v>-0.0064558302809148</v>
      </c>
      <c r="AF1035" s="4">
        <v>0.0026932821048757</v>
      </c>
      <c r="AG1035" s="4">
        <v>0.0128506877696117</v>
      </c>
      <c r="AH1035" s="4">
        <v>-0.0114736967524738</v>
      </c>
      <c r="AI1035" s="4">
        <v>0.0050759579203036</v>
      </c>
      <c r="AJ1035" s="4">
        <v>0.005742</v>
      </c>
      <c r="AK1035" s="4">
        <f>Weights!E1091</f>
        <v>-0.002360279346</v>
      </c>
      <c r="AL1035" s="5">
        <v>5.83291416909048E-4</v>
      </c>
      <c r="AM1035" s="5">
        <v>0.00247184222768526</v>
      </c>
      <c r="AN1035" s="5">
        <v>6.23732348365324E-4</v>
      </c>
      <c r="AO1035" s="5">
        <v>4.68508205380135E-4</v>
      </c>
      <c r="AP1035" s="6">
        <f t="shared" si="3"/>
        <v>1.650041409</v>
      </c>
      <c r="AQ1035" s="4">
        <f t="shared" si="4"/>
        <v>1.555821959</v>
      </c>
      <c r="AR1035" s="7">
        <f t="shared" si="5"/>
        <v>1.491822544</v>
      </c>
      <c r="AS1035" s="7">
        <f t="shared" ref="AS1035:AU1035" si="1037">AS1034*(1+AM1035)</f>
        <v>1.614011221</v>
      </c>
      <c r="AT1035" s="5">
        <f t="shared" si="1037"/>
        <v>1.409167044</v>
      </c>
      <c r="AU1035" s="5">
        <f t="shared" si="1037"/>
        <v>1.395021005</v>
      </c>
    </row>
    <row r="1036" ht="15.75" customHeight="1">
      <c r="A1036" s="3">
        <v>45334.0</v>
      </c>
      <c r="B1036" s="4">
        <v>0.003417</v>
      </c>
      <c r="C1036" s="4">
        <v>0.009567</v>
      </c>
      <c r="D1036" s="4">
        <v>-0.003726</v>
      </c>
      <c r="E1036" s="4">
        <v>0.017534</v>
      </c>
      <c r="F1036" s="4">
        <v>0.002351</v>
      </c>
      <c r="G1036" s="4">
        <v>0.006953</v>
      </c>
      <c r="H1036" s="4">
        <v>-0.001969</v>
      </c>
      <c r="I1036" s="4">
        <v>0.019281</v>
      </c>
      <c r="J1036" s="4">
        <v>0.009985</v>
      </c>
      <c r="K1036" s="4">
        <v>6.74E-4</v>
      </c>
      <c r="L1036" s="4">
        <v>0.004315</v>
      </c>
      <c r="M1036" s="4">
        <v>4.42E-4</v>
      </c>
      <c r="N1036" s="4">
        <v>-0.004897</v>
      </c>
      <c r="O1036" s="4">
        <v>-0.011428</v>
      </c>
      <c r="P1036" s="4">
        <v>0.023483</v>
      </c>
      <c r="Q1036" s="4">
        <v>0.01632</v>
      </c>
      <c r="R1036" s="4">
        <v>0.008833</v>
      </c>
      <c r="S1036" s="4">
        <v>0.001319</v>
      </c>
      <c r="T1036" s="4">
        <v>-0.002359</v>
      </c>
      <c r="U1036" s="4">
        <v>-0.014868</v>
      </c>
      <c r="V1036" s="4">
        <v>0.00366096883829825</v>
      </c>
      <c r="W1036" s="4">
        <v>0.0062761683965755</v>
      </c>
      <c r="X1036" s="4">
        <v>-0.0131579033798373</v>
      </c>
      <c r="Y1036" s="4">
        <v>0.0052042051251737</v>
      </c>
      <c r="Z1036" s="4">
        <v>0.0177257267562878</v>
      </c>
      <c r="AA1036" s="4">
        <v>0.0034850445254925</v>
      </c>
      <c r="AB1036" s="4">
        <v>-0.0014015511322099</v>
      </c>
      <c r="AC1036" s="4">
        <v>0.0096339674522951</v>
      </c>
      <c r="AD1036" s="4">
        <v>-0.00254450949238</v>
      </c>
      <c r="AE1036" s="4">
        <v>0.0071475376936567</v>
      </c>
      <c r="AF1036" s="4">
        <v>0.0037603882422294</v>
      </c>
      <c r="AG1036" s="4">
        <v>0.0178664980052747</v>
      </c>
      <c r="AH1036" s="4">
        <v>0.0043848231972847</v>
      </c>
      <c r="AI1036" s="4">
        <v>-0.0030299902004109</v>
      </c>
      <c r="AJ1036" s="4">
        <v>-9.49E-4</v>
      </c>
      <c r="AK1036" s="4">
        <f>Weights!E1092</f>
        <v>0.004491031327</v>
      </c>
      <c r="AL1036" s="5">
        <v>0.00488223196905401</v>
      </c>
      <c r="AM1036" s="5">
        <v>0.0061036795643814</v>
      </c>
      <c r="AN1036" s="5">
        <v>0.0</v>
      </c>
      <c r="AO1036" s="5">
        <v>-0.00187296999209762</v>
      </c>
      <c r="AP1036" s="6">
        <f t="shared" si="3"/>
        <v>1.657451797</v>
      </c>
      <c r="AQ1036" s="4">
        <f t="shared" si="4"/>
        <v>1.554345484</v>
      </c>
      <c r="AR1036" s="7">
        <f t="shared" si="5"/>
        <v>1.499105968</v>
      </c>
      <c r="AS1036" s="7">
        <f t="shared" ref="AS1036:AU1036" si="1038">AS1035*(1+AM1036)</f>
        <v>1.623862628</v>
      </c>
      <c r="AT1036" s="5">
        <f t="shared" si="1038"/>
        <v>1.409167044</v>
      </c>
      <c r="AU1036" s="5">
        <f t="shared" si="1038"/>
        <v>1.392408172</v>
      </c>
    </row>
    <row r="1037" ht="15.75" customHeight="1">
      <c r="A1037" s="3">
        <v>45335.0</v>
      </c>
      <c r="B1037" s="4">
        <v>-0.030647</v>
      </c>
      <c r="C1037" s="4">
        <v>7.48E-4</v>
      </c>
      <c r="D1037" s="4">
        <v>-0.025743</v>
      </c>
      <c r="E1037" s="4">
        <v>-0.01014</v>
      </c>
      <c r="F1037" s="4">
        <v>-0.005863</v>
      </c>
      <c r="G1037" s="4">
        <v>-0.008743</v>
      </c>
      <c r="H1037" s="4">
        <v>-0.005347</v>
      </c>
      <c r="I1037" s="4">
        <v>-0.020063</v>
      </c>
      <c r="J1037" s="4">
        <v>-0.024588</v>
      </c>
      <c r="K1037" s="4">
        <v>-0.025084</v>
      </c>
      <c r="L1037" s="4">
        <v>-0.031301</v>
      </c>
      <c r="M1037" s="4">
        <v>-0.018568</v>
      </c>
      <c r="N1037" s="4">
        <v>-0.019118</v>
      </c>
      <c r="O1037" s="4">
        <v>-0.018354</v>
      </c>
      <c r="P1037" s="4">
        <v>-0.045292</v>
      </c>
      <c r="Q1037" s="4">
        <v>-0.047445</v>
      </c>
      <c r="R1037" s="4">
        <v>-0.027328</v>
      </c>
      <c r="S1037" s="4">
        <v>-0.049835</v>
      </c>
      <c r="T1037" s="4">
        <v>-0.035572</v>
      </c>
      <c r="U1037" s="4">
        <v>0.014056</v>
      </c>
      <c r="V1037" s="4">
        <v>0.00308645930332684</v>
      </c>
      <c r="W1037" s="4">
        <v>0.0040540844991765</v>
      </c>
      <c r="X1037" s="4">
        <v>0.0</v>
      </c>
      <c r="Y1037" s="4">
        <v>0.0090753384445991</v>
      </c>
      <c r="Z1037" s="4">
        <v>0.0032360658158248</v>
      </c>
      <c r="AA1037" s="4">
        <v>0.0098059715164322</v>
      </c>
      <c r="AB1037" s="4">
        <v>0.0023391034151716</v>
      </c>
      <c r="AC1037" s="4">
        <v>0.0</v>
      </c>
      <c r="AD1037" s="4">
        <v>0.0</v>
      </c>
      <c r="AE1037" s="4">
        <v>0.0232256928472498</v>
      </c>
      <c r="AF1037" s="4">
        <v>-0.0021406965820536</v>
      </c>
      <c r="AG1037" s="4">
        <v>0.0017807931937312</v>
      </c>
      <c r="AH1037" s="4">
        <v>0.0017976295291264</v>
      </c>
      <c r="AI1037" s="4">
        <v>-0.0010135423954531</v>
      </c>
      <c r="AJ1037" s="4">
        <v>-0.013674</v>
      </c>
      <c r="AK1037" s="4">
        <f>Weights!E1093</f>
        <v>-0.009334229308</v>
      </c>
      <c r="AL1037" s="5">
        <v>7.25345443240099E-4</v>
      </c>
      <c r="AM1037" s="5">
        <v>9.64192514798734E-4</v>
      </c>
      <c r="AN1037" s="5">
        <v>0.00373932009969801</v>
      </c>
      <c r="AO1037" s="5">
        <v>0.00375315477128368</v>
      </c>
      <c r="AP1037" s="6">
        <f t="shared" si="3"/>
        <v>1.641980762</v>
      </c>
      <c r="AQ1037" s="4">
        <f t="shared" si="4"/>
        <v>1.533091364</v>
      </c>
      <c r="AR1037" s="7">
        <f t="shared" si="5"/>
        <v>1.500193337</v>
      </c>
      <c r="AS1037" s="7">
        <f t="shared" ref="AS1037:AU1037" si="1039">AS1036*(1+AM1037)</f>
        <v>1.625428345</v>
      </c>
      <c r="AT1037" s="5">
        <f t="shared" si="1039"/>
        <v>1.414436371</v>
      </c>
      <c r="AU1037" s="5">
        <f t="shared" si="1039"/>
        <v>1.397634096</v>
      </c>
    </row>
    <row r="1038" ht="15.75" customHeight="1">
      <c r="A1038" s="3">
        <v>45336.0</v>
      </c>
      <c r="B1038" s="4">
        <v>0.01171</v>
      </c>
      <c r="C1038" s="4">
        <v>4.98E-4</v>
      </c>
      <c r="D1038" s="4">
        <v>0.017389</v>
      </c>
      <c r="E1038" s="4">
        <v>-0.008053</v>
      </c>
      <c r="F1038" s="4">
        <v>-0.001011</v>
      </c>
      <c r="G1038" s="4">
        <v>-0.004665</v>
      </c>
      <c r="H1038" s="4">
        <v>-0.004095</v>
      </c>
      <c r="I1038" s="4">
        <v>-0.005333</v>
      </c>
      <c r="J1038" s="4">
        <v>0.009615</v>
      </c>
      <c r="K1038" s="4">
        <v>0.012951</v>
      </c>
      <c r="L1038" s="4">
        <v>0.021858</v>
      </c>
      <c r="M1038" s="4">
        <v>0.019369</v>
      </c>
      <c r="N1038" s="4">
        <v>0.014859</v>
      </c>
      <c r="O1038" s="4">
        <v>0.007702</v>
      </c>
      <c r="P1038" s="4">
        <v>0.002497</v>
      </c>
      <c r="Q1038" s="4">
        <v>0.002299</v>
      </c>
      <c r="R1038" s="4">
        <v>0.01473</v>
      </c>
      <c r="S1038" s="4">
        <v>-0.001386</v>
      </c>
      <c r="T1038" s="4">
        <v>0.008803</v>
      </c>
      <c r="U1038" s="4">
        <v>0.048355</v>
      </c>
      <c r="V1038" s="4">
        <v>0.0117482155175747</v>
      </c>
      <c r="W1038" s="4">
        <v>0.0</v>
      </c>
      <c r="X1038" s="4">
        <v>0.0263158067596747</v>
      </c>
      <c r="Y1038" s="4">
        <v>0.0</v>
      </c>
      <c r="Z1038" s="4">
        <v>0.0</v>
      </c>
      <c r="AA1038" s="4">
        <v>0.0</v>
      </c>
      <c r="AB1038" s="4">
        <v>0.0</v>
      </c>
      <c r="AC1038" s="4">
        <v>-0.001901106069682</v>
      </c>
      <c r="AD1038" s="4">
        <v>0.0076335284771402</v>
      </c>
      <c r="AE1038" s="4">
        <v>0.0</v>
      </c>
      <c r="AF1038" s="4">
        <v>0.0</v>
      </c>
      <c r="AG1038" s="4">
        <v>0.0</v>
      </c>
      <c r="AH1038" s="4">
        <v>0.0</v>
      </c>
      <c r="AI1038" s="4">
        <v>0.0</v>
      </c>
      <c r="AJ1038" s="4">
        <v>0.00958</v>
      </c>
      <c r="AK1038" s="4">
        <f>Weights!E1094</f>
        <v>0.006365503526</v>
      </c>
      <c r="AL1038" s="5">
        <v>-0.0150001088688614</v>
      </c>
      <c r="AM1038" s="5">
        <v>-0.0160150928137161</v>
      </c>
      <c r="AN1038" s="5">
        <v>0.0018628794456148</v>
      </c>
      <c r="AO1038" s="5">
        <v>0.00303818625901119</v>
      </c>
      <c r="AP1038" s="6">
        <f t="shared" si="3"/>
        <v>1.652432796</v>
      </c>
      <c r="AQ1038" s="4">
        <f t="shared" si="4"/>
        <v>1.547778379</v>
      </c>
      <c r="AR1038" s="7">
        <f t="shared" si="5"/>
        <v>1.477690274</v>
      </c>
      <c r="AS1038" s="7">
        <f t="shared" ref="AS1038:AU1038" si="1040">AS1037*(1+AM1038)</f>
        <v>1.599396959</v>
      </c>
      <c r="AT1038" s="5">
        <f t="shared" si="1040"/>
        <v>1.417071295</v>
      </c>
      <c r="AU1038" s="5">
        <f t="shared" si="1040"/>
        <v>1.401880369</v>
      </c>
    </row>
    <row r="1039" ht="15.75" customHeight="1">
      <c r="A1039" s="3">
        <v>45337.0</v>
      </c>
      <c r="B1039" s="4">
        <v>0.018519</v>
      </c>
      <c r="C1039" s="4">
        <v>0.010959</v>
      </c>
      <c r="D1039" s="4">
        <v>0.010211</v>
      </c>
      <c r="E1039" s="4">
        <v>0.00203</v>
      </c>
      <c r="F1039" s="4">
        <v>0.001855</v>
      </c>
      <c r="G1039" s="4">
        <v>0.013998</v>
      </c>
      <c r="H1039" s="4">
        <v>0.008867</v>
      </c>
      <c r="I1039" s="4">
        <v>0.020402</v>
      </c>
      <c r="J1039" s="4">
        <v>0.018413</v>
      </c>
      <c r="K1039" s="4">
        <v>0.018752</v>
      </c>
      <c r="L1039" s="4">
        <v>0.012401</v>
      </c>
      <c r="M1039" s="4">
        <v>0.095449</v>
      </c>
      <c r="N1039" s="4">
        <v>0.016733</v>
      </c>
      <c r="O1039" s="4">
        <v>0.01141</v>
      </c>
      <c r="P1039" s="4">
        <v>0.029888</v>
      </c>
      <c r="Q1039" s="4">
        <v>0.029052</v>
      </c>
      <c r="R1039" s="4">
        <v>0.028226</v>
      </c>
      <c r="S1039" s="4">
        <v>0.025683</v>
      </c>
      <c r="T1039" s="4">
        <v>0.029272</v>
      </c>
      <c r="U1039" s="4">
        <v>0.008104</v>
      </c>
      <c r="V1039" s="4">
        <v>-0.029582562182185</v>
      </c>
      <c r="W1039" s="4">
        <v>0.0</v>
      </c>
      <c r="X1039" s="4">
        <v>0.0093239737315506</v>
      </c>
      <c r="Y1039" s="4">
        <v>0.0</v>
      </c>
      <c r="Z1039" s="4">
        <v>0.0</v>
      </c>
      <c r="AA1039" s="4">
        <v>0.0</v>
      </c>
      <c r="AB1039" s="4">
        <v>0.0</v>
      </c>
      <c r="AC1039" s="4">
        <v>-0.0038095306425605</v>
      </c>
      <c r="AD1039" s="4">
        <v>0.0164140669495704</v>
      </c>
      <c r="AE1039" s="4">
        <v>0.0</v>
      </c>
      <c r="AF1039" s="4">
        <v>0.0</v>
      </c>
      <c r="AG1039" s="4">
        <v>0.0030470988019792</v>
      </c>
      <c r="AH1039" s="4">
        <v>-0.0038451947747156</v>
      </c>
      <c r="AI1039" s="4">
        <v>0.0</v>
      </c>
      <c r="AJ1039" s="4">
        <v>0.005821</v>
      </c>
      <c r="AK1039" s="4">
        <f>Weights!E1095</f>
        <v>0.01108232011</v>
      </c>
      <c r="AL1039" s="5">
        <v>0.0106673150904144</v>
      </c>
      <c r="AM1039" s="5">
        <v>0.0110545387884317</v>
      </c>
      <c r="AN1039" s="5">
        <v>-0.0232414355894586</v>
      </c>
      <c r="AO1039" s="5">
        <v>-0.0227168243156307</v>
      </c>
      <c r="AP1039" s="6">
        <f t="shared" si="3"/>
        <v>1.670745585</v>
      </c>
      <c r="AQ1039" s="4">
        <f t="shared" si="4"/>
        <v>1.556787997</v>
      </c>
      <c r="AR1039" s="7">
        <f t="shared" si="5"/>
        <v>1.493453262</v>
      </c>
      <c r="AS1039" s="7">
        <f t="shared" ref="AS1039:AU1039" si="1041">AS1038*(1+AM1039)</f>
        <v>1.617077555</v>
      </c>
      <c r="AT1039" s="5">
        <f t="shared" si="1041"/>
        <v>1.384136524</v>
      </c>
      <c r="AU1039" s="5">
        <f t="shared" si="1041"/>
        <v>1.370034098</v>
      </c>
    </row>
    <row r="1040" ht="15.75" customHeight="1">
      <c r="A1040" s="3">
        <v>45338.0</v>
      </c>
      <c r="B1040" s="4">
        <v>0.008523</v>
      </c>
      <c r="C1040" s="4">
        <v>-0.002464</v>
      </c>
      <c r="D1040" s="4">
        <v>0.003076</v>
      </c>
      <c r="E1040" s="4">
        <v>-0.009174</v>
      </c>
      <c r="F1040" s="4">
        <v>-1.68E-4</v>
      </c>
      <c r="G1040" s="4">
        <v>-0.00114</v>
      </c>
      <c r="H1040" s="4">
        <v>0.003185</v>
      </c>
      <c r="I1040" s="4">
        <v>0.012055</v>
      </c>
      <c r="J1040" s="4">
        <v>0.003578</v>
      </c>
      <c r="K1040" s="4">
        <v>0.003012</v>
      </c>
      <c r="L1040" s="4">
        <v>-0.001429</v>
      </c>
      <c r="M1040" s="4">
        <v>-0.004034</v>
      </c>
      <c r="N1040" s="4">
        <v>0.009164</v>
      </c>
      <c r="O1040" s="4">
        <v>-0.011774</v>
      </c>
      <c r="P1040" s="4">
        <v>0.01058</v>
      </c>
      <c r="Q1040" s="4">
        <v>0.008172</v>
      </c>
      <c r="R1040" s="4">
        <v>0.015163</v>
      </c>
      <c r="S1040" s="4">
        <v>0.001805</v>
      </c>
      <c r="T1040" s="4">
        <v>-0.004185</v>
      </c>
      <c r="U1040" s="4">
        <v>0.014627</v>
      </c>
      <c r="V1040" s="4">
        <v>0.0119658455068396</v>
      </c>
      <c r="W1040" s="4">
        <v>0.0227767062113852</v>
      </c>
      <c r="X1040" s="4">
        <v>-0.0011547187204118</v>
      </c>
      <c r="Y1040" s="4">
        <v>0.0033199028616459</v>
      </c>
      <c r="Z1040" s="4">
        <v>-5.693615033067E-4</v>
      </c>
      <c r="AA1040" s="4">
        <v>0.0054622748428923</v>
      </c>
      <c r="AB1040" s="4">
        <v>0.0098017938767305</v>
      </c>
      <c r="AC1040" s="4">
        <v>0.0</v>
      </c>
      <c r="AD1040" s="4">
        <v>0.0</v>
      </c>
      <c r="AE1040" s="4">
        <v>-0.0015761978309538</v>
      </c>
      <c r="AF1040" s="4">
        <v>0.014481044501208</v>
      </c>
      <c r="AG1040" s="4">
        <v>-0.002278432594068</v>
      </c>
      <c r="AH1040" s="4">
        <v>-0.0249613704835216</v>
      </c>
      <c r="AI1040" s="4">
        <v>0.0030426909090688</v>
      </c>
      <c r="AJ1040" s="4">
        <v>-0.004803</v>
      </c>
      <c r="AK1040" s="4">
        <f>Weights!E1096</f>
        <v>0.002571412785</v>
      </c>
      <c r="AL1040" s="5">
        <v>0.00851656615299689</v>
      </c>
      <c r="AM1040" s="5">
        <v>0.00770602373733031</v>
      </c>
      <c r="AN1040" s="5">
        <v>0.0161801927114741</v>
      </c>
      <c r="AO1040" s="5">
        <v>0.0141853957751167</v>
      </c>
      <c r="AP1040" s="6">
        <f t="shared" si="3"/>
        <v>1.675041762</v>
      </c>
      <c r="AQ1040" s="4">
        <f t="shared" si="4"/>
        <v>1.549310744</v>
      </c>
      <c r="AR1040" s="7">
        <f t="shared" si="5"/>
        <v>1.506172355</v>
      </c>
      <c r="AS1040" s="7">
        <f t="shared" ref="AS1040:AU1040" si="1042">AS1039*(1+AM1040)</f>
        <v>1.629538793</v>
      </c>
      <c r="AT1040" s="5">
        <f t="shared" si="1042"/>
        <v>1.40653212</v>
      </c>
      <c r="AU1040" s="5">
        <f t="shared" si="1042"/>
        <v>1.389468574</v>
      </c>
    </row>
    <row r="1041" ht="15.75" customHeight="1">
      <c r="A1041" s="3">
        <v>45342.0</v>
      </c>
      <c r="B1041" s="4">
        <v>0.007887</v>
      </c>
      <c r="C1041" s="4">
        <v>2.47E-4</v>
      </c>
      <c r="D1041" s="4">
        <v>-0.002629</v>
      </c>
      <c r="E1041" s="4">
        <v>0.014009</v>
      </c>
      <c r="F1041" s="4">
        <v>0.022058</v>
      </c>
      <c r="G1041" s="4">
        <v>0.008368</v>
      </c>
      <c r="H1041" s="4">
        <v>0.006349</v>
      </c>
      <c r="I1041" s="4">
        <v>5.81E-4</v>
      </c>
      <c r="J1041" s="4">
        <v>0.009677</v>
      </c>
      <c r="K1041" s="4">
        <v>-0.004838</v>
      </c>
      <c r="L1041" s="4">
        <v>0.001942</v>
      </c>
      <c r="M1041" s="4">
        <v>-0.012961</v>
      </c>
      <c r="N1041" s="4">
        <v>0.006301</v>
      </c>
      <c r="O1041" s="4">
        <v>0.001108</v>
      </c>
      <c r="P1041" s="4">
        <v>-0.007179</v>
      </c>
      <c r="Q1041" s="4">
        <v>0.003685</v>
      </c>
      <c r="R1041" s="4">
        <v>-0.01777</v>
      </c>
      <c r="S1041" s="4">
        <v>-0.004278</v>
      </c>
      <c r="T1041" s="4">
        <v>-0.008568</v>
      </c>
      <c r="U1041" s="4">
        <v>-0.003932</v>
      </c>
      <c r="V1041" s="4">
        <v>0.0174549410951432</v>
      </c>
      <c r="W1041" s="4">
        <v>0.0045550367989772</v>
      </c>
      <c r="X1041" s="4">
        <v>0.0057803588781555</v>
      </c>
      <c r="Y1041" s="4">
        <v>-0.0045721201748173</v>
      </c>
      <c r="Z1041" s="4">
        <v>-0.0023772094684287</v>
      </c>
      <c r="AA1041" s="4">
        <v>0.0072434951856357</v>
      </c>
      <c r="AB1041" s="4">
        <v>0.0078575979107344</v>
      </c>
      <c r="AC1041" s="4">
        <v>0.0038240986635997</v>
      </c>
      <c r="AD1041" s="4">
        <v>0.00496900866478</v>
      </c>
      <c r="AE1041" s="4">
        <v>0.0050520546006318</v>
      </c>
      <c r="AF1041" s="4">
        <v>0.0</v>
      </c>
      <c r="AG1041" s="4">
        <v>0.0019030127324357</v>
      </c>
      <c r="AH1041" s="4">
        <v>0.0160992002500846</v>
      </c>
      <c r="AI1041" s="4">
        <v>-0.0018763781401847</v>
      </c>
      <c r="AJ1041" s="4">
        <v>-0.006005</v>
      </c>
      <c r="AK1041" s="4">
        <f>Weights!E1097</f>
        <v>0.002947468243</v>
      </c>
      <c r="AL1041" s="5">
        <v>-0.00368103426688748</v>
      </c>
      <c r="AM1041" s="5">
        <v>-0.00524491697717477</v>
      </c>
      <c r="AN1041" s="5">
        <v>0.0156103069362831</v>
      </c>
      <c r="AO1041" s="5">
        <v>0.0176303538949966</v>
      </c>
      <c r="AP1041" s="6">
        <f t="shared" si="3"/>
        <v>1.679978894</v>
      </c>
      <c r="AQ1041" s="4">
        <f t="shared" si="4"/>
        <v>1.540007133</v>
      </c>
      <c r="AR1041" s="7">
        <f t="shared" si="5"/>
        <v>1.500628083</v>
      </c>
      <c r="AS1041" s="7">
        <f t="shared" ref="AS1041:AU1041" si="1043">AS1040*(1+AM1041)</f>
        <v>1.620991997</v>
      </c>
      <c r="AT1041" s="5">
        <f t="shared" si="1043"/>
        <v>1.428488518</v>
      </c>
      <c r="AU1041" s="5">
        <f t="shared" si="1043"/>
        <v>1.413965397</v>
      </c>
    </row>
    <row r="1042" ht="15.75" customHeight="1">
      <c r="A1042" s="3">
        <v>45343.0</v>
      </c>
      <c r="B1042" s="4">
        <v>0.002236</v>
      </c>
      <c r="C1042" s="4">
        <v>0.014815</v>
      </c>
      <c r="D1042" s="4">
        <v>-0.002636</v>
      </c>
      <c r="E1042" s="4">
        <v>0.001067</v>
      </c>
      <c r="F1042" s="4">
        <v>0.008896</v>
      </c>
      <c r="G1042" s="4">
        <v>0.005194</v>
      </c>
      <c r="H1042" s="4">
        <v>0.011924</v>
      </c>
      <c r="I1042" s="4">
        <v>0.010453</v>
      </c>
      <c r="J1042" s="4">
        <v>0.00454</v>
      </c>
      <c r="K1042" s="4">
        <v>-0.003018</v>
      </c>
      <c r="L1042" s="4">
        <v>-0.003469</v>
      </c>
      <c r="M1042" s="4">
        <v>-0.015593</v>
      </c>
      <c r="N1042" s="4">
        <v>-0.010866</v>
      </c>
      <c r="O1042" s="4">
        <v>-0.002048</v>
      </c>
      <c r="P1042" s="4">
        <v>0.007231</v>
      </c>
      <c r="Q1042" s="4">
        <v>-0.007342</v>
      </c>
      <c r="R1042" s="4">
        <v>0.018878</v>
      </c>
      <c r="S1042" s="4">
        <v>-0.078697</v>
      </c>
      <c r="T1042" s="4">
        <v>0.002011</v>
      </c>
      <c r="U1042" s="4">
        <v>5.98E-4</v>
      </c>
      <c r="V1042" s="4">
        <v>0.0279468754396758</v>
      </c>
      <c r="W1042" s="4">
        <v>-0.007154354608559</v>
      </c>
      <c r="X1042" s="4">
        <v>0.0</v>
      </c>
      <c r="Y1042" s="4">
        <v>0.0065877036415233</v>
      </c>
      <c r="Z1042" s="4">
        <v>-6.673277463001E-4</v>
      </c>
      <c r="AA1042" s="4">
        <v>0.0047941865103162</v>
      </c>
      <c r="AB1042" s="4">
        <v>0.0057325767495999</v>
      </c>
      <c r="AC1042" s="4">
        <v>0.0</v>
      </c>
      <c r="AD1042" s="4">
        <v>0.0</v>
      </c>
      <c r="AE1042" s="4">
        <v>0.0069117566780978</v>
      </c>
      <c r="AF1042" s="4">
        <v>-0.0026433814317042</v>
      </c>
      <c r="AG1042" s="4">
        <v>-1.265993617435E-4</v>
      </c>
      <c r="AH1042" s="4">
        <v>0.0041558526808467</v>
      </c>
      <c r="AI1042" s="4">
        <v>0.0010160466208417</v>
      </c>
      <c r="AJ1042" s="4">
        <v>0.001264</v>
      </c>
      <c r="AK1042" s="4">
        <f>Weights!E1098</f>
        <v>0.0008676598019</v>
      </c>
      <c r="AL1042" s="5">
        <v>-0.00311499145458726</v>
      </c>
      <c r="AM1042" s="5">
        <v>-0.00627869360102639</v>
      </c>
      <c r="AN1042" s="5">
        <v>0.00153715893448347</v>
      </c>
      <c r="AO1042" s="5">
        <v>0.00254108055868673</v>
      </c>
      <c r="AP1042" s="6">
        <f t="shared" si="3"/>
        <v>1.681436544</v>
      </c>
      <c r="AQ1042" s="4">
        <f t="shared" si="4"/>
        <v>1.541953702</v>
      </c>
      <c r="AR1042" s="7">
        <f t="shared" si="5"/>
        <v>1.495953639</v>
      </c>
      <c r="AS1042" s="7">
        <f t="shared" ref="AS1042:AU1042" si="1044">AS1041*(1+AM1042)</f>
        <v>1.610814285</v>
      </c>
      <c r="AT1042" s="5">
        <f t="shared" si="1044"/>
        <v>1.430684332</v>
      </c>
      <c r="AU1042" s="5">
        <f t="shared" si="1044"/>
        <v>1.417558397</v>
      </c>
    </row>
    <row r="1043" ht="15.75" customHeight="1">
      <c r="A1043" s="3">
        <v>45344.0</v>
      </c>
      <c r="B1043" s="4">
        <v>0.006693</v>
      </c>
      <c r="C1043" s="4">
        <v>-0.009002</v>
      </c>
      <c r="D1043" s="4">
        <v>0.009249</v>
      </c>
      <c r="E1043" s="4">
        <v>-0.003435</v>
      </c>
      <c r="F1043" s="4">
        <v>-0.00147</v>
      </c>
      <c r="G1043" s="4">
        <v>0.011155</v>
      </c>
      <c r="H1043" s="4">
        <v>9.98E-4</v>
      </c>
      <c r="I1043" s="4">
        <v>0.002874</v>
      </c>
      <c r="J1043" s="4">
        <v>0.001757</v>
      </c>
      <c r="K1043" s="4">
        <v>0.009248</v>
      </c>
      <c r="L1043" s="4">
        <v>0.004709</v>
      </c>
      <c r="M1043" s="4">
        <v>0.011255</v>
      </c>
      <c r="N1043" s="4">
        <v>0.019363</v>
      </c>
      <c r="O1043" s="4">
        <v>0.015586</v>
      </c>
      <c r="P1043" s="4">
        <v>-0.07598</v>
      </c>
      <c r="Q1043" s="4">
        <v>-0.058432</v>
      </c>
      <c r="R1043" s="4">
        <v>-0.004889</v>
      </c>
      <c r="S1043" s="4">
        <v>-0.027982</v>
      </c>
      <c r="T1043" s="4">
        <v>0.012421</v>
      </c>
      <c r="U1043" s="4">
        <v>0.019007</v>
      </c>
      <c r="V1043" s="4">
        <v>0.0104979962697662</v>
      </c>
      <c r="W1043" s="4">
        <v>0.0</v>
      </c>
      <c r="X1043" s="4">
        <v>0.0034682516037785</v>
      </c>
      <c r="Y1043" s="4">
        <v>0.0</v>
      </c>
      <c r="Z1043" s="4">
        <v>0.0</v>
      </c>
      <c r="AA1043" s="4">
        <v>0.0</v>
      </c>
      <c r="AB1043" s="4">
        <v>0.0</v>
      </c>
      <c r="AC1043" s="4">
        <v>-0.003802212139364</v>
      </c>
      <c r="AD1043" s="4">
        <v>0.0</v>
      </c>
      <c r="AE1043" s="4">
        <v>0.0</v>
      </c>
      <c r="AF1043" s="4">
        <v>0.0</v>
      </c>
      <c r="AG1043" s="4">
        <v>0.0</v>
      </c>
      <c r="AH1043" s="4">
        <v>0.0</v>
      </c>
      <c r="AI1043" s="4">
        <v>0.0</v>
      </c>
      <c r="AJ1043" s="4">
        <v>0.021123</v>
      </c>
      <c r="AK1043" s="4">
        <f>Weights!E1099</f>
        <v>-0.0001618219204</v>
      </c>
      <c r="AL1043" s="5">
        <v>6.53938907023921E-4</v>
      </c>
      <c r="AM1043" s="5">
        <v>2.02508465193318E-4</v>
      </c>
      <c r="AN1043" s="5">
        <v>-3.07045112695969E-4</v>
      </c>
      <c r="AO1043" s="5">
        <v>-0.0025346398346796</v>
      </c>
      <c r="AP1043" s="6">
        <f t="shared" si="3"/>
        <v>1.681164451</v>
      </c>
      <c r="AQ1043" s="4">
        <f t="shared" si="4"/>
        <v>1.57452439</v>
      </c>
      <c r="AR1043" s="7">
        <f t="shared" si="5"/>
        <v>1.496931902</v>
      </c>
      <c r="AS1043" s="7">
        <f t="shared" ref="AS1043:AU1043" si="1045">AS1042*(1+AM1043)</f>
        <v>1.611140488</v>
      </c>
      <c r="AT1043" s="5">
        <f t="shared" si="1045"/>
        <v>1.430245047</v>
      </c>
      <c r="AU1043" s="5">
        <f t="shared" si="1045"/>
        <v>1.413965397</v>
      </c>
    </row>
    <row r="1044" ht="15.75" customHeight="1">
      <c r="A1044" s="3">
        <v>45345.0</v>
      </c>
      <c r="B1044" s="4">
        <v>-0.002216</v>
      </c>
      <c r="C1044" s="4">
        <v>-0.001719</v>
      </c>
      <c r="D1044" s="4">
        <v>-6.55E-4</v>
      </c>
      <c r="E1044" s="4">
        <v>0.008024</v>
      </c>
      <c r="F1044" s="4">
        <v>8.18E-4</v>
      </c>
      <c r="G1044" s="4">
        <v>0.008663</v>
      </c>
      <c r="H1044" s="4">
        <v>0.002927</v>
      </c>
      <c r="I1044" s="4">
        <v>-0.002865</v>
      </c>
      <c r="J1044" s="4">
        <v>-0.013534</v>
      </c>
      <c r="K1044" s="4">
        <v>0.006998</v>
      </c>
      <c r="L1044" s="4">
        <v>0.005299</v>
      </c>
      <c r="M1044" s="4">
        <v>0.001649</v>
      </c>
      <c r="N1044" s="4">
        <v>0.006575</v>
      </c>
      <c r="O1044" s="4">
        <v>0.005134</v>
      </c>
      <c r="P1044" s="4">
        <v>0.012625</v>
      </c>
      <c r="Q1044" s="4">
        <v>0.014925</v>
      </c>
      <c r="R1044" s="4">
        <v>0.007499</v>
      </c>
      <c r="S1044" s="4">
        <v>0.006566</v>
      </c>
      <c r="T1044" s="4">
        <v>0.017895</v>
      </c>
      <c r="U1044" s="4">
        <v>-0.001994</v>
      </c>
      <c r="V1044" s="4">
        <v>-0.0202451124411133</v>
      </c>
      <c r="W1044" s="4">
        <v>-0.0012179314002741</v>
      </c>
      <c r="X1044" s="4">
        <v>0.0011520580101471</v>
      </c>
      <c r="Y1044" s="4">
        <v>0.0037824749873902</v>
      </c>
      <c r="Z1044" s="4">
        <v>0.0054369237349911</v>
      </c>
      <c r="AA1044" s="4">
        <v>0.0075547218333311</v>
      </c>
      <c r="AB1044" s="4">
        <v>-0.0022800884324919</v>
      </c>
      <c r="AC1044" s="4">
        <v>0.0</v>
      </c>
      <c r="AD1044" s="4">
        <v>0.0136139103044985</v>
      </c>
      <c r="AE1044" s="4">
        <v>-0.0212168875226094</v>
      </c>
      <c r="AF1044" s="4">
        <v>0.0063610074630489</v>
      </c>
      <c r="AG1044" s="4">
        <v>0.0239361197826455</v>
      </c>
      <c r="AH1044" s="4">
        <v>0.0206932652424003</v>
      </c>
      <c r="AI1044" s="4">
        <v>-0.007106431911894</v>
      </c>
      <c r="AJ1044" s="4">
        <v>3.48E-4</v>
      </c>
      <c r="AK1044" s="4">
        <f>Weights!E1100</f>
        <v>0.002899552044</v>
      </c>
      <c r="AL1044" s="5">
        <v>0.0180101484382311</v>
      </c>
      <c r="AM1044" s="5">
        <v>0.0197611889351971</v>
      </c>
      <c r="AN1044" s="5">
        <v>-0.00307023792259586</v>
      </c>
      <c r="AO1044" s="5">
        <v>-0.00277208788220384</v>
      </c>
      <c r="AP1044" s="6">
        <f t="shared" si="3"/>
        <v>1.686039075</v>
      </c>
      <c r="AQ1044" s="4">
        <f t="shared" si="4"/>
        <v>1.575072325</v>
      </c>
      <c r="AR1044" s="7">
        <f t="shared" si="5"/>
        <v>1.523891868</v>
      </c>
      <c r="AS1044" s="7">
        <f t="shared" ref="AS1044:AU1044" si="1046">AS1043*(1+AM1044)</f>
        <v>1.64297854</v>
      </c>
      <c r="AT1044" s="5">
        <f t="shared" si="1046"/>
        <v>1.425853855</v>
      </c>
      <c r="AU1044" s="5">
        <f t="shared" si="1046"/>
        <v>1.410045761</v>
      </c>
    </row>
    <row r="1045" ht="15.75" customHeight="1">
      <c r="A1045" s="3">
        <v>45348.0</v>
      </c>
      <c r="B1045" s="4">
        <v>-0.019989</v>
      </c>
      <c r="C1045" s="4">
        <v>-0.023856</v>
      </c>
      <c r="D1045" s="4">
        <v>-0.016376</v>
      </c>
      <c r="E1045" s="4">
        <v>-0.007901</v>
      </c>
      <c r="F1045" s="4">
        <v>-0.008007</v>
      </c>
      <c r="G1045" s="4">
        <v>-0.006488</v>
      </c>
      <c r="H1045" s="4">
        <v>-0.00503</v>
      </c>
      <c r="I1045" s="4">
        <v>-0.011782</v>
      </c>
      <c r="J1045" s="4">
        <v>-0.019563</v>
      </c>
      <c r="K1045" s="4">
        <v>-0.01092</v>
      </c>
      <c r="L1045" s="4">
        <v>-0.006994</v>
      </c>
      <c r="M1045" s="4">
        <v>-0.003292</v>
      </c>
      <c r="N1045" s="4">
        <v>-0.006169</v>
      </c>
      <c r="O1045" s="4">
        <v>-0.004075</v>
      </c>
      <c r="P1045" s="4">
        <v>-0.040601</v>
      </c>
      <c r="Q1045" s="4">
        <v>-0.028638</v>
      </c>
      <c r="R1045" s="4">
        <v>-0.023871</v>
      </c>
      <c r="S1045" s="4">
        <v>-0.016809</v>
      </c>
      <c r="T1045" s="4">
        <v>0.008421</v>
      </c>
      <c r="U1045" s="4">
        <v>-0.001352</v>
      </c>
      <c r="V1045" s="4">
        <v>-2.71848133706731E-4</v>
      </c>
      <c r="W1045" s="4">
        <v>-0.0504013726749444</v>
      </c>
      <c r="X1045" s="4">
        <v>-0.0253164716942603</v>
      </c>
      <c r="Y1045" s="4">
        <v>-5.981155609887E-4</v>
      </c>
      <c r="Z1045" s="4">
        <v>-2.84641015648E-4</v>
      </c>
      <c r="AA1045" s="4">
        <v>7.892970467695E-4</v>
      </c>
      <c r="AB1045" s="4">
        <v>-0.0038846700166578</v>
      </c>
      <c r="AC1045" s="4">
        <v>-0.0190840030316612</v>
      </c>
      <c r="AD1045" s="4">
        <v>-0.0170940868527975</v>
      </c>
      <c r="AE1045" s="4">
        <v>-0.001275076700332</v>
      </c>
      <c r="AF1045" s="4">
        <v>-0.019752454273457</v>
      </c>
      <c r="AG1045" s="4">
        <v>3.709666708449E-4</v>
      </c>
      <c r="AH1045" s="4">
        <v>-0.0098834347065421</v>
      </c>
      <c r="AI1045" s="4">
        <v>5.111913550057E-4</v>
      </c>
      <c r="AJ1045" s="4">
        <v>-0.003787</v>
      </c>
      <c r="AK1045" s="4">
        <f>Weights!E1101</f>
        <v>-0.0102620995</v>
      </c>
      <c r="AL1045" s="5">
        <v>0.00107010071211144</v>
      </c>
      <c r="AM1045" s="5">
        <v>6.75000297323036E-4</v>
      </c>
      <c r="AN1045" s="5">
        <v>0.00769944693589108</v>
      </c>
      <c r="AO1045" s="5">
        <v>0.00694930101969748</v>
      </c>
      <c r="AP1045" s="6">
        <f t="shared" si="3"/>
        <v>1.668736774</v>
      </c>
      <c r="AQ1045" s="4">
        <f t="shared" si="4"/>
        <v>1.569107526</v>
      </c>
      <c r="AR1045" s="7">
        <f t="shared" si="5"/>
        <v>1.525522585</v>
      </c>
      <c r="AS1045" s="7">
        <f t="shared" ref="AS1045:AU1045" si="1047">AS1044*(1+AM1045)</f>
        <v>1.644087551</v>
      </c>
      <c r="AT1045" s="5">
        <f t="shared" si="1047"/>
        <v>1.436832141</v>
      </c>
      <c r="AU1045" s="5">
        <f t="shared" si="1047"/>
        <v>1.419844593</v>
      </c>
    </row>
    <row r="1046" ht="15.75" customHeight="1">
      <c r="A1046" s="3">
        <v>45349.0</v>
      </c>
      <c r="B1046" s="4">
        <v>0.003399</v>
      </c>
      <c r="C1046" s="4">
        <v>0.006047</v>
      </c>
      <c r="D1046" s="4">
        <v>-4.44E-4</v>
      </c>
      <c r="E1046" s="4">
        <v>-5.94E-4</v>
      </c>
      <c r="F1046" s="4">
        <v>-0.006095</v>
      </c>
      <c r="G1046" s="4">
        <v>0.001182</v>
      </c>
      <c r="H1046" s="4">
        <v>-0.005742</v>
      </c>
      <c r="I1046" s="4">
        <v>0.002908</v>
      </c>
      <c r="J1046" s="4">
        <v>0.003369</v>
      </c>
      <c r="K1046" s="4">
        <v>-0.002175</v>
      </c>
      <c r="L1046" s="4">
        <v>-0.010718</v>
      </c>
      <c r="M1046" s="4">
        <v>0.007266</v>
      </c>
      <c r="N1046" s="4">
        <v>-0.005895</v>
      </c>
      <c r="O1046" s="4">
        <v>-0.012548</v>
      </c>
      <c r="P1046" s="4">
        <v>-0.004998</v>
      </c>
      <c r="Q1046" s="4">
        <v>-0.011155</v>
      </c>
      <c r="R1046" s="4">
        <v>0.003418</v>
      </c>
      <c r="S1046" s="4">
        <v>0.00791</v>
      </c>
      <c r="T1046" s="4">
        <v>0.007986</v>
      </c>
      <c r="U1046" s="4">
        <v>-0.00768</v>
      </c>
      <c r="V1046" s="4">
        <v>0.0223007302508637</v>
      </c>
      <c r="W1046" s="4">
        <v>0.002247177798299</v>
      </c>
      <c r="X1046" s="4">
        <v>0.0330577716327791</v>
      </c>
      <c r="Y1046" s="4">
        <v>0.0058056621410624</v>
      </c>
      <c r="Z1046" s="4">
        <v>0.0057884738154112</v>
      </c>
      <c r="AA1046" s="4">
        <v>0.0033516620009295</v>
      </c>
      <c r="AB1046" s="4">
        <v>9.176478129775E-4</v>
      </c>
      <c r="AC1046" s="4">
        <v>-0.0155642302424615</v>
      </c>
      <c r="AD1046" s="4">
        <v>0.0149068209641707</v>
      </c>
      <c r="AE1046" s="4">
        <v>0.0111714767941428</v>
      </c>
      <c r="AF1046" s="4">
        <v>-5.373801317883E-4</v>
      </c>
      <c r="AG1046" s="4">
        <v>-0.0045745542163398</v>
      </c>
      <c r="AH1046" s="4">
        <v>0.0214998389591452</v>
      </c>
      <c r="AI1046" s="4">
        <v>-0.0040879542544653</v>
      </c>
      <c r="AJ1046" s="4">
        <v>0.001706</v>
      </c>
      <c r="AK1046" s="4">
        <f>Weights!E1102</f>
        <v>0.003022222955</v>
      </c>
      <c r="AL1046" s="5">
        <v>-0.00384813418195006</v>
      </c>
      <c r="AM1046" s="5">
        <v>-0.00301587003462944</v>
      </c>
      <c r="AN1046" s="5">
        <v>0.00566750931081294</v>
      </c>
      <c r="AO1046" s="5">
        <v>0.00529116803371554</v>
      </c>
      <c r="AP1046" s="6">
        <f t="shared" si="3"/>
        <v>1.673780069</v>
      </c>
      <c r="AQ1046" s="4">
        <f t="shared" si="4"/>
        <v>1.571784423</v>
      </c>
      <c r="AR1046" s="7">
        <f t="shared" si="5"/>
        <v>1.51965217</v>
      </c>
      <c r="AS1046" s="7">
        <f t="shared" ref="AS1046:AU1046" si="1048">AS1045*(1+AM1046)</f>
        <v>1.639129197</v>
      </c>
      <c r="AT1046" s="5">
        <f t="shared" si="1048"/>
        <v>1.4449754</v>
      </c>
      <c r="AU1046" s="5">
        <f t="shared" si="1048"/>
        <v>1.42735723</v>
      </c>
    </row>
    <row r="1047" ht="15.75" customHeight="1">
      <c r="A1047" s="3">
        <v>45350.0</v>
      </c>
      <c r="B1047" s="4">
        <v>-0.016375</v>
      </c>
      <c r="C1047" s="4">
        <v>0.004257</v>
      </c>
      <c r="D1047" s="4">
        <v>-0.013769</v>
      </c>
      <c r="E1047" s="4">
        <v>-0.00672</v>
      </c>
      <c r="F1047" s="4">
        <v>9.94E-4</v>
      </c>
      <c r="G1047" s="4">
        <v>0.003541</v>
      </c>
      <c r="H1047" s="4">
        <v>0.004708</v>
      </c>
      <c r="I1047" s="4">
        <v>-0.003189</v>
      </c>
      <c r="J1047" s="4">
        <v>-0.002324</v>
      </c>
      <c r="K1047" s="4">
        <v>-0.004023</v>
      </c>
      <c r="L1047" s="4">
        <v>-0.004746</v>
      </c>
      <c r="M1047" s="4">
        <v>-0.014938</v>
      </c>
      <c r="N1047" s="4">
        <v>-5.57E-4</v>
      </c>
      <c r="O1047" s="4">
        <v>-0.038842</v>
      </c>
      <c r="P1047" s="4">
        <v>3.35E-4</v>
      </c>
      <c r="Q1047" s="4">
        <v>0.002417</v>
      </c>
      <c r="R1047" s="4">
        <v>-0.019654</v>
      </c>
      <c r="S1047" s="4">
        <v>0.006582</v>
      </c>
      <c r="T1047" s="4">
        <v>-0.004816</v>
      </c>
      <c r="U1047" s="4">
        <v>-0.006772</v>
      </c>
      <c r="V1047" s="4">
        <v>-0.00372438365491689</v>
      </c>
      <c r="W1047" s="4">
        <v>-0.0012811293441327</v>
      </c>
      <c r="X1047" s="4">
        <v>0.0</v>
      </c>
      <c r="Y1047" s="4">
        <v>0.0011307226981855</v>
      </c>
      <c r="Z1047" s="4">
        <v>-0.0080195378304124</v>
      </c>
      <c r="AA1047" s="4">
        <v>-5.894891768838E-4</v>
      </c>
      <c r="AB1047" s="4">
        <v>-0.0064177373064918</v>
      </c>
      <c r="AC1047" s="4">
        <v>0.0</v>
      </c>
      <c r="AD1047" s="4">
        <v>0.0</v>
      </c>
      <c r="AE1047" s="4">
        <v>-0.0056818826093065</v>
      </c>
      <c r="AF1047" s="4">
        <v>-0.0045698260199794</v>
      </c>
      <c r="AG1047" s="4">
        <v>0.0113028756549702</v>
      </c>
      <c r="AH1047" s="4">
        <v>0.0127787222854824</v>
      </c>
      <c r="AI1047" s="4">
        <v>5.133363950868E-4</v>
      </c>
      <c r="AJ1047" s="4">
        <v>-0.001658</v>
      </c>
      <c r="AK1047" s="4">
        <f>Weights!E1103</f>
        <v>-0.002157478762</v>
      </c>
      <c r="AL1047" s="5">
        <v>0.0025752960820442</v>
      </c>
      <c r="AM1047" s="5">
        <v>0.00278620541416607</v>
      </c>
      <c r="AN1047" s="5">
        <v>-0.00520687387826512</v>
      </c>
      <c r="AO1047" s="5">
        <v>-0.00389018868614543</v>
      </c>
      <c r="AP1047" s="6">
        <f t="shared" si="3"/>
        <v>1.670168924</v>
      </c>
      <c r="AQ1047" s="4">
        <f t="shared" si="4"/>
        <v>1.569178405</v>
      </c>
      <c r="AR1047" s="7">
        <f t="shared" si="5"/>
        <v>1.523565724</v>
      </c>
      <c r="AS1047" s="7">
        <f t="shared" ref="AS1047:AU1047" si="1049">AS1046*(1+AM1047)</f>
        <v>1.643696147</v>
      </c>
      <c r="AT1047" s="5">
        <f t="shared" si="1049"/>
        <v>1.437451596</v>
      </c>
      <c r="AU1047" s="5">
        <f t="shared" si="1049"/>
        <v>1.421804541</v>
      </c>
    </row>
    <row r="1048" ht="15.75" customHeight="1">
      <c r="A1048" s="3">
        <v>45351.0</v>
      </c>
      <c r="B1048" s="4">
        <v>0.001148</v>
      </c>
      <c r="C1048" s="4">
        <v>-0.001995</v>
      </c>
      <c r="D1048" s="4">
        <v>-0.002927</v>
      </c>
      <c r="E1048" s="4">
        <v>-0.002544</v>
      </c>
      <c r="F1048" s="4">
        <v>-0.006291</v>
      </c>
      <c r="G1048" s="4">
        <v>-0.001052</v>
      </c>
      <c r="H1048" s="4">
        <v>-0.006935</v>
      </c>
      <c r="I1048" s="4">
        <v>0.001163</v>
      </c>
      <c r="J1048" s="4">
        <v>-0.001294</v>
      </c>
      <c r="K1048" s="4">
        <v>0.009931</v>
      </c>
      <c r="L1048" s="4">
        <v>0.006428</v>
      </c>
      <c r="M1048" s="4">
        <v>0.0</v>
      </c>
      <c r="N1048" s="4">
        <v>-0.013373</v>
      </c>
      <c r="O1048" s="4">
        <v>-0.00138</v>
      </c>
      <c r="P1048" s="4">
        <v>0.0462</v>
      </c>
      <c r="Q1048" s="4">
        <v>0.048232</v>
      </c>
      <c r="R1048" s="4">
        <v>0.010692</v>
      </c>
      <c r="S1048" s="4">
        <v>0.035966</v>
      </c>
      <c r="T1048" s="4">
        <v>5.72E-4</v>
      </c>
      <c r="U1048" s="4">
        <v>-0.004486</v>
      </c>
      <c r="V1048" s="4">
        <v>-2.66984630971633E-4</v>
      </c>
      <c r="W1048" s="4">
        <v>-0.0128287717036545</v>
      </c>
      <c r="X1048" s="4">
        <v>0.0</v>
      </c>
      <c r="Y1048" s="4">
        <v>-0.0058845942091225</v>
      </c>
      <c r="Z1048" s="4">
        <v>0.0021875596808098</v>
      </c>
      <c r="AA1048" s="4">
        <v>0.0133700716979856</v>
      </c>
      <c r="AB1048" s="4">
        <v>0.0018455490178188</v>
      </c>
      <c r="AC1048" s="4">
        <v>-0.0059171307677521</v>
      </c>
      <c r="AD1048" s="4">
        <v>-0.0132529602980909</v>
      </c>
      <c r="AE1048" s="4">
        <v>0.0069840413554909</v>
      </c>
      <c r="AF1048" s="4">
        <v>0.0059410497828504</v>
      </c>
      <c r="AG1048" s="4">
        <v>-0.0090885273518909</v>
      </c>
      <c r="AH1048" s="4">
        <v>-0.0098960820546892</v>
      </c>
      <c r="AI1048" s="4">
        <v>0.0020510567358489</v>
      </c>
      <c r="AJ1048" s="4">
        <v>0.005229</v>
      </c>
      <c r="AK1048" s="4">
        <f>Weights!E1104</f>
        <v>0.002100446409</v>
      </c>
      <c r="AL1048" s="5">
        <v>-0.00313937616737502</v>
      </c>
      <c r="AM1048" s="5">
        <v>-0.00166705378778453</v>
      </c>
      <c r="AN1048" s="5">
        <v>-0.00184722151411487</v>
      </c>
      <c r="AO1048" s="5">
        <v>0.0</v>
      </c>
      <c r="AP1048" s="6">
        <f t="shared" si="3"/>
        <v>1.673677024</v>
      </c>
      <c r="AQ1048" s="4">
        <f t="shared" si="4"/>
        <v>1.577383639</v>
      </c>
      <c r="AR1048" s="7">
        <f t="shared" si="5"/>
        <v>1.518782678</v>
      </c>
      <c r="AS1048" s="7">
        <f t="shared" ref="AS1048:AU1048" si="1050">AS1047*(1+AM1048)</f>
        <v>1.640956017</v>
      </c>
      <c r="AT1048" s="5">
        <f t="shared" si="1050"/>
        <v>1.434796304</v>
      </c>
      <c r="AU1048" s="5">
        <f t="shared" si="1050"/>
        <v>1.421804541</v>
      </c>
    </row>
    <row r="1049" ht="15.75" customHeight="1">
      <c r="A1049" s="3">
        <v>45352.0</v>
      </c>
      <c r="B1049" s="4">
        <v>0.006881</v>
      </c>
      <c r="C1049" s="4">
        <v>0.004498</v>
      </c>
      <c r="D1049" s="4">
        <v>0.005646</v>
      </c>
      <c r="E1049" s="4">
        <v>-0.004536</v>
      </c>
      <c r="F1049" s="4">
        <v>-0.008164</v>
      </c>
      <c r="G1049" s="4">
        <v>0.004585</v>
      </c>
      <c r="H1049" s="4">
        <v>-5.66E-4</v>
      </c>
      <c r="I1049" s="4">
        <v>0.01104</v>
      </c>
      <c r="J1049" s="4">
        <v>-5.18E-4</v>
      </c>
      <c r="K1049" s="4">
        <v>-1.67E-4</v>
      </c>
      <c r="L1049" s="4">
        <v>0.002575</v>
      </c>
      <c r="M1049" s="4">
        <v>0.005897</v>
      </c>
      <c r="N1049" s="4">
        <v>0.007342</v>
      </c>
      <c r="O1049" s="4">
        <v>0.005123</v>
      </c>
      <c r="P1049" s="4">
        <v>0.02208</v>
      </c>
      <c r="Q1049" s="4">
        <v>0.060583</v>
      </c>
      <c r="R1049" s="4">
        <v>0.003174</v>
      </c>
      <c r="S1049" s="4">
        <v>0.018937</v>
      </c>
      <c r="T1049" s="4">
        <v>-0.00832</v>
      </c>
      <c r="U1049" s="4">
        <v>-0.006249</v>
      </c>
      <c r="V1049" s="4">
        <v>8.01233023455472E-4</v>
      </c>
      <c r="W1049" s="4">
        <v>-0.0124539981707036</v>
      </c>
      <c r="X1049" s="4">
        <v>-0.0180180379151357</v>
      </c>
      <c r="Y1049" s="4">
        <v>-0.0092076861848723</v>
      </c>
      <c r="Z1049" s="4">
        <v>-0.0020878683476533</v>
      </c>
      <c r="AA1049" s="4">
        <v>-0.0040744639859359</v>
      </c>
      <c r="AB1049" s="4">
        <v>0.0020723141975644</v>
      </c>
      <c r="AC1049" s="4">
        <v>0.0039681814025784</v>
      </c>
      <c r="AD1049" s="4">
        <v>-0.0012210421904437</v>
      </c>
      <c r="AE1049" s="4">
        <v>0.003783207156673</v>
      </c>
      <c r="AF1049" s="4">
        <v>-0.0077851796233489</v>
      </c>
      <c r="AG1049" s="4">
        <v>-0.0039664125522016</v>
      </c>
      <c r="AH1049" s="4">
        <v>0.0042479257821166</v>
      </c>
      <c r="AI1049" s="4">
        <v>-0.0015353493513057</v>
      </c>
      <c r="AJ1049" s="4">
        <v>0.008008</v>
      </c>
      <c r="AK1049" s="4">
        <f>Weights!E1105</f>
        <v>0.00179916</v>
      </c>
      <c r="AL1049" s="5">
        <v>0.00407972944298618</v>
      </c>
      <c r="AM1049" s="5">
        <v>0.00421429595603806</v>
      </c>
      <c r="AN1049" s="5">
        <v>-0.00246758073778952</v>
      </c>
      <c r="AO1049" s="5">
        <v>-0.00298644671365</v>
      </c>
      <c r="AP1049" s="6">
        <f t="shared" si="3"/>
        <v>1.676688237</v>
      </c>
      <c r="AQ1049" s="4">
        <f t="shared" si="4"/>
        <v>1.590015327</v>
      </c>
      <c r="AR1049" s="7">
        <f t="shared" si="5"/>
        <v>1.5249789</v>
      </c>
      <c r="AS1049" s="7">
        <f t="shared" ref="AS1049:AU1049" si="1051">AS1048*(1+AM1049)</f>
        <v>1.647871492</v>
      </c>
      <c r="AT1049" s="5">
        <f t="shared" si="1051"/>
        <v>1.431255828</v>
      </c>
      <c r="AU1049" s="5">
        <f t="shared" si="1051"/>
        <v>1.417558397</v>
      </c>
    </row>
    <row r="1050" ht="15.75" customHeight="1">
      <c r="A1050" s="3">
        <v>45355.0</v>
      </c>
      <c r="B1050" s="4">
        <v>-0.013667</v>
      </c>
      <c r="C1050" s="4">
        <v>0.002736</v>
      </c>
      <c r="D1050" s="4">
        <v>-0.002919</v>
      </c>
      <c r="E1050" s="4">
        <v>0.004739</v>
      </c>
      <c r="F1050" s="4">
        <v>0.004704</v>
      </c>
      <c r="G1050" s="4">
        <v>-0.014064</v>
      </c>
      <c r="H1050" s="4">
        <v>0.00447</v>
      </c>
      <c r="I1050" s="4">
        <v>-0.002299</v>
      </c>
      <c r="J1050" s="4">
        <v>0.011411</v>
      </c>
      <c r="K1050" s="4">
        <v>-0.015169</v>
      </c>
      <c r="L1050" s="4">
        <v>-0.001541</v>
      </c>
      <c r="M1050" s="4">
        <v>0.004188</v>
      </c>
      <c r="N1050" s="4">
        <v>-0.005233</v>
      </c>
      <c r="O1050" s="4">
        <v>0.034992</v>
      </c>
      <c r="P1050" s="4">
        <v>0.056043</v>
      </c>
      <c r="Q1050" s="4">
        <v>0.041215</v>
      </c>
      <c r="R1050" s="4">
        <v>0.010282</v>
      </c>
      <c r="S1050" s="4">
        <v>0.018823</v>
      </c>
      <c r="T1050" s="4">
        <v>-0.018563</v>
      </c>
      <c r="U1050" s="4">
        <v>0.003628</v>
      </c>
      <c r="V1050" s="4">
        <v>0.00480394045131782</v>
      </c>
      <c r="W1050" s="4">
        <v>-3.289910619408E-4</v>
      </c>
      <c r="X1050" s="4">
        <v>-0.0045870936486638</v>
      </c>
      <c r="Y1050" s="4">
        <v>0.0041638907395069</v>
      </c>
      <c r="Z1050" s="4">
        <v>0.0040894314288426</v>
      </c>
      <c r="AA1050" s="4">
        <v>0.0031170461264051</v>
      </c>
      <c r="AB1050" s="4">
        <v>-0.0045956190945583</v>
      </c>
      <c r="AC1050" s="4">
        <v>-0.0079050735460655</v>
      </c>
      <c r="AD1050" s="4">
        <v>0.0048899380570854</v>
      </c>
      <c r="AE1050" s="4">
        <v>0.0034547621028728</v>
      </c>
      <c r="AF1050" s="4">
        <v>0.0040584056824022</v>
      </c>
      <c r="AG1050" s="4">
        <v>-0.0139371757788819</v>
      </c>
      <c r="AH1050" s="4">
        <v>0.0027370381329718</v>
      </c>
      <c r="AI1050" s="4">
        <v>-0.0010251058854229</v>
      </c>
      <c r="AJ1050" s="4">
        <v>-0.001193</v>
      </c>
      <c r="AK1050" s="4">
        <f>Weights!E1106</f>
        <v>0.00196172466</v>
      </c>
      <c r="AL1050" s="5">
        <v>0.00898210733215809</v>
      </c>
      <c r="AM1050" s="5">
        <v>0.0091851611559508</v>
      </c>
      <c r="AN1050" s="5">
        <v>0.00618430310589523</v>
      </c>
      <c r="AO1050" s="5">
        <v>0.00576045393095214</v>
      </c>
      <c r="AP1050" s="6">
        <f t="shared" si="3"/>
        <v>1.679977438</v>
      </c>
      <c r="AQ1050" s="4">
        <f t="shared" si="4"/>
        <v>1.588118439</v>
      </c>
      <c r="AR1050" s="7">
        <f t="shared" si="5"/>
        <v>1.538676425</v>
      </c>
      <c r="AS1050" s="7">
        <f t="shared" ref="AS1050:AU1050" si="1052">AS1049*(1+AM1050)</f>
        <v>1.663007457</v>
      </c>
      <c r="AT1050" s="5">
        <f t="shared" si="1052"/>
        <v>1.440107148</v>
      </c>
      <c r="AU1050" s="5">
        <f t="shared" si="1052"/>
        <v>1.425724177</v>
      </c>
    </row>
    <row r="1051" ht="15.75" customHeight="1">
      <c r="A1051" s="3">
        <v>45356.0</v>
      </c>
      <c r="B1051" s="4">
        <v>-0.00866</v>
      </c>
      <c r="C1051" s="4">
        <v>9.92E-4</v>
      </c>
      <c r="D1051" s="4">
        <v>-0.013288</v>
      </c>
      <c r="E1051" s="4">
        <v>-0.020137</v>
      </c>
      <c r="F1051" s="4">
        <v>-0.004849</v>
      </c>
      <c r="G1051" s="4">
        <v>8.13E-4</v>
      </c>
      <c r="H1051" s="4">
        <v>-0.001504</v>
      </c>
      <c r="I1051" s="4">
        <v>0.001728</v>
      </c>
      <c r="J1051" s="4">
        <v>5.13E-4</v>
      </c>
      <c r="K1051" s="4">
        <v>0.002708</v>
      </c>
      <c r="L1051" s="4">
        <v>0.008026</v>
      </c>
      <c r="M1051" s="4">
        <v>0.002919</v>
      </c>
      <c r="N1051" s="4">
        <v>0.008266</v>
      </c>
      <c r="O1051" s="4">
        <v>-0.017098</v>
      </c>
      <c r="P1051" s="4">
        <v>-0.004182</v>
      </c>
      <c r="Q1051" s="4">
        <v>0.023611</v>
      </c>
      <c r="R1051" s="4">
        <v>-0.031315</v>
      </c>
      <c r="S1051" s="4">
        <v>-9.35E-4</v>
      </c>
      <c r="T1051" s="4">
        <v>-0.01261</v>
      </c>
      <c r="U1051" s="4">
        <v>0.008916</v>
      </c>
      <c r="V1051" s="4">
        <v>0.0228418857183743</v>
      </c>
      <c r="W1051" s="4">
        <v>0.0091048806221303</v>
      </c>
      <c r="X1051" s="4">
        <v>0.0023041160202943</v>
      </c>
      <c r="Y1051" s="4">
        <v>0.0021634031011761</v>
      </c>
      <c r="Z1051" s="4">
        <v>-0.0218791577453354</v>
      </c>
      <c r="AA1051" s="4">
        <v>-0.0077684815586936</v>
      </c>
      <c r="AB1051" s="4">
        <v>-0.003462627236765</v>
      </c>
      <c r="AC1051" s="4">
        <v>0.0</v>
      </c>
      <c r="AD1051" s="4">
        <v>0.0012166863223233</v>
      </c>
      <c r="AE1051" s="4">
        <v>-0.0043818150976562</v>
      </c>
      <c r="AF1051" s="4">
        <v>-0.0129344972413411</v>
      </c>
      <c r="AG1051" s="4">
        <v>-0.0039122232494674</v>
      </c>
      <c r="AH1051" s="4">
        <v>-0.0131514166144965</v>
      </c>
      <c r="AI1051" s="4">
        <v>0.0015394942009157</v>
      </c>
      <c r="AJ1051" s="4">
        <v>-0.010193</v>
      </c>
      <c r="AK1051" s="4">
        <f>Weights!E1107</f>
        <v>-0.001546090474</v>
      </c>
      <c r="AL1051" s="5">
        <v>-0.00120109118083266</v>
      </c>
      <c r="AM1051" s="5">
        <v>-9.80702998884974E-4</v>
      </c>
      <c r="AN1051" s="5">
        <v>0.00860483377316878</v>
      </c>
      <c r="AO1051" s="5">
        <v>0.0087054255774881</v>
      </c>
      <c r="AP1051" s="6">
        <f t="shared" si="3"/>
        <v>1.67738004</v>
      </c>
      <c r="AQ1051" s="4">
        <f t="shared" si="4"/>
        <v>1.571930747</v>
      </c>
      <c r="AR1051" s="7">
        <f t="shared" si="5"/>
        <v>1.536828334</v>
      </c>
      <c r="AS1051" s="7">
        <f t="shared" ref="AS1051:AU1051" si="1053">AS1050*(1+AM1051)</f>
        <v>1.66137654</v>
      </c>
      <c r="AT1051" s="5">
        <f t="shared" si="1053"/>
        <v>1.452499031</v>
      </c>
      <c r="AU1051" s="5">
        <f t="shared" si="1053"/>
        <v>1.438135713</v>
      </c>
    </row>
    <row r="1052" ht="15.75" customHeight="1">
      <c r="A1052" s="3">
        <v>45357.0</v>
      </c>
      <c r="B1052" s="4">
        <v>0.01922</v>
      </c>
      <c r="C1052" s="4">
        <v>-0.010409</v>
      </c>
      <c r="D1052" s="4">
        <v>0.007761</v>
      </c>
      <c r="E1052" s="4">
        <v>0.005925</v>
      </c>
      <c r="F1052" s="4">
        <v>5.04E-4</v>
      </c>
      <c r="G1052" s="4">
        <v>-0.003938</v>
      </c>
      <c r="H1052" s="4">
        <v>0.001569</v>
      </c>
      <c r="I1052" s="4">
        <v>0.007763</v>
      </c>
      <c r="J1052" s="4">
        <v>0.010764</v>
      </c>
      <c r="K1052" s="4">
        <v>0.019581</v>
      </c>
      <c r="L1052" s="4">
        <v>0.002756</v>
      </c>
      <c r="M1052" s="4">
        <v>-0.004158</v>
      </c>
      <c r="N1052" s="4">
        <v>0.010807</v>
      </c>
      <c r="O1052" s="4">
        <v>0.037437</v>
      </c>
      <c r="P1052" s="4">
        <v>0.008398</v>
      </c>
      <c r="Q1052" s="4">
        <v>0.023066</v>
      </c>
      <c r="R1052" s="4">
        <v>0.027478</v>
      </c>
      <c r="S1052" s="4">
        <v>0.026217</v>
      </c>
      <c r="T1052" s="4">
        <v>-8.12E-4</v>
      </c>
      <c r="U1052" s="4">
        <v>0.003344</v>
      </c>
      <c r="V1052" s="4">
        <v>0.011685259523541</v>
      </c>
      <c r="W1052" s="4">
        <v>0.0034785868206197</v>
      </c>
      <c r="X1052" s="4">
        <v>0.0</v>
      </c>
      <c r="Y1052" s="4">
        <v>0.0147518270141515</v>
      </c>
      <c r="Z1052" s="4">
        <v>0.0052289664419484</v>
      </c>
      <c r="AA1052" s="4">
        <v>3.914814355403E-4</v>
      </c>
      <c r="AB1052" s="4">
        <v>-0.0013896780103253</v>
      </c>
      <c r="AC1052" s="4">
        <v>0.0</v>
      </c>
      <c r="AD1052" s="4">
        <v>0.0</v>
      </c>
      <c r="AE1052" s="4">
        <v>0.0015718608491632</v>
      </c>
      <c r="AF1052" s="4">
        <v>0.0087359716282744</v>
      </c>
      <c r="AG1052" s="4">
        <v>-0.0300265962790093</v>
      </c>
      <c r="AH1052" s="4">
        <v>-0.006789024496325</v>
      </c>
      <c r="AI1052" s="4">
        <v>5.120331386943E-4</v>
      </c>
      <c r="AJ1052" s="4">
        <v>0.005141</v>
      </c>
      <c r="AK1052" s="4">
        <f>Weights!E1108</f>
        <v>0.00401662312</v>
      </c>
      <c r="AL1052" s="5">
        <v>-0.0077808738344548</v>
      </c>
      <c r="AM1052" s="5">
        <v>-0.0106027698098393</v>
      </c>
      <c r="AN1052" s="5">
        <v>-0.00243762627370303</v>
      </c>
      <c r="AO1052" s="5">
        <v>-0.00136265927265066</v>
      </c>
      <c r="AP1052" s="6">
        <f t="shared" si="3"/>
        <v>1.684117444</v>
      </c>
      <c r="AQ1052" s="4">
        <f t="shared" si="4"/>
        <v>1.580012043</v>
      </c>
      <c r="AR1052" s="7">
        <f t="shared" si="5"/>
        <v>1.524870467</v>
      </c>
      <c r="AS1052" s="7">
        <f t="shared" ref="AS1052:AU1052" si="1054">AS1051*(1+AM1052)</f>
        <v>1.643761347</v>
      </c>
      <c r="AT1052" s="5">
        <f t="shared" si="1054"/>
        <v>1.448958381</v>
      </c>
      <c r="AU1052" s="5">
        <f t="shared" si="1054"/>
        <v>1.436176024</v>
      </c>
    </row>
    <row r="1053" ht="15.75" customHeight="1">
      <c r="A1053" s="3">
        <v>45358.0</v>
      </c>
      <c r="B1053" s="4">
        <v>0.009143</v>
      </c>
      <c r="C1053" s="4">
        <v>-0.010018</v>
      </c>
      <c r="D1053" s="4">
        <v>0.006115</v>
      </c>
      <c r="E1053" s="4">
        <v>6.75E-4</v>
      </c>
      <c r="F1053" s="4">
        <v>-0.001847</v>
      </c>
      <c r="G1053" s="4">
        <v>-0.00295</v>
      </c>
      <c r="H1053" s="4">
        <v>0.00658</v>
      </c>
      <c r="I1053" s="4">
        <v>0.018545</v>
      </c>
      <c r="J1053" s="4">
        <v>0.020791</v>
      </c>
      <c r="K1053" s="4">
        <v>0.006622</v>
      </c>
      <c r="L1053" s="4">
        <v>0.011911</v>
      </c>
      <c r="M1053" s="4">
        <v>4.17E-4</v>
      </c>
      <c r="N1053" s="4">
        <v>0.016221</v>
      </c>
      <c r="O1053" s="4">
        <v>0.045149</v>
      </c>
      <c r="P1053" s="4">
        <v>0.008031</v>
      </c>
      <c r="Q1053" s="4">
        <v>0.02321</v>
      </c>
      <c r="R1053" s="4">
        <v>0.043786</v>
      </c>
      <c r="S1053" s="4">
        <v>0.009352</v>
      </c>
      <c r="T1053" s="4">
        <v>0.009532</v>
      </c>
      <c r="U1053" s="4">
        <v>3.57E-4</v>
      </c>
      <c r="V1053" s="4">
        <v>-0.00333671880103036</v>
      </c>
      <c r="W1053" s="4">
        <v>-0.0115913152800585</v>
      </c>
      <c r="X1053" s="4">
        <v>0.0185184478984901</v>
      </c>
      <c r="Y1053" s="4">
        <v>-0.0036049835333858</v>
      </c>
      <c r="Z1053" s="4">
        <v>0.0019266322856865</v>
      </c>
      <c r="AA1053" s="4">
        <v>0.0054782701031568</v>
      </c>
      <c r="AB1053" s="4">
        <v>0.0</v>
      </c>
      <c r="AC1053" s="4">
        <v>-0.0119522920480068</v>
      </c>
      <c r="AD1053" s="4">
        <v>0.0060902385404575</v>
      </c>
      <c r="AE1053" s="4">
        <v>0.009729924031061</v>
      </c>
      <c r="AF1053" s="4">
        <v>-0.00514205191854</v>
      </c>
      <c r="AG1053" s="4">
        <v>0.0</v>
      </c>
      <c r="AH1053" s="4">
        <v>0.0</v>
      </c>
      <c r="AI1053" s="4">
        <v>0.002048215024855</v>
      </c>
      <c r="AJ1053" s="4">
        <v>0.010304</v>
      </c>
      <c r="AK1053" s="4">
        <f>Weights!E1109</f>
        <v>0.006299485928</v>
      </c>
      <c r="AL1053" s="5">
        <v>0.007485456080488</v>
      </c>
      <c r="AM1053" s="5">
        <v>0.00591387971561485</v>
      </c>
      <c r="AN1053" s="5">
        <v>0.00152721673340328</v>
      </c>
      <c r="AO1053" s="5">
        <v>4.54959503925822E-4</v>
      </c>
      <c r="AP1053" s="6">
        <f t="shared" si="3"/>
        <v>1.694726518</v>
      </c>
      <c r="AQ1053" s="4">
        <f t="shared" si="4"/>
        <v>1.596292487</v>
      </c>
      <c r="AR1053" s="7">
        <f t="shared" si="5"/>
        <v>1.536284817</v>
      </c>
      <c r="AS1053" s="7">
        <f t="shared" ref="AS1053:AU1053" si="1055">AS1052*(1+AM1053)</f>
        <v>1.653482354</v>
      </c>
      <c r="AT1053" s="5">
        <f t="shared" si="1055"/>
        <v>1.451171255</v>
      </c>
      <c r="AU1053" s="5">
        <f t="shared" si="1055"/>
        <v>1.436829426</v>
      </c>
    </row>
    <row r="1054" ht="15.75" customHeight="1">
      <c r="A1054" s="3">
        <v>45359.0</v>
      </c>
      <c r="B1054" s="4">
        <v>-0.004002</v>
      </c>
      <c r="C1054" s="4">
        <v>-5.06E-4</v>
      </c>
      <c r="D1054" s="4">
        <v>-0.005178</v>
      </c>
      <c r="E1054" s="4">
        <v>-3.68E-4</v>
      </c>
      <c r="F1054" s="4">
        <v>0.001346</v>
      </c>
      <c r="G1054" s="4">
        <v>0.004091</v>
      </c>
      <c r="H1054" s="4">
        <v>-0.001681</v>
      </c>
      <c r="I1054" s="4">
        <v>0.003922</v>
      </c>
      <c r="J1054" s="4">
        <v>-0.005216</v>
      </c>
      <c r="K1054" s="4">
        <v>-0.00773</v>
      </c>
      <c r="L1054" s="4">
        <v>-7.04E-4</v>
      </c>
      <c r="M1054" s="4">
        <v>-0.009182</v>
      </c>
      <c r="N1054" s="4">
        <v>-0.002721</v>
      </c>
      <c r="O1054" s="4">
        <v>-0.021599</v>
      </c>
      <c r="P1054" s="4">
        <v>5.9E-4</v>
      </c>
      <c r="Q1054" s="4">
        <v>-0.010369</v>
      </c>
      <c r="R1054" s="4">
        <v>0.001005</v>
      </c>
      <c r="S1054" s="4">
        <v>0.010395</v>
      </c>
      <c r="T1054" s="4">
        <v>-0.003165</v>
      </c>
      <c r="U1054" s="4">
        <v>-0.007734</v>
      </c>
      <c r="V1054" s="4">
        <v>0.00669584243149801</v>
      </c>
      <c r="W1054" s="4">
        <v>-0.0178650505467934</v>
      </c>
      <c r="X1054" s="4">
        <v>-0.0090908750532203</v>
      </c>
      <c r="Y1054" s="4">
        <v>0.0012454830441319</v>
      </c>
      <c r="Z1054" s="4">
        <v>0.0041342535301305</v>
      </c>
      <c r="AA1054" s="4">
        <v>-0.0075889603830213</v>
      </c>
      <c r="AB1054" s="4">
        <v>0.0016236710343122</v>
      </c>
      <c r="AC1054" s="4">
        <v>-0.0010080057974269</v>
      </c>
      <c r="AD1054" s="4">
        <v>-0.009685255424746</v>
      </c>
      <c r="AE1054" s="4">
        <v>-0.001554149665784</v>
      </c>
      <c r="AF1054" s="4">
        <v>-0.0108814296820903</v>
      </c>
      <c r="AG1054" s="4">
        <v>0.0112328977116271</v>
      </c>
      <c r="AH1054" s="4">
        <v>0.0293670723182692</v>
      </c>
      <c r="AI1054" s="4">
        <v>-0.0076649783370118</v>
      </c>
      <c r="AJ1054" s="4">
        <v>-0.006529</v>
      </c>
      <c r="AK1054" s="4">
        <f>Weights!E1110</f>
        <v>-0.0008648110052</v>
      </c>
      <c r="AL1054" s="5">
        <v>0.0107557380942646</v>
      </c>
      <c r="AM1054" s="5">
        <v>0.00974590203583303</v>
      </c>
      <c r="AN1054" s="5">
        <v>0.00213480707175151</v>
      </c>
      <c r="AO1054" s="5">
        <v>0.0029550376733356</v>
      </c>
      <c r="AP1054" s="6">
        <f t="shared" si="3"/>
        <v>1.6932609</v>
      </c>
      <c r="AQ1054" s="4">
        <f t="shared" si="4"/>
        <v>1.585870294</v>
      </c>
      <c r="AR1054" s="7">
        <f t="shared" si="5"/>
        <v>1.552808695</v>
      </c>
      <c r="AS1054" s="7">
        <f t="shared" ref="AS1054:AU1054" si="1056">AS1053*(1+AM1054)</f>
        <v>1.669597031</v>
      </c>
      <c r="AT1054" s="5">
        <f t="shared" si="1056"/>
        <v>1.454269225</v>
      </c>
      <c r="AU1054" s="5">
        <f t="shared" si="1056"/>
        <v>1.441075311</v>
      </c>
    </row>
    <row r="1055" ht="15.75" customHeight="1">
      <c r="A1055" s="3">
        <v>45362.0</v>
      </c>
      <c r="B1055" s="4">
        <v>-5.78E-4</v>
      </c>
      <c r="C1055" s="4">
        <v>0.015692</v>
      </c>
      <c r="D1055" s="4">
        <v>0.002489</v>
      </c>
      <c r="E1055" s="4">
        <v>0.010304</v>
      </c>
      <c r="F1055" s="4">
        <v>0.012097</v>
      </c>
      <c r="G1055" s="4">
        <v>0.01072</v>
      </c>
      <c r="H1055" s="4">
        <v>0.007484</v>
      </c>
      <c r="I1055" s="4">
        <v>0.005022</v>
      </c>
      <c r="J1055" s="4">
        <v>0.0</v>
      </c>
      <c r="K1055" s="4">
        <v>0.002652</v>
      </c>
      <c r="L1055" s="4">
        <v>0.007047</v>
      </c>
      <c r="M1055" s="4">
        <v>0.002949</v>
      </c>
      <c r="N1055" s="4">
        <v>-9.09E-4</v>
      </c>
      <c r="O1055" s="4">
        <v>0.006952</v>
      </c>
      <c r="P1055" s="4">
        <v>0.039222</v>
      </c>
      <c r="Q1055" s="4">
        <v>0.034054</v>
      </c>
      <c r="R1055" s="4">
        <v>0.014304</v>
      </c>
      <c r="S1055" s="4">
        <v>0.005144</v>
      </c>
      <c r="T1055" s="4">
        <v>-0.005382</v>
      </c>
      <c r="U1055" s="4">
        <v>0.005995</v>
      </c>
      <c r="V1055" s="4">
        <v>0.00588389356610341</v>
      </c>
      <c r="W1055" s="4">
        <v>-0.0235464130569635</v>
      </c>
      <c r="X1055" s="4">
        <v>-0.0057339570250104</v>
      </c>
      <c r="Y1055" s="4">
        <v>-0.0174740244464221</v>
      </c>
      <c r="Z1055" s="4">
        <v>-0.0169475880555777</v>
      </c>
      <c r="AA1055" s="4">
        <v>-0.0235294414816273</v>
      </c>
      <c r="AB1055" s="4">
        <v>-0.0044002146428077</v>
      </c>
      <c r="AC1055" s="4">
        <v>-0.0110998988470112</v>
      </c>
      <c r="AD1055" s="4">
        <v>0.0171149849715366</v>
      </c>
      <c r="AE1055" s="4">
        <v>-0.0077833302901761</v>
      </c>
      <c r="AF1055" s="4">
        <v>-0.0099009568525181</v>
      </c>
      <c r="AG1055" s="4">
        <v>-0.0055541126468326</v>
      </c>
      <c r="AH1055" s="4">
        <v>0.0098376689628967</v>
      </c>
      <c r="AI1055" s="4">
        <v>-0.0046342003198001</v>
      </c>
      <c r="AJ1055" s="4">
        <v>-0.001122</v>
      </c>
      <c r="AK1055" s="4">
        <f>Weights!E1111</f>
        <v>0.0007677918107</v>
      </c>
      <c r="AL1055" s="5">
        <v>-0.00532058740291185</v>
      </c>
      <c r="AM1055" s="5">
        <v>-0.00578337631318881</v>
      </c>
      <c r="AN1055" s="5">
        <v>0.009433877570026</v>
      </c>
      <c r="AO1055" s="5">
        <v>0.00906628263314379</v>
      </c>
      <c r="AP1055" s="6">
        <f t="shared" si="3"/>
        <v>1.694560972</v>
      </c>
      <c r="AQ1055" s="4">
        <f t="shared" si="4"/>
        <v>1.584090947</v>
      </c>
      <c r="AR1055" s="7">
        <f t="shared" si="5"/>
        <v>1.54454684</v>
      </c>
      <c r="AS1055" s="7">
        <f t="shared" ref="AS1055:AU1055" si="1057">AS1054*(1+AM1055)</f>
        <v>1.659941123</v>
      </c>
      <c r="AT1055" s="5">
        <f t="shared" si="1057"/>
        <v>1.467988623</v>
      </c>
      <c r="AU1055" s="5">
        <f t="shared" si="1057"/>
        <v>1.454140507</v>
      </c>
    </row>
    <row r="1056" ht="15.75" customHeight="1">
      <c r="A1056" s="3">
        <v>45363.0</v>
      </c>
      <c r="B1056" s="4">
        <v>-0.009827</v>
      </c>
      <c r="C1056" s="4">
        <v>0.0</v>
      </c>
      <c r="D1056" s="4">
        <v>-0.014673</v>
      </c>
      <c r="E1056" s="4">
        <v>-0.001153</v>
      </c>
      <c r="F1056" s="4">
        <v>0.004316</v>
      </c>
      <c r="G1056" s="4">
        <v>0.009366</v>
      </c>
      <c r="H1056" s="4">
        <v>0.002352</v>
      </c>
      <c r="I1056" s="4">
        <v>0.001943</v>
      </c>
      <c r="J1056" s="4">
        <v>-0.00799</v>
      </c>
      <c r="K1056" s="4">
        <v>-0.001157</v>
      </c>
      <c r="L1056" s="4">
        <v>0.005698</v>
      </c>
      <c r="M1056" s="4">
        <v>0.0042</v>
      </c>
      <c r="N1056" s="4">
        <v>-0.00182</v>
      </c>
      <c r="O1056" s="4">
        <v>0.021238</v>
      </c>
      <c r="P1056" s="4">
        <v>-0.038593</v>
      </c>
      <c r="Q1056" s="4">
        <v>-0.051932</v>
      </c>
      <c r="R1056" s="4">
        <v>-0.001484</v>
      </c>
      <c r="S1056" s="4">
        <v>-0.006676</v>
      </c>
      <c r="T1056" s="4">
        <v>-0.010443</v>
      </c>
      <c r="U1056" s="4">
        <v>0.005721</v>
      </c>
      <c r="V1056" s="4">
        <v>-0.00534083929941442</v>
      </c>
      <c r="W1056" s="4">
        <v>0.0209142817750949</v>
      </c>
      <c r="X1056" s="4">
        <v>-0.0184544615767985</v>
      </c>
      <c r="Y1056" s="4">
        <v>0.0148909791724718</v>
      </c>
      <c r="Z1056" s="4">
        <v>0.0150969856231331</v>
      </c>
      <c r="AA1056" s="4">
        <v>-0.0108434667918568</v>
      </c>
      <c r="AB1056" s="4">
        <v>-0.0041870483097319</v>
      </c>
      <c r="AC1056" s="4">
        <v>-0.0091837104365468</v>
      </c>
      <c r="AD1056" s="4">
        <v>-0.0084135452285583</v>
      </c>
      <c r="AE1056" s="4">
        <v>0.0172574893444741</v>
      </c>
      <c r="AF1056" s="4">
        <v>0.0055555743970805</v>
      </c>
      <c r="AG1056" s="4">
        <v>-0.0403947974692663</v>
      </c>
      <c r="AH1056" s="4">
        <v>0.0092547752814859</v>
      </c>
      <c r="AI1056" s="4">
        <v>-0.0010348592305862</v>
      </c>
      <c r="AJ1056" s="4">
        <v>0.011202</v>
      </c>
      <c r="AK1056" s="4">
        <f>Weights!E1112</f>
        <v>-0.003636284035</v>
      </c>
      <c r="AL1056" s="5">
        <v>-0.00288579083772311</v>
      </c>
      <c r="AM1056" s="5">
        <v>-0.00161133859305051</v>
      </c>
      <c r="AN1056" s="5">
        <v>-0.0018088549938402</v>
      </c>
      <c r="AO1056" s="5">
        <v>-0.00247087538277557</v>
      </c>
      <c r="AP1056" s="6">
        <f t="shared" si="3"/>
        <v>1.688399067</v>
      </c>
      <c r="AQ1056" s="4">
        <f t="shared" si="4"/>
        <v>1.601835934</v>
      </c>
      <c r="AR1056" s="7">
        <f t="shared" si="5"/>
        <v>1.540089601</v>
      </c>
      <c r="AS1056" s="7">
        <f t="shared" ref="AS1056:AU1056" si="1058">AS1055*(1+AM1056)</f>
        <v>1.657266396</v>
      </c>
      <c r="AT1056" s="5">
        <f t="shared" si="1058"/>
        <v>1.465333244</v>
      </c>
      <c r="AU1056" s="5">
        <f t="shared" si="1058"/>
        <v>1.450547507</v>
      </c>
    </row>
    <row r="1057" ht="15.75" customHeight="1">
      <c r="A1057" s="3">
        <v>45364.0</v>
      </c>
      <c r="B1057" s="4">
        <v>-0.011675</v>
      </c>
      <c r="C1057" s="4">
        <v>0.003239</v>
      </c>
      <c r="D1057" s="4">
        <v>-0.005957</v>
      </c>
      <c r="E1057" s="4">
        <v>0.004619</v>
      </c>
      <c r="F1057" s="4">
        <v>0.010248</v>
      </c>
      <c r="G1057" s="4">
        <v>-0.010077</v>
      </c>
      <c r="H1057" s="4">
        <v>0.002285</v>
      </c>
      <c r="I1057" s="4">
        <v>0.001385</v>
      </c>
      <c r="J1057" s="4">
        <v>0.0</v>
      </c>
      <c r="K1057" s="4">
        <v>0.006455</v>
      </c>
      <c r="L1057" s="4">
        <v>0.004771</v>
      </c>
      <c r="M1057" s="4">
        <v>0.015893</v>
      </c>
      <c r="N1057" s="4">
        <v>0.006201</v>
      </c>
      <c r="O1057" s="4">
        <v>-0.00676</v>
      </c>
      <c r="P1057" s="4">
        <v>0.014463</v>
      </c>
      <c r="Q1057" s="4">
        <v>0.0334</v>
      </c>
      <c r="R1057" s="4">
        <v>0.07557</v>
      </c>
      <c r="S1057" s="4">
        <v>0.021281</v>
      </c>
      <c r="T1057" s="4">
        <v>0.006616</v>
      </c>
      <c r="U1057" s="4">
        <v>0.006281</v>
      </c>
      <c r="V1057" s="4">
        <v>-0.00306820623586345</v>
      </c>
      <c r="W1057" s="4">
        <v>-0.0072764228059006</v>
      </c>
      <c r="X1057" s="4">
        <v>0.0</v>
      </c>
      <c r="Y1057" s="4">
        <v>0.0065344933658868</v>
      </c>
      <c r="Z1057" s="4">
        <v>0.0118018392451861</v>
      </c>
      <c r="AA1057" s="4">
        <v>0.0024361497698108</v>
      </c>
      <c r="AB1057" s="4">
        <v>9.342739099216E-4</v>
      </c>
      <c r="AC1057" s="4">
        <v>0.0</v>
      </c>
      <c r="AD1057" s="4">
        <v>0.0</v>
      </c>
      <c r="AE1057" s="4">
        <v>0.0178903572248203</v>
      </c>
      <c r="AF1057" s="4">
        <v>-0.0102210120841793</v>
      </c>
      <c r="AG1057" s="4">
        <v>6.83144727642304E-5</v>
      </c>
      <c r="AH1057" s="4">
        <v>4.825904960741E-4</v>
      </c>
      <c r="AI1057" s="4">
        <v>5.17913658325E-4</v>
      </c>
      <c r="AJ1057" s="4">
        <v>-0.001925</v>
      </c>
      <c r="AK1057" s="4">
        <f>Weights!E1113</f>
        <v>0.005372931951</v>
      </c>
      <c r="AL1057" s="5">
        <v>0.0105175062180555</v>
      </c>
      <c r="AM1057" s="5">
        <v>0.00988107835745344</v>
      </c>
      <c r="AN1057" s="5">
        <v>0.00151015033194923</v>
      </c>
      <c r="AO1057" s="5">
        <v>0.00180145144039967</v>
      </c>
      <c r="AP1057" s="6">
        <f t="shared" si="3"/>
        <v>1.69747072</v>
      </c>
      <c r="AQ1057" s="4">
        <f t="shared" si="4"/>
        <v>1.5987524</v>
      </c>
      <c r="AR1057" s="7">
        <f t="shared" si="5"/>
        <v>1.556287503</v>
      </c>
      <c r="AS1057" s="7">
        <f t="shared" ref="AS1057:AU1057" si="1059">AS1056*(1+AM1057)</f>
        <v>1.673641975</v>
      </c>
      <c r="AT1057" s="5">
        <f t="shared" si="1059"/>
        <v>1.467546118</v>
      </c>
      <c r="AU1057" s="5">
        <f t="shared" si="1059"/>
        <v>1.453160598</v>
      </c>
    </row>
    <row r="1058" ht="15.75" customHeight="1">
      <c r="A1058" s="3">
        <v>45365.0</v>
      </c>
      <c r="B1058" s="4">
        <v>-0.025399</v>
      </c>
      <c r="C1058" s="4">
        <v>-0.012171</v>
      </c>
      <c r="D1058" s="4">
        <v>-0.018668</v>
      </c>
      <c r="E1058" s="4">
        <v>-0.003146</v>
      </c>
      <c r="F1058" s="4">
        <v>-0.002209</v>
      </c>
      <c r="G1058" s="4">
        <v>-0.011732</v>
      </c>
      <c r="H1058" s="4">
        <v>-0.004929</v>
      </c>
      <c r="I1058" s="4">
        <v>-0.013005</v>
      </c>
      <c r="J1058" s="4">
        <v>-0.008558</v>
      </c>
      <c r="K1058" s="4">
        <v>-0.012498</v>
      </c>
      <c r="L1058" s="4">
        <v>-0.013059</v>
      </c>
      <c r="M1058" s="4">
        <v>-0.003705</v>
      </c>
      <c r="N1058" s="4">
        <v>-0.010694</v>
      </c>
      <c r="O1058" s="4">
        <v>-0.003741</v>
      </c>
      <c r="P1058" s="4">
        <v>-0.004655</v>
      </c>
      <c r="Q1058" s="4">
        <v>-0.029645</v>
      </c>
      <c r="R1058" s="4">
        <v>-0.002073</v>
      </c>
      <c r="S1058" s="4">
        <v>-0.012503</v>
      </c>
      <c r="T1058" s="4">
        <v>-0.010918</v>
      </c>
      <c r="U1058" s="4">
        <v>-0.003474</v>
      </c>
      <c r="V1058" s="4">
        <v>5.12941516336296E-4</v>
      </c>
      <c r="W1058" s="4">
        <v>-0.0126296973855606</v>
      </c>
      <c r="X1058" s="4">
        <v>0.0</v>
      </c>
      <c r="Y1058" s="4">
        <v>-0.0073183564125318</v>
      </c>
      <c r="Z1058" s="4">
        <v>-4.740760943123E-4</v>
      </c>
      <c r="AA1058" s="4">
        <v>-0.0107331343403157</v>
      </c>
      <c r="AB1058" s="4">
        <v>0.0</v>
      </c>
      <c r="AC1058" s="4">
        <v>0.0</v>
      </c>
      <c r="AD1058" s="4">
        <v>0.0</v>
      </c>
      <c r="AE1058" s="4">
        <v>0.0172728347310571</v>
      </c>
      <c r="AF1058" s="4">
        <v>0.0022327734089375</v>
      </c>
      <c r="AG1058" s="4">
        <v>0.009696941964991</v>
      </c>
      <c r="AH1058" s="4">
        <v>-0.0125422206764692</v>
      </c>
      <c r="AI1058" s="4">
        <v>0.001552728881526</v>
      </c>
      <c r="AJ1058" s="4">
        <v>-0.002871</v>
      </c>
      <c r="AK1058" s="4">
        <f>Weights!E1114</f>
        <v>-0.005558273299</v>
      </c>
      <c r="AL1058" s="5">
        <v>-9.08151520007005E-4</v>
      </c>
      <c r="AM1058" s="5">
        <v>-0.00124741304404107</v>
      </c>
      <c r="AN1058" s="5">
        <v>0.00392032802173369</v>
      </c>
      <c r="AO1058" s="5">
        <v>0.00337155867658212</v>
      </c>
      <c r="AP1058" s="6">
        <f t="shared" si="3"/>
        <v>1.688035714</v>
      </c>
      <c r="AQ1058" s="4">
        <f t="shared" si="4"/>
        <v>1.594162382</v>
      </c>
      <c r="AR1058" s="7">
        <f t="shared" si="5"/>
        <v>1.554874158</v>
      </c>
      <c r="AS1058" s="7">
        <f t="shared" ref="AS1058:AU1058" si="1060">AS1057*(1+AM1058)</f>
        <v>1.671554252</v>
      </c>
      <c r="AT1058" s="5">
        <f t="shared" si="1060"/>
        <v>1.47329938</v>
      </c>
      <c r="AU1058" s="5">
        <f t="shared" si="1060"/>
        <v>1.458060014</v>
      </c>
    </row>
    <row r="1059" ht="15.75" customHeight="1">
      <c r="A1059" s="3">
        <v>45366.0</v>
      </c>
      <c r="B1059" s="4">
        <v>0.003636</v>
      </c>
      <c r="C1059" s="4">
        <v>-0.00704</v>
      </c>
      <c r="D1059" s="4">
        <v>0.0</v>
      </c>
      <c r="E1059" s="4">
        <v>-7.28E-4</v>
      </c>
      <c r="F1059" s="4">
        <v>-0.010248</v>
      </c>
      <c r="G1059" s="4">
        <v>-0.00647</v>
      </c>
      <c r="H1059" s="4">
        <v>-7.43E-4</v>
      </c>
      <c r="I1059" s="4">
        <v>-0.004205</v>
      </c>
      <c r="J1059" s="4">
        <v>0.008378</v>
      </c>
      <c r="K1059" s="4">
        <v>1.67E-4</v>
      </c>
      <c r="L1059" s="4">
        <v>-0.00421</v>
      </c>
      <c r="M1059" s="4">
        <v>-0.002066</v>
      </c>
      <c r="N1059" s="4">
        <v>9.16E-4</v>
      </c>
      <c r="O1059" s="4">
        <v>-0.008866</v>
      </c>
      <c r="P1059" s="4">
        <v>-0.009646</v>
      </c>
      <c r="Q1059" s="4">
        <v>-0.007437</v>
      </c>
      <c r="R1059" s="4">
        <v>0.029778</v>
      </c>
      <c r="S1059" s="4">
        <v>-0.013327</v>
      </c>
      <c r="T1059" s="4">
        <v>0.035093</v>
      </c>
      <c r="U1059" s="4">
        <v>0.010045</v>
      </c>
      <c r="V1059" s="4">
        <v>0.0251217494151996</v>
      </c>
      <c r="W1059" s="4">
        <v>0.0219278419773538</v>
      </c>
      <c r="X1059" s="4">
        <v>0.0199296646595861</v>
      </c>
      <c r="Y1059" s="4">
        <v>0.0073723096017812</v>
      </c>
      <c r="Z1059" s="4">
        <v>-0.0029412780734342</v>
      </c>
      <c r="AA1059" s="4">
        <v>-0.0143294648051612</v>
      </c>
      <c r="AB1059" s="4">
        <v>0.0156360459598816</v>
      </c>
      <c r="AC1059" s="4">
        <v>0.0113636354228165</v>
      </c>
      <c r="AD1059" s="4">
        <v>0.010843340191827</v>
      </c>
      <c r="AE1059" s="4">
        <v>0.0157878024439777</v>
      </c>
      <c r="AF1059" s="4">
        <v>-0.004455598476077</v>
      </c>
      <c r="AG1059" s="4">
        <v>0.0158255874980146</v>
      </c>
      <c r="AH1059" s="4">
        <v>0.0117245572309434</v>
      </c>
      <c r="AI1059" s="4">
        <v>5.16843045494E-4</v>
      </c>
      <c r="AJ1059" s="4">
        <v>-0.006483</v>
      </c>
      <c r="AK1059" s="4">
        <f>Weights!E1115</f>
        <v>0.005085371926</v>
      </c>
      <c r="AL1059" s="5">
        <v>-0.00440465092153308</v>
      </c>
      <c r="AM1059" s="5">
        <v>-0.00386405143282186</v>
      </c>
      <c r="AN1059" s="5">
        <v>0.0063082894988542</v>
      </c>
      <c r="AO1059" s="5">
        <v>0.00649634911010954</v>
      </c>
      <c r="AP1059" s="6">
        <f t="shared" si="3"/>
        <v>1.696620003</v>
      </c>
      <c r="AQ1059" s="4">
        <f t="shared" si="4"/>
        <v>1.583827427</v>
      </c>
      <c r="AR1059" s="7">
        <f t="shared" si="5"/>
        <v>1.54802548</v>
      </c>
      <c r="AS1059" s="7">
        <f t="shared" ref="AS1059:AU1059" si="1061">AS1058*(1+AM1059)</f>
        <v>1.665095281</v>
      </c>
      <c r="AT1059" s="5">
        <f t="shared" si="1061"/>
        <v>1.482593379</v>
      </c>
      <c r="AU1059" s="5">
        <f t="shared" si="1061"/>
        <v>1.467532081</v>
      </c>
    </row>
    <row r="1060" ht="15.75" customHeight="1">
      <c r="A1060" s="3">
        <v>45369.0</v>
      </c>
      <c r="B1060" s="4">
        <v>-0.002415</v>
      </c>
      <c r="C1060" s="4">
        <v>0.011142</v>
      </c>
      <c r="D1060" s="4">
        <v>-0.00869</v>
      </c>
      <c r="E1060" s="4">
        <v>0.040083</v>
      </c>
      <c r="F1060" s="4">
        <v>0.004175</v>
      </c>
      <c r="G1060" s="4">
        <v>-0.008977</v>
      </c>
      <c r="H1060" s="4">
        <v>-0.001053</v>
      </c>
      <c r="I1060" s="4">
        <v>0.0</v>
      </c>
      <c r="J1060" s="4">
        <v>-0.003776</v>
      </c>
      <c r="K1060" s="4">
        <v>-0.01332</v>
      </c>
      <c r="L1060" s="4">
        <v>-7.05E-4</v>
      </c>
      <c r="M1060" s="4">
        <v>-0.003313</v>
      </c>
      <c r="N1060" s="4">
        <v>-0.001831</v>
      </c>
      <c r="O1060" s="4">
        <v>0.004788</v>
      </c>
      <c r="P1060" s="4">
        <v>0.015939</v>
      </c>
      <c r="Q1060" s="4">
        <v>-0.018392</v>
      </c>
      <c r="R1060" s="4">
        <v>-0.002914</v>
      </c>
      <c r="S1060" s="4">
        <v>-0.005853</v>
      </c>
      <c r="T1060" s="4">
        <v>0.007003</v>
      </c>
      <c r="U1060" s="4">
        <v>0.004739</v>
      </c>
      <c r="V1060" s="4">
        <v>2.50026856206675E-4</v>
      </c>
      <c r="W1060" s="4">
        <v>0.0397855311000918</v>
      </c>
      <c r="X1060" s="4">
        <v>0.0103448670748826</v>
      </c>
      <c r="Y1060" s="4">
        <v>-0.0180004983797109</v>
      </c>
      <c r="Z1060" s="4">
        <v>0.0033306317543126</v>
      </c>
      <c r="AA1060" s="4">
        <v>0.0022844878699477</v>
      </c>
      <c r="AB1060" s="4">
        <v>0.0073528985653223</v>
      </c>
      <c r="AC1060" s="4">
        <v>0.0</v>
      </c>
      <c r="AD1060" s="4">
        <v>0.0107272201489967</v>
      </c>
      <c r="AE1060" s="4">
        <v>-0.0035192160486511</v>
      </c>
      <c r="AF1060" s="4">
        <v>0.0148251398230481</v>
      </c>
      <c r="AG1060" s="4">
        <v>-0.0121171255572819</v>
      </c>
      <c r="AH1060" s="4">
        <v>0.0086913986501202</v>
      </c>
      <c r="AI1060" s="4">
        <v>-0.0020660968500266</v>
      </c>
      <c r="AJ1060" s="4">
        <v>0.006318</v>
      </c>
      <c r="AK1060" s="4">
        <f>Weights!E1116</f>
        <v>0.001305403681</v>
      </c>
      <c r="AL1060" s="5">
        <v>-0.00463471251860747</v>
      </c>
      <c r="AM1060" s="5">
        <v>-0.00591636177071075</v>
      </c>
      <c r="AN1060" s="5">
        <v>-0.00626874444410652</v>
      </c>
      <c r="AO1060" s="5">
        <v>-0.00578678115910835</v>
      </c>
      <c r="AP1060" s="6">
        <f t="shared" si="3"/>
        <v>1.698834777</v>
      </c>
      <c r="AQ1060" s="4">
        <f t="shared" si="4"/>
        <v>1.593834049</v>
      </c>
      <c r="AR1060" s="7">
        <f t="shared" si="5"/>
        <v>1.540850827</v>
      </c>
      <c r="AS1060" s="7">
        <f t="shared" ref="AS1060:AU1060" si="1062">AS1059*(1+AM1060)</f>
        <v>1.655243975</v>
      </c>
      <c r="AT1060" s="5">
        <f t="shared" si="1062"/>
        <v>1.47329938</v>
      </c>
      <c r="AU1060" s="5">
        <f t="shared" si="1062"/>
        <v>1.459039794</v>
      </c>
    </row>
    <row r="1061" ht="15.75" customHeight="1">
      <c r="A1061" s="3">
        <v>45370.0</v>
      </c>
      <c r="B1061" s="4">
        <v>-0.002421</v>
      </c>
      <c r="C1061" s="4">
        <v>0.001002</v>
      </c>
      <c r="D1061" s="4">
        <v>-0.00616</v>
      </c>
      <c r="E1061" s="4">
        <v>0.003153</v>
      </c>
      <c r="F1061" s="4">
        <v>0.001663</v>
      </c>
      <c r="G1061" s="4">
        <v>-0.003508</v>
      </c>
      <c r="H1061" s="4">
        <v>0.003846</v>
      </c>
      <c r="I1061" s="4">
        <v>0.006475</v>
      </c>
      <c r="J1061" s="4">
        <v>-0.005307</v>
      </c>
      <c r="K1061" s="4">
        <v>0.004725</v>
      </c>
      <c r="L1061" s="4">
        <v>-0.004634</v>
      </c>
      <c r="M1061" s="4">
        <v>0.005816</v>
      </c>
      <c r="N1061" s="4">
        <v>0.001467</v>
      </c>
      <c r="O1061" s="4">
        <v>0.010788</v>
      </c>
      <c r="P1061" s="4">
        <v>-0.024985</v>
      </c>
      <c r="Q1061" s="4">
        <v>-0.012491</v>
      </c>
      <c r="R1061" s="4">
        <v>-0.003372</v>
      </c>
      <c r="S1061" s="4">
        <v>-0.018116</v>
      </c>
      <c r="T1061" s="4">
        <v>0.006059</v>
      </c>
      <c r="U1061" s="4">
        <v>0.002271</v>
      </c>
      <c r="V1061" s="4">
        <v>-0.00200002014856826</v>
      </c>
      <c r="W1061" s="4">
        <v>-0.0191316701225754</v>
      </c>
      <c r="X1061" s="4">
        <v>0.0068258453590195</v>
      </c>
      <c r="Y1061" s="4">
        <v>0.0016827690664376</v>
      </c>
      <c r="Z1061" s="4">
        <v>0.0066387866815422</v>
      </c>
      <c r="AA1061" s="4">
        <v>0.0140902956882584</v>
      </c>
      <c r="AB1061" s="4">
        <v>0.0059306056948498</v>
      </c>
      <c r="AC1061" s="4">
        <v>-0.0020429454040113</v>
      </c>
      <c r="AD1061" s="4">
        <v>0.0058962291693429</v>
      </c>
      <c r="AE1061" s="4">
        <v>-0.0082400828914946</v>
      </c>
      <c r="AF1061" s="4">
        <v>8.269215392397E-4</v>
      </c>
      <c r="AG1061" s="4">
        <v>-0.0296535577947023</v>
      </c>
      <c r="AH1061" s="4">
        <v>-0.011010053640186</v>
      </c>
      <c r="AI1061" s="4">
        <v>7.791698261889E-4</v>
      </c>
      <c r="AJ1061" s="4">
        <v>0.005649</v>
      </c>
      <c r="AK1061" s="4">
        <f>Weights!E1117</f>
        <v>-0.002103865262</v>
      </c>
      <c r="AL1061" s="5">
        <v>0.00303356768693663</v>
      </c>
      <c r="AM1061" s="5">
        <v>0.00508437981098874</v>
      </c>
      <c r="AN1061" s="5">
        <v>0.0</v>
      </c>
      <c r="AO1061" s="5">
        <v>8.3446766798656E-4</v>
      </c>
      <c r="AP1061" s="6">
        <f t="shared" si="3"/>
        <v>1.695260658</v>
      </c>
      <c r="AQ1061" s="4">
        <f t="shared" si="4"/>
        <v>1.602837617</v>
      </c>
      <c r="AR1061" s="7">
        <f t="shared" si="5"/>
        <v>1.545525102</v>
      </c>
      <c r="AS1061" s="7">
        <f t="shared" ref="AS1061:AU1061" si="1063">AS1060*(1+AM1061)</f>
        <v>1.663659864</v>
      </c>
      <c r="AT1061" s="5">
        <f t="shared" si="1063"/>
        <v>1.47329938</v>
      </c>
      <c r="AU1061" s="5">
        <f t="shared" si="1063"/>
        <v>1.460257315</v>
      </c>
    </row>
    <row r="1062" ht="15.75" customHeight="1">
      <c r="A1062" s="3">
        <v>45371.0</v>
      </c>
      <c r="B1062" s="4">
        <v>0.012743</v>
      </c>
      <c r="C1062" s="4">
        <v>0.003753</v>
      </c>
      <c r="D1062" s="4">
        <v>0.023361</v>
      </c>
      <c r="E1062" s="4">
        <v>3.49E-4</v>
      </c>
      <c r="F1062" s="4">
        <v>0.008634</v>
      </c>
      <c r="G1062" s="4">
        <v>-0.002881</v>
      </c>
      <c r="H1062" s="4">
        <v>9.89E-4</v>
      </c>
      <c r="I1062" s="4">
        <v>0.00951</v>
      </c>
      <c r="J1062" s="4">
        <v>0.007876</v>
      </c>
      <c r="K1062" s="4">
        <v>0.009909</v>
      </c>
      <c r="L1062" s="4">
        <v>0.016092</v>
      </c>
      <c r="M1062" s="4">
        <v>0.007022</v>
      </c>
      <c r="N1062" s="4">
        <v>0.008607</v>
      </c>
      <c r="O1062" s="4">
        <v>-0.003316</v>
      </c>
      <c r="P1062" s="4">
        <v>0.02205</v>
      </c>
      <c r="Q1062" s="4">
        <v>0.063949</v>
      </c>
      <c r="R1062" s="4">
        <v>0.037898</v>
      </c>
      <c r="S1062" s="4">
        <v>0.041052</v>
      </c>
      <c r="T1062" s="4">
        <v>0.013354</v>
      </c>
      <c r="U1062" s="4">
        <v>-0.010225</v>
      </c>
      <c r="V1062" s="4">
        <v>-0.0105210106366382</v>
      </c>
      <c r="W1062" s="4">
        <v>0.0345168306669749</v>
      </c>
      <c r="X1062" s="4">
        <v>0.0</v>
      </c>
      <c r="Y1062" s="4">
        <v>-1.199891483167E-4</v>
      </c>
      <c r="Z1062" s="4">
        <v>-0.0046165099375933</v>
      </c>
      <c r="AA1062" s="4">
        <v>-0.0020433988537097</v>
      </c>
      <c r="AB1062" s="4">
        <v>0.0065760084893888</v>
      </c>
      <c r="AC1062" s="4">
        <v>0.0</v>
      </c>
      <c r="AD1062" s="4">
        <v>0.0</v>
      </c>
      <c r="AE1062" s="4">
        <v>-0.0017803778859594</v>
      </c>
      <c r="AF1062" s="4">
        <v>8.262383049888E-4</v>
      </c>
      <c r="AG1062" s="4">
        <v>0.0140296849304548</v>
      </c>
      <c r="AH1062" s="4">
        <v>0.0067763499846285</v>
      </c>
      <c r="AI1062" s="4">
        <v>-0.0010379112205399</v>
      </c>
      <c r="AJ1062" s="4">
        <v>0.008904</v>
      </c>
      <c r="AK1062" s="4">
        <f>Weights!E1118</f>
        <v>0.008044320725</v>
      </c>
      <c r="AL1062" s="5">
        <v>0.0049237218042164</v>
      </c>
      <c r="AM1062" s="5">
        <v>0.00576476398844816</v>
      </c>
      <c r="AN1062" s="5">
        <v>-9.01049179963697E-4</v>
      </c>
      <c r="AO1062" s="5">
        <v>-4.50730565761503E-4</v>
      </c>
      <c r="AP1062" s="6">
        <f t="shared" si="3"/>
        <v>1.708897878</v>
      </c>
      <c r="AQ1062" s="4">
        <f t="shared" si="4"/>
        <v>1.617109283</v>
      </c>
      <c r="AR1062" s="7">
        <f t="shared" si="5"/>
        <v>1.553134838</v>
      </c>
      <c r="AS1062" s="7">
        <f t="shared" ref="AS1062:AU1062" si="1064">AS1061*(1+AM1062)</f>
        <v>1.67325047</v>
      </c>
      <c r="AT1062" s="5">
        <f t="shared" si="1064"/>
        <v>1.471971865</v>
      </c>
      <c r="AU1062" s="5">
        <f t="shared" si="1064"/>
        <v>1.459599133</v>
      </c>
    </row>
    <row r="1063" ht="15.75" customHeight="1">
      <c r="A1063" s="3">
        <v>45372.0</v>
      </c>
      <c r="B1063" s="4">
        <v>-0.010785</v>
      </c>
      <c r="C1063" s="4">
        <v>0.010469</v>
      </c>
      <c r="D1063" s="4">
        <v>-0.020033</v>
      </c>
      <c r="E1063" s="4">
        <v>0.003433</v>
      </c>
      <c r="F1063" s="4">
        <v>-0.004609</v>
      </c>
      <c r="G1063" s="4">
        <v>-6.4E-5</v>
      </c>
      <c r="H1063" s="4">
        <v>-8.03E-4</v>
      </c>
      <c r="I1063" s="4">
        <v>-0.008313</v>
      </c>
      <c r="J1063" s="4">
        <v>-0.001512</v>
      </c>
      <c r="K1063" s="4">
        <v>9.98E-4</v>
      </c>
      <c r="L1063" s="4">
        <v>0.004781</v>
      </c>
      <c r="M1063" s="4">
        <v>-0.003281</v>
      </c>
      <c r="N1063" s="4">
        <v>-1.82E-4</v>
      </c>
      <c r="O1063" s="4">
        <v>0.007017</v>
      </c>
      <c r="P1063" s="4">
        <v>0.006706</v>
      </c>
      <c r="Q1063" s="4">
        <v>0.003963</v>
      </c>
      <c r="R1063" s="4">
        <v>0.004999</v>
      </c>
      <c r="S1063" s="4">
        <v>0.005538</v>
      </c>
      <c r="T1063" s="4">
        <v>0.014884</v>
      </c>
      <c r="U1063" s="4">
        <v>0.006691</v>
      </c>
      <c r="V1063" s="4">
        <v>0.00784815705291674</v>
      </c>
      <c r="W1063" s="4">
        <v>0.0036012674599068</v>
      </c>
      <c r="X1063" s="4">
        <v>-0.0109288994375095</v>
      </c>
      <c r="Y1063" s="4">
        <v>-0.0010201241999097</v>
      </c>
      <c r="Z1063" s="4">
        <v>0.0053951666565845</v>
      </c>
      <c r="AA1063" s="4">
        <v>0.0032760475260451</v>
      </c>
      <c r="AB1063" s="4">
        <v>-0.0027032396580002</v>
      </c>
      <c r="AC1063" s="4">
        <v>0.0020533505818622</v>
      </c>
      <c r="AD1063" s="4">
        <v>-0.0094786966193257</v>
      </c>
      <c r="AE1063" s="4">
        <v>-0.0101070340899409</v>
      </c>
      <c r="AF1063" s="4">
        <v>0.0049532028032626</v>
      </c>
      <c r="AG1063" s="4">
        <v>0.0065754282693912</v>
      </c>
      <c r="AH1063" s="4">
        <v>-0.0165864831332603</v>
      </c>
      <c r="AI1063" s="4">
        <v>0.0057140790417806</v>
      </c>
      <c r="AJ1063" s="4">
        <v>0.003237</v>
      </c>
      <c r="AK1063" s="4">
        <f>Weights!E1119</f>
        <v>-0.00017040616</v>
      </c>
      <c r="AL1063" s="5">
        <v>0.00937910569633637</v>
      </c>
      <c r="AM1063" s="5">
        <v>0.0101376856075263</v>
      </c>
      <c r="AN1063" s="5">
        <v>9.01861801800629E-4</v>
      </c>
      <c r="AO1063" s="5">
        <v>0.00157817983141406</v>
      </c>
      <c r="AP1063" s="6">
        <f t="shared" si="3"/>
        <v>1.708606672</v>
      </c>
      <c r="AQ1063" s="4">
        <f t="shared" si="4"/>
        <v>1.622343866</v>
      </c>
      <c r="AR1063" s="7">
        <f t="shared" si="5"/>
        <v>1.567701854</v>
      </c>
      <c r="AS1063" s="7">
        <f t="shared" ref="AS1063:AU1063" si="1065">AS1062*(1+AM1063)</f>
        <v>1.690213358</v>
      </c>
      <c r="AT1063" s="5">
        <f t="shared" si="1065"/>
        <v>1.47329938</v>
      </c>
      <c r="AU1063" s="5">
        <f t="shared" si="1065"/>
        <v>1.461902643</v>
      </c>
    </row>
    <row r="1064" ht="15.75" customHeight="1">
      <c r="A1064" s="3">
        <v>45373.0</v>
      </c>
      <c r="B1064" s="4">
        <v>-0.031496</v>
      </c>
      <c r="C1064" s="4">
        <v>-0.004193</v>
      </c>
      <c r="D1064" s="4">
        <v>-0.018303</v>
      </c>
      <c r="E1064" s="4">
        <v>-0.002493</v>
      </c>
      <c r="F1064" s="4">
        <v>3.31E-4</v>
      </c>
      <c r="G1064" s="4">
        <v>-0.003339</v>
      </c>
      <c r="H1064" s="4">
        <v>-0.001236</v>
      </c>
      <c r="I1064" s="4">
        <v>-0.0095</v>
      </c>
      <c r="J1064" s="4">
        <v>-0.002272</v>
      </c>
      <c r="K1064" s="4">
        <v>-0.007975</v>
      </c>
      <c r="L1064" s="4">
        <v>-0.014869</v>
      </c>
      <c r="M1064" s="4">
        <v>-0.012346</v>
      </c>
      <c r="N1064" s="4">
        <v>-0.015798</v>
      </c>
      <c r="O1064" s="4">
        <v>-0.00893</v>
      </c>
      <c r="P1064" s="4">
        <v>-0.02201</v>
      </c>
      <c r="Q1064" s="4">
        <v>-0.005263</v>
      </c>
      <c r="R1064" s="4">
        <v>-0.024654</v>
      </c>
      <c r="S1064" s="4">
        <v>-0.011016</v>
      </c>
      <c r="T1064" s="4">
        <v>-0.009879</v>
      </c>
      <c r="U1064" s="4">
        <v>-0.003673</v>
      </c>
      <c r="V1064" s="4">
        <v>0.00577741631733785</v>
      </c>
      <c r="W1064" s="4">
        <v>-0.0016885646556084</v>
      </c>
      <c r="X1064" s="4">
        <v>-0.0265193228406739</v>
      </c>
      <c r="Y1064" s="4">
        <v>0.0063070904895909</v>
      </c>
      <c r="Z1064" s="4">
        <v>0.0014121352074443</v>
      </c>
      <c r="AA1064" s="4">
        <v>-0.0040816239992164</v>
      </c>
      <c r="AB1064" s="4">
        <v>0.0171672255694497</v>
      </c>
      <c r="AC1064" s="4">
        <v>-0.0061475110323625</v>
      </c>
      <c r="AD1064" s="4">
        <v>-0.0011962122774338</v>
      </c>
      <c r="AE1064" s="4">
        <v>0.0</v>
      </c>
      <c r="AF1064" s="4">
        <v>0.0049288563729312</v>
      </c>
      <c r="AG1064" s="4">
        <v>0.0050353020464721</v>
      </c>
      <c r="AH1064" s="4">
        <v>-0.0078220640975894</v>
      </c>
      <c r="AI1064" s="4">
        <v>0.0025829745036287</v>
      </c>
      <c r="AJ1064" s="4">
        <v>-0.001402</v>
      </c>
      <c r="AK1064" s="4">
        <f>Weights!E1120</f>
        <v>-0.005477528097</v>
      </c>
      <c r="AL1064" s="5">
        <v>0.00318986392276787</v>
      </c>
      <c r="AM1064" s="5">
        <v>0.00413029482664306</v>
      </c>
      <c r="AN1064" s="5">
        <v>0.00841097389521339</v>
      </c>
      <c r="AO1064" s="5">
        <v>0.00765238166702109</v>
      </c>
      <c r="AP1064" s="6">
        <f t="shared" si="3"/>
        <v>1.699247731</v>
      </c>
      <c r="AQ1064" s="4">
        <f t="shared" si="4"/>
        <v>1.62006934</v>
      </c>
      <c r="AR1064" s="7">
        <f t="shared" si="5"/>
        <v>1.57270261</v>
      </c>
      <c r="AS1064" s="7">
        <f t="shared" ref="AS1064:AU1064" si="1066">AS1063*(1+AM1064)</f>
        <v>1.697194437</v>
      </c>
      <c r="AT1064" s="5">
        <f t="shared" si="1066"/>
        <v>1.485691263</v>
      </c>
      <c r="AU1064" s="5">
        <f t="shared" si="1066"/>
        <v>1.47308968</v>
      </c>
    </row>
    <row r="1065" ht="15.75" customHeight="1">
      <c r="A1065" s="3">
        <v>45376.0</v>
      </c>
      <c r="B1065" s="4">
        <v>-0.012508</v>
      </c>
      <c r="C1065" s="4">
        <v>0.012385</v>
      </c>
      <c r="D1065" s="4">
        <v>-0.005085</v>
      </c>
      <c r="E1065" s="4">
        <v>0.003372</v>
      </c>
      <c r="F1065" s="4">
        <v>-0.001488</v>
      </c>
      <c r="G1065" s="4">
        <v>-6.4E-5</v>
      </c>
      <c r="H1065" s="4">
        <v>-0.009093</v>
      </c>
      <c r="I1065" s="4">
        <v>0.013822</v>
      </c>
      <c r="J1065" s="4">
        <v>-0.004555</v>
      </c>
      <c r="K1065" s="4">
        <v>-0.001842</v>
      </c>
      <c r="L1065" s="4">
        <v>4.03E-4</v>
      </c>
      <c r="M1065" s="4">
        <v>0.01125</v>
      </c>
      <c r="N1065" s="4">
        <v>-0.002583</v>
      </c>
      <c r="O1065" s="4">
        <v>0.006823</v>
      </c>
      <c r="P1065" s="4">
        <v>0.004442</v>
      </c>
      <c r="Q1065" s="4">
        <v>0.001984</v>
      </c>
      <c r="R1065" s="4">
        <v>0.005543</v>
      </c>
      <c r="S1065" s="4">
        <v>4.46E-4</v>
      </c>
      <c r="T1065" s="4">
        <v>0.005349</v>
      </c>
      <c r="U1065" s="4">
        <v>-0.003219</v>
      </c>
      <c r="V1065" s="4">
        <v>-0.0119880102818505</v>
      </c>
      <c r="W1065" s="4">
        <v>0.0025371956365656</v>
      </c>
      <c r="X1065" s="4">
        <v>-0.0465381033030402</v>
      </c>
      <c r="Y1065" s="4">
        <v>-0.0044767754119661</v>
      </c>
      <c r="Z1065" s="4">
        <v>0.0171100636554277</v>
      </c>
      <c r="AA1065" s="4">
        <v>-0.0118962737509704</v>
      </c>
      <c r="AB1065" s="4">
        <v>-0.0033309575916327</v>
      </c>
      <c r="AC1065" s="4">
        <v>-0.0072164870091006</v>
      </c>
      <c r="AD1065" s="4">
        <v>-0.0227545615614492</v>
      </c>
      <c r="AE1065" s="4">
        <v>-0.0015014698105486</v>
      </c>
      <c r="AF1065" s="4">
        <v>-0.0084469115008819</v>
      </c>
      <c r="AG1065" s="4">
        <v>0.0070413467813872</v>
      </c>
      <c r="AH1065" s="4">
        <v>-0.0226656829966848</v>
      </c>
      <c r="AI1065" s="4">
        <v>0.0036062294684207</v>
      </c>
      <c r="AJ1065" s="4">
        <v>-0.003055</v>
      </c>
      <c r="AK1065" s="4">
        <f>Weights!E1121</f>
        <v>-0.003108872746</v>
      </c>
      <c r="AL1065" s="5">
        <v>-0.00186629283710559</v>
      </c>
      <c r="AM1065" s="5">
        <v>-0.00281239534645383</v>
      </c>
      <c r="AN1065" s="5">
        <v>0.00178741889096145</v>
      </c>
      <c r="AO1065" s="5">
        <v>0.00290378852041328</v>
      </c>
      <c r="AP1065" s="6">
        <f t="shared" si="3"/>
        <v>1.693964986</v>
      </c>
      <c r="AQ1065" s="4">
        <f t="shared" si="4"/>
        <v>1.615120028</v>
      </c>
      <c r="AR1065" s="7">
        <f t="shared" si="5"/>
        <v>1.569767486</v>
      </c>
      <c r="AS1065" s="7">
        <f t="shared" ref="AS1065:AU1065" si="1067">AS1064*(1+AM1065)</f>
        <v>1.692421255</v>
      </c>
      <c r="AT1065" s="5">
        <f t="shared" si="1067"/>
        <v>1.488346815</v>
      </c>
      <c r="AU1065" s="5">
        <f t="shared" si="1067"/>
        <v>1.47736722</v>
      </c>
    </row>
    <row r="1066" ht="15.75" customHeight="1">
      <c r="A1066" s="3">
        <v>45377.0</v>
      </c>
      <c r="B1066" s="4">
        <v>-0.0057</v>
      </c>
      <c r="C1066" s="4">
        <v>-4.89E-4</v>
      </c>
      <c r="D1066" s="4">
        <v>0.0</v>
      </c>
      <c r="E1066" s="4">
        <v>7.53E-4</v>
      </c>
      <c r="F1066" s="4">
        <v>0.002318</v>
      </c>
      <c r="G1066" s="4">
        <v>0.003543</v>
      </c>
      <c r="H1066" s="4">
        <v>0.002247</v>
      </c>
      <c r="I1066" s="4">
        <v>-0.008069</v>
      </c>
      <c r="J1066" s="4">
        <v>-0.010168</v>
      </c>
      <c r="K1066" s="4">
        <v>5.03E-4</v>
      </c>
      <c r="L1066" s="4">
        <v>-0.002716</v>
      </c>
      <c r="M1066" s="4">
        <v>-0.004532</v>
      </c>
      <c r="N1066" s="4">
        <v>0.00407</v>
      </c>
      <c r="O1066" s="4">
        <v>0.004501</v>
      </c>
      <c r="P1066" s="4">
        <v>0.002359</v>
      </c>
      <c r="Q1066" s="4">
        <v>0.017822</v>
      </c>
      <c r="R1066" s="4">
        <v>-0.013671</v>
      </c>
      <c r="S1066" s="4">
        <v>-0.005789</v>
      </c>
      <c r="T1066" s="4">
        <v>-0.007264</v>
      </c>
      <c r="U1066" s="4">
        <v>-0.001761</v>
      </c>
      <c r="V1066" s="4">
        <v>0.0283114010258194</v>
      </c>
      <c r="W1066" s="4">
        <v>-0.0094906943335499</v>
      </c>
      <c r="X1066" s="4">
        <v>0.0238095749524287</v>
      </c>
      <c r="Y1066" s="4">
        <v>0.0190070511968729</v>
      </c>
      <c r="Z1066" s="4">
        <v>0.0293927596062466</v>
      </c>
      <c r="AA1066" s="4">
        <v>0.0138916897544165</v>
      </c>
      <c r="AB1066" s="4">
        <v>-0.0064617188072124</v>
      </c>
      <c r="AC1066" s="4">
        <v>-0.0093458317257615</v>
      </c>
      <c r="AD1066" s="4">
        <v>0.0232843875923398</v>
      </c>
      <c r="AE1066" s="4">
        <v>0.0081203639713676</v>
      </c>
      <c r="AF1066" s="4">
        <v>-0.0035724053927901</v>
      </c>
      <c r="AG1066" s="4">
        <v>-0.0060508854885045</v>
      </c>
      <c r="AH1066" s="4">
        <v>-0.0262163073740155</v>
      </c>
      <c r="AI1066" s="4">
        <v>0.0056469213222809</v>
      </c>
      <c r="AJ1066" s="4">
        <v>-0.0028</v>
      </c>
      <c r="AK1066" s="4">
        <f>Weights!E1122</f>
        <v>0.001448990983</v>
      </c>
      <c r="AL1066" s="5">
        <v>-0.00277013539618642</v>
      </c>
      <c r="AM1066" s="5">
        <v>-0.00224353183979897</v>
      </c>
      <c r="AN1066" s="5">
        <v>-0.00505514211380986</v>
      </c>
      <c r="AO1066" s="5">
        <v>-0.00445440531520091</v>
      </c>
      <c r="AP1066" s="6">
        <f t="shared" si="3"/>
        <v>1.696419526</v>
      </c>
      <c r="AQ1066" s="4">
        <f t="shared" si="4"/>
        <v>1.610597692</v>
      </c>
      <c r="AR1066" s="7">
        <f t="shared" si="5"/>
        <v>1.565419017</v>
      </c>
      <c r="AS1066" s="7">
        <f t="shared" ref="AS1066:AU1066" si="1068">AS1065*(1+AM1066)</f>
        <v>1.688624254</v>
      </c>
      <c r="AT1066" s="5">
        <f t="shared" si="1068"/>
        <v>1.480823011</v>
      </c>
      <c r="AU1066" s="5">
        <f t="shared" si="1068"/>
        <v>1.470786428</v>
      </c>
    </row>
    <row r="1067" ht="15.75" customHeight="1">
      <c r="A1067" s="3">
        <v>45378.0</v>
      </c>
      <c r="B1067" s="4">
        <v>0.013376</v>
      </c>
      <c r="C1067" s="4">
        <v>0.016891</v>
      </c>
      <c r="D1067" s="4">
        <v>0.002677</v>
      </c>
      <c r="E1067" s="4">
        <v>0.004863</v>
      </c>
      <c r="F1067" s="4">
        <v>0.008094</v>
      </c>
      <c r="G1067" s="4">
        <v>0.014059</v>
      </c>
      <c r="H1067" s="4">
        <v>0.012831</v>
      </c>
      <c r="I1067" s="4">
        <v>0.009537</v>
      </c>
      <c r="J1067" s="4">
        <v>0.011043</v>
      </c>
      <c r="K1067" s="4">
        <v>0.016938</v>
      </c>
      <c r="L1067" s="4">
        <v>0.012607</v>
      </c>
      <c r="M1067" s="4">
        <v>0.020695</v>
      </c>
      <c r="N1067" s="4">
        <v>0.001842</v>
      </c>
      <c r="O1067" s="4">
        <v>0.011072</v>
      </c>
      <c r="P1067" s="4">
        <v>0.036765</v>
      </c>
      <c r="Q1067" s="4">
        <v>0.012322</v>
      </c>
      <c r="R1067" s="4">
        <v>0.02571</v>
      </c>
      <c r="S1067" s="4">
        <v>0.036282</v>
      </c>
      <c r="T1067" s="4">
        <v>0.025971</v>
      </c>
      <c r="U1067" s="4">
        <v>0.009763</v>
      </c>
      <c r="V1067" s="4">
        <v>0.0137659967267358</v>
      </c>
      <c r="W1067" s="4">
        <v>-0.022889331863626</v>
      </c>
      <c r="X1067" s="4">
        <v>0.0</v>
      </c>
      <c r="Y1067" s="4">
        <v>0.0035305702713883</v>
      </c>
      <c r="Z1067" s="4">
        <v>0.0064649731874526</v>
      </c>
      <c r="AA1067" s="4">
        <v>0.0051899959786647</v>
      </c>
      <c r="AB1067" s="4">
        <v>0.0011213352022851</v>
      </c>
      <c r="AC1067" s="4">
        <v>0.0</v>
      </c>
      <c r="AD1067" s="4">
        <v>0.0</v>
      </c>
      <c r="AE1067" s="4">
        <v>0.0062649001345889</v>
      </c>
      <c r="AF1067" s="4">
        <v>-2.757700921913E-4</v>
      </c>
      <c r="AG1067" s="4">
        <v>-0.0112284858578531</v>
      </c>
      <c r="AH1067" s="4">
        <v>0.0440072689586286</v>
      </c>
      <c r="AI1067" s="4">
        <v>-0.0056152126581922</v>
      </c>
      <c r="AJ1067" s="4">
        <v>0.008631</v>
      </c>
      <c r="AK1067" s="4">
        <f>Weights!E1123</f>
        <v>0.00969271589</v>
      </c>
      <c r="AL1067" s="5">
        <v>-0.00131943177633142</v>
      </c>
      <c r="AM1067" s="5">
        <v>-0.00178362054886271</v>
      </c>
      <c r="AN1067" s="5">
        <v>-0.00119553005770634</v>
      </c>
      <c r="AO1067" s="5">
        <v>-0.00178975189802599</v>
      </c>
      <c r="AP1067" s="6">
        <f t="shared" si="3"/>
        <v>1.712862438</v>
      </c>
      <c r="AQ1067" s="4">
        <f t="shared" si="4"/>
        <v>1.624498761</v>
      </c>
      <c r="AR1067" s="7">
        <f t="shared" si="5"/>
        <v>1.563353554</v>
      </c>
      <c r="AS1067" s="7">
        <f t="shared" ref="AS1067:AU1067" si="1069">AS1066*(1+AM1067)</f>
        <v>1.685612389</v>
      </c>
      <c r="AT1067" s="5">
        <f t="shared" si="1069"/>
        <v>1.479052642</v>
      </c>
      <c r="AU1067" s="5">
        <f t="shared" si="1069"/>
        <v>1.468154085</v>
      </c>
    </row>
    <row r="1068" ht="15.75" customHeight="1">
      <c r="A1068" s="3">
        <v>45379.0</v>
      </c>
      <c r="B1068" s="4">
        <v>0.006285</v>
      </c>
      <c r="C1068" s="4">
        <v>0.010111</v>
      </c>
      <c r="D1068" s="4">
        <v>-0.004854</v>
      </c>
      <c r="E1068" s="4">
        <v>0.008296</v>
      </c>
      <c r="F1068" s="4">
        <v>0.002458</v>
      </c>
      <c r="G1068" s="4">
        <v>0.001456</v>
      </c>
      <c r="H1068" s="4">
        <v>-0.002214</v>
      </c>
      <c r="I1068" s="4">
        <v>0.005279</v>
      </c>
      <c r="J1068" s="4">
        <v>0.003556</v>
      </c>
      <c r="K1068" s="4">
        <v>-0.004288</v>
      </c>
      <c r="L1068" s="4">
        <v>0.004781</v>
      </c>
      <c r="M1068" s="4">
        <v>0.013382</v>
      </c>
      <c r="N1068" s="4">
        <v>0.003678</v>
      </c>
      <c r="O1068" s="4">
        <v>0.008659</v>
      </c>
      <c r="P1068" s="4">
        <v>0.016738</v>
      </c>
      <c r="Q1068" s="4">
        <v>0.017937</v>
      </c>
      <c r="R1068" s="4">
        <v>0.024847</v>
      </c>
      <c r="S1068" s="4">
        <v>0.018587</v>
      </c>
      <c r="T1068" s="4">
        <v>-0.003324</v>
      </c>
      <c r="U1068" s="4">
        <v>0.001864</v>
      </c>
      <c r="V1068" s="4">
        <v>0.0164888632424939</v>
      </c>
      <c r="W1068" s="4">
        <v>-0.0139464503137585</v>
      </c>
      <c r="X1068" s="4">
        <v>0.0</v>
      </c>
      <c r="Y1068" s="4">
        <v>0.0032834466319997</v>
      </c>
      <c r="Z1068" s="4">
        <v>0.0021410800643195</v>
      </c>
      <c r="AA1068" s="4">
        <v>-0.0150764328323274</v>
      </c>
      <c r="AB1068" s="4">
        <v>-0.0056003960901432</v>
      </c>
      <c r="AC1068" s="4">
        <v>0.0041929636974964</v>
      </c>
      <c r="AD1068" s="4">
        <v>0.0191159393226036</v>
      </c>
      <c r="AE1068" s="4">
        <v>-0.0100801811809452</v>
      </c>
      <c r="AF1068" s="4">
        <v>-0.0292413772476831</v>
      </c>
      <c r="AG1068" s="4">
        <v>-0.0088929057573109</v>
      </c>
      <c r="AH1068" s="4">
        <v>0.0324820337737385</v>
      </c>
      <c r="AI1068" s="4">
        <v>-0.0061603338259658</v>
      </c>
      <c r="AJ1068" s="4">
        <v>0.001117</v>
      </c>
      <c r="AK1068" s="4">
        <f>Weights!E1124</f>
        <v>0.002972164245</v>
      </c>
      <c r="AL1068" s="5">
        <v>0.00764907214571763</v>
      </c>
      <c r="AM1068" s="5">
        <v>0.00881691526349515</v>
      </c>
      <c r="AN1068" s="5">
        <v>-0.00209450531317711</v>
      </c>
      <c r="AO1068" s="5">
        <v>-0.00156880774395751</v>
      </c>
      <c r="AP1068" s="6">
        <f t="shared" si="3"/>
        <v>1.717953347</v>
      </c>
      <c r="AQ1068" s="4">
        <f t="shared" si="4"/>
        <v>1.626313326</v>
      </c>
      <c r="AR1068" s="7">
        <f t="shared" si="5"/>
        <v>1.575311758</v>
      </c>
      <c r="AS1068" s="7">
        <f t="shared" ref="AS1068:AU1068" si="1070">AS1067*(1+AM1068)</f>
        <v>1.700474291</v>
      </c>
      <c r="AT1068" s="5">
        <f t="shared" si="1070"/>
        <v>1.475954759</v>
      </c>
      <c r="AU1068" s="5">
        <f t="shared" si="1070"/>
        <v>1.465850834</v>
      </c>
    </row>
    <row r="1069" ht="15.75" customHeight="1">
      <c r="A1069" s="3">
        <v>45383.0</v>
      </c>
      <c r="B1069" s="4">
        <v>-0.007495</v>
      </c>
      <c r="C1069" s="4">
        <v>0.007626</v>
      </c>
      <c r="D1069" s="4">
        <v>-0.006098</v>
      </c>
      <c r="E1069" s="4">
        <v>-0.011599</v>
      </c>
      <c r="F1069" s="4">
        <v>-0.008173</v>
      </c>
      <c r="G1069" s="4">
        <v>-0.002592</v>
      </c>
      <c r="H1069" s="4">
        <v>-0.010293</v>
      </c>
      <c r="I1069" s="4">
        <v>-0.009674</v>
      </c>
      <c r="J1069" s="4">
        <v>-0.005062</v>
      </c>
      <c r="K1069" s="4">
        <v>-0.002319</v>
      </c>
      <c r="L1069" s="4">
        <v>-0.005749</v>
      </c>
      <c r="M1069" s="4">
        <v>-0.015606</v>
      </c>
      <c r="N1069" s="4">
        <v>-0.01136</v>
      </c>
      <c r="O1069" s="4">
        <v>-0.043983</v>
      </c>
      <c r="P1069" s="4">
        <v>0.016462</v>
      </c>
      <c r="Q1069" s="4">
        <v>0.003776</v>
      </c>
      <c r="R1069" s="4">
        <v>0.006593</v>
      </c>
      <c r="S1069" s="4">
        <v>0.014004</v>
      </c>
      <c r="T1069" s="4">
        <v>0.010611</v>
      </c>
      <c r="U1069" s="4">
        <v>-0.009476</v>
      </c>
      <c r="V1069" s="4">
        <v>0.00143121009786706</v>
      </c>
      <c r="W1069" s="4">
        <v>0.0069613525931295</v>
      </c>
      <c r="X1069" s="4">
        <v>0.0</v>
      </c>
      <c r="Y1069" s="4">
        <v>0.0110455716042774</v>
      </c>
      <c r="Z1069" s="4">
        <v>0.0119291593459283</v>
      </c>
      <c r="AA1069" s="4">
        <v>0.0125813939571841</v>
      </c>
      <c r="AB1069" s="4">
        <v>0.0042803624316152</v>
      </c>
      <c r="AC1069" s="4">
        <v>0.0041752888486743</v>
      </c>
      <c r="AD1069" s="4">
        <v>-0.0023447443710075</v>
      </c>
      <c r="AE1069" s="4">
        <v>0.0167716032036544</v>
      </c>
      <c r="AF1069" s="4">
        <v>0.0414890956549156</v>
      </c>
      <c r="AG1069" s="4">
        <v>0.0182219099215052</v>
      </c>
      <c r="AH1069" s="4">
        <v>-0.0177713451331061</v>
      </c>
      <c r="AI1069" s="4">
        <v>0.0036158542861359</v>
      </c>
      <c r="AJ1069" s="4">
        <v>-0.002014</v>
      </c>
      <c r="AK1069" s="4">
        <f>Weights!E1125</f>
        <v>0.001206863493</v>
      </c>
      <c r="AL1069" s="5">
        <v>0.0</v>
      </c>
      <c r="AM1069" s="5">
        <v>6.54558972881913E-4</v>
      </c>
      <c r="AN1069" s="5">
        <v>0.00959519720014379</v>
      </c>
      <c r="AO1069" s="5">
        <v>0.00987664724274073</v>
      </c>
      <c r="AP1069" s="6">
        <f t="shared" si="3"/>
        <v>1.720026682</v>
      </c>
      <c r="AQ1069" s="4">
        <f t="shared" si="4"/>
        <v>1.623037931</v>
      </c>
      <c r="AR1069" s="7">
        <f t="shared" si="5"/>
        <v>1.575311758</v>
      </c>
      <c r="AS1069" s="7">
        <f t="shared" ref="AS1069:AU1069" si="1071">AS1068*(1+AM1069)</f>
        <v>1.701587352</v>
      </c>
      <c r="AT1069" s="5">
        <f t="shared" si="1071"/>
        <v>1.490116836</v>
      </c>
      <c r="AU1069" s="5">
        <f t="shared" si="1071"/>
        <v>1.480328525</v>
      </c>
    </row>
    <row r="1070" ht="15.75" customHeight="1">
      <c r="A1070" s="3">
        <v>45384.0</v>
      </c>
      <c r="B1070" s="4">
        <v>0.003147</v>
      </c>
      <c r="C1070" s="4">
        <v>0.00615</v>
      </c>
      <c r="D1070" s="4">
        <v>-0.023313</v>
      </c>
      <c r="E1070" s="4">
        <v>-0.008903</v>
      </c>
      <c r="F1070" s="4">
        <v>-0.008734</v>
      </c>
      <c r="G1070" s="4">
        <v>-3.17E-4</v>
      </c>
      <c r="H1070" s="4">
        <v>-6.2E-5</v>
      </c>
      <c r="I1070" s="4">
        <v>5.58E-4</v>
      </c>
      <c r="J1070" s="4">
        <v>0.002035</v>
      </c>
      <c r="K1070" s="4">
        <v>-0.014276</v>
      </c>
      <c r="L1070" s="4">
        <v>-0.006879</v>
      </c>
      <c r="M1070" s="4">
        <v>-0.006504</v>
      </c>
      <c r="N1070" s="4">
        <v>-0.011305</v>
      </c>
      <c r="O1070" s="4">
        <v>-0.026199</v>
      </c>
      <c r="P1070" s="4">
        <v>0.009882</v>
      </c>
      <c r="Q1070" s="4">
        <v>0.013166</v>
      </c>
      <c r="R1070" s="4">
        <v>0.022185</v>
      </c>
      <c r="S1070" s="4">
        <v>0.029086</v>
      </c>
      <c r="T1070" s="4">
        <v>-0.00815</v>
      </c>
      <c r="U1070" s="4">
        <v>-0.005517</v>
      </c>
      <c r="V1070" s="4">
        <v>-0.0185803041492316</v>
      </c>
      <c r="W1070" s="4">
        <v>-0.0373093992073826</v>
      </c>
      <c r="X1070" s="4">
        <v>0.0103448670748826</v>
      </c>
      <c r="Y1070" s="4">
        <v>0.0051445079845144</v>
      </c>
      <c r="Z1070" s="4">
        <v>0.0109966605973188</v>
      </c>
      <c r="AA1070" s="4">
        <v>-0.0163595077826894</v>
      </c>
      <c r="AB1070" s="4">
        <v>0.0047104842757863</v>
      </c>
      <c r="AC1070" s="4">
        <v>0.0</v>
      </c>
      <c r="AD1070" s="4">
        <v>-0.0141011428159151</v>
      </c>
      <c r="AE1070" s="4">
        <v>0.0058910065454222</v>
      </c>
      <c r="AF1070" s="4">
        <v>-0.0125512349523199</v>
      </c>
      <c r="AG1070" s="4">
        <v>0.0310466790331958</v>
      </c>
      <c r="AH1070" s="4">
        <v>0.0048899707042453</v>
      </c>
      <c r="AI1070" s="4">
        <v>-5.149396333415E-4</v>
      </c>
      <c r="AJ1070" s="4">
        <v>-0.007239</v>
      </c>
      <c r="AK1070" s="4">
        <f>Weights!E1126</f>
        <v>-0.0007343673141</v>
      </c>
      <c r="AL1070" s="5">
        <v>-0.00282943302959037</v>
      </c>
      <c r="AM1070" s="5">
        <v>-7.69439656105985E-4</v>
      </c>
      <c r="AN1070" s="5">
        <v>0.00237614712766576</v>
      </c>
      <c r="AO1070" s="5">
        <v>0.00266727927650833</v>
      </c>
      <c r="AP1070" s="6">
        <f t="shared" si="3"/>
        <v>1.71876355</v>
      </c>
      <c r="AQ1070" s="4">
        <f t="shared" si="4"/>
        <v>1.611288759</v>
      </c>
      <c r="AR1070" s="7">
        <f t="shared" si="5"/>
        <v>1.570854519</v>
      </c>
      <c r="AS1070" s="7">
        <f t="shared" ref="AS1070:AU1070" si="1072">AS1069*(1+AM1070)</f>
        <v>1.700278083</v>
      </c>
      <c r="AT1070" s="5">
        <f t="shared" si="1072"/>
        <v>1.493657572</v>
      </c>
      <c r="AU1070" s="5">
        <f t="shared" si="1072"/>
        <v>1.484276975</v>
      </c>
    </row>
    <row r="1071" ht="15.75" customHeight="1">
      <c r="A1071" s="3">
        <v>45385.0</v>
      </c>
      <c r="B1071" s="4">
        <v>0.003764</v>
      </c>
      <c r="C1071" s="4">
        <v>0.007052</v>
      </c>
      <c r="D1071" s="4">
        <v>-0.00603</v>
      </c>
      <c r="E1071" s="4">
        <v>-0.010266</v>
      </c>
      <c r="F1071" s="4">
        <v>-0.00532</v>
      </c>
      <c r="G1071" s="4">
        <v>-0.022</v>
      </c>
      <c r="H1071" s="4">
        <v>-0.027527</v>
      </c>
      <c r="I1071" s="4">
        <v>-0.001674</v>
      </c>
      <c r="J1071" s="4">
        <v>-0.002031</v>
      </c>
      <c r="K1071" s="4">
        <v>0.003873</v>
      </c>
      <c r="L1071" s="4">
        <v>0.006525</v>
      </c>
      <c r="M1071" s="4">
        <v>0.00491</v>
      </c>
      <c r="N1071" s="4">
        <v>1.87E-4</v>
      </c>
      <c r="O1071" s="4">
        <v>0.009113</v>
      </c>
      <c r="P1071" s="4">
        <v>0.01196</v>
      </c>
      <c r="Q1071" s="4">
        <v>0.037129</v>
      </c>
      <c r="R1071" s="4">
        <v>0.025424</v>
      </c>
      <c r="S1071" s="4">
        <v>0.038837</v>
      </c>
      <c r="T1071" s="4">
        <v>0.008973</v>
      </c>
      <c r="U1071" s="4">
        <v>-0.006905</v>
      </c>
      <c r="V1071" s="4">
        <v>-0.00291256196618738</v>
      </c>
      <c r="W1071" s="4">
        <v>-0.0085489469611352</v>
      </c>
      <c r="X1071" s="4">
        <v>0.0</v>
      </c>
      <c r="Y1071" s="4">
        <v>-0.0078211152536308</v>
      </c>
      <c r="Z1071" s="4">
        <v>7.832582460189E-4</v>
      </c>
      <c r="AA1071" s="4">
        <v>-0.0174737529516563</v>
      </c>
      <c r="AB1071" s="4">
        <v>-0.0176378066483825</v>
      </c>
      <c r="AC1071" s="4">
        <v>0.0</v>
      </c>
      <c r="AD1071" s="4">
        <v>0.0</v>
      </c>
      <c r="AE1071" s="4">
        <v>-0.0043922936199405</v>
      </c>
      <c r="AF1071" s="4">
        <v>-0.0038684514635953</v>
      </c>
      <c r="AG1071" s="4">
        <v>-0.0127547638148112</v>
      </c>
      <c r="AH1071" s="4">
        <v>0.0145985257494958</v>
      </c>
      <c r="AI1071" s="4">
        <v>-0.0046340628446998</v>
      </c>
      <c r="AJ1071" s="4">
        <v>0.001091</v>
      </c>
      <c r="AK1071" s="4">
        <f>Weights!E1127</f>
        <v>-0.0005392109567</v>
      </c>
      <c r="AL1071" s="5">
        <v>-0.00692043896188698</v>
      </c>
      <c r="AM1071" s="5">
        <v>-0.00924163623138218</v>
      </c>
      <c r="AN1071" s="5">
        <v>8.8876809702465E-4</v>
      </c>
      <c r="AO1071" s="5">
        <v>6.64893617021267E-4</v>
      </c>
      <c r="AP1071" s="6">
        <f t="shared" si="3"/>
        <v>1.717836774</v>
      </c>
      <c r="AQ1071" s="4">
        <f t="shared" si="4"/>
        <v>1.613046675</v>
      </c>
      <c r="AR1071" s="7">
        <f t="shared" si="5"/>
        <v>1.559983516</v>
      </c>
      <c r="AS1071" s="7">
        <f t="shared" ref="AS1071:AU1071" si="1073">AS1070*(1+AM1071)</f>
        <v>1.684564731</v>
      </c>
      <c r="AT1071" s="5">
        <f t="shared" si="1073"/>
        <v>1.494985088</v>
      </c>
      <c r="AU1071" s="5">
        <f t="shared" si="1073"/>
        <v>1.485263861</v>
      </c>
    </row>
    <row r="1072" ht="15.75" customHeight="1">
      <c r="A1072" s="3">
        <v>45386.0</v>
      </c>
      <c r="B1072" s="4">
        <v>-0.0025</v>
      </c>
      <c r="C1072" s="4">
        <v>-0.009104</v>
      </c>
      <c r="D1072" s="4">
        <v>-0.005308</v>
      </c>
      <c r="E1072" s="4">
        <v>-1.77E-4</v>
      </c>
      <c r="F1072" s="4">
        <v>-0.008858</v>
      </c>
      <c r="G1072" s="4">
        <v>-0.011409</v>
      </c>
      <c r="H1072" s="4">
        <v>-0.004483</v>
      </c>
      <c r="I1072" s="4">
        <v>-0.004191</v>
      </c>
      <c r="J1072" s="4">
        <v>-0.00636</v>
      </c>
      <c r="K1072" s="4">
        <v>0.003523</v>
      </c>
      <c r="L1072" s="4">
        <v>0.007181</v>
      </c>
      <c r="M1072" s="4">
        <v>-0.010586</v>
      </c>
      <c r="N1072" s="4">
        <v>-0.004123</v>
      </c>
      <c r="O1072" s="4">
        <v>-0.00559</v>
      </c>
      <c r="P1072" s="4">
        <v>0.013161</v>
      </c>
      <c r="Q1072" s="4">
        <v>-0.004773</v>
      </c>
      <c r="R1072" s="4">
        <v>-0.008668</v>
      </c>
      <c r="S1072" s="4">
        <v>-0.020748</v>
      </c>
      <c r="T1072" s="4">
        <v>-0.005246</v>
      </c>
      <c r="U1072" s="4">
        <v>-0.005765</v>
      </c>
      <c r="V1072" s="4">
        <v>0.0</v>
      </c>
      <c r="W1072" s="4">
        <v>-0.0212691899266042</v>
      </c>
      <c r="X1072" s="4">
        <v>0.0</v>
      </c>
      <c r="Y1072" s="4">
        <v>0.0027821104105216</v>
      </c>
      <c r="Z1072" s="4">
        <v>-0.0017390780481904</v>
      </c>
      <c r="AA1072" s="4">
        <v>0.0017141881065929</v>
      </c>
      <c r="AB1072" s="4">
        <v>-0.0290909229864163</v>
      </c>
      <c r="AC1072" s="4">
        <v>0.0</v>
      </c>
      <c r="AD1072" s="4">
        <v>0.0</v>
      </c>
      <c r="AE1072" s="4">
        <v>0.0058824576504277</v>
      </c>
      <c r="AF1072" s="4">
        <v>-8.321972975466E-4</v>
      </c>
      <c r="AG1072" s="4">
        <v>0.0165155146580864</v>
      </c>
      <c r="AH1072" s="4">
        <v>0.0040766717544542</v>
      </c>
      <c r="AI1072" s="4">
        <v>0.002586465200451</v>
      </c>
      <c r="AJ1072" s="4">
        <v>-0.012334</v>
      </c>
      <c r="AK1072" s="4">
        <f>Weights!E1128</f>
        <v>-0.002261319115</v>
      </c>
      <c r="AL1072" s="5">
        <v>0.00299657783752049</v>
      </c>
      <c r="AM1072" s="5">
        <v>0.00155473027392005</v>
      </c>
      <c r="AN1072" s="5">
        <v>-0.0065126602780936</v>
      </c>
      <c r="AO1072" s="5">
        <v>-0.00443054877735815</v>
      </c>
      <c r="AP1072" s="6">
        <f t="shared" si="3"/>
        <v>1.713952197</v>
      </c>
      <c r="AQ1072" s="4">
        <f t="shared" si="4"/>
        <v>1.593151358</v>
      </c>
      <c r="AR1072" s="7">
        <f t="shared" si="5"/>
        <v>1.564658128</v>
      </c>
      <c r="AS1072" s="7">
        <f t="shared" ref="AS1072:AU1072" si="1074">AS1071*(1+AM1072)</f>
        <v>1.687183775</v>
      </c>
      <c r="AT1072" s="5">
        <f t="shared" si="1074"/>
        <v>1.485248758</v>
      </c>
      <c r="AU1072" s="5">
        <f t="shared" si="1074"/>
        <v>1.478683327</v>
      </c>
    </row>
    <row r="1073" ht="15.75" customHeight="1">
      <c r="A1073" s="3">
        <v>45387.0</v>
      </c>
      <c r="B1073" s="4">
        <v>0.003759</v>
      </c>
      <c r="C1073" s="4">
        <v>-0.007774</v>
      </c>
      <c r="D1073" s="4">
        <v>0.006862</v>
      </c>
      <c r="E1073" s="4">
        <v>-0.003006</v>
      </c>
      <c r="F1073" s="4">
        <v>0.003541</v>
      </c>
      <c r="G1073" s="4">
        <v>-7.21E-4</v>
      </c>
      <c r="H1073" s="4">
        <v>0.004181</v>
      </c>
      <c r="I1073" s="4">
        <v>-0.008137</v>
      </c>
      <c r="J1073" s="4">
        <v>-0.006656</v>
      </c>
      <c r="K1073" s="4">
        <v>-0.008358</v>
      </c>
      <c r="L1073" s="4">
        <v>0.013468</v>
      </c>
      <c r="M1073" s="4">
        <v>0.003704</v>
      </c>
      <c r="N1073" s="4">
        <v>0.004705</v>
      </c>
      <c r="O1073" s="4">
        <v>0.020324</v>
      </c>
      <c r="P1073" s="4">
        <v>0.051166</v>
      </c>
      <c r="Q1073" s="4">
        <v>0.043165</v>
      </c>
      <c r="R1073" s="4">
        <v>0.005897</v>
      </c>
      <c r="S1073" s="4">
        <v>0.010794</v>
      </c>
      <c r="T1073" s="4">
        <v>0.009392</v>
      </c>
      <c r="U1073" s="4">
        <v>0.004244</v>
      </c>
      <c r="V1073" s="4">
        <v>0.0126583256790058</v>
      </c>
      <c r="W1073" s="4">
        <v>0.0287795348971968</v>
      </c>
      <c r="X1073" s="4">
        <v>-0.0011123319099987</v>
      </c>
      <c r="Y1073" s="4">
        <v>-0.0020230430509938</v>
      </c>
      <c r="Z1073" s="4">
        <v>-0.0114101431240705</v>
      </c>
      <c r="AA1073" s="4">
        <v>0.0083423118955452</v>
      </c>
      <c r="AB1073" s="4">
        <v>-0.0093633590544581</v>
      </c>
      <c r="AC1073" s="4">
        <v>0.0054170624965323</v>
      </c>
      <c r="AD1073" s="4">
        <v>-0.0024213887877589</v>
      </c>
      <c r="AE1073" s="4">
        <v>-0.0038013167775017</v>
      </c>
      <c r="AF1073" s="4">
        <v>0.0072182029199296</v>
      </c>
      <c r="AG1073" s="4">
        <v>0.0127097478400828</v>
      </c>
      <c r="AH1073" s="4">
        <v>-0.0035824856006445</v>
      </c>
      <c r="AI1073" s="4">
        <v>0.0</v>
      </c>
      <c r="AJ1073" s="4">
        <v>0.011099</v>
      </c>
      <c r="AK1073" s="4">
        <f>Weights!E1129</f>
        <v>0.00424587765</v>
      </c>
      <c r="AL1073" s="5">
        <v>-0.0113249536058815</v>
      </c>
      <c r="AM1073" s="5">
        <v>-0.0119907459857826</v>
      </c>
      <c r="AN1073" s="5">
        <v>8.94034313430713E-4</v>
      </c>
      <c r="AO1073" s="5">
        <v>0.00133499238919765</v>
      </c>
      <c r="AP1073" s="6">
        <f t="shared" si="3"/>
        <v>1.721229428</v>
      </c>
      <c r="AQ1073" s="4">
        <f t="shared" si="4"/>
        <v>1.610833745</v>
      </c>
      <c r="AR1073" s="7">
        <f t="shared" si="5"/>
        <v>1.546938447</v>
      </c>
      <c r="AS1073" s="7">
        <f t="shared" ref="AS1073:AU1073" si="1075">AS1072*(1+AM1073)</f>
        <v>1.666953183</v>
      </c>
      <c r="AT1073" s="5">
        <f t="shared" si="1075"/>
        <v>1.486576621</v>
      </c>
      <c r="AU1073" s="5">
        <f t="shared" si="1075"/>
        <v>1.480657358</v>
      </c>
    </row>
    <row r="1074" ht="15.75" customHeight="1">
      <c r="A1074" s="3">
        <v>45390.0</v>
      </c>
      <c r="B1074" s="4">
        <v>0.013109</v>
      </c>
      <c r="C1074" s="4">
        <v>-0.009259</v>
      </c>
      <c r="D1074" s="4">
        <v>0.001262</v>
      </c>
      <c r="E1074" s="4">
        <v>0.002601</v>
      </c>
      <c r="F1074" s="4">
        <v>-0.004033</v>
      </c>
      <c r="G1074" s="4">
        <v>-0.00525</v>
      </c>
      <c r="H1074" s="4">
        <v>-3.84E-4</v>
      </c>
      <c r="I1074" s="4">
        <v>-0.003112</v>
      </c>
      <c r="J1074" s="4">
        <v>0.009794</v>
      </c>
      <c r="K1074" s="4">
        <v>0.003378</v>
      </c>
      <c r="L1074" s="4">
        <v>0.006938</v>
      </c>
      <c r="M1074" s="4">
        <v>0.00943</v>
      </c>
      <c r="N1074" s="4">
        <v>-0.001124</v>
      </c>
      <c r="O1074" s="4">
        <v>-0.005298</v>
      </c>
      <c r="P1074" s="4">
        <v>-0.006305</v>
      </c>
      <c r="Q1074" s="4">
        <v>0.0</v>
      </c>
      <c r="R1074" s="4">
        <v>0.010714</v>
      </c>
      <c r="S1074" s="4">
        <v>-0.010085</v>
      </c>
      <c r="T1074" s="4">
        <v>-4.48E-4</v>
      </c>
      <c r="U1074" s="4">
        <v>0.001488</v>
      </c>
      <c r="V1074" s="4">
        <v>0.00480771093617438</v>
      </c>
      <c r="W1074" s="4">
        <v>0.0025119077560884</v>
      </c>
      <c r="X1074" s="4">
        <v>0.0111358804196257</v>
      </c>
      <c r="Y1074" s="4">
        <v>-0.0139580831778995</v>
      </c>
      <c r="Z1074" s="4">
        <v>-0.0084580626979767</v>
      </c>
      <c r="AA1074" s="4">
        <v>-0.0169708829611947</v>
      </c>
      <c r="AB1074" s="4">
        <v>-0.0108694500591403</v>
      </c>
      <c r="AC1074" s="4">
        <v>-0.0053878760353255</v>
      </c>
      <c r="AD1074" s="4">
        <v>0.0072815981258091</v>
      </c>
      <c r="AE1074" s="4">
        <v>0.0096859645600166</v>
      </c>
      <c r="AF1074" s="4">
        <v>-0.0118521830970937</v>
      </c>
      <c r="AG1074" s="4">
        <v>-0.0090568873090872</v>
      </c>
      <c r="AH1074" s="4">
        <v>0.0345158331197927</v>
      </c>
      <c r="AI1074" s="4">
        <v>-0.0067077706059518</v>
      </c>
      <c r="AJ1074" s="4">
        <v>-3.75E-4</v>
      </c>
      <c r="AK1074" s="4">
        <f>Weights!E1130</f>
        <v>0.0006945299422</v>
      </c>
      <c r="AL1074" s="5">
        <v>0.0088544930865293</v>
      </c>
      <c r="AM1074" s="5">
        <v>0.0100938691261951</v>
      </c>
      <c r="AN1074" s="5">
        <v>-0.00357259162135981</v>
      </c>
      <c r="AO1074" s="5">
        <v>-0.00244442664267963</v>
      </c>
      <c r="AP1074" s="6">
        <f t="shared" si="3"/>
        <v>1.722424874</v>
      </c>
      <c r="AQ1074" s="4">
        <f t="shared" si="4"/>
        <v>1.610229682</v>
      </c>
      <c r="AR1074" s="7">
        <f t="shared" si="5"/>
        <v>1.560635803</v>
      </c>
      <c r="AS1074" s="7">
        <f t="shared" ref="AS1074:AU1074" si="1076">AS1073*(1+AM1074)</f>
        <v>1.68377919</v>
      </c>
      <c r="AT1074" s="5">
        <f t="shared" si="1076"/>
        <v>1.48126569</v>
      </c>
      <c r="AU1074" s="5">
        <f t="shared" si="1076"/>
        <v>1.477038</v>
      </c>
    </row>
    <row r="1075" ht="15.75" customHeight="1">
      <c r="A1075" s="3">
        <v>45391.0</v>
      </c>
      <c r="B1075" s="4">
        <v>0.011707</v>
      </c>
      <c r="C1075" s="4">
        <v>-0.021328</v>
      </c>
      <c r="D1075" s="4">
        <v>0.017141</v>
      </c>
      <c r="E1075" s="4">
        <v>0.006074</v>
      </c>
      <c r="F1075" s="4">
        <v>0.007592</v>
      </c>
      <c r="G1075" s="4">
        <v>0.004618</v>
      </c>
      <c r="H1075" s="4">
        <v>0.003973</v>
      </c>
      <c r="I1075" s="4">
        <v>0.00227</v>
      </c>
      <c r="J1075" s="4">
        <v>0.001531</v>
      </c>
      <c r="K1075" s="4">
        <v>0.005105</v>
      </c>
      <c r="L1075" s="4">
        <v>-0.00262</v>
      </c>
      <c r="M1075" s="4">
        <v>0.001625</v>
      </c>
      <c r="N1075" s="4">
        <v>-0.002813</v>
      </c>
      <c r="O1075" s="4">
        <v>0.034672</v>
      </c>
      <c r="P1075" s="4">
        <v>0.006853</v>
      </c>
      <c r="Q1075" s="4">
        <v>0.037931</v>
      </c>
      <c r="R1075" s="4">
        <v>0.026</v>
      </c>
      <c r="S1075" s="4">
        <v>0.018777</v>
      </c>
      <c r="T1075" s="4">
        <v>-0.004978</v>
      </c>
      <c r="U1075" s="4">
        <v>5.94E-4</v>
      </c>
      <c r="V1075" s="4">
        <v>-0.00478470744586057</v>
      </c>
      <c r="W1075" s="4">
        <v>-0.0050113668397014</v>
      </c>
      <c r="X1075" s="4">
        <v>-0.007709318658692</v>
      </c>
      <c r="Y1075" s="4">
        <v>0.0251396635187428</v>
      </c>
      <c r="Z1075" s="4">
        <v>0.0197263621316314</v>
      </c>
      <c r="AA1075" s="4">
        <v>0.0103582842638778</v>
      </c>
      <c r="AB1075" s="4">
        <v>-0.0074056874164519</v>
      </c>
      <c r="AC1075" s="4">
        <v>0.0065005097272776</v>
      </c>
      <c r="AD1075" s="4">
        <v>-0.0036144798730352</v>
      </c>
      <c r="AE1075" s="4">
        <v>0.0061047486006569</v>
      </c>
      <c r="AF1075" s="4">
        <v>0.0050209032885233</v>
      </c>
      <c r="AG1075" s="4">
        <v>-0.0023500118943118</v>
      </c>
      <c r="AH1075" s="4">
        <v>-0.0113530552711276</v>
      </c>
      <c r="AI1075" s="4">
        <v>0.0067530686412837</v>
      </c>
      <c r="AJ1075" s="4">
        <v>0.001445</v>
      </c>
      <c r="AK1075" s="4">
        <f>Weights!E1131</f>
        <v>0.003860288982</v>
      </c>
      <c r="AL1075" s="5">
        <v>0.00111460240273375</v>
      </c>
      <c r="AM1075" s="5">
        <v>0.00116654661075554</v>
      </c>
      <c r="AN1075" s="5">
        <v>0.0098595290055623</v>
      </c>
      <c r="AO1075" s="5">
        <v>0.00935623118033413</v>
      </c>
      <c r="AP1075" s="6">
        <f t="shared" si="3"/>
        <v>1.729073932</v>
      </c>
      <c r="AQ1075" s="4">
        <f t="shared" si="4"/>
        <v>1.612556464</v>
      </c>
      <c r="AR1075" s="7">
        <f t="shared" si="5"/>
        <v>1.562375292</v>
      </c>
      <c r="AS1075" s="7">
        <f t="shared" ref="AS1075:AU1075" si="1077">AS1074*(1+AM1075)</f>
        <v>1.685743397</v>
      </c>
      <c r="AT1075" s="5">
        <f t="shared" si="1077"/>
        <v>1.495870272</v>
      </c>
      <c r="AU1075" s="5">
        <f t="shared" si="1077"/>
        <v>1.490857509</v>
      </c>
    </row>
    <row r="1076" ht="15.75" customHeight="1">
      <c r="A1076" s="3">
        <v>45392.0</v>
      </c>
      <c r="B1076" s="4">
        <v>-0.013398</v>
      </c>
      <c r="C1076" s="4">
        <v>-0.007835</v>
      </c>
      <c r="D1076" s="4">
        <v>-0.025279</v>
      </c>
      <c r="E1076" s="4">
        <v>-0.00973</v>
      </c>
      <c r="F1076" s="4">
        <v>-0.013396</v>
      </c>
      <c r="G1076" s="4">
        <v>-0.013724</v>
      </c>
      <c r="H1076" s="4">
        <v>0.003702</v>
      </c>
      <c r="I1076" s="4">
        <v>-0.022084</v>
      </c>
      <c r="J1076" s="4">
        <v>-0.026504</v>
      </c>
      <c r="K1076" s="4">
        <v>-0.025224</v>
      </c>
      <c r="L1076" s="4">
        <v>-0.017902</v>
      </c>
      <c r="M1076" s="4">
        <v>-0.022709</v>
      </c>
      <c r="N1076" s="4">
        <v>-0.013539</v>
      </c>
      <c r="O1076" s="4">
        <v>-0.002419</v>
      </c>
      <c r="P1076" s="4">
        <v>-0.015377</v>
      </c>
      <c r="Q1076" s="4">
        <v>-0.043189</v>
      </c>
      <c r="R1076" s="4">
        <v>-0.007407</v>
      </c>
      <c r="S1076" s="4">
        <v>0.006078</v>
      </c>
      <c r="T1076" s="4">
        <v>-0.008505</v>
      </c>
      <c r="U1076" s="4">
        <v>2.97E-4</v>
      </c>
      <c r="V1076" s="4">
        <v>0.0182692076247528</v>
      </c>
      <c r="W1076" s="4">
        <v>0.0113324009751463</v>
      </c>
      <c r="X1076" s="4">
        <v>-0.004439451353189</v>
      </c>
      <c r="Y1076" s="4">
        <v>0.0022345049300454</v>
      </c>
      <c r="Z1076" s="4">
        <v>0.0057510979429651</v>
      </c>
      <c r="AA1076" s="4">
        <v>0.0337463797659018</v>
      </c>
      <c r="AB1076" s="4">
        <v>-0.002406755100625</v>
      </c>
      <c r="AC1076" s="4">
        <v>0.0043057127666612</v>
      </c>
      <c r="AD1076" s="4">
        <v>0.0072552832486247</v>
      </c>
      <c r="AE1076" s="4">
        <v>0.0028890510965375</v>
      </c>
      <c r="AF1076" s="4">
        <v>-2.775982546009E-4</v>
      </c>
      <c r="AG1076" s="4">
        <v>0.0024865678045948</v>
      </c>
      <c r="AH1076" s="4">
        <v>-0.0063277304876724</v>
      </c>
      <c r="AI1076" s="4">
        <v>5.161649973031E-4</v>
      </c>
      <c r="AJ1076" s="4">
        <v>-0.009457</v>
      </c>
      <c r="AK1076" s="4">
        <f>Weights!E1132</f>
        <v>-0.00554424031</v>
      </c>
      <c r="AL1076" s="5">
        <v>7.65267606031461E-4</v>
      </c>
      <c r="AM1076" s="5">
        <v>0.00143701036500853</v>
      </c>
      <c r="AN1076" s="5">
        <v>0.0</v>
      </c>
      <c r="AO1076" s="5">
        <v>2.20652942042098E-4</v>
      </c>
      <c r="AP1076" s="6">
        <f t="shared" si="3"/>
        <v>1.71948753</v>
      </c>
      <c r="AQ1076" s="4">
        <f t="shared" si="4"/>
        <v>1.597306517</v>
      </c>
      <c r="AR1076" s="7">
        <f t="shared" si="5"/>
        <v>1.563570927</v>
      </c>
      <c r="AS1076" s="7">
        <f t="shared" ref="AS1076:AU1076" si="1078">AS1075*(1+AM1076)</f>
        <v>1.688165828</v>
      </c>
      <c r="AT1076" s="5">
        <f t="shared" si="1078"/>
        <v>1.495870272</v>
      </c>
      <c r="AU1076" s="5">
        <f t="shared" si="1078"/>
        <v>1.491186471</v>
      </c>
    </row>
    <row r="1077" ht="15.75" customHeight="1">
      <c r="A1077" s="3">
        <v>45393.0</v>
      </c>
      <c r="B1077" s="4">
        <v>-0.001235</v>
      </c>
      <c r="C1077" s="4">
        <v>-0.008885</v>
      </c>
      <c r="D1077" s="4">
        <v>-0.004068</v>
      </c>
      <c r="E1077" s="4">
        <v>-0.003492</v>
      </c>
      <c r="F1077" s="4">
        <v>0.002206</v>
      </c>
      <c r="G1077" s="4">
        <v>-0.009388</v>
      </c>
      <c r="H1077" s="4">
        <v>-0.008904</v>
      </c>
      <c r="I1077" s="4">
        <v>2.89E-4</v>
      </c>
      <c r="J1077" s="4">
        <v>-0.006545</v>
      </c>
      <c r="K1077" s="4">
        <v>0.003473</v>
      </c>
      <c r="L1077" s="4">
        <v>-0.005746</v>
      </c>
      <c r="M1077" s="4">
        <v>-0.016183</v>
      </c>
      <c r="N1077" s="4">
        <v>-0.01525</v>
      </c>
      <c r="O1077" s="4">
        <v>-0.022136</v>
      </c>
      <c r="P1077" s="4">
        <v>2.56E-4</v>
      </c>
      <c r="Q1077" s="4">
        <v>0.052662</v>
      </c>
      <c r="R1077" s="4">
        <v>-0.003535</v>
      </c>
      <c r="S1077" s="4">
        <v>0.025531</v>
      </c>
      <c r="T1077" s="4">
        <v>-0.004239</v>
      </c>
      <c r="U1077" s="4">
        <v>-0.005166</v>
      </c>
      <c r="V1077" s="4">
        <v>-0.0141643611537338</v>
      </c>
      <c r="W1077" s="4">
        <v>0.0199207484779972</v>
      </c>
      <c r="X1077" s="4">
        <v>0.0</v>
      </c>
      <c r="Y1077" s="4">
        <v>8.003990436786E-4</v>
      </c>
      <c r="Z1077" s="4">
        <v>-0.0019927223241071</v>
      </c>
      <c r="AA1077" s="4">
        <v>-4.133348278582E-4</v>
      </c>
      <c r="AB1077" s="4">
        <v>0.0079613565201939</v>
      </c>
      <c r="AC1077" s="4">
        <v>0.0</v>
      </c>
      <c r="AD1077" s="4">
        <v>0.0</v>
      </c>
      <c r="AE1077" s="4">
        <v>-0.0152692785961915</v>
      </c>
      <c r="AF1077" s="4">
        <v>0.0385897536716055</v>
      </c>
      <c r="AG1077" s="4">
        <v>0.006527374221855</v>
      </c>
      <c r="AH1077" s="4">
        <v>0.0129717707888641</v>
      </c>
      <c r="AI1077" s="4">
        <v>0.0020628725755984</v>
      </c>
      <c r="AJ1077" s="4">
        <v>0.007445</v>
      </c>
      <c r="AK1077" s="4">
        <f>Weights!E1133</f>
        <v>0.0006532563175</v>
      </c>
      <c r="AL1077" s="5">
        <v>-0.0110546737699608</v>
      </c>
      <c r="AM1077" s="5">
        <v>-0.0111693518497861</v>
      </c>
      <c r="AN1077" s="5">
        <v>0.00443784899257271</v>
      </c>
      <c r="AO1077" s="5">
        <v>0.00441312506996771</v>
      </c>
      <c r="AP1077" s="6">
        <f t="shared" si="3"/>
        <v>1.720610796</v>
      </c>
      <c r="AQ1077" s="4">
        <f t="shared" si="4"/>
        <v>1.609198464</v>
      </c>
      <c r="AR1077" s="7">
        <f t="shared" si="5"/>
        <v>1.54628616</v>
      </c>
      <c r="AS1077" s="7">
        <f t="shared" ref="AS1077:AU1077" si="1079">AS1076*(1+AM1077)</f>
        <v>1.66931011</v>
      </c>
      <c r="AT1077" s="5">
        <f t="shared" si="1079"/>
        <v>1.502508718</v>
      </c>
      <c r="AU1077" s="5">
        <f t="shared" si="1079"/>
        <v>1.497767263</v>
      </c>
    </row>
    <row r="1078" ht="15.75" customHeight="1">
      <c r="A1078" s="3">
        <v>45394.0</v>
      </c>
      <c r="B1078" s="4">
        <v>-0.020396</v>
      </c>
      <c r="C1078" s="4">
        <v>-0.010956</v>
      </c>
      <c r="D1078" s="4">
        <v>-0.028338</v>
      </c>
      <c r="E1078" s="4">
        <v>-0.001544</v>
      </c>
      <c r="F1078" s="4">
        <v>-0.01304</v>
      </c>
      <c r="G1078" s="4">
        <v>-0.008535</v>
      </c>
      <c r="H1078" s="4">
        <v>-0.003273</v>
      </c>
      <c r="I1078" s="4">
        <v>-0.010709</v>
      </c>
      <c r="J1078" s="4">
        <v>-0.008696</v>
      </c>
      <c r="K1078" s="4">
        <v>-0.016442</v>
      </c>
      <c r="L1078" s="4">
        <v>-0.018234</v>
      </c>
      <c r="M1078" s="4">
        <v>-0.021932</v>
      </c>
      <c r="N1078" s="4">
        <v>-0.013744</v>
      </c>
      <c r="O1078" s="4">
        <v>-0.01926</v>
      </c>
      <c r="P1078" s="4">
        <v>-0.011006</v>
      </c>
      <c r="Q1078" s="4">
        <v>-0.001649</v>
      </c>
      <c r="R1078" s="4">
        <v>-0.02503</v>
      </c>
      <c r="S1078" s="4">
        <v>-0.015583</v>
      </c>
      <c r="T1078" s="4">
        <v>-0.014239</v>
      </c>
      <c r="U1078" s="4">
        <v>-0.002507</v>
      </c>
      <c r="V1078" s="4">
        <v>-9.57834799755863E-4</v>
      </c>
      <c r="W1078" s="4">
        <v>-0.013427937945788</v>
      </c>
      <c r="X1078" s="4">
        <v>0.0055866039310281</v>
      </c>
      <c r="Y1078" s="4">
        <v>0.0</v>
      </c>
      <c r="Z1078" s="4">
        <v>0.0</v>
      </c>
      <c r="AA1078" s="4">
        <v>0.0</v>
      </c>
      <c r="AB1078" s="4">
        <v>0.0</v>
      </c>
      <c r="AC1078" s="4">
        <v>0.0095745065420393</v>
      </c>
      <c r="AD1078" s="4">
        <v>0.0048134402134876</v>
      </c>
      <c r="AE1078" s="4">
        <v>0.0</v>
      </c>
      <c r="AF1078" s="4">
        <v>-0.0056135400667312</v>
      </c>
      <c r="AG1078" s="4">
        <v>0.0</v>
      </c>
      <c r="AH1078" s="4">
        <v>0.0</v>
      </c>
      <c r="AI1078" s="4">
        <v>0.0</v>
      </c>
      <c r="AJ1078" s="4">
        <v>-0.014551</v>
      </c>
      <c r="AK1078" s="4">
        <f>Weights!E1134</f>
        <v>-0.006701300985</v>
      </c>
      <c r="AL1078" s="5">
        <v>0.00688970890566098</v>
      </c>
      <c r="AM1078" s="5">
        <v>0.00678514515661943</v>
      </c>
      <c r="AN1078" s="5">
        <v>-0.00736369722063823</v>
      </c>
      <c r="AO1078" s="5">
        <v>-0.00681023744043285</v>
      </c>
      <c r="AP1078" s="6">
        <f t="shared" si="3"/>
        <v>1.709080465</v>
      </c>
      <c r="AQ1078" s="4">
        <f t="shared" si="4"/>
        <v>1.585783017</v>
      </c>
      <c r="AR1078" s="7">
        <f t="shared" si="5"/>
        <v>1.556939622</v>
      </c>
      <c r="AS1078" s="7">
        <f t="shared" ref="AS1078:AU1078" si="1080">AS1077*(1+AM1078)</f>
        <v>1.680636621</v>
      </c>
      <c r="AT1078" s="5">
        <f t="shared" si="1080"/>
        <v>1.491444699</v>
      </c>
      <c r="AU1078" s="5">
        <f t="shared" si="1080"/>
        <v>1.487567113</v>
      </c>
    </row>
    <row r="1079" ht="15.75" customHeight="1">
      <c r="A1079" s="3">
        <v>45397.0</v>
      </c>
      <c r="B1079" s="4">
        <v>-0.006309</v>
      </c>
      <c r="C1079" s="4">
        <v>0.009819</v>
      </c>
      <c r="D1079" s="4">
        <v>-0.003941</v>
      </c>
      <c r="E1079" s="4">
        <v>-0.006841</v>
      </c>
      <c r="F1079" s="4">
        <v>-0.002402</v>
      </c>
      <c r="G1079" s="4">
        <v>4.74E-4</v>
      </c>
      <c r="H1079" s="4">
        <v>7.73E-4</v>
      </c>
      <c r="I1079" s="4">
        <v>-0.01258</v>
      </c>
      <c r="J1079" s="4">
        <v>-0.002126</v>
      </c>
      <c r="K1079" s="4">
        <v>-0.004575</v>
      </c>
      <c r="L1079" s="4">
        <v>-0.006191</v>
      </c>
      <c r="M1079" s="4">
        <v>-0.009056</v>
      </c>
      <c r="N1079" s="4">
        <v>-0.004122</v>
      </c>
      <c r="O1079" s="4">
        <v>-0.004143</v>
      </c>
      <c r="P1079" s="4">
        <v>-0.005176</v>
      </c>
      <c r="Q1079" s="4">
        <v>-0.030837</v>
      </c>
      <c r="R1079" s="4">
        <v>0.011118</v>
      </c>
      <c r="S1079" s="4">
        <v>-0.011197</v>
      </c>
      <c r="T1079" s="4">
        <v>-0.002673</v>
      </c>
      <c r="U1079" s="4">
        <v>-0.008078</v>
      </c>
      <c r="V1079" s="4">
        <v>0.0124640248055858</v>
      </c>
      <c r="W1079" s="4">
        <v>-0.032845967680627</v>
      </c>
      <c r="X1079" s="4">
        <v>0.0077777591825149</v>
      </c>
      <c r="Y1079" s="4">
        <v>-0.0110820282451966</v>
      </c>
      <c r="Z1079" s="4">
        <v>-0.0034725876039144</v>
      </c>
      <c r="AA1079" s="4">
        <v>-0.0059941406760759</v>
      </c>
      <c r="AB1079" s="4">
        <v>0.0124462311526973</v>
      </c>
      <c r="AC1079" s="4">
        <v>-0.0179136457590527</v>
      </c>
      <c r="AD1079" s="4">
        <v>0.0251495548957316</v>
      </c>
      <c r="AE1079" s="4">
        <v>2.924483328903E-4</v>
      </c>
      <c r="AF1079" s="4">
        <v>-0.0115591300093118</v>
      </c>
      <c r="AG1079" s="4">
        <v>-0.0102462845423594</v>
      </c>
      <c r="AH1079" s="4">
        <v>-0.0046565728920244</v>
      </c>
      <c r="AI1079" s="4">
        <v>0.0025733595913763</v>
      </c>
      <c r="AJ1079" s="4">
        <v>-0.012021</v>
      </c>
      <c r="AK1079" s="4">
        <f>Weights!E1135</f>
        <v>-0.003846518976</v>
      </c>
      <c r="AL1079" s="5">
        <v>-0.0155703190630642</v>
      </c>
      <c r="AM1079" s="5">
        <v>-0.0144137685917554</v>
      </c>
      <c r="AN1079" s="5">
        <v>-0.00474771303957277</v>
      </c>
      <c r="AO1079" s="5">
        <v>-0.00420254779460049</v>
      </c>
      <c r="AP1079" s="6">
        <f t="shared" si="3"/>
        <v>1.702506455</v>
      </c>
      <c r="AQ1079" s="4">
        <f t="shared" si="4"/>
        <v>1.56672032</v>
      </c>
      <c r="AR1079" s="7">
        <f t="shared" si="5"/>
        <v>1.532697575</v>
      </c>
      <c r="AS1079" s="7">
        <f t="shared" ref="AS1079:AU1079" si="1081">AS1078*(1+AM1079)</f>
        <v>1.656412314</v>
      </c>
      <c r="AT1079" s="5">
        <f t="shared" si="1081"/>
        <v>1.484363748</v>
      </c>
      <c r="AU1079" s="5">
        <f t="shared" si="1081"/>
        <v>1.481315541</v>
      </c>
    </row>
    <row r="1080" ht="15.75" customHeight="1">
      <c r="A1080" s="3">
        <v>45398.0</v>
      </c>
      <c r="B1080" s="4">
        <v>-0.004444</v>
      </c>
      <c r="C1080" s="4">
        <v>-0.008477</v>
      </c>
      <c r="D1080" s="4">
        <v>-0.005539</v>
      </c>
      <c r="E1080" s="4">
        <v>0.003294</v>
      </c>
      <c r="F1080" s="4">
        <v>-0.001376</v>
      </c>
      <c r="G1080" s="4">
        <v>-0.021275</v>
      </c>
      <c r="H1080" s="4">
        <v>0.003216</v>
      </c>
      <c r="I1080" s="4">
        <v>-0.023111</v>
      </c>
      <c r="J1080" s="4">
        <v>-0.010655</v>
      </c>
      <c r="K1080" s="4">
        <v>-0.007778</v>
      </c>
      <c r="L1080" s="4">
        <v>-0.015523</v>
      </c>
      <c r="M1080" s="4">
        <v>-0.008703</v>
      </c>
      <c r="N1080" s="4">
        <v>-0.008475</v>
      </c>
      <c r="O1080" s="4">
        <v>-0.001243</v>
      </c>
      <c r="P1080" s="4">
        <v>-0.008585</v>
      </c>
      <c r="Q1080" s="4">
        <v>-0.009091</v>
      </c>
      <c r="R1080" s="4">
        <v>-0.012195</v>
      </c>
      <c r="S1080" s="4">
        <v>7.81E-4</v>
      </c>
      <c r="T1080" s="4">
        <v>-0.009793</v>
      </c>
      <c r="U1080" s="4">
        <v>-0.006636</v>
      </c>
      <c r="V1080" s="4">
        <v>0.00568181752479057</v>
      </c>
      <c r="W1080" s="4">
        <v>-0.0010466373508799</v>
      </c>
      <c r="X1080" s="4">
        <v>-0.0011025208607118</v>
      </c>
      <c r="Y1080" s="4">
        <v>0.0066427759099041</v>
      </c>
      <c r="Z1080" s="4">
        <v>0.0047042692352476</v>
      </c>
      <c r="AA1080" s="4">
        <v>0.0020794005250821</v>
      </c>
      <c r="AB1080" s="4">
        <v>0.0042552531029997</v>
      </c>
      <c r="AC1080" s="4">
        <v>0.0075107216790226</v>
      </c>
      <c r="AD1080" s="4">
        <v>-0.0198598064392168</v>
      </c>
      <c r="AE1080" s="4">
        <v>0.0061423603707664</v>
      </c>
      <c r="AF1080" s="4">
        <v>0.0087027764239548</v>
      </c>
      <c r="AG1080" s="4">
        <v>0.0110075861398497</v>
      </c>
      <c r="AH1080" s="4">
        <v>0.0116958392473223</v>
      </c>
      <c r="AI1080" s="4">
        <v>-0.0030803723190656</v>
      </c>
      <c r="AJ1080" s="4">
        <v>-0.002057</v>
      </c>
      <c r="AK1080" s="4">
        <f>Weights!E1136</f>
        <v>-0.002675993629</v>
      </c>
      <c r="AL1080" s="5">
        <v>-0.0102135068057821</v>
      </c>
      <c r="AM1080" s="5">
        <v>-0.0122924081479973</v>
      </c>
      <c r="AN1080" s="5">
        <v>-0.00894461809491165</v>
      </c>
      <c r="AO1080" s="5">
        <v>-0.00932912630776117</v>
      </c>
      <c r="AP1080" s="6">
        <f t="shared" si="3"/>
        <v>1.697950559</v>
      </c>
      <c r="AQ1080" s="4">
        <f t="shared" si="4"/>
        <v>1.563497576</v>
      </c>
      <c r="AR1080" s="7">
        <f t="shared" si="5"/>
        <v>1.517043358</v>
      </c>
      <c r="AS1080" s="7">
        <f t="shared" ref="AS1080:AU1080" si="1082">AS1079*(1+AM1080)</f>
        <v>1.636051018</v>
      </c>
      <c r="AT1080" s="5">
        <f t="shared" si="1082"/>
        <v>1.471086681</v>
      </c>
      <c r="AU1080" s="5">
        <f t="shared" si="1082"/>
        <v>1.467496161</v>
      </c>
    </row>
    <row r="1081" ht="15.75" customHeight="1">
      <c r="A1081" s="3">
        <v>45399.0</v>
      </c>
      <c r="B1081" s="4">
        <v>0.005102</v>
      </c>
      <c r="C1081" s="4">
        <v>2.51E-4</v>
      </c>
      <c r="D1081" s="4">
        <v>0.00504</v>
      </c>
      <c r="E1081" s="4">
        <v>0.011821</v>
      </c>
      <c r="F1081" s="4">
        <v>0.007751</v>
      </c>
      <c r="G1081" s="4">
        <v>0.002215</v>
      </c>
      <c r="H1081" s="4">
        <v>0.006476</v>
      </c>
      <c r="I1081" s="4">
        <v>0.010919</v>
      </c>
      <c r="J1081" s="4">
        <v>0.013463</v>
      </c>
      <c r="K1081" s="4">
        <v>0.012293</v>
      </c>
      <c r="L1081" s="4">
        <v>0.003942</v>
      </c>
      <c r="M1081" s="4">
        <v>0.001756</v>
      </c>
      <c r="N1081" s="4">
        <v>-0.001988</v>
      </c>
      <c r="O1081" s="4">
        <v>-0.059667</v>
      </c>
      <c r="P1081" s="4">
        <v>0.011808</v>
      </c>
      <c r="Q1081" s="4">
        <v>0.017202</v>
      </c>
      <c r="R1081" s="4">
        <v>0.008298</v>
      </c>
      <c r="S1081" s="4">
        <v>0.027507</v>
      </c>
      <c r="T1081" s="4">
        <v>0.003488</v>
      </c>
      <c r="U1081" s="4">
        <v>6.1E-5</v>
      </c>
      <c r="V1081" s="4">
        <v>-9.41600313491108E-4</v>
      </c>
      <c r="W1081" s="4">
        <v>0.0302711946306548</v>
      </c>
      <c r="X1081" s="4">
        <v>0.0</v>
      </c>
      <c r="Y1081" s="4">
        <v>0.0169277328989858</v>
      </c>
      <c r="Z1081" s="4">
        <v>0.0088442362204397</v>
      </c>
      <c r="AA1081" s="4">
        <v>-2.074830697808E-4</v>
      </c>
      <c r="AB1081" s="4">
        <v>0.0110641052027664</v>
      </c>
      <c r="AC1081" s="4">
        <v>0.0</v>
      </c>
      <c r="AD1081" s="4">
        <v>0.0</v>
      </c>
      <c r="AE1081" s="4">
        <v>0.0096434437715116</v>
      </c>
      <c r="AF1081" s="4">
        <v>0.0062011039268545</v>
      </c>
      <c r="AG1081" s="4">
        <v>-6.480944389816E-4</v>
      </c>
      <c r="AH1081" s="4">
        <v>4.625045010122E-4</v>
      </c>
      <c r="AI1081" s="4">
        <v>0.0036047862033454</v>
      </c>
      <c r="AJ1081" s="4">
        <v>-0.005781</v>
      </c>
      <c r="AK1081" s="4">
        <f>Weights!E1137</f>
        <v>0.005677677474</v>
      </c>
      <c r="AL1081" s="5">
        <v>-0.00408462891165206</v>
      </c>
      <c r="AM1081" s="5">
        <v>-0.0030014141337632</v>
      </c>
      <c r="AN1081" s="5">
        <v>-0.00691938094059274</v>
      </c>
      <c r="AO1081" s="5">
        <v>-0.00650220991493244</v>
      </c>
      <c r="AP1081" s="6">
        <f t="shared" si="3"/>
        <v>1.707590974</v>
      </c>
      <c r="AQ1081" s="4">
        <f t="shared" si="4"/>
        <v>1.554458997</v>
      </c>
      <c r="AR1081" s="7">
        <f t="shared" si="5"/>
        <v>1.510846799</v>
      </c>
      <c r="AS1081" s="7">
        <f t="shared" ref="AS1081:AU1081" si="1083">AS1080*(1+AM1081)</f>
        <v>1.631140551</v>
      </c>
      <c r="AT1081" s="5">
        <f t="shared" si="1083"/>
        <v>1.460907672</v>
      </c>
      <c r="AU1081" s="5">
        <f t="shared" si="1083"/>
        <v>1.457954193</v>
      </c>
    </row>
    <row r="1082" ht="15.75" customHeight="1">
      <c r="A1082" s="3">
        <v>45400.0</v>
      </c>
      <c r="B1082" s="4">
        <v>0.001269</v>
      </c>
      <c r="C1082" s="4">
        <v>0.008798</v>
      </c>
      <c r="D1082" s="4">
        <v>0.010821</v>
      </c>
      <c r="E1082" s="4">
        <v>0.016462</v>
      </c>
      <c r="F1082" s="4">
        <v>0.006836</v>
      </c>
      <c r="G1082" s="4">
        <v>0.0067</v>
      </c>
      <c r="H1082" s="4">
        <v>0.008515</v>
      </c>
      <c r="I1082" s="4">
        <v>0.017102</v>
      </c>
      <c r="J1082" s="4">
        <v>0.010893</v>
      </c>
      <c r="K1082" s="4">
        <v>0.007568</v>
      </c>
      <c r="L1082" s="4">
        <v>0.00124</v>
      </c>
      <c r="M1082" s="4">
        <v>0.00482</v>
      </c>
      <c r="N1082" s="4">
        <v>0.008962</v>
      </c>
      <c r="O1082" s="4">
        <v>0.021745</v>
      </c>
      <c r="P1082" s="4">
        <v>-2.59E-4</v>
      </c>
      <c r="Q1082" s="4">
        <v>0.001691</v>
      </c>
      <c r="R1082" s="4">
        <v>0.006825</v>
      </c>
      <c r="S1082" s="4">
        <v>3.8E-4</v>
      </c>
      <c r="T1082" s="4">
        <v>-0.010426</v>
      </c>
      <c r="U1082" s="4">
        <v>-0.001943</v>
      </c>
      <c r="V1082" s="4">
        <v>-0.0386428038141923</v>
      </c>
      <c r="W1082" s="4">
        <v>0.0091535818912862</v>
      </c>
      <c r="X1082" s="4">
        <v>0.0</v>
      </c>
      <c r="Y1082" s="4">
        <v>0.0026522379263478</v>
      </c>
      <c r="Z1082" s="4">
        <v>0.0041254405401665</v>
      </c>
      <c r="AA1082" s="4">
        <v>0.007887097628126</v>
      </c>
      <c r="AB1082" s="4">
        <v>-0.0086146328241699</v>
      </c>
      <c r="AC1082" s="4">
        <v>0.0</v>
      </c>
      <c r="AD1082" s="4">
        <v>0.0</v>
      </c>
      <c r="AE1082" s="4">
        <v>-0.0101300890186898</v>
      </c>
      <c r="AF1082" s="4">
        <v>-0.001875692621436</v>
      </c>
      <c r="AG1082" s="4">
        <v>0.0012970294755534</v>
      </c>
      <c r="AH1082" s="4">
        <v>-0.0154841483883686</v>
      </c>
      <c r="AI1082" s="4">
        <v>0.0033461961065133</v>
      </c>
      <c r="AJ1082" s="4">
        <v>-0.002208</v>
      </c>
      <c r="AK1082" s="4">
        <f>Weights!E1138</f>
        <v>0.001296985776</v>
      </c>
      <c r="AL1082" s="5">
        <v>-0.00330979104819595</v>
      </c>
      <c r="AM1082" s="5">
        <v>-0.00586014188626626</v>
      </c>
      <c r="AN1082" s="5">
        <v>-0.0054529268678054</v>
      </c>
      <c r="AO1082" s="5">
        <v>-0.0038367302157326</v>
      </c>
      <c r="AP1082" s="6">
        <f t="shared" si="3"/>
        <v>1.709805695</v>
      </c>
      <c r="AQ1082" s="4">
        <f t="shared" si="4"/>
        <v>1.551026751</v>
      </c>
      <c r="AR1082" s="7">
        <f t="shared" si="5"/>
        <v>1.505846212</v>
      </c>
      <c r="AS1082" s="7">
        <f t="shared" ref="AS1082:AU1082" si="1084">AS1081*(1+AM1082)</f>
        <v>1.621581836</v>
      </c>
      <c r="AT1082" s="5">
        <f t="shared" si="1084"/>
        <v>1.452941449</v>
      </c>
      <c r="AU1082" s="5">
        <f t="shared" si="1084"/>
        <v>1.452360416</v>
      </c>
    </row>
    <row r="1083" ht="15.75" customHeight="1">
      <c r="A1083" s="3">
        <v>45401.0</v>
      </c>
      <c r="B1083" s="4">
        <v>0.008872</v>
      </c>
      <c r="C1083" s="4">
        <v>0.008971</v>
      </c>
      <c r="D1083" s="4">
        <v>0.006266</v>
      </c>
      <c r="E1083" s="4">
        <v>0.010797</v>
      </c>
      <c r="F1083" s="4">
        <v>0.021389</v>
      </c>
      <c r="G1083" s="4">
        <v>0.01489</v>
      </c>
      <c r="H1083" s="4">
        <v>0.005404</v>
      </c>
      <c r="I1083" s="4">
        <v>0.028319</v>
      </c>
      <c r="J1083" s="4">
        <v>0.011038</v>
      </c>
      <c r="K1083" s="4">
        <v>0.014672</v>
      </c>
      <c r="L1083" s="4">
        <v>0.009907</v>
      </c>
      <c r="M1083" s="4">
        <v>0.006106</v>
      </c>
      <c r="N1083" s="4">
        <v>0.008883</v>
      </c>
      <c r="O1083" s="4">
        <v>0.006982</v>
      </c>
      <c r="P1083" s="4">
        <v>0.012192</v>
      </c>
      <c r="Q1083" s="4">
        <v>-0.006753</v>
      </c>
      <c r="R1083" s="4">
        <v>-0.010965</v>
      </c>
      <c r="S1083" s="4">
        <v>-7.59E-4</v>
      </c>
      <c r="T1083" s="4">
        <v>0.003093</v>
      </c>
      <c r="U1083" s="4">
        <v>0.004016</v>
      </c>
      <c r="V1083" s="4">
        <v>0.00490198015048815</v>
      </c>
      <c r="W1083" s="4">
        <v>-0.033258697391215</v>
      </c>
      <c r="X1083" s="4">
        <v>-0.0033407990696571</v>
      </c>
      <c r="Y1083" s="4">
        <v>5.627381604036E-4</v>
      </c>
      <c r="Z1083" s="4">
        <v>6.847814087664E-4</v>
      </c>
      <c r="AA1083" s="4">
        <v>-0.0341844799014368</v>
      </c>
      <c r="AB1083" s="4">
        <v>-0.0079849287537067</v>
      </c>
      <c r="AC1083" s="4">
        <v>-0.005319179774277</v>
      </c>
      <c r="AD1083" s="4">
        <v>-0.0036101335148416</v>
      </c>
      <c r="AE1083" s="4">
        <v>-0.0017545953783124</v>
      </c>
      <c r="AF1083" s="4">
        <v>-0.0026844746234518</v>
      </c>
      <c r="AG1083" s="4">
        <v>-0.009974066146722</v>
      </c>
      <c r="AH1083" s="4">
        <v>0.0091548252112074</v>
      </c>
      <c r="AI1083" s="4">
        <v>-5.129723483966E-4</v>
      </c>
      <c r="AJ1083" s="4">
        <v>-0.008759</v>
      </c>
      <c r="AK1083" s="4">
        <f>Weights!E1139</f>
        <v>0.001960023786</v>
      </c>
      <c r="AL1083" s="5">
        <v>-0.00295995639230151</v>
      </c>
      <c r="AM1083" s="5">
        <v>-0.00205908795764442</v>
      </c>
      <c r="AN1083" s="5">
        <v>9.13853972305478E-4</v>
      </c>
      <c r="AO1083" s="5">
        <v>2.26590658415348E-4</v>
      </c>
      <c r="AP1083" s="6">
        <f t="shared" si="3"/>
        <v>1.713156955</v>
      </c>
      <c r="AQ1083" s="4">
        <f t="shared" si="4"/>
        <v>1.537441308</v>
      </c>
      <c r="AR1083" s="7">
        <f t="shared" si="5"/>
        <v>1.501388972</v>
      </c>
      <c r="AS1083" s="7">
        <f t="shared" ref="AS1083:AU1083" si="1085">AS1082*(1+AM1083)</f>
        <v>1.618242856</v>
      </c>
      <c r="AT1083" s="5">
        <f t="shared" si="1085"/>
        <v>1.454269225</v>
      </c>
      <c r="AU1083" s="5">
        <f t="shared" si="1085"/>
        <v>1.452689507</v>
      </c>
    </row>
    <row r="1084" ht="15.75" customHeight="1">
      <c r="A1084" s="3">
        <v>45404.0</v>
      </c>
      <c r="B1084" s="4">
        <v>0.009422</v>
      </c>
      <c r="C1084" s="4">
        <v>-0.046678</v>
      </c>
      <c r="D1084" s="4">
        <v>0.014271</v>
      </c>
      <c r="E1084" s="4">
        <v>0.013381</v>
      </c>
      <c r="F1084" s="4">
        <v>0.006315</v>
      </c>
      <c r="G1084" s="4">
        <v>0.008181</v>
      </c>
      <c r="H1084" s="4">
        <v>0.015176</v>
      </c>
      <c r="I1084" s="4">
        <v>0.014056</v>
      </c>
      <c r="J1084" s="4">
        <v>0.014037</v>
      </c>
      <c r="K1084" s="4">
        <v>0.008091</v>
      </c>
      <c r="L1084" s="4">
        <v>0.013693</v>
      </c>
      <c r="M1084" s="4">
        <v>0.016905</v>
      </c>
      <c r="N1084" s="4">
        <v>0.009</v>
      </c>
      <c r="O1084" s="4">
        <v>0.008387</v>
      </c>
      <c r="P1084" s="4">
        <v>-0.03998</v>
      </c>
      <c r="Q1084" s="4">
        <v>-0.056091</v>
      </c>
      <c r="R1084" s="4">
        <v>-0.013304</v>
      </c>
      <c r="S1084" s="4">
        <v>-0.021463</v>
      </c>
      <c r="T1084" s="4">
        <v>0.001411</v>
      </c>
      <c r="U1084" s="4">
        <v>0.007575</v>
      </c>
      <c r="V1084" s="4">
        <v>-0.0126829647778619</v>
      </c>
      <c r="W1084" s="4">
        <v>0.0207344479264774</v>
      </c>
      <c r="X1084" s="4">
        <v>0.0044693006752729</v>
      </c>
      <c r="Y1084" s="4">
        <v>-7.311481635522E-4</v>
      </c>
      <c r="Z1084" s="4">
        <v>-0.0036780088475109</v>
      </c>
      <c r="AA1084" s="4">
        <v>0.0014924169157228</v>
      </c>
      <c r="AB1084" s="4">
        <v>0.0049715291179002</v>
      </c>
      <c r="AC1084" s="4">
        <v>0.002138998472144</v>
      </c>
      <c r="AD1084" s="4">
        <v>0.0072465263179299</v>
      </c>
      <c r="AE1084" s="4">
        <v>0.0038078692247391</v>
      </c>
      <c r="AF1084" s="4">
        <v>0.0029609296242367</v>
      </c>
      <c r="AG1084" s="4">
        <v>-0.002093480839296</v>
      </c>
      <c r="AH1084" s="4">
        <v>0.0037218589529148</v>
      </c>
      <c r="AI1084" s="4">
        <v>-0.003080437349632</v>
      </c>
      <c r="AJ1084" s="4">
        <v>0.008731</v>
      </c>
      <c r="AK1084" s="4">
        <f>Weights!E1140</f>
        <v>0.001540067459</v>
      </c>
      <c r="AL1084" s="5">
        <v>-0.00579248198617843</v>
      </c>
      <c r="AM1084" s="5">
        <v>-0.00784887467451456</v>
      </c>
      <c r="AN1084" s="5">
        <v>0.00243453939702043</v>
      </c>
      <c r="AO1084" s="5">
        <v>0.00113251874641839</v>
      </c>
      <c r="AP1084" s="6">
        <f t="shared" si="3"/>
        <v>1.715795332</v>
      </c>
      <c r="AQ1084" s="4">
        <f t="shared" si="4"/>
        <v>1.550864708</v>
      </c>
      <c r="AR1084" s="7">
        <f t="shared" si="5"/>
        <v>1.492692204</v>
      </c>
      <c r="AS1084" s="7">
        <f t="shared" ref="AS1084:AU1084" si="1086">AS1083*(1+AM1084)</f>
        <v>1.605541471</v>
      </c>
      <c r="AT1084" s="5">
        <f t="shared" si="1086"/>
        <v>1.457809701</v>
      </c>
      <c r="AU1084" s="5">
        <f t="shared" si="1086"/>
        <v>1.454334705</v>
      </c>
    </row>
    <row r="1085" ht="15.75" customHeight="1">
      <c r="A1085" s="3">
        <v>45405.0</v>
      </c>
      <c r="B1085" s="4">
        <v>0.008712</v>
      </c>
      <c r="C1085" s="4">
        <v>0.028497</v>
      </c>
      <c r="D1085" s="4">
        <v>0.012791</v>
      </c>
      <c r="E1085" s="4">
        <v>-0.029695</v>
      </c>
      <c r="F1085" s="4">
        <v>0.001486</v>
      </c>
      <c r="G1085" s="4">
        <v>0.002951</v>
      </c>
      <c r="H1085" s="4">
        <v>0.00598</v>
      </c>
      <c r="I1085" s="4">
        <v>0.00198</v>
      </c>
      <c r="J1085" s="4">
        <v>0.002307</v>
      </c>
      <c r="K1085" s="4">
        <v>0.006147</v>
      </c>
      <c r="L1085" s="4">
        <v>0.006552</v>
      </c>
      <c r="M1085" s="4">
        <v>0.005541</v>
      </c>
      <c r="N1085" s="4">
        <v>0.005429</v>
      </c>
      <c r="O1085" s="4">
        <v>0.021458</v>
      </c>
      <c r="P1085" s="4">
        <v>0.006674</v>
      </c>
      <c r="Q1085" s="4">
        <v>0.013805</v>
      </c>
      <c r="R1085" s="4">
        <v>-0.019612</v>
      </c>
      <c r="S1085" s="4">
        <v>0.018634</v>
      </c>
      <c r="T1085" s="4">
        <v>-0.08866</v>
      </c>
      <c r="U1085" s="4">
        <v>-6.01E-4</v>
      </c>
      <c r="V1085" s="4">
        <v>-0.0118577063175437</v>
      </c>
      <c r="W1085" s="4">
        <v>-0.0297322478567898</v>
      </c>
      <c r="X1085" s="4">
        <v>-0.0100111617144903</v>
      </c>
      <c r="Y1085" s="4">
        <v>-0.0085557700634149</v>
      </c>
      <c r="Z1085" s="4">
        <v>-0.0102164581529405</v>
      </c>
      <c r="AA1085" s="4">
        <v>4.259188440671E-4</v>
      </c>
      <c r="AB1085" s="4">
        <v>0.0036996629271444</v>
      </c>
      <c r="AC1085" s="4">
        <v>0.0</v>
      </c>
      <c r="AD1085" s="4">
        <v>-0.0023981306557327</v>
      </c>
      <c r="AE1085" s="4">
        <v>0.0113802730825776</v>
      </c>
      <c r="AF1085" s="4">
        <v>0.0072464176527065</v>
      </c>
      <c r="AG1085" s="4">
        <v>-0.0141601700387632</v>
      </c>
      <c r="AH1085" s="4">
        <v>-0.0095017123592322</v>
      </c>
      <c r="AI1085" s="4">
        <v>5.152322066741E-4</v>
      </c>
      <c r="AJ1085" s="4">
        <v>0.011965</v>
      </c>
      <c r="AK1085" s="4">
        <f>Weights!E1141</f>
        <v>-0.002106655589</v>
      </c>
      <c r="AL1085" s="5">
        <v>0.00873940188051047</v>
      </c>
      <c r="AM1085" s="5">
        <v>0.00982762094326883</v>
      </c>
      <c r="AN1085" s="5">
        <v>0.00607159687601099</v>
      </c>
      <c r="AO1085" s="5">
        <v>0.0047510557654915</v>
      </c>
      <c r="AP1085" s="6">
        <f t="shared" si="3"/>
        <v>1.712180743</v>
      </c>
      <c r="AQ1085" s="4">
        <f t="shared" si="4"/>
        <v>1.569420804</v>
      </c>
      <c r="AR1085" s="7">
        <f t="shared" si="5"/>
        <v>1.505737441</v>
      </c>
      <c r="AS1085" s="7">
        <f t="shared" ref="AS1085:AU1085" si="1087">AS1084*(1+AM1085)</f>
        <v>1.621320124</v>
      </c>
      <c r="AT1085" s="5">
        <f t="shared" si="1087"/>
        <v>1.466660934</v>
      </c>
      <c r="AU1085" s="5">
        <f t="shared" si="1087"/>
        <v>1.461244331</v>
      </c>
    </row>
    <row r="1086" ht="15.75" customHeight="1">
      <c r="A1086" s="3">
        <v>45406.0</v>
      </c>
      <c r="B1086" s="4">
        <v>-0.00802</v>
      </c>
      <c r="C1086" s="4">
        <v>-0.00529</v>
      </c>
      <c r="D1086" s="4">
        <v>-0.03612</v>
      </c>
      <c r="E1086" s="4">
        <v>0.036152</v>
      </c>
      <c r="F1086" s="4">
        <v>0.015007</v>
      </c>
      <c r="G1086" s="4">
        <v>-0.006887</v>
      </c>
      <c r="H1086" s="4">
        <v>0.006811</v>
      </c>
      <c r="I1086" s="4">
        <v>0.006776</v>
      </c>
      <c r="J1086" s="4">
        <v>0.001535</v>
      </c>
      <c r="K1086" s="4">
        <v>-0.004243</v>
      </c>
      <c r="L1086" s="4">
        <v>-0.015741</v>
      </c>
      <c r="M1086" s="4">
        <v>-0.004663</v>
      </c>
      <c r="N1086" s="4">
        <v>-0.002893</v>
      </c>
      <c r="O1086" s="4">
        <v>-0.002388</v>
      </c>
      <c r="P1086" s="4">
        <v>0.023601</v>
      </c>
      <c r="Q1086" s="4">
        <v>0.004144</v>
      </c>
      <c r="R1086" s="4">
        <v>0.005209</v>
      </c>
      <c r="S1086" s="4">
        <v>0.001524</v>
      </c>
      <c r="T1086" s="4">
        <v>-0.010765</v>
      </c>
      <c r="U1086" s="4">
        <v>6.0E-5</v>
      </c>
      <c r="V1086" s="4">
        <v>-0.0199999572606128</v>
      </c>
      <c r="W1086" s="4">
        <v>-0.0052631372247997</v>
      </c>
      <c r="X1086" s="4">
        <v>0.0</v>
      </c>
      <c r="Y1086" s="4">
        <v>-9.651623291456E-4</v>
      </c>
      <c r="Z1086" s="4">
        <v>-5.204297146377E-4</v>
      </c>
      <c r="AA1086" s="4">
        <v>0.0129814216896968</v>
      </c>
      <c r="AB1086" s="4">
        <v>-0.0059452212075915</v>
      </c>
      <c r="AC1086" s="4">
        <v>-0.0032016066194364</v>
      </c>
      <c r="AD1086" s="4">
        <v>0.0204326697544281</v>
      </c>
      <c r="AE1086" s="4">
        <v>0.0271205537499217</v>
      </c>
      <c r="AF1086" s="4">
        <v>-0.0231815484017551</v>
      </c>
      <c r="AG1086" s="4">
        <v>-0.0109056839859673</v>
      </c>
      <c r="AH1086" s="4">
        <v>-0.0051474758870353</v>
      </c>
      <c r="AI1086" s="4">
        <v>0.0025733976607489</v>
      </c>
      <c r="AJ1086" s="4">
        <v>2.13E-4</v>
      </c>
      <c r="AK1086" s="4">
        <f>Weights!E1142</f>
        <v>-0.0005652894454</v>
      </c>
      <c r="AL1086" s="5">
        <v>0.011190543736705</v>
      </c>
      <c r="AM1086" s="5">
        <v>0.0119124165624102</v>
      </c>
      <c r="AN1086" s="5">
        <v>0.00392293146430322</v>
      </c>
      <c r="AO1086" s="5">
        <v>0.00337766531960315</v>
      </c>
      <c r="AP1086" s="6">
        <f t="shared" si="3"/>
        <v>1.711212865</v>
      </c>
      <c r="AQ1086" s="4">
        <f t="shared" si="4"/>
        <v>1.569755091</v>
      </c>
      <c r="AR1086" s="7">
        <f t="shared" si="5"/>
        <v>1.522587462</v>
      </c>
      <c r="AS1086" s="7">
        <f t="shared" ref="AS1086:AU1086" si="1088">AS1085*(1+AM1086)</f>
        <v>1.640633965</v>
      </c>
      <c r="AT1086" s="5">
        <f t="shared" si="1088"/>
        <v>1.472414544</v>
      </c>
      <c r="AU1086" s="5">
        <f t="shared" si="1088"/>
        <v>1.466179925</v>
      </c>
    </row>
    <row r="1087" ht="15.75" customHeight="1">
      <c r="A1087" s="3">
        <v>45407.0</v>
      </c>
      <c r="B1087" s="4">
        <v>0.001244</v>
      </c>
      <c r="C1087" s="4">
        <v>-0.006837</v>
      </c>
      <c r="D1087" s="4">
        <v>-0.003145</v>
      </c>
      <c r="E1087" s="4">
        <v>-0.004115</v>
      </c>
      <c r="F1087" s="4">
        <v>0.003087</v>
      </c>
      <c r="G1087" s="4">
        <v>-0.011513</v>
      </c>
      <c r="H1087" s="4">
        <v>-3.08E-4</v>
      </c>
      <c r="I1087" s="4">
        <v>0.016826</v>
      </c>
      <c r="J1087" s="4">
        <v>0.004086</v>
      </c>
      <c r="K1087" s="4">
        <v>0.0075</v>
      </c>
      <c r="L1087" s="4">
        <v>0.004215</v>
      </c>
      <c r="M1087" s="4">
        <v>-0.004685</v>
      </c>
      <c r="N1087" s="4">
        <v>-0.00735</v>
      </c>
      <c r="O1087" s="4">
        <v>-0.001959</v>
      </c>
      <c r="P1087" s="4">
        <v>0.124611</v>
      </c>
      <c r="Q1087" s="4">
        <v>0.025943</v>
      </c>
      <c r="R1087" s="4">
        <v>0.024046</v>
      </c>
      <c r="S1087" s="4">
        <v>0.02226</v>
      </c>
      <c r="T1087" s="4">
        <v>0.01806</v>
      </c>
      <c r="U1087" s="4">
        <v>-0.006018</v>
      </c>
      <c r="V1087" s="4">
        <v>0.0204081187636555</v>
      </c>
      <c r="W1087" s="4">
        <v>0.0351558162173251</v>
      </c>
      <c r="X1087" s="4">
        <v>0.0</v>
      </c>
      <c r="Y1087" s="4">
        <v>0.0040916745289341</v>
      </c>
      <c r="Z1087" s="4">
        <v>0.0151871149407969</v>
      </c>
      <c r="AA1087" s="4">
        <v>0.0063025905814073</v>
      </c>
      <c r="AB1087" s="4">
        <v>0.0031100500628835</v>
      </c>
      <c r="AC1087" s="4">
        <v>0.0</v>
      </c>
      <c r="AD1087" s="4">
        <v>0.0</v>
      </c>
      <c r="AE1087" s="4">
        <v>-0.0044943373989163</v>
      </c>
      <c r="AF1087" s="4">
        <v>0.0103655232568014</v>
      </c>
      <c r="AG1087" s="4">
        <v>-0.0071265126543331</v>
      </c>
      <c r="AH1087" s="4">
        <v>-0.0169332147595235</v>
      </c>
      <c r="AI1087" s="4">
        <v>0.0020534542988961</v>
      </c>
      <c r="AJ1087" s="4">
        <v>-0.004576</v>
      </c>
      <c r="AK1087" s="4">
        <f>Weights!E1143</f>
        <v>0.006416161556</v>
      </c>
      <c r="AL1087" s="5">
        <v>-7.85375950355216E-4</v>
      </c>
      <c r="AM1087" s="5">
        <v>2.39370815754647E-4</v>
      </c>
      <c r="AN1087" s="5">
        <v>0.00631184396452089</v>
      </c>
      <c r="AO1087" s="5">
        <v>0.00561049183563944</v>
      </c>
      <c r="AP1087" s="6">
        <f t="shared" si="3"/>
        <v>1.722192283</v>
      </c>
      <c r="AQ1087" s="4">
        <f t="shared" si="4"/>
        <v>1.562571892</v>
      </c>
      <c r="AR1087" s="7">
        <f t="shared" si="5"/>
        <v>1.521391658</v>
      </c>
      <c r="AS1087" s="7">
        <f t="shared" ref="AS1087:AU1087" si="1089">AS1086*(1+AM1087)</f>
        <v>1.641026685</v>
      </c>
      <c r="AT1087" s="5">
        <f t="shared" si="1089"/>
        <v>1.481708195</v>
      </c>
      <c r="AU1087" s="5">
        <f t="shared" si="1089"/>
        <v>1.474405916</v>
      </c>
    </row>
    <row r="1088" ht="15.75" customHeight="1">
      <c r="A1088" s="3">
        <v>45408.0</v>
      </c>
      <c r="B1088" s="4">
        <v>-0.001863</v>
      </c>
      <c r="C1088" s="4">
        <v>0.011729</v>
      </c>
      <c r="D1088" s="4">
        <v>-0.002103</v>
      </c>
      <c r="E1088" s="4">
        <v>-0.006226</v>
      </c>
      <c r="F1088" s="4">
        <v>0.0</v>
      </c>
      <c r="G1088" s="4">
        <v>-0.004632</v>
      </c>
      <c r="H1088" s="4">
        <v>-0.007752</v>
      </c>
      <c r="I1088" s="4">
        <v>-0.012135</v>
      </c>
      <c r="J1088" s="4">
        <v>-0.006612</v>
      </c>
      <c r="K1088" s="4">
        <v>0.004568</v>
      </c>
      <c r="L1088" s="4">
        <v>0.004914</v>
      </c>
      <c r="M1088" s="4">
        <v>0.004279</v>
      </c>
      <c r="N1088" s="4">
        <v>0.00682</v>
      </c>
      <c r="O1088" s="4">
        <v>0.188856</v>
      </c>
      <c r="P1088" s="4">
        <v>-0.015665</v>
      </c>
      <c r="Q1088" s="4">
        <v>0.007471</v>
      </c>
      <c r="R1088" s="4">
        <v>0.022267</v>
      </c>
      <c r="S1088" s="4">
        <v>0.005025</v>
      </c>
      <c r="T1088" s="4">
        <v>-0.002615</v>
      </c>
      <c r="U1088" s="4">
        <v>-0.010292</v>
      </c>
      <c r="V1088" s="4">
        <v>-0.00949998885723124</v>
      </c>
      <c r="W1088" s="4">
        <v>-0.0331667477773837</v>
      </c>
      <c r="X1088" s="4">
        <v>-0.0148232384741366</v>
      </c>
      <c r="Y1088" s="4">
        <v>-0.0040750009513361</v>
      </c>
      <c r="Z1088" s="4">
        <v>7.692680973849E-4</v>
      </c>
      <c r="AA1088" s="4">
        <v>0.0035489085725655</v>
      </c>
      <c r="AB1088" s="4">
        <v>0.0124016305596319</v>
      </c>
      <c r="AC1088" s="4">
        <v>-0.0021505845210479</v>
      </c>
      <c r="AD1088" s="4">
        <v>-0.0225921814380055</v>
      </c>
      <c r="AE1088" s="4">
        <v>0.0079007080026027</v>
      </c>
      <c r="AF1088" s="4">
        <v>0.0</v>
      </c>
      <c r="AG1088" s="4">
        <v>6.770382692451E-4</v>
      </c>
      <c r="AH1088" s="4">
        <v>0.0093301521372972</v>
      </c>
      <c r="AI1088" s="4">
        <v>-0.0010244699065412</v>
      </c>
      <c r="AJ1088" s="4">
        <v>0.010209</v>
      </c>
      <c r="AK1088" s="4">
        <f>Weights!E1144</f>
        <v>0.0008921597584</v>
      </c>
      <c r="AL1088" s="5">
        <v>-0.00357282738771458</v>
      </c>
      <c r="AM1088" s="5">
        <v>-0.00474758807866959</v>
      </c>
      <c r="AN1088" s="5">
        <v>-0.00686977987662262</v>
      </c>
      <c r="AO1088" s="5">
        <v>-0.00513278454284427</v>
      </c>
      <c r="AP1088" s="6">
        <f t="shared" si="3"/>
        <v>1.723728754</v>
      </c>
      <c r="AQ1088" s="4">
        <f t="shared" si="4"/>
        <v>1.578524188</v>
      </c>
      <c r="AR1088" s="7">
        <f t="shared" si="5"/>
        <v>1.515955988</v>
      </c>
      <c r="AS1088" s="7">
        <f t="shared" ref="AS1088:AU1088" si="1090">AS1087*(1+AM1088)</f>
        <v>1.633235766</v>
      </c>
      <c r="AT1088" s="5">
        <f t="shared" si="1090"/>
        <v>1.471529186</v>
      </c>
      <c r="AU1088" s="5">
        <f t="shared" si="1090"/>
        <v>1.466838108</v>
      </c>
    </row>
    <row r="1089" ht="15.75" customHeight="1">
      <c r="A1089" s="3">
        <v>45411.0</v>
      </c>
      <c r="B1089" s="4">
        <v>0.003734</v>
      </c>
      <c r="C1089" s="4">
        <v>0.010333</v>
      </c>
      <c r="D1089" s="4">
        <v>0.005796</v>
      </c>
      <c r="E1089" s="4">
        <v>0.003189</v>
      </c>
      <c r="F1089" s="4">
        <v>0.004859</v>
      </c>
      <c r="G1089" s="4">
        <v>0.004653</v>
      </c>
      <c r="H1089" s="4">
        <v>0.002294</v>
      </c>
      <c r="I1089" s="4">
        <v>0.003908</v>
      </c>
      <c r="J1089" s="4">
        <v>0.013057</v>
      </c>
      <c r="K1089" s="4">
        <v>-8.42E-4</v>
      </c>
      <c r="L1089" s="4">
        <v>-0.001732</v>
      </c>
      <c r="M1089" s="4">
        <v>0.005965</v>
      </c>
      <c r="N1089" s="4">
        <v>-0.001161</v>
      </c>
      <c r="O1089" s="4">
        <v>-0.00399</v>
      </c>
      <c r="P1089" s="4">
        <v>-0.010999</v>
      </c>
      <c r="Q1089" s="4">
        <v>0.020536</v>
      </c>
      <c r="R1089" s="4">
        <v>0.037822</v>
      </c>
      <c r="S1089" s="4">
        <v>-0.008148</v>
      </c>
      <c r="T1089" s="4">
        <v>-0.001026</v>
      </c>
      <c r="U1089" s="4">
        <v>0.007157</v>
      </c>
      <c r="V1089" s="4">
        <v>-0.00302877300451265</v>
      </c>
      <c r="W1089" s="4">
        <v>8.223874727422E-4</v>
      </c>
      <c r="X1089" s="4">
        <v>0.0</v>
      </c>
      <c r="Y1089" s="4">
        <v>0.0012503031571</v>
      </c>
      <c r="Z1089" s="4">
        <v>0.0025626496180302</v>
      </c>
      <c r="AA1089" s="4">
        <v>0.0029124404211604</v>
      </c>
      <c r="AB1089" s="4">
        <v>0.0115429282602104</v>
      </c>
      <c r="AC1089" s="4">
        <v>0.0</v>
      </c>
      <c r="AD1089" s="4">
        <v>0.0</v>
      </c>
      <c r="AE1089" s="4">
        <v>-0.0095184905601287</v>
      </c>
      <c r="AF1089" s="4">
        <v>0.0151188423254804</v>
      </c>
      <c r="AG1089" s="4">
        <v>-0.0024359910005224</v>
      </c>
      <c r="AH1089" s="4">
        <v>-0.0194358334715961</v>
      </c>
      <c r="AI1089" s="4">
        <v>0.0030766638198731</v>
      </c>
      <c r="AJ1089" s="4">
        <v>0.003178</v>
      </c>
      <c r="AK1089" s="4">
        <f>Weights!E1145</f>
        <v>0.002092274406</v>
      </c>
      <c r="AL1089" s="5">
        <v>0.0096809900417818</v>
      </c>
      <c r="AM1089" s="5">
        <v>0.00930001526787682</v>
      </c>
      <c r="AN1089" s="5">
        <v>3.00829333119478E-4</v>
      </c>
      <c r="AO1089" s="5">
        <v>6.72886454748944E-4</v>
      </c>
      <c r="AP1089" s="6">
        <f t="shared" si="3"/>
        <v>1.727335267</v>
      </c>
      <c r="AQ1089" s="4">
        <f t="shared" si="4"/>
        <v>1.583540738</v>
      </c>
      <c r="AR1089" s="7">
        <f t="shared" si="5"/>
        <v>1.530631943</v>
      </c>
      <c r="AS1089" s="7">
        <f t="shared" ref="AS1089:AU1089" si="1091">AS1088*(1+AM1089)</f>
        <v>1.648424883</v>
      </c>
      <c r="AT1089" s="5">
        <f t="shared" si="1091"/>
        <v>1.471971865</v>
      </c>
      <c r="AU1089" s="5">
        <f t="shared" si="1091"/>
        <v>1.467825123</v>
      </c>
    </row>
    <row r="1090" ht="15.75" customHeight="1">
      <c r="A1090" s="3">
        <v>45412.0</v>
      </c>
      <c r="B1090" s="4">
        <v>-0.00372</v>
      </c>
      <c r="C1090" s="4">
        <v>-0.014966</v>
      </c>
      <c r="D1090" s="4">
        <v>-0.018596</v>
      </c>
      <c r="E1090" s="4">
        <v>-0.001306</v>
      </c>
      <c r="F1090" s="4">
        <v>-0.004352</v>
      </c>
      <c r="G1090" s="4">
        <v>-0.015189</v>
      </c>
      <c r="H1090" s="4">
        <v>0.009526</v>
      </c>
      <c r="I1090" s="4">
        <v>-0.01168</v>
      </c>
      <c r="J1090" s="4">
        <v>-0.007076</v>
      </c>
      <c r="K1090" s="4">
        <v>-1.69E-4</v>
      </c>
      <c r="L1090" s="4">
        <v>-0.011838</v>
      </c>
      <c r="M1090" s="4">
        <v>-0.012283</v>
      </c>
      <c r="N1090" s="4">
        <v>-0.011044</v>
      </c>
      <c r="O1090" s="4">
        <v>-0.014734</v>
      </c>
      <c r="P1090" s="4">
        <v>-0.038334</v>
      </c>
      <c r="Q1090" s="4">
        <v>-0.096143</v>
      </c>
      <c r="R1090" s="4">
        <v>-0.047128</v>
      </c>
      <c r="S1090" s="4">
        <v>-0.026512</v>
      </c>
      <c r="T1090" s="4">
        <v>-0.03829</v>
      </c>
      <c r="U1090" s="4">
        <v>-0.015548</v>
      </c>
      <c r="V1090" s="4">
        <v>0.0369620108218291</v>
      </c>
      <c r="W1090" s="4">
        <v>0.0373283290091823</v>
      </c>
      <c r="X1090" s="4">
        <v>0.0</v>
      </c>
      <c r="Y1090" s="4">
        <v>-0.0214719017516455</v>
      </c>
      <c r="Z1090" s="4">
        <v>0.0092016561763801</v>
      </c>
      <c r="AA1090" s="4">
        <v>0.0022817067941374</v>
      </c>
      <c r="AB1090" s="4">
        <v>0.0023288539399781</v>
      </c>
      <c r="AC1090" s="4">
        <v>-0.0032327428933501</v>
      </c>
      <c r="AD1090" s="4">
        <v>0.0060828011512097</v>
      </c>
      <c r="AE1090" s="4">
        <v>-0.0197852112799757</v>
      </c>
      <c r="AF1090" s="4">
        <v>0.0255319361728547</v>
      </c>
      <c r="AG1090" s="4">
        <v>0.0085470048470832</v>
      </c>
      <c r="AH1090" s="4">
        <v>-0.0079767927728223</v>
      </c>
      <c r="AI1090" s="4">
        <v>0.0</v>
      </c>
      <c r="AJ1090" s="4">
        <v>-0.015731</v>
      </c>
      <c r="AK1090" s="4">
        <f>Weights!E1146</f>
        <v>-0.006873771119</v>
      </c>
      <c r="AL1090" s="5">
        <v>0.00305404055626823</v>
      </c>
      <c r="AM1090" s="5">
        <v>0.00393202626518118</v>
      </c>
      <c r="AN1090" s="5">
        <v>0.0039085408535946</v>
      </c>
      <c r="AO1090" s="5">
        <v>0.00403495600394454</v>
      </c>
      <c r="AP1090" s="6">
        <f t="shared" si="3"/>
        <v>1.71546196</v>
      </c>
      <c r="AQ1090" s="4">
        <f t="shared" si="4"/>
        <v>1.558630058</v>
      </c>
      <c r="AR1090" s="7">
        <f t="shared" si="5"/>
        <v>1.535306555</v>
      </c>
      <c r="AS1090" s="7">
        <f t="shared" ref="AS1090:AU1090" si="1092">AS1089*(1+AM1090)</f>
        <v>1.654906533</v>
      </c>
      <c r="AT1090" s="5">
        <f t="shared" si="1092"/>
        <v>1.477725127</v>
      </c>
      <c r="AU1090" s="5">
        <f t="shared" si="1092"/>
        <v>1.473747733</v>
      </c>
    </row>
    <row r="1091" ht="15.75" customHeight="1">
      <c r="A1091" s="3">
        <v>45413.0</v>
      </c>
      <c r="B1091" s="4">
        <v>0.009956</v>
      </c>
      <c r="C1091" s="4">
        <v>-0.007344</v>
      </c>
      <c r="D1091" s="4">
        <v>-8.01E-4</v>
      </c>
      <c r="E1091" s="4">
        <v>-0.00432</v>
      </c>
      <c r="F1091" s="4">
        <v>0.00259</v>
      </c>
      <c r="G1091" s="4">
        <v>0.045577</v>
      </c>
      <c r="H1091" s="4">
        <v>0.001225</v>
      </c>
      <c r="I1091" s="4">
        <v>0.001407</v>
      </c>
      <c r="J1091" s="4">
        <v>0.005854</v>
      </c>
      <c r="K1091" s="4">
        <v>-0.01062</v>
      </c>
      <c r="L1091" s="4">
        <v>0.00568</v>
      </c>
      <c r="M1091" s="4">
        <v>0.01072</v>
      </c>
      <c r="N1091" s="4">
        <v>0.008817</v>
      </c>
      <c r="O1091" s="4">
        <v>0.004767</v>
      </c>
      <c r="P1091" s="4">
        <v>-0.001476</v>
      </c>
      <c r="Q1091" s="4">
        <v>0.013605</v>
      </c>
      <c r="R1091" s="4">
        <v>-6.01E-4</v>
      </c>
      <c r="S1091" s="4">
        <v>0.015919</v>
      </c>
      <c r="T1091" s="4">
        <v>8.31E-4</v>
      </c>
      <c r="U1091" s="4">
        <v>-1.85E-4</v>
      </c>
      <c r="V1091" s="4">
        <v>-0.00781245947345532</v>
      </c>
      <c r="W1091" s="4">
        <v>0.0509221936719666</v>
      </c>
      <c r="X1091" s="4">
        <v>-0.0069444406612286</v>
      </c>
      <c r="Y1091" s="4">
        <v>0.0120641791421969</v>
      </c>
      <c r="Z1091" s="4">
        <v>0.0221190756575384</v>
      </c>
      <c r="AA1091" s="4">
        <v>0.0103477685034427</v>
      </c>
      <c r="AB1091" s="4">
        <v>0.0167285875098806</v>
      </c>
      <c r="AC1091" s="4">
        <v>0.0064865414683097</v>
      </c>
      <c r="AD1091" s="4">
        <v>-0.0048367602078056</v>
      </c>
      <c r="AE1091" s="4">
        <v>-0.0049020799231221</v>
      </c>
      <c r="AF1091" s="4">
        <v>-0.0103734787997211</v>
      </c>
      <c r="AG1091" s="4">
        <v>-5.380306319059E-4</v>
      </c>
      <c r="AH1091" s="4">
        <v>-0.0029239969921149</v>
      </c>
      <c r="AI1091" s="4">
        <v>5.113404214196E-4</v>
      </c>
      <c r="AJ1091" s="4">
        <v>-0.003435</v>
      </c>
      <c r="AK1091" s="4">
        <f>Weights!E1147</f>
        <v>0.004442195729</v>
      </c>
      <c r="AL1091" s="5">
        <v>-0.0145862027782899</v>
      </c>
      <c r="AM1091" s="5">
        <v>-0.0164576476005656</v>
      </c>
      <c r="AN1091" s="5">
        <v>5.9890037461896E-4</v>
      </c>
      <c r="AO1091" s="5">
        <v>0.00156294096621079</v>
      </c>
      <c r="AP1091" s="6">
        <f t="shared" si="3"/>
        <v>1.723082378</v>
      </c>
      <c r="AQ1091" s="4">
        <f t="shared" si="4"/>
        <v>1.553276164</v>
      </c>
      <c r="AR1091" s="7">
        <f t="shared" si="5"/>
        <v>1.512912262</v>
      </c>
      <c r="AS1091" s="7">
        <f t="shared" ref="AS1091:AU1091" si="1093">AS1090*(1+AM1091)</f>
        <v>1.627670665</v>
      </c>
      <c r="AT1091" s="5">
        <f t="shared" si="1093"/>
        <v>1.478610137</v>
      </c>
      <c r="AU1091" s="5">
        <f t="shared" si="1093"/>
        <v>1.476051114</v>
      </c>
    </row>
    <row r="1092" ht="15.75" customHeight="1">
      <c r="A1092" s="3">
        <v>45414.0</v>
      </c>
      <c r="B1092" s="4">
        <v>0.008626</v>
      </c>
      <c r="C1092" s="4">
        <v>-0.006888</v>
      </c>
      <c r="D1092" s="4">
        <v>0.012553</v>
      </c>
      <c r="E1092" s="4">
        <v>0.001713</v>
      </c>
      <c r="F1092" s="4">
        <v>9.69E-4</v>
      </c>
      <c r="G1092" s="4">
        <v>-0.008334</v>
      </c>
      <c r="H1092" s="4">
        <v>0.002693</v>
      </c>
      <c r="I1092" s="4">
        <v>0.023321</v>
      </c>
      <c r="J1092" s="4">
        <v>0.006579</v>
      </c>
      <c r="K1092" s="4">
        <v>-0.010394</v>
      </c>
      <c r="L1092" s="4">
        <v>0.018895</v>
      </c>
      <c r="M1092" s="4">
        <v>0.005516</v>
      </c>
      <c r="N1092" s="4">
        <v>0.01107</v>
      </c>
      <c r="O1092" s="4">
        <v>0.014604</v>
      </c>
      <c r="P1092" s="4">
        <v>0.011582</v>
      </c>
      <c r="Q1092" s="4">
        <v>-6.1E-4</v>
      </c>
      <c r="R1092" s="4">
        <v>-0.022641</v>
      </c>
      <c r="S1092" s="4">
        <v>0.001133</v>
      </c>
      <c r="T1092" s="4">
        <v>0.010968</v>
      </c>
      <c r="U1092" s="4">
        <v>0.008022</v>
      </c>
      <c r="V1092" s="4">
        <v>0.0334645422051131</v>
      </c>
      <c r="W1092" s="4">
        <v>-0.0036609850291415</v>
      </c>
      <c r="X1092" s="4">
        <v>0.0</v>
      </c>
      <c r="Y1092" s="4">
        <v>2.303952090731E-4</v>
      </c>
      <c r="Z1092" s="4">
        <v>8.25444344112469E-5</v>
      </c>
      <c r="AA1092" s="4">
        <v>-4.097789047398E-4</v>
      </c>
      <c r="AB1092" s="4">
        <v>-0.0148536689832704</v>
      </c>
      <c r="AC1092" s="4">
        <v>0.0</v>
      </c>
      <c r="AD1092" s="4">
        <v>0.0</v>
      </c>
      <c r="AE1092" s="4">
        <v>-0.0020283213128383</v>
      </c>
      <c r="AF1092" s="4">
        <v>0.005241043931689</v>
      </c>
      <c r="AG1092" s="4">
        <v>0.0103633629577681</v>
      </c>
      <c r="AH1092" s="4">
        <v>-7.330846912665E-4</v>
      </c>
      <c r="AI1092" s="4">
        <v>0.001533033478533</v>
      </c>
      <c r="AJ1092" s="4">
        <v>0.009128</v>
      </c>
      <c r="AK1092" s="4">
        <f>Weights!E1148</f>
        <v>0.004023173054</v>
      </c>
      <c r="AL1092" s="5">
        <v>-0.0040956709378086</v>
      </c>
      <c r="AM1092" s="5">
        <v>-0.00249382018631527</v>
      </c>
      <c r="AN1092" s="5">
        <v>-0.0116730976957195</v>
      </c>
      <c r="AO1092" s="5">
        <v>-0.0127063570651252</v>
      </c>
      <c r="AP1092" s="6">
        <f t="shared" si="3"/>
        <v>1.730014636</v>
      </c>
      <c r="AQ1092" s="4">
        <f t="shared" si="4"/>
        <v>1.567454469</v>
      </c>
      <c r="AR1092" s="7">
        <f t="shared" si="5"/>
        <v>1.506715872</v>
      </c>
      <c r="AS1092" s="7">
        <f t="shared" ref="AS1092:AU1092" si="1094">AS1091*(1+AM1092)</f>
        <v>1.623611547</v>
      </c>
      <c r="AT1092" s="5">
        <f t="shared" si="1094"/>
        <v>1.461350177</v>
      </c>
      <c r="AU1092" s="5">
        <f t="shared" si="1094"/>
        <v>1.457295881</v>
      </c>
    </row>
    <row r="1093" ht="15.75" customHeight="1">
      <c r="A1093" s="3">
        <v>45415.0</v>
      </c>
      <c r="B1093" s="4">
        <v>6.11E-4</v>
      </c>
      <c r="C1093" s="4">
        <v>-0.001028</v>
      </c>
      <c r="D1093" s="4">
        <v>0.013717</v>
      </c>
      <c r="E1093" s="4">
        <v>0.00399</v>
      </c>
      <c r="F1093" s="4">
        <v>0.002904</v>
      </c>
      <c r="G1093" s="4">
        <v>-0.004336</v>
      </c>
      <c r="H1093" s="4">
        <v>0.003784</v>
      </c>
      <c r="I1093" s="4">
        <v>-0.002197</v>
      </c>
      <c r="J1093" s="4">
        <v>0.003268</v>
      </c>
      <c r="K1093" s="4">
        <v>-0.058884</v>
      </c>
      <c r="L1093" s="4">
        <v>0.019653</v>
      </c>
      <c r="M1093" s="4">
        <v>0.01308</v>
      </c>
      <c r="N1093" s="4">
        <v>0.008068</v>
      </c>
      <c r="O1093" s="4">
        <v>-0.005363</v>
      </c>
      <c r="P1093" s="4">
        <v>-0.009501</v>
      </c>
      <c r="Q1093" s="4">
        <v>0.004274</v>
      </c>
      <c r="R1093" s="4">
        <v>0.034235</v>
      </c>
      <c r="S1093" s="4">
        <v>-0.006411</v>
      </c>
      <c r="T1093" s="4">
        <v>0.019939</v>
      </c>
      <c r="U1093" s="4">
        <v>0.00502</v>
      </c>
      <c r="V1093" s="4">
        <v>-0.00952373088444591</v>
      </c>
      <c r="W1093" s="4">
        <v>1.081415404515E-4</v>
      </c>
      <c r="X1093" s="4">
        <v>-0.0011710360205645</v>
      </c>
      <c r="Y1093" s="4">
        <v>-0.0014392567124079</v>
      </c>
      <c r="Z1093" s="4">
        <v>-0.0020647728099632</v>
      </c>
      <c r="AA1093" s="4">
        <v>0.0014344785137403</v>
      </c>
      <c r="AB1093" s="4">
        <v>-0.0064950948383191</v>
      </c>
      <c r="AC1093" s="4">
        <v>0.0075107216790226</v>
      </c>
      <c r="AD1093" s="4">
        <v>-0.0193939417957834</v>
      </c>
      <c r="AE1093" s="4">
        <v>-0.0055168425200635</v>
      </c>
      <c r="AF1093" s="4">
        <v>-0.012773686966181</v>
      </c>
      <c r="AG1093" s="4">
        <v>0.0115891682262416</v>
      </c>
      <c r="AH1093" s="4">
        <v>0.0036683457226636</v>
      </c>
      <c r="AI1093" s="4">
        <v>-0.0015306868842942</v>
      </c>
      <c r="AJ1093" s="4">
        <v>0.012557</v>
      </c>
      <c r="AK1093" s="6">
        <f>Weights!E1149</f>
        <v>0.0000519986738</v>
      </c>
      <c r="AL1093" s="5">
        <v>0.010678166494199</v>
      </c>
      <c r="AM1093" s="5">
        <v>0.0103633207722615</v>
      </c>
      <c r="AN1093" s="5">
        <v>3.02805633566549E-4</v>
      </c>
      <c r="AO1093" s="5">
        <v>2.2582325743703E-4</v>
      </c>
      <c r="AP1093" s="6">
        <f t="shared" si="3"/>
        <v>1.730104595</v>
      </c>
      <c r="AQ1093" s="4">
        <f t="shared" si="4"/>
        <v>1.587136995</v>
      </c>
      <c r="AR1093" s="7">
        <f t="shared" si="5"/>
        <v>1.522804835</v>
      </c>
      <c r="AS1093" s="7">
        <f t="shared" ref="AS1093:AU1093" si="1095">AS1092*(1+AM1093)</f>
        <v>1.640437554</v>
      </c>
      <c r="AT1093" s="5">
        <f t="shared" si="1095"/>
        <v>1.461792682</v>
      </c>
      <c r="AU1093" s="5">
        <f t="shared" si="1095"/>
        <v>1.457624972</v>
      </c>
    </row>
    <row r="1094" ht="15.75" customHeight="1">
      <c r="A1094" s="3">
        <v>45418.0</v>
      </c>
      <c r="B1094" s="4">
        <v>0.004884</v>
      </c>
      <c r="C1094" s="4">
        <v>0.011314</v>
      </c>
      <c r="D1094" s="4">
        <v>0.008327</v>
      </c>
      <c r="E1094" s="4">
        <v>-0.001873</v>
      </c>
      <c r="F1094" s="4">
        <v>0.002895</v>
      </c>
      <c r="G1094" s="4">
        <v>-0.004623</v>
      </c>
      <c r="H1094" s="4">
        <v>-1.22E-4</v>
      </c>
      <c r="I1094" s="4">
        <v>0.009081</v>
      </c>
      <c r="J1094" s="4">
        <v>0.00451</v>
      </c>
      <c r="K1094" s="4">
        <v>0.005671</v>
      </c>
      <c r="L1094" s="4">
        <v>0.006425</v>
      </c>
      <c r="M1094" s="4">
        <v>0.017909</v>
      </c>
      <c r="N1094" s="4">
        <v>0.012767</v>
      </c>
      <c r="O1094" s="4">
        <v>-1.84E-4</v>
      </c>
      <c r="P1094" s="4">
        <v>0.017954</v>
      </c>
      <c r="Q1094" s="4">
        <v>0.006687</v>
      </c>
      <c r="R1094" s="4">
        <v>0.010704</v>
      </c>
      <c r="S1094" s="4">
        <v>0.020497</v>
      </c>
      <c r="T1094" s="4">
        <v>-0.016674</v>
      </c>
      <c r="U1094" s="4">
        <v>0.014801</v>
      </c>
      <c r="V1094" s="4">
        <v>0.0240384372649846</v>
      </c>
      <c r="W1094" s="4">
        <v>2.159958020022E-4</v>
      </c>
      <c r="X1094" s="4">
        <v>0.0035169509568311</v>
      </c>
      <c r="Y1094" s="4">
        <v>0.0105512059715913</v>
      </c>
      <c r="Z1094" s="4">
        <v>0.0113382974899558</v>
      </c>
      <c r="AA1094" s="4">
        <v>-0.0012277438953379</v>
      </c>
      <c r="AB1094" s="4">
        <v>-0.0074714540550082</v>
      </c>
      <c r="AC1094" s="4">
        <v>0.0021299719901339</v>
      </c>
      <c r="AD1094" s="4">
        <v>-0.0074166151132805</v>
      </c>
      <c r="AE1094" s="4">
        <v>0.0131386124578265</v>
      </c>
      <c r="AF1094" s="4">
        <v>0.0205968162688987</v>
      </c>
      <c r="AG1094" s="4">
        <v>-0.0096128615196245</v>
      </c>
      <c r="AH1094" s="4">
        <v>0.0124269291222942</v>
      </c>
      <c r="AI1094" s="4">
        <v>-0.0035767384840106</v>
      </c>
      <c r="AJ1094" s="4">
        <v>0.010326</v>
      </c>
      <c r="AK1094" s="4">
        <f>Weights!E1150</f>
        <v>0.005973264173</v>
      </c>
      <c r="AL1094" s="5">
        <v>0.0121359862027086</v>
      </c>
      <c r="AM1094" s="5">
        <v>0.0118534524656881</v>
      </c>
      <c r="AN1094" s="5">
        <v>0.00454130497586979</v>
      </c>
      <c r="AO1094" s="5">
        <v>0.0042889640438819</v>
      </c>
      <c r="AP1094" s="6">
        <f t="shared" si="3"/>
        <v>1.740438967</v>
      </c>
      <c r="AQ1094" s="4">
        <f t="shared" si="4"/>
        <v>1.603525771</v>
      </c>
      <c r="AR1094" s="7">
        <f t="shared" si="5"/>
        <v>1.541285573</v>
      </c>
      <c r="AS1094" s="7">
        <f t="shared" ref="AS1094:AU1094" si="1096">AS1093*(1+AM1094)</f>
        <v>1.659882403</v>
      </c>
      <c r="AT1094" s="5">
        <f t="shared" si="1096"/>
        <v>1.468431128</v>
      </c>
      <c r="AU1094" s="5">
        <f t="shared" si="1096"/>
        <v>1.463876674</v>
      </c>
    </row>
    <row r="1095" ht="15.75" customHeight="1">
      <c r="A1095" s="3">
        <v>45419.0</v>
      </c>
      <c r="B1095" s="4">
        <v>-0.001823</v>
      </c>
      <c r="C1095" s="4">
        <v>-5.09E-4</v>
      </c>
      <c r="D1095" s="4">
        <v>-0.009806</v>
      </c>
      <c r="E1095" s="4">
        <v>0.012513</v>
      </c>
      <c r="F1095" s="4">
        <v>0.00433</v>
      </c>
      <c r="G1095" s="4">
        <v>9.42E-4</v>
      </c>
      <c r="H1095" s="4">
        <v>0.008027</v>
      </c>
      <c r="I1095" s="4">
        <v>0.004363</v>
      </c>
      <c r="J1095" s="4">
        <v>0.002744</v>
      </c>
      <c r="K1095" s="4">
        <v>0.006367</v>
      </c>
      <c r="L1095" s="4">
        <v>-0.007857</v>
      </c>
      <c r="M1095" s="4">
        <v>-0.008183</v>
      </c>
      <c r="N1095" s="4">
        <v>-0.005833</v>
      </c>
      <c r="O1095" s="4">
        <v>-0.003595</v>
      </c>
      <c r="P1095" s="4">
        <v>0.001208</v>
      </c>
      <c r="Q1095" s="4">
        <v>-0.039855</v>
      </c>
      <c r="R1095" s="4">
        <v>0.007845</v>
      </c>
      <c r="S1095" s="4">
        <v>0.001488</v>
      </c>
      <c r="T1095" s="4">
        <v>0.004502</v>
      </c>
      <c r="U1095" s="4">
        <v>-0.004952</v>
      </c>
      <c r="V1095" s="4">
        <v>0.0103285411715281</v>
      </c>
      <c r="W1095" s="4">
        <v>0.0463484013166435</v>
      </c>
      <c r="X1095" s="4">
        <v>0.0151869848362931</v>
      </c>
      <c r="Y1095" s="4">
        <v>0.0011981054929082</v>
      </c>
      <c r="Z1095" s="4">
        <v>0.0076104230781466</v>
      </c>
      <c r="AA1095" s="4">
        <v>-0.0124974624739746</v>
      </c>
      <c r="AB1095" s="4">
        <v>4.704636297316E-4</v>
      </c>
      <c r="AC1095" s="4">
        <v>-0.0021254448521323</v>
      </c>
      <c r="AD1095" s="4">
        <v>-0.0074720323009708</v>
      </c>
      <c r="AE1095" s="4">
        <v>-0.0092218111774162</v>
      </c>
      <c r="AF1095" s="4">
        <v>0.0108666947012172</v>
      </c>
      <c r="AG1095" s="4">
        <v>-0.0017284254930456</v>
      </c>
      <c r="AH1095" s="4">
        <v>0.0089048617533811</v>
      </c>
      <c r="AI1095" s="4">
        <v>-0.002051654575975</v>
      </c>
      <c r="AJ1095" s="4">
        <v>0.001343</v>
      </c>
      <c r="AK1095" s="4">
        <f>Weights!E1151</f>
        <v>0.001000614293</v>
      </c>
      <c r="AL1095" s="5">
        <v>0.00980384981056614</v>
      </c>
      <c r="AM1095" s="5">
        <v>0.010728446081925</v>
      </c>
      <c r="AN1095" s="5">
        <v>0.00602785774075531</v>
      </c>
      <c r="AO1095" s="5">
        <v>0.00561931933727244</v>
      </c>
      <c r="AP1095" s="6">
        <f t="shared" si="3"/>
        <v>1.742180475</v>
      </c>
      <c r="AQ1095" s="4">
        <f t="shared" si="4"/>
        <v>1.605679307</v>
      </c>
      <c r="AR1095" s="7">
        <f t="shared" si="5"/>
        <v>1.556396105</v>
      </c>
      <c r="AS1095" s="7">
        <f t="shared" ref="AS1095:AU1095" si="1097">AS1094*(1+AM1095)</f>
        <v>1.677690362</v>
      </c>
      <c r="AT1095" s="5">
        <f t="shared" si="1097"/>
        <v>1.477282622</v>
      </c>
      <c r="AU1095" s="5">
        <f t="shared" si="1097"/>
        <v>1.472102664</v>
      </c>
    </row>
    <row r="1096" ht="15.75" customHeight="1">
      <c r="A1096" s="3">
        <v>45420.0</v>
      </c>
      <c r="B1096" s="4">
        <v>-0.001826</v>
      </c>
      <c r="C1096" s="4">
        <v>0.004325</v>
      </c>
      <c r="D1096" s="4">
        <v>0.014334</v>
      </c>
      <c r="E1096" s="4">
        <v>-0.003427</v>
      </c>
      <c r="F1096" s="4">
        <v>0.003673</v>
      </c>
      <c r="G1096" s="4">
        <v>0.001547</v>
      </c>
      <c r="H1096" s="4">
        <v>-0.004163</v>
      </c>
      <c r="I1096" s="4">
        <v>0.010861</v>
      </c>
      <c r="J1096" s="4">
        <v>0.005224</v>
      </c>
      <c r="K1096" s="4">
        <v>0.012473</v>
      </c>
      <c r="L1096" s="4">
        <v>0.008216</v>
      </c>
      <c r="M1096" s="4">
        <v>0.009488</v>
      </c>
      <c r="N1096" s="4">
        <v>0.003407</v>
      </c>
      <c r="O1096" s="4">
        <v>-0.012953</v>
      </c>
      <c r="P1096" s="4">
        <v>0.002413</v>
      </c>
      <c r="Q1096" s="4">
        <v>0.009434</v>
      </c>
      <c r="R1096" s="4">
        <v>-0.027826</v>
      </c>
      <c r="S1096" s="4">
        <v>0.009471</v>
      </c>
      <c r="T1096" s="4">
        <v>-0.011584</v>
      </c>
      <c r="U1096" s="4">
        <v>-6.04E-4</v>
      </c>
      <c r="V1096" s="4">
        <v>0.0130112270902806</v>
      </c>
      <c r="W1096" s="4">
        <v>-0.0532208103513041</v>
      </c>
      <c r="X1096" s="4">
        <v>-0.0080552163732405</v>
      </c>
      <c r="Y1096" s="4">
        <v>-0.0117962342571844</v>
      </c>
      <c r="Z1096" s="4">
        <v>-0.0138878084078469</v>
      </c>
      <c r="AA1096" s="4">
        <v>-0.0155600409341528</v>
      </c>
      <c r="AB1096" s="4">
        <v>0.0141078293129714</v>
      </c>
      <c r="AC1096" s="4">
        <v>-0.0085196319132554</v>
      </c>
      <c r="AD1096" s="4">
        <v>-0.0025092570324474</v>
      </c>
      <c r="AE1096" s="4">
        <v>-0.019488163155832</v>
      </c>
      <c r="AF1096" s="4">
        <v>0.0166368470371442</v>
      </c>
      <c r="AG1096" s="4">
        <v>0.0178475463820522</v>
      </c>
      <c r="AH1096" s="4">
        <v>0.0252862473312986</v>
      </c>
      <c r="AI1096" s="4">
        <v>-0.0041109253065776</v>
      </c>
      <c r="AJ1096" s="4">
        <v>-6.0E-6</v>
      </c>
      <c r="AK1096" s="4">
        <f>Weights!E1152</f>
        <v>0.001279786913</v>
      </c>
      <c r="AL1096" s="5">
        <v>0.00104775241150734</v>
      </c>
      <c r="AM1096" s="5">
        <v>8.97652579666452E-4</v>
      </c>
      <c r="AN1096" s="5">
        <v>0.0143799176772012</v>
      </c>
      <c r="AO1096" s="5">
        <v>0.0136342064729282</v>
      </c>
      <c r="AP1096" s="6">
        <f t="shared" si="3"/>
        <v>1.744410095</v>
      </c>
      <c r="AQ1096" s="4">
        <f t="shared" si="4"/>
        <v>1.605669672</v>
      </c>
      <c r="AR1096" s="7">
        <f t="shared" si="5"/>
        <v>1.558026823</v>
      </c>
      <c r="AS1096" s="7">
        <f t="shared" ref="AS1096:AU1096" si="1098">AS1095*(1+AM1096)</f>
        <v>1.679196345</v>
      </c>
      <c r="AT1096" s="5">
        <f t="shared" si="1098"/>
        <v>1.498525824</v>
      </c>
      <c r="AU1096" s="5">
        <f t="shared" si="1098"/>
        <v>1.492173616</v>
      </c>
    </row>
    <row r="1097" ht="15.75" customHeight="1">
      <c r="A1097" s="3">
        <v>45421.0</v>
      </c>
      <c r="B1097" s="4">
        <v>6.1E-4</v>
      </c>
      <c r="C1097" s="4">
        <v>0.007852</v>
      </c>
      <c r="D1097" s="4">
        <v>0.010535</v>
      </c>
      <c r="E1097" s="4">
        <v>0.003664</v>
      </c>
      <c r="F1097" s="4">
        <v>4.77E-4</v>
      </c>
      <c r="G1097" s="4">
        <v>0.006042</v>
      </c>
      <c r="H1097" s="4">
        <v>0.005876</v>
      </c>
      <c r="I1097" s="4">
        <v>0.003492</v>
      </c>
      <c r="J1097" s="4">
        <v>0.015343</v>
      </c>
      <c r="K1097" s="4">
        <v>0.002143</v>
      </c>
      <c r="L1097" s="4">
        <v>0.012175</v>
      </c>
      <c r="M1097" s="4">
        <v>0.051492</v>
      </c>
      <c r="N1097" s="4">
        <v>0.012825</v>
      </c>
      <c r="O1097" s="4">
        <v>0.018602</v>
      </c>
      <c r="P1097" s="4">
        <v>0.031295</v>
      </c>
      <c r="Q1097" s="4">
        <v>0.025545</v>
      </c>
      <c r="R1097" s="4">
        <v>0.022418</v>
      </c>
      <c r="S1097" s="4">
        <v>0.026122</v>
      </c>
      <c r="T1097" s="4">
        <v>0.026914</v>
      </c>
      <c r="U1097" s="4">
        <v>0.004474</v>
      </c>
      <c r="V1097" s="4">
        <v>-0.0155963466171972</v>
      </c>
      <c r="W1097" s="4">
        <v>0.0114528649839613</v>
      </c>
      <c r="X1097" s="4">
        <v>0.0</v>
      </c>
      <c r="Y1097" s="4">
        <v>0.0050170638456408</v>
      </c>
      <c r="Z1097" s="4">
        <v>3.294790776358E-4</v>
      </c>
      <c r="AA1097" s="4">
        <v>0.0052685746010645</v>
      </c>
      <c r="AB1097" s="4">
        <v>-0.0150708187686431</v>
      </c>
      <c r="AC1097" s="4">
        <v>0.0</v>
      </c>
      <c r="AD1097" s="4">
        <v>0.0</v>
      </c>
      <c r="AE1097" s="4">
        <v>-2.965873443391E-4</v>
      </c>
      <c r="AF1097" s="4">
        <v>0.0120845715289017</v>
      </c>
      <c r="AG1097" s="4">
        <v>0.012823804963675</v>
      </c>
      <c r="AH1097" s="4">
        <v>0.0013960079475821</v>
      </c>
      <c r="AI1097" s="4">
        <v>0.0015482692062345</v>
      </c>
      <c r="AJ1097" s="4">
        <v>0.005091</v>
      </c>
      <c r="AK1097" s="4">
        <f>Weights!E1153</f>
        <v>0.008147925718</v>
      </c>
      <c r="AL1097" s="7">
        <v>-6.98130749514636E-5</v>
      </c>
      <c r="AM1097" s="5">
        <v>-7.01922611976879E-4</v>
      </c>
      <c r="AN1097" s="5">
        <v>0.00118129051429183</v>
      </c>
      <c r="AO1097" s="5">
        <v>0.00176409954810363</v>
      </c>
      <c r="AP1097" s="6">
        <f t="shared" si="3"/>
        <v>1.758623418</v>
      </c>
      <c r="AQ1097" s="4">
        <f t="shared" si="4"/>
        <v>1.613844137</v>
      </c>
      <c r="AR1097" s="7">
        <f t="shared" si="5"/>
        <v>1.557918052</v>
      </c>
      <c r="AS1097" s="7">
        <f t="shared" ref="AS1097:AU1097" si="1099">AS1096*(1+AM1097)</f>
        <v>1.678017679</v>
      </c>
      <c r="AT1097" s="5">
        <f t="shared" si="1099"/>
        <v>1.500296019</v>
      </c>
      <c r="AU1097" s="5">
        <f t="shared" si="1099"/>
        <v>1.494805959</v>
      </c>
    </row>
    <row r="1098" ht="15.75" customHeight="1">
      <c r="A1098" s="3">
        <v>45422.0</v>
      </c>
      <c r="B1098" s="4">
        <v>-0.018891</v>
      </c>
      <c r="C1098" s="4">
        <v>0.01533</v>
      </c>
      <c r="D1098" s="4">
        <v>0.005339</v>
      </c>
      <c r="E1098" s="4">
        <v>0.009716</v>
      </c>
      <c r="F1098" s="4">
        <v>0.006043</v>
      </c>
      <c r="G1098" s="4">
        <v>4.0E-4</v>
      </c>
      <c r="H1098" s="4">
        <v>0.004878</v>
      </c>
      <c r="I1098" s="4">
        <v>0.011777</v>
      </c>
      <c r="J1098" s="4">
        <v>0.001706</v>
      </c>
      <c r="K1098" s="4">
        <v>0.00873</v>
      </c>
      <c r="L1098" s="4">
        <v>0.001164</v>
      </c>
      <c r="M1098" s="4">
        <v>0.012437</v>
      </c>
      <c r="N1098" s="4">
        <v>-0.067039</v>
      </c>
      <c r="O1098" s="4">
        <v>-0.013927</v>
      </c>
      <c r="P1098" s="4">
        <v>-0.00817</v>
      </c>
      <c r="Q1098" s="4">
        <v>0.029162</v>
      </c>
      <c r="R1098" s="4">
        <v>0.009984</v>
      </c>
      <c r="S1098" s="4">
        <v>-0.015059</v>
      </c>
      <c r="T1098" s="4">
        <v>5.74E-4</v>
      </c>
      <c r="U1098" s="4">
        <v>0.007464</v>
      </c>
      <c r="V1098" s="4">
        <v>0.00372778943201979</v>
      </c>
      <c r="W1098" s="4">
        <v>-0.0140191809827151</v>
      </c>
      <c r="X1098" s="4">
        <v>0.0</v>
      </c>
      <c r="Y1098" s="4">
        <v>0.0101559627674066</v>
      </c>
      <c r="Z1098" s="4">
        <v>0.0011526072196659</v>
      </c>
      <c r="AA1098" s="4">
        <v>-0.0023061023385491</v>
      </c>
      <c r="AB1098" s="4">
        <v>0.002118674412942</v>
      </c>
      <c r="AC1098" s="4">
        <v>0.0063559859835002</v>
      </c>
      <c r="AD1098" s="4">
        <v>-0.0062657413024838</v>
      </c>
      <c r="AE1098" s="4">
        <v>0.012166109142176</v>
      </c>
      <c r="AF1098" s="4">
        <v>-0.0049750805586566</v>
      </c>
      <c r="AG1098" s="4">
        <v>0.0021964863844536</v>
      </c>
      <c r="AH1098" s="4">
        <v>0.0083643709571596</v>
      </c>
      <c r="AI1098" s="4">
        <v>-0.0015458757743762</v>
      </c>
      <c r="AJ1098" s="4">
        <v>0.001649</v>
      </c>
      <c r="AK1098" s="4">
        <f>Weights!E1154</f>
        <v>0.0007108490128</v>
      </c>
      <c r="AL1098" s="5">
        <v>0.00579164746042604</v>
      </c>
      <c r="AM1098" s="5">
        <v>0.00589161537017224</v>
      </c>
      <c r="AN1098" s="5">
        <v>-0.00206496428459956</v>
      </c>
      <c r="AO1098" s="5">
        <v>-0.00154083644443825</v>
      </c>
      <c r="AP1098" s="6">
        <f t="shared" si="3"/>
        <v>1.759873534</v>
      </c>
      <c r="AQ1098" s="4">
        <f t="shared" si="4"/>
        <v>1.616505366</v>
      </c>
      <c r="AR1098" s="7">
        <f t="shared" si="5"/>
        <v>1.566940965</v>
      </c>
      <c r="AS1098" s="7">
        <f t="shared" ref="AS1098:AU1098" si="1100">AS1097*(1+AM1098)</f>
        <v>1.687903914</v>
      </c>
      <c r="AT1098" s="5">
        <f t="shared" si="1100"/>
        <v>1.497197961</v>
      </c>
      <c r="AU1098" s="5">
        <f t="shared" si="1100"/>
        <v>1.492502707</v>
      </c>
    </row>
    <row r="1099" ht="15.75" customHeight="1">
      <c r="A1099" s="3">
        <v>45425.0</v>
      </c>
      <c r="B1099" s="4">
        <v>0.010559</v>
      </c>
      <c r="C1099" s="4">
        <v>0.003465</v>
      </c>
      <c r="D1099" s="4">
        <v>0.00177</v>
      </c>
      <c r="E1099" s="4">
        <v>0.006174</v>
      </c>
      <c r="F1099" s="4">
        <v>0.005059</v>
      </c>
      <c r="G1099" s="4">
        <v>0.008739</v>
      </c>
      <c r="H1099" s="4">
        <v>-0.005874</v>
      </c>
      <c r="I1099" s="4">
        <v>7.94E-4</v>
      </c>
      <c r="J1099" s="4">
        <v>-0.006569</v>
      </c>
      <c r="K1099" s="4">
        <v>0.002473</v>
      </c>
      <c r="L1099" s="4">
        <v>0.013565</v>
      </c>
      <c r="M1099" s="4">
        <v>-0.01382</v>
      </c>
      <c r="N1099" s="4">
        <v>0.011377</v>
      </c>
      <c r="O1099" s="4">
        <v>0.019035</v>
      </c>
      <c r="P1099" s="4">
        <v>-7.06E-4</v>
      </c>
      <c r="Q1099" s="4">
        <v>-0.011216</v>
      </c>
      <c r="R1099" s="4">
        <v>0.008723</v>
      </c>
      <c r="S1099" s="4">
        <v>-0.006735</v>
      </c>
      <c r="T1099" s="4">
        <v>-0.004184</v>
      </c>
      <c r="U1099" s="4">
        <v>-0.007707</v>
      </c>
      <c r="V1099" s="4">
        <v>0.0111421740317989</v>
      </c>
      <c r="W1099" s="4">
        <v>-0.0039373953077859</v>
      </c>
      <c r="X1099" s="4">
        <v>0.0</v>
      </c>
      <c r="Y1099" s="4">
        <v>-0.0057369982385795</v>
      </c>
      <c r="Z1099" s="4">
        <v>-0.0195723327110838</v>
      </c>
      <c r="AA1099" s="4">
        <v>-0.004832878405698</v>
      </c>
      <c r="AB1099" s="4">
        <v>0.0140943866541758</v>
      </c>
      <c r="AC1099" s="4">
        <v>-0.0084211515557571</v>
      </c>
      <c r="AD1099" s="4">
        <v>0.0012610084418711</v>
      </c>
      <c r="AE1099" s="4">
        <v>-0.0055701022102083</v>
      </c>
      <c r="AF1099" s="4">
        <v>-0.0017500211373642</v>
      </c>
      <c r="AG1099" s="4">
        <v>0.0063168951389853</v>
      </c>
      <c r="AH1099" s="4">
        <v>-0.0099078847328613</v>
      </c>
      <c r="AI1099" s="4">
        <v>0.0020637416094266</v>
      </c>
      <c r="AJ1099" s="4">
        <v>-2.41E-4</v>
      </c>
      <c r="AK1099" s="6">
        <f>Weights!E1155</f>
        <v>-0.00003141712698</v>
      </c>
      <c r="AL1099" s="5">
        <v>0.00166501490454296</v>
      </c>
      <c r="AM1099" s="5">
        <v>9.30848774652437E-4</v>
      </c>
      <c r="AN1099" s="5">
        <v>0.00532069630174292</v>
      </c>
      <c r="AO1099" s="5">
        <v>0.0057319511410705</v>
      </c>
      <c r="AP1099" s="6">
        <f t="shared" si="3"/>
        <v>1.759818244</v>
      </c>
      <c r="AQ1099" s="4">
        <f t="shared" si="4"/>
        <v>1.616115788</v>
      </c>
      <c r="AR1099" s="7">
        <f t="shared" si="5"/>
        <v>1.569549945</v>
      </c>
      <c r="AS1099" s="7">
        <f t="shared" ref="AS1099:AU1099" si="1101">AS1098*(1+AM1099)</f>
        <v>1.689475097</v>
      </c>
      <c r="AT1099" s="5">
        <f t="shared" si="1101"/>
        <v>1.505164097</v>
      </c>
      <c r="AU1099" s="5">
        <f t="shared" si="1101"/>
        <v>1.50105766</v>
      </c>
    </row>
    <row r="1100" ht="15.75" customHeight="1">
      <c r="A1100" s="3">
        <v>45426.0</v>
      </c>
      <c r="B1100" s="4">
        <v>0.010449</v>
      </c>
      <c r="C1100" s="4">
        <v>-0.001233</v>
      </c>
      <c r="D1100" s="4">
        <v>0.005807</v>
      </c>
      <c r="E1100" s="4">
        <v>-0.005694</v>
      </c>
      <c r="F1100" s="4">
        <v>-0.00755</v>
      </c>
      <c r="G1100" s="4">
        <v>0.001058</v>
      </c>
      <c r="H1100" s="4">
        <v>-6.63E-4</v>
      </c>
      <c r="I1100" s="4">
        <v>-0.004519</v>
      </c>
      <c r="J1100" s="4">
        <v>-0.001225</v>
      </c>
      <c r="K1100" s="4">
        <v>-7.05E-4</v>
      </c>
      <c r="L1100" s="4">
        <v>-0.002963</v>
      </c>
      <c r="M1100" s="4">
        <v>0.012456</v>
      </c>
      <c r="N1100" s="4">
        <v>0.002566</v>
      </c>
      <c r="O1100" s="4">
        <v>-0.009362</v>
      </c>
      <c r="P1100" s="4">
        <v>0.002591</v>
      </c>
      <c r="Q1100" s="4">
        <v>0.002985</v>
      </c>
      <c r="R1100" s="4">
        <v>0.027671</v>
      </c>
      <c r="S1100" s="4">
        <v>0.014477</v>
      </c>
      <c r="T1100" s="4">
        <v>-0.006446</v>
      </c>
      <c r="U1100" s="4">
        <v>-0.002589</v>
      </c>
      <c r="V1100" s="4">
        <v>0.00642789574886926</v>
      </c>
      <c r="W1100" s="4">
        <v>0.0094432410194098</v>
      </c>
      <c r="X1100" s="4">
        <v>-0.0105757420552876</v>
      </c>
      <c r="Y1100" s="4">
        <v>0.0155964627130604</v>
      </c>
      <c r="Z1100" s="4">
        <v>0.0142593259219543</v>
      </c>
      <c r="AA1100" s="4">
        <v>0.0097127835488803</v>
      </c>
      <c r="AB1100" s="4">
        <v>0.0046328929726862</v>
      </c>
      <c r="AC1100" s="4">
        <v>-0.0021231035954594</v>
      </c>
      <c r="AD1100" s="4">
        <v>0.0012595232465166</v>
      </c>
      <c r="AE1100" s="4">
        <v>0.0029479693261866</v>
      </c>
      <c r="AF1100" s="4">
        <v>-0.0227899134297987</v>
      </c>
      <c r="AG1100" s="4">
        <v>0.0117858992896331</v>
      </c>
      <c r="AH1100" s="4">
        <v>-0.0055853312148461</v>
      </c>
      <c r="AI1100" s="4">
        <v>0.0041200094709081</v>
      </c>
      <c r="AJ1100" s="4">
        <v>0.004838</v>
      </c>
      <c r="AK1100" s="4">
        <f>Weights!E1156</f>
        <v>0.002334425229</v>
      </c>
      <c r="AL1100" s="5">
        <v>-6.23382942929628E-4</v>
      </c>
      <c r="AM1100" s="5">
        <v>5.42624974531724E-4</v>
      </c>
      <c r="AN1100" s="5">
        <v>-0.00264626816165025</v>
      </c>
      <c r="AO1100" s="5">
        <v>-0.00241129145130769</v>
      </c>
      <c r="AP1100" s="6">
        <f t="shared" si="3"/>
        <v>1.763926408</v>
      </c>
      <c r="AQ1100" s="4">
        <f t="shared" si="4"/>
        <v>1.623934556</v>
      </c>
      <c r="AR1100" s="7">
        <f t="shared" si="5"/>
        <v>1.568571514</v>
      </c>
      <c r="AS1100" s="7">
        <f t="shared" ref="AS1100:AU1100" si="1102">AS1099*(1+AM1100)</f>
        <v>1.690391848</v>
      </c>
      <c r="AT1100" s="5">
        <f t="shared" si="1102"/>
        <v>1.501181029</v>
      </c>
      <c r="AU1100" s="5">
        <f t="shared" si="1102"/>
        <v>1.497438172</v>
      </c>
    </row>
    <row r="1101" ht="15.75" customHeight="1">
      <c r="A1101" s="3">
        <v>45427.0</v>
      </c>
      <c r="B1101" s="4">
        <v>0.004258</v>
      </c>
      <c r="C1101" s="4">
        <v>0.0</v>
      </c>
      <c r="D1101" s="4">
        <v>0.001004</v>
      </c>
      <c r="E1101" s="4">
        <v>-0.002279</v>
      </c>
      <c r="F1101" s="4">
        <v>4.75E-4</v>
      </c>
      <c r="G1101" s="4">
        <v>0.008522</v>
      </c>
      <c r="H1101" s="4">
        <v>0.004525</v>
      </c>
      <c r="I1101" s="4">
        <v>0.0</v>
      </c>
      <c r="J1101" s="4">
        <v>0.007602</v>
      </c>
      <c r="K1101" s="4">
        <v>0.002997</v>
      </c>
      <c r="L1101" s="4">
        <v>0.011409</v>
      </c>
      <c r="M1101" s="4">
        <v>0.005383</v>
      </c>
      <c r="N1101" s="4">
        <v>5.91E-4</v>
      </c>
      <c r="O1101" s="4">
        <v>0.022145</v>
      </c>
      <c r="P1101" s="4">
        <v>0.014564</v>
      </c>
      <c r="Q1101" s="4">
        <v>0.006548</v>
      </c>
      <c r="R1101" s="4">
        <v>0.002431</v>
      </c>
      <c r="S1101" s="4">
        <v>0.010116</v>
      </c>
      <c r="T1101" s="4">
        <v>0.020797</v>
      </c>
      <c r="U1101" s="4">
        <v>6.04E-4</v>
      </c>
      <c r="V1101" s="4">
        <v>0.00456206168732764</v>
      </c>
      <c r="W1101" s="4">
        <v>0.0463396515165459</v>
      </c>
      <c r="X1101" s="4">
        <v>0.0451305864464386</v>
      </c>
      <c r="Y1101" s="4">
        <v>0.0105754174758576</v>
      </c>
      <c r="Z1101" s="4">
        <v>0.0069468447425462</v>
      </c>
      <c r="AA1101" s="4">
        <v>-0.0016728788139804</v>
      </c>
      <c r="AB1101" s="4">
        <v>-4.612257034354E-4</v>
      </c>
      <c r="AC1101" s="4">
        <v>0.0</v>
      </c>
      <c r="AD1101" s="4">
        <v>-0.0025157748718208</v>
      </c>
      <c r="AE1101" s="4">
        <v>-0.0067606055122232</v>
      </c>
      <c r="AF1101" s="4">
        <v>0.0328036771358202</v>
      </c>
      <c r="AG1101" s="4">
        <v>-0.0089897441004488</v>
      </c>
      <c r="AH1101" s="4">
        <v>-4.68021332131E-4</v>
      </c>
      <c r="AI1101" s="4">
        <v>-5.13118155016E-4</v>
      </c>
      <c r="AJ1101" s="4">
        <v>0.011716</v>
      </c>
      <c r="AK1101" s="4">
        <f>Weights!E1157</f>
        <v>0.006117411638</v>
      </c>
      <c r="AL1101" s="5">
        <v>0.00589099912654766</v>
      </c>
      <c r="AM1101" s="5">
        <v>0.00488013772983553</v>
      </c>
      <c r="AN1101" s="5">
        <v>-0.00294806076555886</v>
      </c>
      <c r="AO1101" s="5">
        <v>-0.0024170335460476</v>
      </c>
      <c r="AP1101" s="6">
        <f t="shared" si="3"/>
        <v>1.774717072</v>
      </c>
      <c r="AQ1101" s="4">
        <f t="shared" si="4"/>
        <v>1.642960573</v>
      </c>
      <c r="AR1101" s="7">
        <f t="shared" si="5"/>
        <v>1.577811967</v>
      </c>
      <c r="AS1101" s="7">
        <f t="shared" ref="AS1101:AU1101" si="1103">AS1100*(1+AM1101)</f>
        <v>1.698641193</v>
      </c>
      <c r="AT1101" s="5">
        <f t="shared" si="1103"/>
        <v>1.496755456</v>
      </c>
      <c r="AU1101" s="5">
        <f t="shared" si="1103"/>
        <v>1.493818814</v>
      </c>
    </row>
    <row r="1102" ht="15.75" customHeight="1">
      <c r="A1102" s="3">
        <v>45428.0</v>
      </c>
      <c r="B1102" s="4">
        <v>-0.003029</v>
      </c>
      <c r="C1102" s="4">
        <v>-0.005927</v>
      </c>
      <c r="D1102" s="4">
        <v>2.51E-4</v>
      </c>
      <c r="E1102" s="4">
        <v>0.020339</v>
      </c>
      <c r="F1102" s="4">
        <v>0.00301</v>
      </c>
      <c r="G1102" s="4">
        <v>0.010546</v>
      </c>
      <c r="H1102" s="4">
        <v>0.008108</v>
      </c>
      <c r="I1102" s="4">
        <v>-0.006218</v>
      </c>
      <c r="J1102" s="4">
        <v>0.003724</v>
      </c>
      <c r="K1102" s="4">
        <v>-1.76E-4</v>
      </c>
      <c r="L1102" s="4">
        <v>0.00474</v>
      </c>
      <c r="M1102" s="4">
        <v>0.009178</v>
      </c>
      <c r="N1102" s="4">
        <v>0.013181</v>
      </c>
      <c r="O1102" s="4">
        <v>-0.002991</v>
      </c>
      <c r="P1102" s="4">
        <v>-0.008104</v>
      </c>
      <c r="Q1102" s="4">
        <v>-0.066233</v>
      </c>
      <c r="R1102" s="4">
        <v>-0.029286</v>
      </c>
      <c r="S1102" s="4">
        <v>-0.001609</v>
      </c>
      <c r="T1102" s="4">
        <v>-0.015777</v>
      </c>
      <c r="U1102" s="4">
        <v>0.00549</v>
      </c>
      <c r="V1102" s="4">
        <v>0.0172570176993289</v>
      </c>
      <c r="W1102" s="4">
        <v>0.0029109228172981</v>
      </c>
      <c r="X1102" s="4">
        <v>0.0</v>
      </c>
      <c r="Y1102" s="4">
        <v>-0.0020594360895858</v>
      </c>
      <c r="Z1102" s="4">
        <v>-0.0019711016959523</v>
      </c>
      <c r="AA1102" s="4">
        <v>-0.0012568901681256</v>
      </c>
      <c r="AB1102" s="4">
        <v>-0.0087656915758713</v>
      </c>
      <c r="AC1102" s="4">
        <v>0.0</v>
      </c>
      <c r="AD1102" s="4">
        <v>0.0</v>
      </c>
      <c r="AE1102" s="4">
        <v>2.960000790865E-4</v>
      </c>
      <c r="AF1102" s="4">
        <v>0.0049628567382749</v>
      </c>
      <c r="AG1102" s="4">
        <v>0.0026829851958329</v>
      </c>
      <c r="AH1102" s="4">
        <v>-0.0124092658471602</v>
      </c>
      <c r="AI1102" s="4">
        <v>0.0028832442605719</v>
      </c>
      <c r="AJ1102" s="4">
        <v>-0.002082</v>
      </c>
      <c r="AK1102" s="4">
        <f>Weights!E1158</f>
        <v>-0.0008944230056</v>
      </c>
      <c r="AL1102" s="5">
        <v>0.0114372464127079</v>
      </c>
      <c r="AM1102" s="5">
        <v>0.0122951953088865</v>
      </c>
      <c r="AN1102" s="5">
        <v>-2.95526558312331E-4</v>
      </c>
      <c r="AO1102" s="5">
        <v>-4.40517546273166E-4</v>
      </c>
      <c r="AP1102" s="6">
        <f t="shared" si="3"/>
        <v>1.773129724</v>
      </c>
      <c r="AQ1102" s="4">
        <f t="shared" si="4"/>
        <v>1.639539929</v>
      </c>
      <c r="AR1102" s="7">
        <f t="shared" si="5"/>
        <v>1.595857792</v>
      </c>
      <c r="AS1102" s="7">
        <f t="shared" ref="AS1102:AU1102" si="1104">AS1101*(1+AM1102)</f>
        <v>1.719526318</v>
      </c>
      <c r="AT1102" s="5">
        <f t="shared" si="1104"/>
        <v>1.496313125</v>
      </c>
      <c r="AU1102" s="5">
        <f t="shared" si="1104"/>
        <v>1.49316076</v>
      </c>
    </row>
    <row r="1103" ht="15.75" customHeight="1">
      <c r="A1103" s="3">
        <v>45429.0</v>
      </c>
      <c r="B1103" s="4">
        <v>0.009721</v>
      </c>
      <c r="C1103" s="4">
        <v>-0.00472</v>
      </c>
      <c r="D1103" s="4">
        <v>-5.01E-4</v>
      </c>
      <c r="E1103" s="4">
        <v>-0.005024</v>
      </c>
      <c r="F1103" s="4">
        <v>-0.00458</v>
      </c>
      <c r="G1103" s="4">
        <v>0.002333</v>
      </c>
      <c r="H1103" s="4">
        <v>-0.001311</v>
      </c>
      <c r="I1103" s="4">
        <v>-2.72E-4</v>
      </c>
      <c r="J1103" s="4">
        <v>-9.8E-4</v>
      </c>
      <c r="K1103" s="4">
        <v>0.006329</v>
      </c>
      <c r="L1103" s="4">
        <v>0.007548</v>
      </c>
      <c r="M1103" s="4">
        <v>0.011368</v>
      </c>
      <c r="N1103" s="4">
        <v>0.003884</v>
      </c>
      <c r="O1103" s="4">
        <v>-0.006364</v>
      </c>
      <c r="P1103" s="4">
        <v>0.021008</v>
      </c>
      <c r="Q1103" s="4">
        <v>0.033566</v>
      </c>
      <c r="R1103" s="4">
        <v>0.042083</v>
      </c>
      <c r="S1103" s="4">
        <v>0.021136</v>
      </c>
      <c r="T1103" s="4">
        <v>-0.007553</v>
      </c>
      <c r="U1103" s="4">
        <v>0.00552</v>
      </c>
      <c r="V1103" s="4">
        <v>0.0196428906303491</v>
      </c>
      <c r="W1103" s="4">
        <v>9.328589586603E-4</v>
      </c>
      <c r="X1103" s="4">
        <v>-0.0224009466506602</v>
      </c>
      <c r="Y1103" s="4">
        <v>-0.0166780117202058</v>
      </c>
      <c r="Z1103" s="4">
        <v>-0.0230414563025174</v>
      </c>
      <c r="AA1103" s="4">
        <v>-0.0073406139505327</v>
      </c>
      <c r="AB1103" s="4">
        <v>-0.0137305616111759</v>
      </c>
      <c r="AC1103" s="4">
        <v>0.004273511957588</v>
      </c>
      <c r="AD1103" s="4">
        <v>-0.0100374383569581</v>
      </c>
      <c r="AE1103" s="4">
        <v>0.0420117590451829</v>
      </c>
      <c r="AF1103" s="4">
        <v>-0.0064198047149872</v>
      </c>
      <c r="AG1103" s="4">
        <v>0.0063712136327973</v>
      </c>
      <c r="AH1103" s="4">
        <v>0.0082977354078275</v>
      </c>
      <c r="AI1103" s="4">
        <v>-0.0025667711424778</v>
      </c>
      <c r="AJ1103" s="4">
        <v>0.001165</v>
      </c>
      <c r="AK1103" s="4">
        <f>Weights!E1159</f>
        <v>0.003414968016</v>
      </c>
      <c r="AL1103" s="5">
        <v>-0.00245232018736518</v>
      </c>
      <c r="AM1103" s="5">
        <v>-0.00270333222171348</v>
      </c>
      <c r="AN1103" s="5">
        <v>8.87074435492074E-4</v>
      </c>
      <c r="AO1103" s="5">
        <v>0.00176293328284438</v>
      </c>
      <c r="AP1103" s="6">
        <f t="shared" si="3"/>
        <v>1.779184906</v>
      </c>
      <c r="AQ1103" s="4">
        <f t="shared" si="4"/>
        <v>1.641449993</v>
      </c>
      <c r="AR1103" s="7">
        <f t="shared" si="5"/>
        <v>1.591944237</v>
      </c>
      <c r="AS1103" s="7">
        <f t="shared" ref="AS1103:AU1103" si="1105">AS1102*(1+AM1103)</f>
        <v>1.714877868</v>
      </c>
      <c r="AT1103" s="5">
        <f t="shared" si="1105"/>
        <v>1.497640466</v>
      </c>
      <c r="AU1103" s="5">
        <f t="shared" si="1105"/>
        <v>1.495793103</v>
      </c>
    </row>
    <row r="1104" ht="15.75" customHeight="1">
      <c r="A1104" s="3">
        <v>45432.0</v>
      </c>
      <c r="B1104" s="4">
        <v>-0.007822</v>
      </c>
      <c r="C1104" s="4">
        <v>0.001498</v>
      </c>
      <c r="D1104" s="4">
        <v>-0.011036</v>
      </c>
      <c r="E1104" s="4">
        <v>-0.010319</v>
      </c>
      <c r="F1104" s="4">
        <v>-0.007298</v>
      </c>
      <c r="G1104" s="4">
        <v>-0.013774</v>
      </c>
      <c r="H1104" s="4">
        <v>-0.001969</v>
      </c>
      <c r="I1104" s="4">
        <v>8.16E-4</v>
      </c>
      <c r="J1104" s="4">
        <v>0.001717</v>
      </c>
      <c r="K1104" s="4">
        <v>-0.007512</v>
      </c>
      <c r="L1104" s="4">
        <v>-0.008896</v>
      </c>
      <c r="M1104" s="4">
        <v>-0.008992</v>
      </c>
      <c r="N1104" s="4">
        <v>-0.004255</v>
      </c>
      <c r="O1104" s="4">
        <v>7.78E-4</v>
      </c>
      <c r="P1104" s="4">
        <v>0.016004</v>
      </c>
      <c r="Q1104" s="4">
        <v>0.029412</v>
      </c>
      <c r="R1104" s="4">
        <v>0.011617</v>
      </c>
      <c r="S1104" s="4">
        <v>0.013506</v>
      </c>
      <c r="T1104" s="4">
        <v>-0.006914</v>
      </c>
      <c r="U1104" s="4">
        <v>-0.011994</v>
      </c>
      <c r="V1104" s="4">
        <v>-0.00963234720162364</v>
      </c>
      <c r="W1104" s="4">
        <v>-0.0070422325976097</v>
      </c>
      <c r="X1104" s="4">
        <v>-0.0070504886975916</v>
      </c>
      <c r="Y1104" s="4">
        <v>0.0028931282033859</v>
      </c>
      <c r="Z1104" s="4">
        <v>-0.0012635812009602</v>
      </c>
      <c r="AA1104" s="4">
        <v>-0.0040142416778862</v>
      </c>
      <c r="AB1104" s="4">
        <v>0.0094384142144046</v>
      </c>
      <c r="AC1104" s="4">
        <v>-0.0010638530065144</v>
      </c>
      <c r="AD1104" s="4">
        <v>0.0076045111362759</v>
      </c>
      <c r="AE1104" s="4">
        <v>0.029244622457907</v>
      </c>
      <c r="AF1104" s="4">
        <v>0.0024850675668706</v>
      </c>
      <c r="AG1104" s="4">
        <v>0.0043047871301398</v>
      </c>
      <c r="AH1104" s="4">
        <v>-0.0044673354196969</v>
      </c>
      <c r="AI1104" s="4">
        <v>0.0</v>
      </c>
      <c r="AJ1104" s="4">
        <v>9.16E-4</v>
      </c>
      <c r="AK1104" s="4">
        <f>Weights!E1160</f>
        <v>-0.0001932243287</v>
      </c>
      <c r="AL1104" s="5">
        <v>0.00198028074866307</v>
      </c>
      <c r="AM1104" s="5">
        <v>0.00141253761443738</v>
      </c>
      <c r="AN1104" s="5">
        <v>5.91168779965345E-4</v>
      </c>
      <c r="AO1104" s="5">
        <v>8.79958599532937E-4</v>
      </c>
      <c r="AP1104" s="6">
        <f t="shared" si="3"/>
        <v>1.778841124</v>
      </c>
      <c r="AQ1104" s="4">
        <f t="shared" si="4"/>
        <v>1.642953562</v>
      </c>
      <c r="AR1104" s="7">
        <f t="shared" si="5"/>
        <v>1.595096734</v>
      </c>
      <c r="AS1104" s="7">
        <f t="shared" ref="AS1104:AU1104" si="1106">AS1103*(1+AM1104)</f>
        <v>1.717300197</v>
      </c>
      <c r="AT1104" s="5">
        <f t="shared" si="1106"/>
        <v>1.498525824</v>
      </c>
      <c r="AU1104" s="5">
        <f t="shared" si="1106"/>
        <v>1.497109339</v>
      </c>
    </row>
    <row r="1105" ht="15.75" customHeight="1">
      <c r="A1105" s="3">
        <v>45433.0</v>
      </c>
      <c r="B1105" s="4">
        <v>-0.006064</v>
      </c>
      <c r="C1105" s="4">
        <v>-0.012463</v>
      </c>
      <c r="D1105" s="4">
        <v>-0.005072</v>
      </c>
      <c r="E1105" s="4">
        <v>0.00427</v>
      </c>
      <c r="F1105" s="4">
        <v>0.005434</v>
      </c>
      <c r="G1105" s="4">
        <v>-1.98E-4</v>
      </c>
      <c r="H1105" s="4">
        <v>0.006216</v>
      </c>
      <c r="I1105" s="4">
        <v>0.0</v>
      </c>
      <c r="J1105" s="4">
        <v>0.001714</v>
      </c>
      <c r="K1105" s="4">
        <v>8.8E-4</v>
      </c>
      <c r="L1105" s="4">
        <v>3.78E-4</v>
      </c>
      <c r="M1105" s="4">
        <v>0.008082</v>
      </c>
      <c r="N1105" s="4">
        <v>-0.004662</v>
      </c>
      <c r="O1105" s="4">
        <v>-0.002103</v>
      </c>
      <c r="P1105" s="4">
        <v>-0.009001</v>
      </c>
      <c r="Q1105" s="4">
        <v>-0.014286</v>
      </c>
      <c r="R1105" s="4">
        <v>-0.009843</v>
      </c>
      <c r="S1105" s="4">
        <v>6.92E-4</v>
      </c>
      <c r="T1105" s="4">
        <v>0.006962</v>
      </c>
      <c r="U1105" s="4">
        <v>-0.002597</v>
      </c>
      <c r="V1105" s="4">
        <v>0.0141469159619553</v>
      </c>
      <c r="W1105" s="4">
        <v>0.0027117710471982</v>
      </c>
      <c r="X1105" s="4">
        <v>-0.0023668503508447</v>
      </c>
      <c r="Y1105" s="4">
        <v>0.0103506855493049</v>
      </c>
      <c r="Z1105" s="4">
        <v>0.0143605590917186</v>
      </c>
      <c r="AA1105" s="4">
        <v>0.0095459208090893</v>
      </c>
      <c r="AB1105" s="4">
        <v>0.0032725526067334</v>
      </c>
      <c r="AC1105" s="4">
        <v>-0.0021299719901345</v>
      </c>
      <c r="AD1105" s="4">
        <v>0.0</v>
      </c>
      <c r="AE1105" s="4">
        <v>0.0055172944373595</v>
      </c>
      <c r="AF1105" s="4">
        <v>0.0019831500645695</v>
      </c>
      <c r="AG1105" s="4">
        <v>0.0013868413396183</v>
      </c>
      <c r="AH1105" s="4">
        <v>-0.0089749893629504</v>
      </c>
      <c r="AI1105" s="4">
        <v>0.0015437599278418</v>
      </c>
      <c r="AJ1105" s="4">
        <v>0.002502</v>
      </c>
      <c r="AK1105" s="4">
        <f>Weights!E1161</f>
        <v>0.001088576036</v>
      </c>
      <c r="AL1105" s="5">
        <v>3.40847567246616E-4</v>
      </c>
      <c r="AM1105" s="5">
        <v>0.00102934542356325</v>
      </c>
      <c r="AN1105" s="5">
        <v>0.00738326900455854</v>
      </c>
      <c r="AO1105" s="5">
        <v>0.00681314398334387</v>
      </c>
      <c r="AP1105" s="6">
        <f t="shared" si="3"/>
        <v>1.780777528</v>
      </c>
      <c r="AQ1105" s="4">
        <f t="shared" si="4"/>
        <v>1.647064231</v>
      </c>
      <c r="AR1105" s="7">
        <f t="shared" si="5"/>
        <v>1.595640419</v>
      </c>
      <c r="AS1105" s="7">
        <f t="shared" ref="AS1105:AU1105" si="1107">AS1104*(1+AM1105)</f>
        <v>1.719067892</v>
      </c>
      <c r="AT1105" s="5">
        <f t="shared" si="1107"/>
        <v>1.509589844</v>
      </c>
      <c r="AU1105" s="5">
        <f t="shared" si="1107"/>
        <v>1.507309361</v>
      </c>
    </row>
    <row r="1106" ht="15.75" customHeight="1">
      <c r="A1106" s="3">
        <v>45434.0</v>
      </c>
      <c r="B1106" s="4">
        <v>0.009152</v>
      </c>
      <c r="C1106" s="4">
        <v>0.004291</v>
      </c>
      <c r="D1106" s="4">
        <v>0.002294</v>
      </c>
      <c r="E1106" s="4">
        <v>0.005578</v>
      </c>
      <c r="F1106" s="4">
        <v>0.001431</v>
      </c>
      <c r="G1106" s="4">
        <v>0.014943</v>
      </c>
      <c r="H1106" s="4">
        <v>-0.003208</v>
      </c>
      <c r="I1106" s="4">
        <v>-0.004622</v>
      </c>
      <c r="J1106" s="4">
        <v>-0.011</v>
      </c>
      <c r="K1106" s="4">
        <v>-0.013366</v>
      </c>
      <c r="L1106" s="4">
        <v>7.56E-4</v>
      </c>
      <c r="M1106" s="4">
        <v>-0.003792</v>
      </c>
      <c r="N1106" s="4">
        <v>-0.009758</v>
      </c>
      <c r="O1106" s="4">
        <v>-4.6E-5</v>
      </c>
      <c r="P1106" s="4">
        <v>-0.037466</v>
      </c>
      <c r="Q1106" s="4">
        <v>-0.025966</v>
      </c>
      <c r="R1106" s="4">
        <v>-0.056885</v>
      </c>
      <c r="S1106" s="4">
        <v>-0.020927</v>
      </c>
      <c r="T1106" s="4">
        <v>-0.005926</v>
      </c>
      <c r="U1106" s="4">
        <v>0.002543</v>
      </c>
      <c r="V1106" s="4">
        <v>0.00174364333519005</v>
      </c>
      <c r="W1106" s="4">
        <v>0.0150821820030699</v>
      </c>
      <c r="X1106" s="4">
        <v>-0.0142348855772808</v>
      </c>
      <c r="Y1106" s="4">
        <v>-0.0014556871998807</v>
      </c>
      <c r="Z1106" s="4">
        <v>-0.0054130898738334</v>
      </c>
      <c r="AA1106" s="4">
        <v>0.0016810498134147</v>
      </c>
      <c r="AB1106" s="4">
        <v>0.0093196644062885</v>
      </c>
      <c r="AC1106" s="4">
        <v>-0.0053361250740914</v>
      </c>
      <c r="AD1106" s="4">
        <v>-0.0037737137151215</v>
      </c>
      <c r="AE1106" s="4">
        <v>-0.0197531048380008</v>
      </c>
      <c r="AF1106" s="4">
        <v>4.948364472205E-4</v>
      </c>
      <c r="AG1106" s="4">
        <v>0.004154561164434</v>
      </c>
      <c r="AH1106" s="4">
        <v>0.0023831629667088</v>
      </c>
      <c r="AI1106" s="4">
        <v>0.0030833735255715</v>
      </c>
      <c r="AJ1106" s="4">
        <v>-0.002706</v>
      </c>
      <c r="AK1106" s="4">
        <f>Weights!E1162</f>
        <v>-0.004487013327</v>
      </c>
      <c r="AL1106" s="5">
        <v>0.0016350676693253</v>
      </c>
      <c r="AM1106" s="5">
        <v>0.00205657392217162</v>
      </c>
      <c r="AN1106" s="5">
        <v>0.0</v>
      </c>
      <c r="AO1106" s="5">
        <v>0.00109148005226544</v>
      </c>
      <c r="AP1106" s="6">
        <f t="shared" si="3"/>
        <v>1.772787155</v>
      </c>
      <c r="AQ1106" s="4">
        <f t="shared" si="4"/>
        <v>1.642607276</v>
      </c>
      <c r="AR1106" s="7">
        <f t="shared" si="5"/>
        <v>1.598249399</v>
      </c>
      <c r="AS1106" s="7">
        <f t="shared" ref="AS1106:AU1106" si="1108">AS1105*(1+AM1106)</f>
        <v>1.722603282</v>
      </c>
      <c r="AT1106" s="5">
        <f t="shared" si="1108"/>
        <v>1.509589844</v>
      </c>
      <c r="AU1106" s="5">
        <f t="shared" si="1108"/>
        <v>1.508954559</v>
      </c>
    </row>
    <row r="1107" ht="15.75" customHeight="1">
      <c r="A1107" s="3">
        <v>45435.0</v>
      </c>
      <c r="B1107" s="4">
        <v>-0.010278</v>
      </c>
      <c r="C1107" s="4">
        <v>-0.009048</v>
      </c>
      <c r="D1107" s="4">
        <v>-0.007884</v>
      </c>
      <c r="E1107" s="4">
        <v>-0.015487</v>
      </c>
      <c r="F1107" s="4">
        <v>-0.014444</v>
      </c>
      <c r="G1107" s="4">
        <v>-0.024756</v>
      </c>
      <c r="H1107" s="4">
        <v>-0.013825</v>
      </c>
      <c r="I1107" s="4">
        <v>-0.017482</v>
      </c>
      <c r="J1107" s="4">
        <v>-0.019278</v>
      </c>
      <c r="K1107" s="4">
        <v>-0.01943</v>
      </c>
      <c r="L1107" s="4">
        <v>-0.012741</v>
      </c>
      <c r="M1107" s="4">
        <v>-0.004949</v>
      </c>
      <c r="N1107" s="4">
        <v>-0.00808</v>
      </c>
      <c r="O1107" s="4">
        <v>-0.03065</v>
      </c>
      <c r="P1107" s="4">
        <v>-0.027365</v>
      </c>
      <c r="Q1107" s="4">
        <v>-0.021699</v>
      </c>
      <c r="R1107" s="4">
        <v>-5.86E-4</v>
      </c>
      <c r="S1107" s="4">
        <v>-0.016428</v>
      </c>
      <c r="T1107" s="4">
        <v>0.002513</v>
      </c>
      <c r="U1107" s="4">
        <v>-0.0061</v>
      </c>
      <c r="V1107" s="4">
        <v>0.0104438625648477</v>
      </c>
      <c r="W1107" s="4">
        <v>0.0</v>
      </c>
      <c r="X1107" s="4">
        <v>0.0</v>
      </c>
      <c r="Y1107" s="4">
        <v>0.0</v>
      </c>
      <c r="Z1107" s="4">
        <v>0.0</v>
      </c>
      <c r="AA1107" s="4">
        <v>0.0</v>
      </c>
      <c r="AB1107" s="4">
        <v>0.0</v>
      </c>
      <c r="AC1107" s="4">
        <v>0.0</v>
      </c>
      <c r="AD1107" s="4">
        <v>0.0</v>
      </c>
      <c r="AE1107" s="4">
        <v>0.0</v>
      </c>
      <c r="AF1107" s="4">
        <v>0.0</v>
      </c>
      <c r="AG1107" s="4">
        <v>0.0</v>
      </c>
      <c r="AH1107" s="4">
        <v>0.0</v>
      </c>
      <c r="AI1107" s="4">
        <v>0.0</v>
      </c>
      <c r="AJ1107" s="4">
        <v>-0.007381</v>
      </c>
      <c r="AK1107" s="4">
        <f>Weights!E1163</f>
        <v>-0.006592455954</v>
      </c>
      <c r="AL1107" s="5">
        <v>-0.0048292449974806</v>
      </c>
      <c r="AM1107" s="5">
        <v>-0.00338250360748659</v>
      </c>
      <c r="AN1107" s="5">
        <v>-0.0038698376603159</v>
      </c>
      <c r="AO1107" s="5">
        <v>-0.0047973446004913</v>
      </c>
      <c r="AP1107" s="6">
        <f t="shared" si="3"/>
        <v>1.761100134</v>
      </c>
      <c r="AQ1107" s="4">
        <f t="shared" si="4"/>
        <v>1.630483191</v>
      </c>
      <c r="AR1107" s="7">
        <f t="shared" si="5"/>
        <v>1.590531061</v>
      </c>
      <c r="AS1107" s="7">
        <f t="shared" ref="AS1107:AU1107" si="1109">AS1106*(1+AM1107)</f>
        <v>1.716776571</v>
      </c>
      <c r="AT1107" s="5">
        <f t="shared" si="1109"/>
        <v>1.503747976</v>
      </c>
      <c r="AU1107" s="5">
        <f t="shared" si="1109"/>
        <v>1.501715584</v>
      </c>
    </row>
    <row r="1108" ht="15.75" customHeight="1">
      <c r="A1108" s="3">
        <v>45436.0</v>
      </c>
      <c r="B1108" s="4">
        <v>-0.005498</v>
      </c>
      <c r="C1108" s="4">
        <v>0.007862</v>
      </c>
      <c r="D1108" s="4">
        <v>0.006921</v>
      </c>
      <c r="E1108" s="4">
        <v>-0.00714</v>
      </c>
      <c r="F1108" s="4">
        <v>-0.00145</v>
      </c>
      <c r="G1108" s="4">
        <v>-0.018236</v>
      </c>
      <c r="H1108" s="4">
        <v>-9.67E-4</v>
      </c>
      <c r="I1108" s="4">
        <v>0.007506</v>
      </c>
      <c r="J1108" s="4">
        <v>0.005544</v>
      </c>
      <c r="K1108" s="4">
        <v>0.028177</v>
      </c>
      <c r="L1108" s="4">
        <v>0.006596</v>
      </c>
      <c r="M1108" s="4">
        <v>0.015302</v>
      </c>
      <c r="N1108" s="4">
        <v>0.014306</v>
      </c>
      <c r="O1108" s="4">
        <v>0.00794</v>
      </c>
      <c r="P1108" s="4">
        <v>0.018191</v>
      </c>
      <c r="Q1108" s="4">
        <v>0.01711</v>
      </c>
      <c r="R1108" s="4">
        <v>0.006445</v>
      </c>
      <c r="S1108" s="4">
        <v>0.013111</v>
      </c>
      <c r="T1108" s="4">
        <v>-0.001516</v>
      </c>
      <c r="U1108" s="4">
        <v>0.00553</v>
      </c>
      <c r="V1108" s="4">
        <v>-8.61413955789536E-4</v>
      </c>
      <c r="W1108" s="4">
        <v>0.0</v>
      </c>
      <c r="X1108" s="4">
        <v>-0.0097205724662209</v>
      </c>
      <c r="Y1108" s="4">
        <v>7.84913706713E-4</v>
      </c>
      <c r="Z1108" s="4">
        <v>-0.0010885101781898</v>
      </c>
      <c r="AA1108" s="4">
        <v>-0.0073422395088807</v>
      </c>
      <c r="AB1108" s="4">
        <v>-4.616668325031E-4</v>
      </c>
      <c r="AC1108" s="4">
        <v>0.0032188684352771</v>
      </c>
      <c r="AD1108" s="4">
        <v>-0.0176766165190364</v>
      </c>
      <c r="AE1108" s="4">
        <v>0.0114751099031729</v>
      </c>
      <c r="AF1108" s="4">
        <v>0.0</v>
      </c>
      <c r="AG1108" s="4">
        <v>-0.0025075467937215</v>
      </c>
      <c r="AH1108" s="4">
        <v>0.0292439727316251</v>
      </c>
      <c r="AI1108" s="4">
        <v>-0.0076843316740839</v>
      </c>
      <c r="AJ1108" s="4">
        <v>0.007001</v>
      </c>
      <c r="AK1108" s="4">
        <f>Weights!E1164</f>
        <v>0.004386478049</v>
      </c>
      <c r="AL1108" s="5">
        <v>-0.00690321222206258</v>
      </c>
      <c r="AM1108" s="5">
        <v>-0.00850430239574495</v>
      </c>
      <c r="AN1108" s="5">
        <v>-0.0062279031221244</v>
      </c>
      <c r="AO1108" s="5">
        <v>-0.00701138944245993</v>
      </c>
      <c r="AP1108" s="6">
        <f t="shared" si="3"/>
        <v>1.768825161</v>
      </c>
      <c r="AQ1108" s="4">
        <f t="shared" si="4"/>
        <v>1.641898204</v>
      </c>
      <c r="AR1108" s="7">
        <f t="shared" si="5"/>
        <v>1.579551287</v>
      </c>
      <c r="AS1108" s="7">
        <f t="shared" ref="AS1108:AU1108" si="1110">AS1107*(1+AM1108)</f>
        <v>1.702176583</v>
      </c>
      <c r="AT1108" s="5">
        <f t="shared" si="1110"/>
        <v>1.494382779</v>
      </c>
      <c r="AU1108" s="5">
        <f t="shared" si="1110"/>
        <v>1.491186471</v>
      </c>
    </row>
    <row r="1109" ht="15.75" customHeight="1">
      <c r="A1109" s="3">
        <v>45440.0</v>
      </c>
      <c r="B1109" s="4">
        <v>0.001228</v>
      </c>
      <c r="C1109" s="4">
        <v>-0.009562</v>
      </c>
      <c r="D1109" s="4">
        <v>0.003055</v>
      </c>
      <c r="E1109" s="4">
        <v>-0.0259</v>
      </c>
      <c r="F1109" s="4">
        <v>-0.002903</v>
      </c>
      <c r="G1109" s="4">
        <v>-0.017623</v>
      </c>
      <c r="H1109" s="4">
        <v>-0.013428</v>
      </c>
      <c r="I1109" s="4">
        <v>-0.003587</v>
      </c>
      <c r="J1109" s="4">
        <v>-0.015539</v>
      </c>
      <c r="K1109" s="4">
        <v>-0.018211</v>
      </c>
      <c r="L1109" s="4">
        <v>-0.002469</v>
      </c>
      <c r="M1109" s="4">
        <v>-0.012811</v>
      </c>
      <c r="N1109" s="4">
        <v>-0.009598</v>
      </c>
      <c r="O1109" s="4">
        <v>-0.028557</v>
      </c>
      <c r="P1109" s="4">
        <v>0.010005</v>
      </c>
      <c r="Q1109" s="4">
        <v>0.014953</v>
      </c>
      <c r="R1109" s="4">
        <v>0.040753</v>
      </c>
      <c r="S1109" s="4">
        <v>0.018614</v>
      </c>
      <c r="T1109" s="4">
        <v>-0.016816</v>
      </c>
      <c r="U1109" s="4">
        <v>-0.015773</v>
      </c>
      <c r="V1109" s="4">
        <v>0.0</v>
      </c>
      <c r="W1109" s="4">
        <v>0.0459575294257976</v>
      </c>
      <c r="X1109" s="4">
        <v>0.0085889551901623</v>
      </c>
      <c r="Y1109" s="4">
        <v>-0.0093552188852271</v>
      </c>
      <c r="Z1109" s="4">
        <v>-0.0102262127540306</v>
      </c>
      <c r="AA1109" s="4">
        <v>-0.0080303535041079</v>
      </c>
      <c r="AB1109" s="4">
        <v>-9.237601344215E-4</v>
      </c>
      <c r="AC1109" s="4">
        <v>0.002138998472144</v>
      </c>
      <c r="AD1109" s="4">
        <v>-0.0102828819511493</v>
      </c>
      <c r="AE1109" s="4">
        <v>-0.0105147750468168</v>
      </c>
      <c r="AF1109" s="4">
        <v>-0.0089021072529147</v>
      </c>
      <c r="AG1109" s="4">
        <v>-0.0721467642648626</v>
      </c>
      <c r="AH1109" s="4">
        <v>0.0083159563327752</v>
      </c>
      <c r="AI1109" s="4">
        <v>-0.0020649960799137</v>
      </c>
      <c r="AJ1109" s="4">
        <v>2.49E-4</v>
      </c>
      <c r="AK1109" s="4">
        <f>Weights!E1165</f>
        <v>-0.006590070906</v>
      </c>
      <c r="AL1109" s="5">
        <v>0.00695119781578257</v>
      </c>
      <c r="AM1109" s="5">
        <v>0.00723101417153637</v>
      </c>
      <c r="AN1109" s="5">
        <v>0.00477472286944191</v>
      </c>
      <c r="AO1109" s="5">
        <v>0.00573701060252163</v>
      </c>
      <c r="AP1109" s="6">
        <f t="shared" si="3"/>
        <v>1.757168478</v>
      </c>
      <c r="AQ1109" s="4">
        <f t="shared" si="4"/>
        <v>1.642307037</v>
      </c>
      <c r="AR1109" s="7">
        <f t="shared" si="5"/>
        <v>1.590531061</v>
      </c>
      <c r="AS1109" s="7">
        <f t="shared" ref="AS1109:AU1109" si="1111">AS1108*(1+AM1109)</f>
        <v>1.714485046</v>
      </c>
      <c r="AT1109" s="5">
        <f t="shared" si="1111"/>
        <v>1.501518043</v>
      </c>
      <c r="AU1109" s="5">
        <f t="shared" si="1111"/>
        <v>1.499741424</v>
      </c>
    </row>
    <row r="1110" ht="15.75" customHeight="1">
      <c r="A1110" s="3">
        <v>45441.0</v>
      </c>
      <c r="B1110" s="4">
        <v>-0.018405</v>
      </c>
      <c r="C1110" s="4">
        <v>-0.006606</v>
      </c>
      <c r="D1110" s="4">
        <v>-0.017005</v>
      </c>
      <c r="E1110" s="4">
        <v>-0.012862</v>
      </c>
      <c r="F1110" s="4">
        <v>-0.001941</v>
      </c>
      <c r="G1110" s="4">
        <v>4.16E-4</v>
      </c>
      <c r="H1110" s="4">
        <v>-0.008951</v>
      </c>
      <c r="I1110" s="4">
        <v>-0.011908</v>
      </c>
      <c r="J1110" s="4">
        <v>-0.021894</v>
      </c>
      <c r="K1110" s="4">
        <v>-0.015667</v>
      </c>
      <c r="L1110" s="4">
        <v>-0.020849</v>
      </c>
      <c r="M1110" s="4">
        <v>-0.021756</v>
      </c>
      <c r="N1110" s="4">
        <v>-0.015939</v>
      </c>
      <c r="O1110" s="4">
        <v>-0.005841</v>
      </c>
      <c r="P1110" s="4">
        <v>-0.017925</v>
      </c>
      <c r="Q1110" s="4">
        <v>-0.027624</v>
      </c>
      <c r="R1110" s="4">
        <v>-0.016036</v>
      </c>
      <c r="S1110" s="4">
        <v>-0.025757</v>
      </c>
      <c r="T1110" s="4">
        <v>-0.01063</v>
      </c>
      <c r="U1110" s="4">
        <v>-0.014921</v>
      </c>
      <c r="V1110" s="4">
        <v>0.0318966372101747</v>
      </c>
      <c r="W1110" s="4">
        <v>0.0031839449234876</v>
      </c>
      <c r="X1110" s="4">
        <v>0.0267640248734952</v>
      </c>
      <c r="Y1110" s="4">
        <v>-5.088395996282E-4</v>
      </c>
      <c r="Z1110" s="4">
        <v>0.0039802855611168</v>
      </c>
      <c r="AA1110" s="4">
        <v>0.0040478555158247</v>
      </c>
      <c r="AB1110" s="4">
        <v>-0.0161812061284279</v>
      </c>
      <c r="AC1110" s="4">
        <v>0.0053362106053647</v>
      </c>
      <c r="AD1110" s="4">
        <v>0.0025973499345195</v>
      </c>
      <c r="AE1110" s="4">
        <v>0.0170582684869597</v>
      </c>
      <c r="AF1110" s="4">
        <v>0.0189620796180947</v>
      </c>
      <c r="AG1110" s="4">
        <v>0.0105661495489619</v>
      </c>
      <c r="AH1110" s="4">
        <v>-0.0022908940593405</v>
      </c>
      <c r="AI1110" s="4">
        <v>0.0025864835851485</v>
      </c>
      <c r="AJ1110" s="4">
        <v>-0.007367</v>
      </c>
      <c r="AK1110" s="4">
        <f>Weights!E1166</f>
        <v>-0.004233225961</v>
      </c>
      <c r="AL1110" s="5">
        <v>2.04947383252829E-4</v>
      </c>
      <c r="AM1110" s="5">
        <v>0.0</v>
      </c>
      <c r="AN1110" s="5">
        <v>8.91071443270163E-4</v>
      </c>
      <c r="AO1110" s="5">
        <v>0.00241340770186604</v>
      </c>
      <c r="AP1110" s="6">
        <f t="shared" si="3"/>
        <v>1.749729986</v>
      </c>
      <c r="AQ1110" s="4">
        <f t="shared" si="4"/>
        <v>1.630208161</v>
      </c>
      <c r="AR1110" s="7">
        <f t="shared" si="5"/>
        <v>1.590857036</v>
      </c>
      <c r="AS1110" s="7">
        <f t="shared" ref="AS1110:AU1110" si="1112">AS1109*(1+AM1110)</f>
        <v>1.714485046</v>
      </c>
      <c r="AT1110" s="5">
        <f t="shared" si="1112"/>
        <v>1.502856003</v>
      </c>
      <c r="AU1110" s="5">
        <f t="shared" si="1112"/>
        <v>1.503360911</v>
      </c>
    </row>
    <row r="1111" ht="15.75" customHeight="1">
      <c r="A1111" s="3">
        <v>45442.0</v>
      </c>
      <c r="B1111" s="4">
        <v>0.008125</v>
      </c>
      <c r="C1111" s="4">
        <v>0.031458</v>
      </c>
      <c r="D1111" s="4">
        <v>0.022205</v>
      </c>
      <c r="E1111" s="4">
        <v>-0.003915</v>
      </c>
      <c r="F1111" s="4">
        <v>0.004376</v>
      </c>
      <c r="G1111" s="4">
        <v>0.005816</v>
      </c>
      <c r="H1111" s="4">
        <v>0.005753</v>
      </c>
      <c r="I1111" s="4">
        <v>0.002242</v>
      </c>
      <c r="J1111" s="4">
        <v>0.016138</v>
      </c>
      <c r="K1111" s="4">
        <v>0.005488</v>
      </c>
      <c r="L1111" s="4">
        <v>0.053962</v>
      </c>
      <c r="M1111" s="4">
        <v>0.001171</v>
      </c>
      <c r="N1111" s="4">
        <v>0.0</v>
      </c>
      <c r="O1111" s="4">
        <v>0.016411</v>
      </c>
      <c r="P1111" s="4">
        <v>0.006004</v>
      </c>
      <c r="Q1111" s="4">
        <v>0.00947</v>
      </c>
      <c r="R1111" s="4">
        <v>-0.008717</v>
      </c>
      <c r="S1111" s="4">
        <v>0.003394</v>
      </c>
      <c r="T1111" s="4">
        <v>4.2E-4</v>
      </c>
      <c r="U1111" s="4">
        <v>0.007293</v>
      </c>
      <c r="V1111" s="4">
        <v>-0.0167085032146097</v>
      </c>
      <c r="W1111" s="4">
        <v>0.0305175737589997</v>
      </c>
      <c r="X1111" s="4">
        <v>0.0011847814071423</v>
      </c>
      <c r="Y1111" s="4">
        <v>-0.0106930130733073</v>
      </c>
      <c r="Z1111" s="4">
        <v>-0.0061576860582185</v>
      </c>
      <c r="AA1111" s="4">
        <v>0.0</v>
      </c>
      <c r="AB1111" s="4">
        <v>-0.0086937220949817</v>
      </c>
      <c r="AC1111" s="4">
        <v>0.0031846979318308</v>
      </c>
      <c r="AD1111" s="4">
        <v>0.0090674917804316</v>
      </c>
      <c r="AE1111" s="4">
        <v>-0.015947263591266</v>
      </c>
      <c r="AF1111" s="4">
        <v>0.0156709642794619</v>
      </c>
      <c r="AG1111" s="4">
        <v>-0.009383362392019</v>
      </c>
      <c r="AH1111" s="4">
        <v>-0.010562572586276</v>
      </c>
      <c r="AI1111" s="4">
        <v>0.0010318628544241</v>
      </c>
      <c r="AJ1111" s="4">
        <v>-0.005975</v>
      </c>
      <c r="AK1111" s="4">
        <f>Weights!E1167</f>
        <v>0.003395218102</v>
      </c>
      <c r="AL1111" s="5">
        <v>-0.0103866710738259</v>
      </c>
      <c r="AM1111" s="5">
        <v>-0.008210137571799</v>
      </c>
      <c r="AN1111" s="5">
        <v>-0.00534120552648897</v>
      </c>
      <c r="AO1111" s="5">
        <v>-0.00525282993440967</v>
      </c>
      <c r="AP1111" s="6">
        <f t="shared" si="3"/>
        <v>1.755670701</v>
      </c>
      <c r="AQ1111" s="4">
        <f t="shared" si="4"/>
        <v>1.620467667</v>
      </c>
      <c r="AR1111" s="7">
        <f t="shared" si="5"/>
        <v>1.574333327</v>
      </c>
      <c r="AS1111" s="7">
        <f t="shared" ref="AS1111:AU1111" si="1113">AS1110*(1+AM1111)</f>
        <v>1.700408888</v>
      </c>
      <c r="AT1111" s="5">
        <f t="shared" si="1113"/>
        <v>1.49482894</v>
      </c>
      <c r="AU1111" s="5">
        <f t="shared" si="1113"/>
        <v>1.495464012</v>
      </c>
    </row>
    <row r="1112" ht="15.75" customHeight="1">
      <c r="A1112" s="3">
        <v>45443.0</v>
      </c>
      <c r="B1112" s="4">
        <v>0.019839</v>
      </c>
      <c r="C1112" s="4">
        <v>0.020332</v>
      </c>
      <c r="D1112" s="4">
        <v>0.02046</v>
      </c>
      <c r="E1112" s="4">
        <v>0.014195</v>
      </c>
      <c r="F1112" s="4">
        <v>0.015491</v>
      </c>
      <c r="G1112" s="4">
        <v>0.009568</v>
      </c>
      <c r="H1112" s="4">
        <v>0.012056</v>
      </c>
      <c r="I1112" s="4">
        <v>0.022931</v>
      </c>
      <c r="J1112" s="4">
        <v>0.024334</v>
      </c>
      <c r="K1112" s="4">
        <v>0.017467</v>
      </c>
      <c r="L1112" s="4">
        <v>0.008026</v>
      </c>
      <c r="M1112" s="4">
        <v>0.011691</v>
      </c>
      <c r="N1112" s="4">
        <v>0.019732</v>
      </c>
      <c r="O1112" s="4">
        <v>-0.014378</v>
      </c>
      <c r="P1112" s="4">
        <v>0.001194</v>
      </c>
      <c r="Q1112" s="4">
        <v>-0.015009</v>
      </c>
      <c r="R1112" s="4">
        <v>0.008029</v>
      </c>
      <c r="S1112" s="4">
        <v>-0.018871</v>
      </c>
      <c r="T1112" s="4">
        <v>0.01308</v>
      </c>
      <c r="U1112" s="4">
        <v>0.016832</v>
      </c>
      <c r="V1112" s="4">
        <v>-0.00594730589864767</v>
      </c>
      <c r="W1112" s="4">
        <v>-0.0106609793301877</v>
      </c>
      <c r="X1112" s="4">
        <v>0.0</v>
      </c>
      <c r="Y1112" s="4">
        <v>0.0082351370187254</v>
      </c>
      <c r="Z1112" s="4">
        <v>0.00891189145264</v>
      </c>
      <c r="AA1112" s="4">
        <v>0.0053043468591267</v>
      </c>
      <c r="AB1112" s="4">
        <v>0.0052145387904134</v>
      </c>
      <c r="AC1112" s="4">
        <v>0.0</v>
      </c>
      <c r="AD1112" s="4">
        <v>0.0</v>
      </c>
      <c r="AE1112" s="4">
        <v>0.0153674312560347</v>
      </c>
      <c r="AF1112" s="4">
        <v>-0.0144647919825937</v>
      </c>
      <c r="AG1112" s="4">
        <v>0.0092016268541907</v>
      </c>
      <c r="AH1112" s="4">
        <v>0.0160129419956205</v>
      </c>
      <c r="AI1112" s="4">
        <v>-0.0020618032911822</v>
      </c>
      <c r="AJ1112" s="4">
        <v>0.008028</v>
      </c>
      <c r="AK1112" s="4">
        <f>Weights!E1168</f>
        <v>0.008090444198</v>
      </c>
      <c r="AL1112" s="5">
        <v>-0.00131196078940964</v>
      </c>
      <c r="AM1112" s="5">
        <v>-0.00488991149717454</v>
      </c>
      <c r="AN1112" s="5">
        <v>-0.0167066003893028</v>
      </c>
      <c r="AO1112" s="5">
        <v>-0.0167216830218139</v>
      </c>
      <c r="AP1112" s="6">
        <f t="shared" si="3"/>
        <v>1.769874857</v>
      </c>
      <c r="AQ1112" s="4">
        <f t="shared" si="4"/>
        <v>1.633476782</v>
      </c>
      <c r="AR1112" s="7">
        <f t="shared" si="5"/>
        <v>1.572267864</v>
      </c>
      <c r="AS1112" s="7">
        <f t="shared" ref="AS1112:AU1112" si="1114">AS1111*(1+AM1112)</f>
        <v>1.692094039</v>
      </c>
      <c r="AT1112" s="5">
        <f t="shared" si="1114"/>
        <v>1.46985543</v>
      </c>
      <c r="AU1112" s="5">
        <f t="shared" si="1114"/>
        <v>1.470457337</v>
      </c>
    </row>
    <row r="1113" ht="15.75" customHeight="1">
      <c r="A1113" s="3">
        <v>45446.0</v>
      </c>
      <c r="B1113" s="4">
        <v>-6.08E-4</v>
      </c>
      <c r="C1113" s="4">
        <v>-0.004131</v>
      </c>
      <c r="D1113" s="4">
        <v>0.001485</v>
      </c>
      <c r="E1113" s="4">
        <v>-0.009659</v>
      </c>
      <c r="F1113" s="4">
        <v>0.0</v>
      </c>
      <c r="G1113" s="4">
        <v>0.007295</v>
      </c>
      <c r="H1113" s="4">
        <v>6.69E-4</v>
      </c>
      <c r="I1113" s="4">
        <v>-0.004101</v>
      </c>
      <c r="J1113" s="4">
        <v>-0.002751</v>
      </c>
      <c r="K1113" s="4">
        <v>-0.01073</v>
      </c>
      <c r="L1113" s="4">
        <v>-0.006132</v>
      </c>
      <c r="M1113" s="4">
        <v>-0.003082</v>
      </c>
      <c r="N1113" s="4">
        <v>-0.007979</v>
      </c>
      <c r="O1113" s="4">
        <v>0.005137</v>
      </c>
      <c r="P1113" s="4">
        <v>-0.001192</v>
      </c>
      <c r="Q1113" s="4">
        <v>-0.010794</v>
      </c>
      <c r="R1113" s="4">
        <v>-0.013086</v>
      </c>
      <c r="S1113" s="4">
        <v>-5.44E-4</v>
      </c>
      <c r="T1113" s="4">
        <v>-0.012082</v>
      </c>
      <c r="U1113" s="4">
        <v>-0.006999</v>
      </c>
      <c r="V1113" s="4">
        <v>-0.0128204592975962</v>
      </c>
      <c r="W1113" s="4">
        <v>0.0320880947152197</v>
      </c>
      <c r="X1113" s="4">
        <v>0.0</v>
      </c>
      <c r="Y1113" s="4">
        <v>0.0048212226515893</v>
      </c>
      <c r="Z1113" s="4">
        <v>0.009758547342026</v>
      </c>
      <c r="AA1113" s="4">
        <v>0.0040101781874133</v>
      </c>
      <c r="AB1113" s="4">
        <v>-0.0061306342693029</v>
      </c>
      <c r="AC1113" s="4">
        <v>0.0</v>
      </c>
      <c r="AD1113" s="4">
        <v>0.0</v>
      </c>
      <c r="AE1113" s="4">
        <v>0.0013758272118356</v>
      </c>
      <c r="AF1113" s="4">
        <v>-0.0068493977119853</v>
      </c>
      <c r="AG1113" s="4">
        <v>-0.0018770473549879</v>
      </c>
      <c r="AH1113" s="4">
        <v>0.0105070822520176</v>
      </c>
      <c r="AI1113" s="4">
        <v>0.0</v>
      </c>
      <c r="AJ1113" s="4">
        <v>0.001116</v>
      </c>
      <c r="AK1113" s="4">
        <f>Weights!E1169</f>
        <v>-0.001540119303</v>
      </c>
      <c r="AL1113" s="5">
        <v>0.00746734262454129</v>
      </c>
      <c r="AM1113" s="5">
        <v>0.00769963121515204</v>
      </c>
      <c r="AN1113" s="5">
        <v>0.0100122186017641</v>
      </c>
      <c r="AO1113" s="5">
        <v>0.00783175220627741</v>
      </c>
      <c r="AP1113" s="6">
        <f t="shared" si="3"/>
        <v>1.767149039</v>
      </c>
      <c r="AQ1113" s="4">
        <f t="shared" si="4"/>
        <v>1.635299742</v>
      </c>
      <c r="AR1113" s="7">
        <f t="shared" si="5"/>
        <v>1.584008527</v>
      </c>
      <c r="AS1113" s="7">
        <f t="shared" ref="AS1113:AU1113" si="1115">AS1112*(1+AM1113)</f>
        <v>1.705122539</v>
      </c>
      <c r="AT1113" s="5">
        <f t="shared" si="1115"/>
        <v>1.484571944</v>
      </c>
      <c r="AU1113" s="5">
        <f t="shared" si="1115"/>
        <v>1.481973594</v>
      </c>
    </row>
    <row r="1114" ht="15.75" customHeight="1">
      <c r="A1114" s="3">
        <v>45447.0</v>
      </c>
      <c r="B1114" s="4">
        <v>0.015207</v>
      </c>
      <c r="C1114" s="4">
        <v>0.014153</v>
      </c>
      <c r="D1114" s="4">
        <v>-0.009639</v>
      </c>
      <c r="E1114" s="4">
        <v>0.015535</v>
      </c>
      <c r="F1114" s="4">
        <v>0.01605</v>
      </c>
      <c r="G1114" s="4">
        <v>4.06E-4</v>
      </c>
      <c r="H1114" s="4">
        <v>0.014333</v>
      </c>
      <c r="I1114" s="4">
        <v>-0.01098</v>
      </c>
      <c r="J1114" s="4">
        <v>0.009027</v>
      </c>
      <c r="K1114" s="4">
        <v>0.005604</v>
      </c>
      <c r="L1114" s="4">
        <v>-0.010313</v>
      </c>
      <c r="M1114" s="4">
        <v>-0.002705</v>
      </c>
      <c r="N1114" s="4">
        <v>-0.003217</v>
      </c>
      <c r="O1114" s="4">
        <v>0.018275</v>
      </c>
      <c r="P1114" s="4">
        <v>-0.026498</v>
      </c>
      <c r="Q1114" s="4">
        <v>-0.02439</v>
      </c>
      <c r="R1114" s="4">
        <v>-0.044965</v>
      </c>
      <c r="S1114" s="4">
        <v>-0.041576</v>
      </c>
      <c r="T1114" s="4">
        <v>-0.033751</v>
      </c>
      <c r="U1114" s="4">
        <v>0.019305</v>
      </c>
      <c r="V1114" s="4">
        <v>-0.0103896087419459</v>
      </c>
      <c r="W1114" s="4">
        <v>0.0169374210501926</v>
      </c>
      <c r="X1114" s="4">
        <v>0.0</v>
      </c>
      <c r="Y1114" s="4">
        <v>0.0034434708678965</v>
      </c>
      <c r="Z1114" s="4">
        <v>0.0088310593316152</v>
      </c>
      <c r="AA1114" s="4">
        <v>0.0031532396126425</v>
      </c>
      <c r="AB1114" s="4">
        <v>-0.0149465514350168</v>
      </c>
      <c r="AC1114" s="4">
        <v>0.0</v>
      </c>
      <c r="AD1114" s="4">
        <v>0.0</v>
      </c>
      <c r="AE1114" s="4">
        <v>0.0043968756384291</v>
      </c>
      <c r="AF1114" s="4">
        <v>0.0118227006293147</v>
      </c>
      <c r="AG1114" s="4">
        <v>-0.0145084892810095</v>
      </c>
      <c r="AH1114" s="4">
        <v>-0.0131102200952811</v>
      </c>
      <c r="AI1114" s="4">
        <v>0.002582784176059</v>
      </c>
      <c r="AJ1114" s="4">
        <v>0.001503</v>
      </c>
      <c r="AK1114" s="4">
        <f>Weights!E1170</f>
        <v>-0.003142242259</v>
      </c>
      <c r="AL1114" s="5">
        <v>0.00240189064381968</v>
      </c>
      <c r="AM1114" s="5">
        <v>3.07209009120956E-4</v>
      </c>
      <c r="AN1114" s="5">
        <v>0.0102132648266819</v>
      </c>
      <c r="AO1114" s="5">
        <v>0.00865896959168588</v>
      </c>
      <c r="AP1114" s="6">
        <f t="shared" si="3"/>
        <v>1.761596228</v>
      </c>
      <c r="AQ1114" s="4">
        <f t="shared" si="4"/>
        <v>1.637757597</v>
      </c>
      <c r="AR1114" s="7">
        <f t="shared" si="5"/>
        <v>1.587813142</v>
      </c>
      <c r="AS1114" s="7">
        <f t="shared" ref="AS1114:AU1114" si="1116">AS1113*(1+AM1114)</f>
        <v>1.705646368</v>
      </c>
      <c r="AT1114" s="5">
        <f t="shared" si="1116"/>
        <v>1.499734271</v>
      </c>
      <c r="AU1114" s="5">
        <f t="shared" si="1116"/>
        <v>1.494805959</v>
      </c>
    </row>
    <row r="1115" ht="15.75" customHeight="1">
      <c r="A1115" s="3">
        <v>45448.0</v>
      </c>
      <c r="B1115" s="4">
        <v>-0.001798</v>
      </c>
      <c r="C1115" s="4">
        <v>-0.005053</v>
      </c>
      <c r="D1115" s="4">
        <v>-0.001747</v>
      </c>
      <c r="E1115" s="4">
        <v>-0.0023</v>
      </c>
      <c r="F1115" s="4">
        <v>-3.13E-4</v>
      </c>
      <c r="G1115" s="4">
        <v>-0.012382</v>
      </c>
      <c r="H1115" s="4">
        <v>-0.005748</v>
      </c>
      <c r="I1115" s="4">
        <v>0.006939</v>
      </c>
      <c r="J1115" s="4">
        <v>0.01168</v>
      </c>
      <c r="K1115" s="4">
        <v>0.006112</v>
      </c>
      <c r="L1115" s="4">
        <v>-0.003443</v>
      </c>
      <c r="M1115" s="4">
        <v>3.87E-4</v>
      </c>
      <c r="N1115" s="4">
        <v>-0.001412</v>
      </c>
      <c r="O1115" s="4">
        <v>0.009755</v>
      </c>
      <c r="P1115" s="4">
        <v>0.014064</v>
      </c>
      <c r="Q1115" s="4">
        <v>0.026974</v>
      </c>
      <c r="R1115" s="4">
        <v>0.015895</v>
      </c>
      <c r="S1115" s="4">
        <v>0.01648</v>
      </c>
      <c r="T1115" s="4">
        <v>0.003164</v>
      </c>
      <c r="U1115" s="4">
        <v>0.013889</v>
      </c>
      <c r="V1115" s="4">
        <v>-0.00874894059636854</v>
      </c>
      <c r="W1115" s="4">
        <v>-0.020990230191959</v>
      </c>
      <c r="X1115" s="4">
        <v>0.0</v>
      </c>
      <c r="Y1115" s="4">
        <v>0.0096759149373779</v>
      </c>
      <c r="Z1115" s="4">
        <v>-0.0051201109422817</v>
      </c>
      <c r="AA1115" s="4">
        <v>-0.0046101857210454</v>
      </c>
      <c r="AB1115" s="4">
        <v>-0.0130058700027709</v>
      </c>
      <c r="AC1115" s="4">
        <v>0.0</v>
      </c>
      <c r="AD1115" s="4">
        <v>0.0</v>
      </c>
      <c r="AE1115" s="4">
        <v>0.0038303312971426</v>
      </c>
      <c r="AF1115" s="4">
        <v>0.0077897050685271</v>
      </c>
      <c r="AG1115" s="4">
        <v>-0.0301253109939627</v>
      </c>
      <c r="AH1115" s="4">
        <v>0.044434209689951</v>
      </c>
      <c r="AI1115" s="4">
        <v>-0.0051522611734879</v>
      </c>
      <c r="AJ1115" s="4">
        <v>0.011848</v>
      </c>
      <c r="AK1115" s="4">
        <f>Weights!E1171</f>
        <v>0.001875685624</v>
      </c>
      <c r="AL1115" s="5">
        <v>-2.05298199346004E-4</v>
      </c>
      <c r="AM1115" s="5">
        <v>-1.15034443852968E-4</v>
      </c>
      <c r="AN1115" s="5">
        <v>-0.00683909276075977</v>
      </c>
      <c r="AO1115" s="5">
        <v>-0.00616325934016481</v>
      </c>
      <c r="AP1115" s="6">
        <f t="shared" si="3"/>
        <v>1.764900429</v>
      </c>
      <c r="AQ1115" s="4">
        <f t="shared" si="4"/>
        <v>1.657161749</v>
      </c>
      <c r="AR1115" s="7">
        <f t="shared" si="5"/>
        <v>1.587487167</v>
      </c>
      <c r="AS1115" s="7">
        <f t="shared" ref="AS1115:AU1115" si="1117">AS1114*(1+AM1115)</f>
        <v>1.70545016</v>
      </c>
      <c r="AT1115" s="5">
        <f t="shared" si="1117"/>
        <v>1.489477449</v>
      </c>
      <c r="AU1115" s="5">
        <f t="shared" si="1117"/>
        <v>1.485593082</v>
      </c>
    </row>
    <row r="1116" ht="15.75" customHeight="1">
      <c r="A1116" s="3">
        <v>45449.0</v>
      </c>
      <c r="B1116" s="4">
        <v>0.003001</v>
      </c>
      <c r="C1116" s="4">
        <v>-4.84E-4</v>
      </c>
      <c r="D1116" s="4">
        <v>-0.01075</v>
      </c>
      <c r="E1116" s="4">
        <v>-0.001672</v>
      </c>
      <c r="F1116" s="4">
        <v>0.003598</v>
      </c>
      <c r="G1116" s="4">
        <v>0.003083</v>
      </c>
      <c r="H1116" s="4">
        <v>0.014574</v>
      </c>
      <c r="I1116" s="4">
        <v>-0.002481</v>
      </c>
      <c r="J1116" s="4">
        <v>-7.37E-4</v>
      </c>
      <c r="K1116" s="4">
        <v>0.001429</v>
      </c>
      <c r="L1116" s="4">
        <v>0.004761</v>
      </c>
      <c r="M1116" s="4">
        <v>0.001937</v>
      </c>
      <c r="N1116" s="4">
        <v>-0.005252</v>
      </c>
      <c r="O1116" s="4">
        <v>-0.007878</v>
      </c>
      <c r="P1116" s="4">
        <v>0.034063</v>
      </c>
      <c r="Q1116" s="4">
        <v>0.040359</v>
      </c>
      <c r="R1116" s="4">
        <v>0.015052</v>
      </c>
      <c r="S1116" s="4">
        <v>0.035967</v>
      </c>
      <c r="T1116" s="4">
        <v>0.010205</v>
      </c>
      <c r="U1116" s="4">
        <v>0.002075</v>
      </c>
      <c r="V1116" s="4">
        <v>0.0105913490654079</v>
      </c>
      <c r="W1116" s="4">
        <v>-0.0102539958810125</v>
      </c>
      <c r="X1116" s="4">
        <v>0.0</v>
      </c>
      <c r="Y1116" s="4">
        <v>-0.0131490750222237</v>
      </c>
      <c r="Z1116" s="4">
        <v>-0.0157715659185617</v>
      </c>
      <c r="AA1116" s="4">
        <v>-0.0021052288599182</v>
      </c>
      <c r="AB1116" s="4">
        <v>-0.0119569875471746</v>
      </c>
      <c r="AC1116" s="4">
        <v>0.0</v>
      </c>
      <c r="AD1116" s="4">
        <v>0.0</v>
      </c>
      <c r="AE1116" s="4">
        <v>-0.0046333163030781</v>
      </c>
      <c r="AF1116" s="4">
        <v>-0.0115942418780675</v>
      </c>
      <c r="AG1116" s="4">
        <v>-0.0198174112299224</v>
      </c>
      <c r="AH1116" s="4">
        <v>0.0035088313693603</v>
      </c>
      <c r="AI1116" s="4">
        <v>-0.0010353978239048</v>
      </c>
      <c r="AJ1116" s="4">
        <v>-2.0E-4</v>
      </c>
      <c r="AK1116" s="4">
        <f>Weights!E1172</f>
        <v>0.0006765413374</v>
      </c>
      <c r="AL1116" s="5">
        <v>0.0104772370776375</v>
      </c>
      <c r="AM1116" s="5">
        <v>0.0122461070489559</v>
      </c>
      <c r="AN1116" s="5">
        <v>-0.00538918047688963</v>
      </c>
      <c r="AO1116" s="5">
        <v>-0.00531565426173397</v>
      </c>
      <c r="AP1116" s="6">
        <f t="shared" si="3"/>
        <v>1.766094457</v>
      </c>
      <c r="AQ1116" s="4">
        <f t="shared" si="4"/>
        <v>1.656830317</v>
      </c>
      <c r="AR1116" s="7">
        <f t="shared" si="5"/>
        <v>1.604119646</v>
      </c>
      <c r="AS1116" s="7">
        <f t="shared" ref="AS1116:AU1116" si="1118">AS1115*(1+AM1116)</f>
        <v>1.726335286</v>
      </c>
      <c r="AT1116" s="5">
        <f t="shared" si="1118"/>
        <v>1.481450386</v>
      </c>
      <c r="AU1116" s="5">
        <f t="shared" si="1118"/>
        <v>1.477696183</v>
      </c>
    </row>
    <row r="1117" ht="15.75" customHeight="1">
      <c r="A1117" s="3">
        <v>45450.0</v>
      </c>
      <c r="B1117" s="4">
        <v>-0.008977</v>
      </c>
      <c r="C1117" s="4">
        <v>-0.009436</v>
      </c>
      <c r="D1117" s="4">
        <v>-0.010867</v>
      </c>
      <c r="E1117" s="4">
        <v>-0.004648</v>
      </c>
      <c r="F1117" s="4">
        <v>-0.003741</v>
      </c>
      <c r="G1117" s="4">
        <v>0.004508</v>
      </c>
      <c r="H1117" s="4">
        <v>-0.008369</v>
      </c>
      <c r="I1117" s="4">
        <v>-0.011882</v>
      </c>
      <c r="J1117" s="4">
        <v>-0.01647</v>
      </c>
      <c r="K1117" s="4">
        <v>-0.008207</v>
      </c>
      <c r="L1117" s="4">
        <v>-0.011429</v>
      </c>
      <c r="M1117" s="4">
        <v>-7.73E-4</v>
      </c>
      <c r="N1117" s="4">
        <v>-0.003249</v>
      </c>
      <c r="O1117" s="4">
        <v>-0.003072</v>
      </c>
      <c r="P1117" s="4">
        <v>-0.050353</v>
      </c>
      <c r="Q1117" s="4">
        <v>-0.043719</v>
      </c>
      <c r="R1117" s="4">
        <v>-0.038634</v>
      </c>
      <c r="S1117" s="4">
        <v>-0.053967</v>
      </c>
      <c r="T1117" s="4">
        <v>-0.014326</v>
      </c>
      <c r="U1117" s="4">
        <v>-0.020357</v>
      </c>
      <c r="V1117" s="4">
        <v>0.0113536926029773</v>
      </c>
      <c r="W1117" s="4">
        <v>0.0367318277734136</v>
      </c>
      <c r="X1117" s="4">
        <v>0.0</v>
      </c>
      <c r="Y1117" s="4">
        <v>-9.59798117443E-4</v>
      </c>
      <c r="Z1117" s="4">
        <v>-1.686876739308E-4</v>
      </c>
      <c r="AA1117" s="4">
        <v>-0.0069620930540514</v>
      </c>
      <c r="AB1117" s="4">
        <v>-0.0032106716386671</v>
      </c>
      <c r="AC1117" s="4">
        <v>0.0</v>
      </c>
      <c r="AD1117" s="4">
        <v>0.0</v>
      </c>
      <c r="AE1117" s="4">
        <v>-0.0112267723784557</v>
      </c>
      <c r="AF1117" s="4">
        <v>-0.0078201634519665</v>
      </c>
      <c r="AG1117" s="4">
        <v>-0.0157727959704071</v>
      </c>
      <c r="AH1117" s="4">
        <v>-0.016826953135746</v>
      </c>
      <c r="AI1117" s="4">
        <v>0.0036286271204721</v>
      </c>
      <c r="AJ1117" s="4">
        <v>-0.001115</v>
      </c>
      <c r="AK1117" s="4">
        <f>Weights!E1173</f>
        <v>-0.009100498007</v>
      </c>
      <c r="AL1117" s="5">
        <v>6.09948681808525E-4</v>
      </c>
      <c r="AM1117" s="5">
        <v>-8.72182458318326E-4</v>
      </c>
      <c r="AN1117" s="5">
        <v>0.00632152296554844</v>
      </c>
      <c r="AO1117" s="5">
        <v>0.00734806262689491</v>
      </c>
      <c r="AP1117" s="6">
        <f t="shared" si="3"/>
        <v>1.750022118</v>
      </c>
      <c r="AQ1117" s="4">
        <f t="shared" si="4"/>
        <v>1.654982951</v>
      </c>
      <c r="AR1117" s="7">
        <f t="shared" si="5"/>
        <v>1.605098077</v>
      </c>
      <c r="AS1117" s="7">
        <f t="shared" ref="AS1117:AU1117" si="1119">AS1116*(1+AM1117)</f>
        <v>1.724829606</v>
      </c>
      <c r="AT1117" s="5">
        <f t="shared" si="1119"/>
        <v>1.490815409</v>
      </c>
      <c r="AU1117" s="5">
        <f t="shared" si="1119"/>
        <v>1.488554387</v>
      </c>
    </row>
    <row r="1118" ht="15.75" customHeight="1">
      <c r="A1118" s="3">
        <v>45453.0</v>
      </c>
      <c r="B1118" s="4">
        <v>-0.011257</v>
      </c>
      <c r="C1118" s="4">
        <v>-0.012946</v>
      </c>
      <c r="D1118" s="4">
        <v>-0.024527</v>
      </c>
      <c r="E1118" s="4">
        <v>-0.030051</v>
      </c>
      <c r="F1118" s="4">
        <v>-0.005007</v>
      </c>
      <c r="G1118" s="4">
        <v>3.4E-4</v>
      </c>
      <c r="H1118" s="4">
        <v>0.001736</v>
      </c>
      <c r="I1118" s="4">
        <v>-0.002517</v>
      </c>
      <c r="J1118" s="4">
        <v>-0.002999</v>
      </c>
      <c r="K1118" s="4">
        <v>-0.006836</v>
      </c>
      <c r="L1118" s="4">
        <v>-0.001504</v>
      </c>
      <c r="M1118" s="4">
        <v>0.015087</v>
      </c>
      <c r="N1118" s="4">
        <v>0.007539</v>
      </c>
      <c r="O1118" s="4">
        <v>0.003556</v>
      </c>
      <c r="P1118" s="4">
        <v>0.02329</v>
      </c>
      <c r="Q1118" s="4">
        <v>0.01803</v>
      </c>
      <c r="R1118" s="4">
        <v>0.014816</v>
      </c>
      <c r="S1118" s="4">
        <v>0.023198</v>
      </c>
      <c r="T1118" s="4">
        <v>-0.022919</v>
      </c>
      <c r="U1118" s="4">
        <v>0.013592</v>
      </c>
      <c r="V1118" s="4">
        <v>-0.037132966419264</v>
      </c>
      <c r="W1118" s="4">
        <v>-0.0147626592018047</v>
      </c>
      <c r="X1118" s="4">
        <v>-0.020118273796325</v>
      </c>
      <c r="Y1118" s="4">
        <v>0.0027125647465837</v>
      </c>
      <c r="Z1118" s="4">
        <v>-0.0057359604143301</v>
      </c>
      <c r="AA1118" s="4">
        <v>-0.0078606705773865</v>
      </c>
      <c r="AB1118" s="4">
        <v>-0.0034687759748278</v>
      </c>
      <c r="AC1118" s="4">
        <v>0.0158731087570893</v>
      </c>
      <c r="AD1118" s="4">
        <v>0.0038510127506694</v>
      </c>
      <c r="AE1118" s="4">
        <v>-0.0027693959907114</v>
      </c>
      <c r="AF1118" s="4">
        <v>0.0078818004195431</v>
      </c>
      <c r="AG1118" s="4">
        <v>0.0046620266049881</v>
      </c>
      <c r="AH1118" s="4">
        <v>0.0286729735507473</v>
      </c>
      <c r="AI1118" s="4">
        <v>-0.0046486419905155</v>
      </c>
      <c r="AJ1118" s="4">
        <v>0.002581</v>
      </c>
      <c r="AK1118" s="4">
        <f>Weights!E1174</f>
        <v>-0.0005983641489</v>
      </c>
      <c r="AL1118" s="5">
        <v>-0.00419916746758208</v>
      </c>
      <c r="AM1118" s="5">
        <v>-0.00189791323459609</v>
      </c>
      <c r="AN1118" s="5">
        <v>0.00299121132440349</v>
      </c>
      <c r="AO1118" s="5">
        <v>0.00287344723482352</v>
      </c>
      <c r="AP1118" s="6">
        <f t="shared" si="3"/>
        <v>1.748974968</v>
      </c>
      <c r="AQ1118" s="4">
        <f t="shared" si="4"/>
        <v>1.659254462</v>
      </c>
      <c r="AR1118" s="7">
        <f t="shared" si="5"/>
        <v>1.598358001</v>
      </c>
      <c r="AS1118" s="7">
        <f t="shared" ref="AS1118:AU1118" si="1120">AS1117*(1+AM1118)</f>
        <v>1.721556029</v>
      </c>
      <c r="AT1118" s="5">
        <f t="shared" si="1120"/>
        <v>1.495274753</v>
      </c>
      <c r="AU1118" s="5">
        <f t="shared" si="1120"/>
        <v>1.492831669</v>
      </c>
    </row>
    <row r="1119" ht="15.75" customHeight="1">
      <c r="A1119" s="3">
        <v>45454.0</v>
      </c>
      <c r="B1119" s="4">
        <v>-0.001243</v>
      </c>
      <c r="C1119" s="4">
        <v>2.47E-4</v>
      </c>
      <c r="D1119" s="4">
        <v>2.62E-4</v>
      </c>
      <c r="E1119" s="4">
        <v>-0.005003</v>
      </c>
      <c r="F1119" s="4">
        <v>-6.29E-4</v>
      </c>
      <c r="G1119" s="4">
        <v>-0.002515</v>
      </c>
      <c r="H1119" s="4">
        <v>7.77E-4</v>
      </c>
      <c r="I1119" s="4">
        <v>-0.005607</v>
      </c>
      <c r="J1119" s="4">
        <v>-0.005766</v>
      </c>
      <c r="K1119" s="4">
        <v>-0.007607</v>
      </c>
      <c r="L1119" s="4">
        <v>-0.008002</v>
      </c>
      <c r="M1119" s="4">
        <v>-0.017912</v>
      </c>
      <c r="N1119" s="4">
        <v>-0.013751</v>
      </c>
      <c r="O1119" s="4">
        <v>-0.006992</v>
      </c>
      <c r="P1119" s="4">
        <v>-0.015738</v>
      </c>
      <c r="Q1119" s="4">
        <v>-0.00759</v>
      </c>
      <c r="R1119" s="4">
        <v>-0.0132</v>
      </c>
      <c r="S1119" s="4">
        <v>-0.00892</v>
      </c>
      <c r="T1119" s="4">
        <v>-0.011951</v>
      </c>
      <c r="U1119" s="4">
        <v>-0.006139</v>
      </c>
      <c r="V1119" s="4">
        <v>0.00717485046964583</v>
      </c>
      <c r="W1119" s="4">
        <v>-0.0341171660536477</v>
      </c>
      <c r="X1119" s="4">
        <v>-0.028985526219327</v>
      </c>
      <c r="Y1119" s="4">
        <v>-0.0087357907032086</v>
      </c>
      <c r="Z1119" s="4">
        <v>-0.0121320160624613</v>
      </c>
      <c r="AA1119" s="4">
        <v>-0.0055674667268</v>
      </c>
      <c r="AB1119" s="4">
        <v>0.0027348765970558</v>
      </c>
      <c r="AC1119" s="4">
        <v>-0.0250000438280907</v>
      </c>
      <c r="AD1119" s="4">
        <v>-0.0127877780520951</v>
      </c>
      <c r="AE1119" s="4">
        <v>-0.0022215831832754</v>
      </c>
      <c r="AF1119" s="4">
        <v>-0.0185728285243815</v>
      </c>
      <c r="AG1119" s="4">
        <v>0.0010149522102567</v>
      </c>
      <c r="AH1119" s="4">
        <v>0.0066983878101953</v>
      </c>
      <c r="AI1119" s="4">
        <v>0.0</v>
      </c>
      <c r="AJ1119" s="4">
        <v>0.00271</v>
      </c>
      <c r="AK1119" s="4">
        <f>Weights!E1175</f>
        <v>-0.007191850806</v>
      </c>
      <c r="AL1119" s="5">
        <v>0.00224443505254301</v>
      </c>
      <c r="AM1119" s="5">
        <v>0.00334645317364956</v>
      </c>
      <c r="AN1119" s="5">
        <v>-0.00864895725185477</v>
      </c>
      <c r="AO1119" s="5">
        <v>-0.00859590223477879</v>
      </c>
      <c r="AP1119" s="6">
        <f t="shared" si="3"/>
        <v>1.736396601</v>
      </c>
      <c r="AQ1119" s="4">
        <f t="shared" si="4"/>
        <v>1.663751042</v>
      </c>
      <c r="AR1119" s="7">
        <f t="shared" si="5"/>
        <v>1.601945412</v>
      </c>
      <c r="AS1119" s="7">
        <f t="shared" ref="AS1119:AU1119" si="1121">AS1118*(1+AM1119)</f>
        <v>1.727317136</v>
      </c>
      <c r="AT1119" s="5">
        <f t="shared" si="1121"/>
        <v>1.482342185</v>
      </c>
      <c r="AU1119" s="5">
        <f t="shared" si="1121"/>
        <v>1.479999434</v>
      </c>
    </row>
    <row r="1120" ht="15.75" customHeight="1">
      <c r="A1120" s="3">
        <v>45455.0</v>
      </c>
      <c r="B1120" s="4">
        <v>0.001245</v>
      </c>
      <c r="C1120" s="4">
        <v>-0.016081</v>
      </c>
      <c r="D1120" s="4">
        <v>0.007856</v>
      </c>
      <c r="E1120" s="4">
        <v>-0.007512</v>
      </c>
      <c r="F1120" s="4">
        <v>-0.010543</v>
      </c>
      <c r="G1120" s="4">
        <v>-0.009199</v>
      </c>
      <c r="H1120" s="4">
        <v>-0.013733</v>
      </c>
      <c r="I1120" s="4">
        <v>0.005075</v>
      </c>
      <c r="J1120" s="4">
        <v>-0.006556</v>
      </c>
      <c r="K1120" s="4">
        <v>0.006936</v>
      </c>
      <c r="L1120" s="4">
        <v>0.001139</v>
      </c>
      <c r="M1120" s="4">
        <v>0.001164</v>
      </c>
      <c r="N1120" s="4">
        <v>-0.004921</v>
      </c>
      <c r="O1120" s="4">
        <v>0.003378</v>
      </c>
      <c r="P1120" s="4">
        <v>0.008364</v>
      </c>
      <c r="Q1120" s="4">
        <v>0.00956</v>
      </c>
      <c r="R1120" s="4">
        <v>-0.002837</v>
      </c>
      <c r="S1120" s="4">
        <v>0.003563</v>
      </c>
      <c r="T1120" s="4">
        <v>-0.006369</v>
      </c>
      <c r="U1120" s="4">
        <v>9.59E-4</v>
      </c>
      <c r="V1120" s="4">
        <v>0.0106857711711114</v>
      </c>
      <c r="W1120" s="4">
        <v>0.0350835747492244</v>
      </c>
      <c r="X1120" s="4">
        <v>0.0012437257574593</v>
      </c>
      <c r="Y1120" s="4">
        <v>-0.0054014654469212</v>
      </c>
      <c r="Z1120" s="4">
        <v>-0.0074716829073124</v>
      </c>
      <c r="AA1120" s="4">
        <v>-0.0017226778696421</v>
      </c>
      <c r="AB1120" s="4">
        <v>-0.0064468189844557</v>
      </c>
      <c r="AC1120" s="4">
        <v>0.0021367987901177</v>
      </c>
      <c r="AD1120" s="4">
        <v>-0.0090672800245721</v>
      </c>
      <c r="AE1120" s="4">
        <v>0.0019483755609295</v>
      </c>
      <c r="AF1120" s="4">
        <v>9.960193276756E-4</v>
      </c>
      <c r="AG1120" s="4">
        <v>-0.0062290287554792</v>
      </c>
      <c r="AH1120" s="4">
        <v>-0.0158832116369965</v>
      </c>
      <c r="AI1120" s="4">
        <v>0.0015567842628663</v>
      </c>
      <c r="AJ1120" s="4">
        <v>0.008504</v>
      </c>
      <c r="AK1120" s="4">
        <f>Weights!E1176</f>
        <v>-0.0009952397238</v>
      </c>
      <c r="AL1120" s="5">
        <v>-0.0013750092231356</v>
      </c>
      <c r="AM1120" s="5">
        <v>0.00170574408235402</v>
      </c>
      <c r="AN1120" s="5">
        <v>0.0018050795886142</v>
      </c>
      <c r="AO1120" s="5">
        <v>0.00289023144375555</v>
      </c>
      <c r="AP1120" s="6">
        <f t="shared" si="3"/>
        <v>1.73466847</v>
      </c>
      <c r="AQ1120" s="4">
        <f t="shared" si="4"/>
        <v>1.67789958</v>
      </c>
      <c r="AR1120" s="7">
        <f t="shared" si="5"/>
        <v>1.599742722</v>
      </c>
      <c r="AS1120" s="7">
        <f t="shared" ref="AS1120:AU1120" si="1122">AS1119*(1+AM1120)</f>
        <v>1.730263497</v>
      </c>
      <c r="AT1120" s="5">
        <f t="shared" si="1122"/>
        <v>1.485017931</v>
      </c>
      <c r="AU1120" s="5">
        <f t="shared" si="1122"/>
        <v>1.484276975</v>
      </c>
    </row>
    <row r="1121" ht="15.75" customHeight="1">
      <c r="A1121" s="3">
        <v>45456.0</v>
      </c>
      <c r="B1121" s="4">
        <v>-0.016781</v>
      </c>
      <c r="C1121" s="4">
        <v>2.51E-4</v>
      </c>
      <c r="D1121" s="4">
        <v>-0.01351</v>
      </c>
      <c r="E1121" s="4">
        <v>-0.003052</v>
      </c>
      <c r="F1121" s="4">
        <v>0.001749</v>
      </c>
      <c r="G1121" s="4">
        <v>2.75E-4</v>
      </c>
      <c r="H1121" s="4">
        <v>0.007446</v>
      </c>
      <c r="I1121" s="4">
        <v>-0.007854</v>
      </c>
      <c r="J1121" s="4">
        <v>-0.002031</v>
      </c>
      <c r="K1121" s="4">
        <v>-0.015769</v>
      </c>
      <c r="L1121" s="4">
        <v>-0.010521</v>
      </c>
      <c r="M1121" s="4">
        <v>-0.024031</v>
      </c>
      <c r="N1121" s="4">
        <v>-0.021636</v>
      </c>
      <c r="O1121" s="4">
        <v>0.007065</v>
      </c>
      <c r="P1121" s="4">
        <v>-0.01049</v>
      </c>
      <c r="Q1121" s="4">
        <v>-0.147727</v>
      </c>
      <c r="R1121" s="4">
        <v>-0.024593</v>
      </c>
      <c r="S1121" s="4">
        <v>-0.011958</v>
      </c>
      <c r="T1121" s="4">
        <v>-0.002072</v>
      </c>
      <c r="U1121" s="4">
        <v>9.59E-4</v>
      </c>
      <c r="V1121" s="4">
        <v>0.0361232512357034</v>
      </c>
      <c r="W1121" s="4">
        <v>0.0062254329597772</v>
      </c>
      <c r="X1121" s="4">
        <v>0.0012422770064202</v>
      </c>
      <c r="Y1121" s="4">
        <v>0.0010289692287375</v>
      </c>
      <c r="Z1121" s="4">
        <v>1.730665224444E-4</v>
      </c>
      <c r="AA1121" s="4">
        <v>8.628694640122E-4</v>
      </c>
      <c r="AB1121" s="4">
        <v>0.0057400810903787</v>
      </c>
      <c r="AC1121" s="4">
        <v>-0.0053305211016061</v>
      </c>
      <c r="AD1121" s="4">
        <v>0.0261437943413966</v>
      </c>
      <c r="AE1121" s="4">
        <v>0.0122220995818755</v>
      </c>
      <c r="AF1121" s="4">
        <v>-0.0083551152051507</v>
      </c>
      <c r="AG1121" s="4">
        <v>0.0115159833355291</v>
      </c>
      <c r="AH1121" s="4">
        <v>0.013522311298846</v>
      </c>
      <c r="AI1121" s="4">
        <v>-0.0036268503897443</v>
      </c>
      <c r="AJ1121" s="4">
        <v>0.002345</v>
      </c>
      <c r="AK1121" s="4">
        <f>Weights!E1177</f>
        <v>-0.004234171417</v>
      </c>
      <c r="AL1121" s="5">
        <v>0.00931698395838087</v>
      </c>
      <c r="AM1121" s="5">
        <v>0.0094218479067456</v>
      </c>
      <c r="AN1121" s="5">
        <v>-0.00810816355118548</v>
      </c>
      <c r="AO1121" s="5">
        <v>-0.00798055146997378</v>
      </c>
      <c r="AP1121" s="6">
        <f t="shared" si="3"/>
        <v>1.727323586</v>
      </c>
      <c r="AQ1121" s="4">
        <f t="shared" si="4"/>
        <v>1.681834255</v>
      </c>
      <c r="AR1121" s="7">
        <f t="shared" si="5"/>
        <v>1.614647499</v>
      </c>
      <c r="AS1121" s="7">
        <f t="shared" ref="AS1121:AU1121" si="1123">AS1120*(1+AM1121)</f>
        <v>1.746565776</v>
      </c>
      <c r="AT1121" s="5">
        <f t="shared" si="1123"/>
        <v>1.472977163</v>
      </c>
      <c r="AU1121" s="5">
        <f t="shared" si="1123"/>
        <v>1.472431626</v>
      </c>
    </row>
    <row r="1122" ht="15.75" customHeight="1">
      <c r="A1122" s="3">
        <v>45457.0</v>
      </c>
      <c r="B1122" s="4">
        <v>-0.001264</v>
      </c>
      <c r="C1122" s="4">
        <v>-0.002765</v>
      </c>
      <c r="D1122" s="4">
        <v>-0.004214</v>
      </c>
      <c r="E1122" s="4">
        <v>0.002939</v>
      </c>
      <c r="F1122" s="4">
        <v>7.14E-4</v>
      </c>
      <c r="G1122" s="4">
        <v>6.19E-4</v>
      </c>
      <c r="H1122" s="4">
        <v>0.002283</v>
      </c>
      <c r="I1122" s="4">
        <v>-0.007068</v>
      </c>
      <c r="J1122" s="4">
        <v>-0.005849</v>
      </c>
      <c r="K1122" s="4">
        <v>-0.001105</v>
      </c>
      <c r="L1122" s="4">
        <v>-0.004311</v>
      </c>
      <c r="M1122" s="4">
        <v>-0.003177</v>
      </c>
      <c r="N1122" s="4">
        <v>0.001896</v>
      </c>
      <c r="O1122" s="4">
        <v>-0.003061</v>
      </c>
      <c r="P1122" s="4">
        <v>0.00641</v>
      </c>
      <c r="Q1122" s="4">
        <v>0.002963</v>
      </c>
      <c r="R1122" s="4">
        <v>0.0025</v>
      </c>
      <c r="S1122" s="4">
        <v>0.001135</v>
      </c>
      <c r="T1122" s="4">
        <v>0.003698</v>
      </c>
      <c r="U1122" s="4">
        <v>0.009157</v>
      </c>
      <c r="V1122" s="4">
        <v>-0.0533572588061983</v>
      </c>
      <c r="W1122" s="4">
        <v>-0.0013747957836313</v>
      </c>
      <c r="X1122" s="4">
        <v>0.0</v>
      </c>
      <c r="Y1122" s="4">
        <v>0.0020560012263679</v>
      </c>
      <c r="Z1122" s="4">
        <v>0.0070941015095717</v>
      </c>
      <c r="AA1122" s="4">
        <v>0.0066808995331637</v>
      </c>
      <c r="AB1122" s="4">
        <v>-9.926243841684E-4</v>
      </c>
      <c r="AC1122" s="4">
        <v>0.0</v>
      </c>
      <c r="AD1122" s="4">
        <v>0.0</v>
      </c>
      <c r="AE1122" s="4">
        <v>-0.0093304202462466</v>
      </c>
      <c r="AF1122" s="4">
        <v>-0.0065228204075882</v>
      </c>
      <c r="AG1122" s="4">
        <v>0.0149145050850443</v>
      </c>
      <c r="AH1122" s="4">
        <v>-0.0068861773142687</v>
      </c>
      <c r="AI1122" s="4">
        <v>0.0015600224206717</v>
      </c>
      <c r="AJ1122" s="4">
        <v>-3.94E-4</v>
      </c>
      <c r="AK1122" s="4">
        <f>Weights!E1178</f>
        <v>-0.001833992568</v>
      </c>
      <c r="AL1122" s="5">
        <v>-0.00217205028344891</v>
      </c>
      <c r="AM1122" s="5">
        <v>4.49937106189013E-4</v>
      </c>
      <c r="AN1122" s="5">
        <v>0.00302755407477728</v>
      </c>
      <c r="AO1122" s="5">
        <v>0.00357541654326665</v>
      </c>
      <c r="AP1122" s="6">
        <f t="shared" si="3"/>
        <v>1.724155687</v>
      </c>
      <c r="AQ1122" s="4">
        <f t="shared" si="4"/>
        <v>1.681171612</v>
      </c>
      <c r="AR1122" s="7">
        <f t="shared" si="5"/>
        <v>1.611140404</v>
      </c>
      <c r="AS1122" s="7">
        <f t="shared" ref="AS1122:AU1122" si="1124">AS1121*(1+AM1122)</f>
        <v>1.747351621</v>
      </c>
      <c r="AT1122" s="5">
        <f t="shared" si="1124"/>
        <v>1.477436681</v>
      </c>
      <c r="AU1122" s="5">
        <f t="shared" si="1124"/>
        <v>1.477696183</v>
      </c>
    </row>
    <row r="1123" ht="15.75" customHeight="1">
      <c r="A1123" s="3">
        <v>45460.0</v>
      </c>
      <c r="B1123" s="4">
        <v>-0.010759</v>
      </c>
      <c r="C1123" s="4">
        <v>-0.005294</v>
      </c>
      <c r="D1123" s="4">
        <v>-0.001322</v>
      </c>
      <c r="E1123" s="4">
        <v>0.014224</v>
      </c>
      <c r="F1123" s="4">
        <v>0.001119</v>
      </c>
      <c r="G1123" s="4">
        <v>0.002817</v>
      </c>
      <c r="H1123" s="4">
        <v>0.004257</v>
      </c>
      <c r="I1123" s="4">
        <v>-0.007688</v>
      </c>
      <c r="J1123" s="4">
        <v>-0.00793</v>
      </c>
      <c r="K1123" s="4">
        <v>-0.00719</v>
      </c>
      <c r="L1123" s="4">
        <v>-0.003367</v>
      </c>
      <c r="M1123" s="4">
        <v>0.015538</v>
      </c>
      <c r="N1123" s="4">
        <v>0.005886</v>
      </c>
      <c r="O1123" s="4">
        <v>-0.006518</v>
      </c>
      <c r="P1123" s="4">
        <v>0.002205</v>
      </c>
      <c r="Q1123" s="4">
        <v>0.006647</v>
      </c>
      <c r="R1123" s="4">
        <v>-0.017668</v>
      </c>
      <c r="S1123" s="4">
        <v>-0.004722</v>
      </c>
      <c r="T1123" s="4">
        <v>0.01739</v>
      </c>
      <c r="U1123" s="4">
        <v>0.025028</v>
      </c>
      <c r="V1123" s="4">
        <v>-0.0152741052975197</v>
      </c>
      <c r="W1123" s="4">
        <v>-0.008719661813782</v>
      </c>
      <c r="X1123" s="4">
        <v>-0.0063211252617039</v>
      </c>
      <c r="Y1123" s="4">
        <v>0.009802280570492</v>
      </c>
      <c r="Z1123" s="4">
        <v>0.01718058249357</v>
      </c>
      <c r="AA1123" s="4">
        <v>-2.139695185037E-4</v>
      </c>
      <c r="AB1123" s="4">
        <v>-0.0019870250639149</v>
      </c>
      <c r="AC1123" s="4">
        <v>-0.0042372956899898</v>
      </c>
      <c r="AD1123" s="4">
        <v>-0.0127227002910426</v>
      </c>
      <c r="AE1123" s="4">
        <v>0.0085872264119455</v>
      </c>
      <c r="AF1123" s="4">
        <v>0.0075757701873742</v>
      </c>
      <c r="AG1123" s="4">
        <v>-0.0017204738082243</v>
      </c>
      <c r="AH1123" s="4">
        <v>0.001733558881281</v>
      </c>
      <c r="AI1123" s="4">
        <v>0.0</v>
      </c>
      <c r="AJ1123" s="4">
        <v>0.007664</v>
      </c>
      <c r="AK1123" s="4">
        <f>Weights!E1179</f>
        <v>0.0003508094044</v>
      </c>
      <c r="AL1123" s="5">
        <v>-0.00292494467394199</v>
      </c>
      <c r="AM1123" s="5">
        <v>-7.49403414855298E-4</v>
      </c>
      <c r="AN1123" s="5">
        <v>-0.0123753510272015</v>
      </c>
      <c r="AO1123" s="5">
        <v>-0.0118013888718869</v>
      </c>
      <c r="AP1123" s="6">
        <f t="shared" si="3"/>
        <v>1.724760538</v>
      </c>
      <c r="AQ1123" s="4">
        <f t="shared" si="4"/>
        <v>1.694056112</v>
      </c>
      <c r="AR1123" s="7">
        <f t="shared" si="5"/>
        <v>1.606427907</v>
      </c>
      <c r="AS1123" s="7">
        <f t="shared" ref="AS1123:AU1123" si="1125">AS1122*(1+AM1123)</f>
        <v>1.74604215</v>
      </c>
      <c r="AT1123" s="5">
        <f t="shared" si="1125"/>
        <v>1.459152883</v>
      </c>
      <c r="AU1123" s="5">
        <f t="shared" si="1125"/>
        <v>1.460257315</v>
      </c>
    </row>
    <row r="1124" ht="15.75" customHeight="1">
      <c r="A1124" s="3">
        <v>45461.0</v>
      </c>
      <c r="B1124" s="4">
        <v>-0.003839</v>
      </c>
      <c r="C1124" s="4">
        <v>0.015712</v>
      </c>
      <c r="D1124" s="4">
        <v>-0.003178</v>
      </c>
      <c r="E1124" s="4">
        <v>0.002046</v>
      </c>
      <c r="F1124" s="4">
        <v>1.6E-4</v>
      </c>
      <c r="G1124" s="4">
        <v>-0.002056</v>
      </c>
      <c r="H1124" s="4">
        <v>0.006328</v>
      </c>
      <c r="I1124" s="4">
        <v>-0.001435</v>
      </c>
      <c r="J1124" s="4">
        <v>-0.007994</v>
      </c>
      <c r="K1124" s="4">
        <v>0.006871</v>
      </c>
      <c r="L1124" s="4">
        <v>0.002124</v>
      </c>
      <c r="M1124" s="4">
        <v>0.002354</v>
      </c>
      <c r="N1124" s="4">
        <v>0.009404</v>
      </c>
      <c r="O1124" s="4">
        <v>0.009128</v>
      </c>
      <c r="P1124" s="4">
        <v>0.021511</v>
      </c>
      <c r="Q1124" s="4">
        <v>0.028613</v>
      </c>
      <c r="R1124" s="4">
        <v>0.009099</v>
      </c>
      <c r="S1124" s="4">
        <v>0.0</v>
      </c>
      <c r="T1124" s="4">
        <v>-0.01112</v>
      </c>
      <c r="U1124" s="4">
        <v>0.001273</v>
      </c>
      <c r="V1124" s="4">
        <v>0.0191606483778412</v>
      </c>
      <c r="W1124" s="4">
        <v>-0.022685137405235</v>
      </c>
      <c r="X1124" s="4">
        <v>0.0012723066152555</v>
      </c>
      <c r="Y1124" s="4">
        <v>-0.0022576580532291</v>
      </c>
      <c r="Z1124" s="4">
        <v>0.0114854845915668</v>
      </c>
      <c r="AA1124" s="4">
        <v>8.564996213304E-4</v>
      </c>
      <c r="AB1124" s="4">
        <v>0.0022398538426291</v>
      </c>
      <c r="AC1124" s="4">
        <v>-0.005319179774277</v>
      </c>
      <c r="AD1124" s="4">
        <v>-0.0090205414578983</v>
      </c>
      <c r="AE1124" s="4">
        <v>0.0010985884450644</v>
      </c>
      <c r="AF1124" s="4">
        <v>0.0085212765417124</v>
      </c>
      <c r="AG1124" s="4">
        <v>-0.0162285110515564</v>
      </c>
      <c r="AH1124" s="4">
        <v>-0.0054077643485896</v>
      </c>
      <c r="AI1124" s="4">
        <v>-0.0010386013859023</v>
      </c>
      <c r="AJ1124" s="4">
        <v>0.002521</v>
      </c>
      <c r="AK1124" s="4">
        <f>Weights!E1180</f>
        <v>0.001292981655</v>
      </c>
      <c r="AL1124" s="5">
        <v>0.00607175124780678</v>
      </c>
      <c r="AM1124" s="5">
        <v>0.00761179552882818</v>
      </c>
      <c r="AN1124" s="5">
        <v>-0.00213941409067774</v>
      </c>
      <c r="AO1124" s="5">
        <v>-0.00202802209800834</v>
      </c>
      <c r="AP1124" s="6">
        <f t="shared" si="3"/>
        <v>1.726990621</v>
      </c>
      <c r="AQ1124" s="4">
        <f t="shared" si="4"/>
        <v>1.698326827</v>
      </c>
      <c r="AR1124" s="7">
        <f t="shared" si="5"/>
        <v>1.616181738</v>
      </c>
      <c r="AS1124" s="7">
        <f t="shared" ref="AS1124:AU1124" si="1126">AS1123*(1+AM1124)</f>
        <v>1.759332666</v>
      </c>
      <c r="AT1124" s="5">
        <f t="shared" si="1126"/>
        <v>1.456031151</v>
      </c>
      <c r="AU1124" s="5">
        <f t="shared" si="1126"/>
        <v>1.457295881</v>
      </c>
    </row>
    <row r="1125" ht="15.75" customHeight="1">
      <c r="A1125" s="3">
        <v>45463.0</v>
      </c>
      <c r="B1125" s="4">
        <v>0.010276</v>
      </c>
      <c r="C1125" s="4">
        <v>0.003992</v>
      </c>
      <c r="D1125" s="4">
        <v>0.003188</v>
      </c>
      <c r="E1125" s="4">
        <v>0.001201</v>
      </c>
      <c r="F1125" s="4">
        <v>-0.007185</v>
      </c>
      <c r="G1125" s="4">
        <v>0.014624</v>
      </c>
      <c r="H1125" s="4">
        <v>-0.00528</v>
      </c>
      <c r="I1125" s="4">
        <v>-0.001437</v>
      </c>
      <c r="J1125" s="4">
        <v>0.00182</v>
      </c>
      <c r="K1125" s="4">
        <v>-0.003689</v>
      </c>
      <c r="L1125" s="4">
        <v>-0.004142</v>
      </c>
      <c r="M1125" s="4">
        <v>0.007436</v>
      </c>
      <c r="N1125" s="4">
        <v>-0.00207</v>
      </c>
      <c r="O1125" s="4">
        <v>0.004711</v>
      </c>
      <c r="P1125" s="4">
        <v>0.024408</v>
      </c>
      <c r="Q1125" s="4">
        <v>0.042796</v>
      </c>
      <c r="R1125" s="4">
        <v>0.035018</v>
      </c>
      <c r="S1125" s="4">
        <v>0.022395</v>
      </c>
      <c r="T1125" s="4">
        <v>0.007582</v>
      </c>
      <c r="U1125" s="4">
        <v>0.004912</v>
      </c>
      <c r="V1125" s="4">
        <v>0.0107430347663282</v>
      </c>
      <c r="W1125" s="4">
        <v>0.0445286059275165</v>
      </c>
      <c r="X1125" s="4">
        <v>-0.0012706899080796</v>
      </c>
      <c r="Y1125" s="4">
        <v>-0.047740078725256</v>
      </c>
      <c r="Z1125" s="4">
        <v>-0.0629539205816432</v>
      </c>
      <c r="AA1125" s="4">
        <v>-0.0027813073370887</v>
      </c>
      <c r="AB1125" s="4">
        <v>0.003973161415802</v>
      </c>
      <c r="AC1125" s="4">
        <v>0.0064171668448806</v>
      </c>
      <c r="AD1125" s="4">
        <v>-0.005201561159239</v>
      </c>
      <c r="AE1125" s="4">
        <v>-0.0098765524190005</v>
      </c>
      <c r="AF1125" s="4">
        <v>-0.0109343917684281</v>
      </c>
      <c r="AG1125" s="4">
        <v>-0.0106570022633932</v>
      </c>
      <c r="AH1125" s="4">
        <v>0.011744214927243</v>
      </c>
      <c r="AI1125" s="4">
        <v>-7.300284843313E-4</v>
      </c>
      <c r="AJ1125" s="4">
        <v>-0.002526</v>
      </c>
      <c r="AK1125" s="4">
        <f>Weights!E1181</f>
        <v>0.001243655109</v>
      </c>
      <c r="AL1125" s="5">
        <v>0.0033227523524355</v>
      </c>
      <c r="AM1125" s="5">
        <v>0.00253041277401533</v>
      </c>
      <c r="AN1125" s="5">
        <v>-0.00153151468057244</v>
      </c>
      <c r="AO1125" s="5">
        <v>-0.00203196600468913</v>
      </c>
      <c r="AP1125" s="6">
        <f t="shared" si="3"/>
        <v>1.729138402</v>
      </c>
      <c r="AQ1125" s="4">
        <f t="shared" si="4"/>
        <v>1.694036853</v>
      </c>
      <c r="AR1125" s="7">
        <f t="shared" si="5"/>
        <v>1.62155191</v>
      </c>
      <c r="AS1125" s="7">
        <f t="shared" ref="AS1125:AU1125" si="1127">AS1124*(1+AM1125)</f>
        <v>1.763784504</v>
      </c>
      <c r="AT1125" s="5">
        <f t="shared" si="1127"/>
        <v>1.453801218</v>
      </c>
      <c r="AU1125" s="5">
        <f t="shared" si="1127"/>
        <v>1.454334705</v>
      </c>
    </row>
    <row r="1126" ht="15.75" customHeight="1">
      <c r="A1126" s="3">
        <v>45464.0</v>
      </c>
      <c r="B1126" s="4">
        <v>0.001907</v>
      </c>
      <c r="C1126" s="4">
        <v>0.0</v>
      </c>
      <c r="D1126" s="4">
        <v>-0.001854</v>
      </c>
      <c r="E1126" s="4">
        <v>0.0036</v>
      </c>
      <c r="F1126" s="4">
        <v>0.009489</v>
      </c>
      <c r="G1126" s="4">
        <v>0.006564</v>
      </c>
      <c r="H1126" s="4">
        <v>0.003519</v>
      </c>
      <c r="I1126" s="4">
        <v>-0.001439</v>
      </c>
      <c r="J1126" s="4">
        <v>-0.002076</v>
      </c>
      <c r="K1126" s="4">
        <v>0.0</v>
      </c>
      <c r="L1126" s="4">
        <v>0.002418</v>
      </c>
      <c r="M1126" s="4">
        <v>-0.001942</v>
      </c>
      <c r="N1126" s="4">
        <v>0.005602</v>
      </c>
      <c r="O1126" s="4">
        <v>-0.034885</v>
      </c>
      <c r="P1126" s="4">
        <v>-0.012848</v>
      </c>
      <c r="Q1126" s="4">
        <v>0.004104</v>
      </c>
      <c r="R1126" s="4">
        <v>0.004052</v>
      </c>
      <c r="S1126" s="4">
        <v>-0.015964</v>
      </c>
      <c r="T1126" s="4">
        <v>0.00491</v>
      </c>
      <c r="U1126" s="4">
        <v>0.004083</v>
      </c>
      <c r="V1126" s="4">
        <v>-0.0168290104028455</v>
      </c>
      <c r="W1126" s="4">
        <v>0.160997825330848</v>
      </c>
      <c r="X1126" s="4">
        <v>-0.0139948802366041</v>
      </c>
      <c r="Y1126" s="4">
        <v>0.0121768675465003</v>
      </c>
      <c r="Z1126" s="4">
        <v>-8.019082888889E-4</v>
      </c>
      <c r="AA1126" s="4">
        <v>-0.0094400392840844</v>
      </c>
      <c r="AB1126" s="4">
        <v>-0.0059362056753669</v>
      </c>
      <c r="AC1126" s="4">
        <v>-0.0108577731953773</v>
      </c>
      <c r="AD1126" s="4">
        <v>0.002614219164031</v>
      </c>
      <c r="AE1126" s="4">
        <v>-0.0013852502437183</v>
      </c>
      <c r="AF1126" s="4">
        <v>-0.0115577674270458</v>
      </c>
      <c r="AG1126" s="4">
        <v>-0.0064924799802279</v>
      </c>
      <c r="AH1126" s="4">
        <v>0.0116078893795179</v>
      </c>
      <c r="AI1126" s="4">
        <v>-0.0036533258857648</v>
      </c>
      <c r="AJ1126" s="4">
        <v>-0.001562</v>
      </c>
      <c r="AK1126" s="4">
        <f>Weights!E1182</f>
        <v>0.001422087326</v>
      </c>
      <c r="AL1126" s="5">
        <v>-0.00162212738756806</v>
      </c>
      <c r="AM1126" s="5">
        <v>-0.00252402594651834</v>
      </c>
      <c r="AN1126" s="5">
        <v>3.06832632886777E-4</v>
      </c>
      <c r="AO1126" s="5">
        <v>0.0011312375986312</v>
      </c>
      <c r="AP1126" s="6">
        <f t="shared" si="3"/>
        <v>1.731597388</v>
      </c>
      <c r="AQ1126" s="4">
        <f t="shared" si="4"/>
        <v>1.691390768</v>
      </c>
      <c r="AR1126" s="7">
        <f t="shared" si="5"/>
        <v>1.618921546</v>
      </c>
      <c r="AS1126" s="7">
        <f t="shared" ref="AS1126:AU1126" si="1128">AS1125*(1+AM1126)</f>
        <v>1.759332666</v>
      </c>
      <c r="AT1126" s="5">
        <f t="shared" si="1128"/>
        <v>1.454247291</v>
      </c>
      <c r="AU1126" s="5">
        <f t="shared" si="1128"/>
        <v>1.455979904</v>
      </c>
    </row>
    <row r="1127" ht="15.75" customHeight="1">
      <c r="A1127" s="3">
        <v>45467.0</v>
      </c>
      <c r="B1127" s="4">
        <v>0.005711</v>
      </c>
      <c r="C1127" s="4">
        <v>0.023111</v>
      </c>
      <c r="D1127" s="4">
        <v>0.008756</v>
      </c>
      <c r="E1127" s="4">
        <v>0.004782</v>
      </c>
      <c r="F1127" s="4">
        <v>0.019117</v>
      </c>
      <c r="G1127" s="4">
        <v>0.002487</v>
      </c>
      <c r="H1127" s="4">
        <v>0.001129</v>
      </c>
      <c r="I1127" s="4">
        <v>0.012104</v>
      </c>
      <c r="J1127" s="4">
        <v>0.024181</v>
      </c>
      <c r="K1127" s="4">
        <v>0.022214</v>
      </c>
      <c r="L1127" s="4">
        <v>0.024993</v>
      </c>
      <c r="M1127" s="4">
        <v>0.019074</v>
      </c>
      <c r="N1127" s="4">
        <v>0.013617</v>
      </c>
      <c r="O1127" s="4">
        <v>-0.114804</v>
      </c>
      <c r="P1127" s="4">
        <v>0.008045</v>
      </c>
      <c r="Q1127" s="4">
        <v>0.02248</v>
      </c>
      <c r="R1127" s="4">
        <v>0.016546</v>
      </c>
      <c r="S1127" s="4">
        <v>0.005659</v>
      </c>
      <c r="T1127" s="4">
        <v>-0.012819</v>
      </c>
      <c r="U1127" s="4">
        <v>0.005555</v>
      </c>
      <c r="V1127" s="4">
        <v>0.0180179724380675</v>
      </c>
      <c r="W1127" s="4">
        <v>0.0324217925140333</v>
      </c>
      <c r="X1127" s="4">
        <v>0.0</v>
      </c>
      <c r="Y1127" s="4">
        <v>0.0049882467953294</v>
      </c>
      <c r="Z1127" s="4">
        <v>-0.0045479078666358</v>
      </c>
      <c r="AA1127" s="4">
        <v>0.0056313774345124</v>
      </c>
      <c r="AB1127" s="4">
        <v>0.0064693744537913</v>
      </c>
      <c r="AC1127" s="4">
        <v>0.0</v>
      </c>
      <c r="AD1127" s="4">
        <v>0.0</v>
      </c>
      <c r="AE1127" s="4">
        <v>0.0094338677068532</v>
      </c>
      <c r="AF1127" s="4">
        <v>0.0218607170684108</v>
      </c>
      <c r="AG1127" s="4">
        <v>-0.0022279774688781</v>
      </c>
      <c r="AH1127" s="4">
        <v>-0.0078622404639404</v>
      </c>
      <c r="AI1127" s="4">
        <v>0.002619146148189</v>
      </c>
      <c r="AJ1127" s="4">
        <v>-0.003065</v>
      </c>
      <c r="AK1127" s="4">
        <f>Weights!E1183</f>
        <v>0.008061802975</v>
      </c>
      <c r="AL1127" s="5">
        <v>-0.00331712903906533</v>
      </c>
      <c r="AM1127" s="5">
        <v>-0.00152577468139369</v>
      </c>
      <c r="AN1127" s="5">
        <v>-0.00459982085273669</v>
      </c>
      <c r="AO1127" s="5">
        <v>-0.00406787139459952</v>
      </c>
      <c r="AP1127" s="6">
        <f t="shared" si="3"/>
        <v>1.745557185</v>
      </c>
      <c r="AQ1127" s="4">
        <f t="shared" si="4"/>
        <v>1.686206655</v>
      </c>
      <c r="AR1127" s="7">
        <f t="shared" si="5"/>
        <v>1.613551374</v>
      </c>
      <c r="AS1127" s="7">
        <f t="shared" ref="AS1127:AU1127" si="1129">AS1126*(1+AM1127)</f>
        <v>1.756648321</v>
      </c>
      <c r="AT1127" s="5">
        <f t="shared" si="1129"/>
        <v>1.447558014</v>
      </c>
      <c r="AU1127" s="5">
        <f t="shared" si="1129"/>
        <v>1.450057165</v>
      </c>
    </row>
    <row r="1128" ht="15.75" customHeight="1">
      <c r="A1128" s="3">
        <v>45468.0</v>
      </c>
      <c r="B1128" s="4">
        <v>-0.020189</v>
      </c>
      <c r="C1128" s="4">
        <v>-0.002186</v>
      </c>
      <c r="D1128" s="4">
        <v>-0.009469</v>
      </c>
      <c r="E1128" s="4">
        <v>-0.004343</v>
      </c>
      <c r="F1128" s="4">
        <v>-0.002032</v>
      </c>
      <c r="G1128" s="4">
        <v>-0.012943</v>
      </c>
      <c r="H1128" s="4">
        <v>-0.009498</v>
      </c>
      <c r="I1128" s="4">
        <v>-0.003417</v>
      </c>
      <c r="J1128" s="4">
        <v>-0.006601</v>
      </c>
      <c r="K1128" s="4">
        <v>-0.009417</v>
      </c>
      <c r="L1128" s="4">
        <v>0.001318</v>
      </c>
      <c r="M1128" s="4">
        <v>0.011459</v>
      </c>
      <c r="N1128" s="4">
        <v>-0.004071</v>
      </c>
      <c r="O1128" s="4">
        <v>0.009001</v>
      </c>
      <c r="P1128" s="4">
        <v>-0.016432</v>
      </c>
      <c r="Q1128" s="4">
        <v>-0.00533</v>
      </c>
      <c r="R1128" s="4">
        <v>-0.009925</v>
      </c>
      <c r="S1128" s="4">
        <v>-3.75E-4</v>
      </c>
      <c r="T1128" s="4">
        <v>-0.026228</v>
      </c>
      <c r="U1128" s="4">
        <v>-0.003189</v>
      </c>
      <c r="V1128" s="4">
        <v>-0.00884953553173328</v>
      </c>
      <c r="W1128" s="4">
        <v>0.0404843675632851</v>
      </c>
      <c r="X1128" s="4">
        <v>0.036129024523531</v>
      </c>
      <c r="Y1128" s="4">
        <v>-0.0095764936800807</v>
      </c>
      <c r="Z1128" s="4">
        <v>-0.0101226963518116</v>
      </c>
      <c r="AA1128" s="4">
        <v>0.0086151560395819</v>
      </c>
      <c r="AB1128" s="4">
        <v>0.00543865185664</v>
      </c>
      <c r="AC1128" s="4">
        <v>-0.0010977216829092</v>
      </c>
      <c r="AD1128" s="4">
        <v>-0.007822600808747</v>
      </c>
      <c r="AE1128" s="4">
        <v>0.0021989886104434</v>
      </c>
      <c r="AF1128" s="4">
        <v>0.0159203836265702</v>
      </c>
      <c r="AG1128" s="4">
        <v>0.0040191262190272</v>
      </c>
      <c r="AH1128" s="4">
        <v>-0.0117798893603018</v>
      </c>
      <c r="AI1128" s="4">
        <v>0.0041795624631129</v>
      </c>
      <c r="AJ1128" s="4">
        <v>0.003934</v>
      </c>
      <c r="AK1128" s="4">
        <f>Weights!E1184</f>
        <v>-0.0007390871278</v>
      </c>
      <c r="AL1128" s="5">
        <v>2.71834208889876E-4</v>
      </c>
      <c r="AM1128" s="5">
        <v>-0.00167726285824676</v>
      </c>
      <c r="AN1128" s="5">
        <v>0.00338875370779279</v>
      </c>
      <c r="AO1128" s="5">
        <v>0.00249601076674177</v>
      </c>
      <c r="AP1128" s="6">
        <f t="shared" si="3"/>
        <v>1.744267066</v>
      </c>
      <c r="AQ1128" s="4">
        <f t="shared" si="4"/>
        <v>1.692840192</v>
      </c>
      <c r="AR1128" s="7">
        <f t="shared" si="5"/>
        <v>1.613989993</v>
      </c>
      <c r="AS1128" s="7">
        <f t="shared" ref="AS1128:AU1128" si="1130">AS1127*(1+AM1128)</f>
        <v>1.75370196</v>
      </c>
      <c r="AT1128" s="5">
        <f t="shared" si="1130"/>
        <v>1.452463432</v>
      </c>
      <c r="AU1128" s="5">
        <f t="shared" si="1130"/>
        <v>1.453676523</v>
      </c>
    </row>
    <row r="1129" ht="15.75" customHeight="1">
      <c r="A1129" s="3">
        <v>45469.0</v>
      </c>
      <c r="B1129" s="4">
        <v>-0.021893</v>
      </c>
      <c r="C1129" s="4">
        <v>-0.001461</v>
      </c>
      <c r="D1129" s="4">
        <v>-0.016729</v>
      </c>
      <c r="E1129" s="4">
        <v>-0.003645</v>
      </c>
      <c r="F1129" s="4">
        <v>0.00329</v>
      </c>
      <c r="G1129" s="4">
        <v>-0.002514</v>
      </c>
      <c r="H1129" s="4">
        <v>0.003596</v>
      </c>
      <c r="I1129" s="4">
        <v>0.009714</v>
      </c>
      <c r="J1129" s="4">
        <v>-0.011245</v>
      </c>
      <c r="K1129" s="4">
        <v>0.0</v>
      </c>
      <c r="L1129" s="4">
        <v>-0.007146</v>
      </c>
      <c r="M1129" s="4">
        <v>-0.022281</v>
      </c>
      <c r="N1129" s="4">
        <v>-0.006744</v>
      </c>
      <c r="O1129" s="4">
        <v>0.014632</v>
      </c>
      <c r="P1129" s="4">
        <v>-0.01074</v>
      </c>
      <c r="Q1129" s="4">
        <v>0.015405</v>
      </c>
      <c r="R1129" s="4">
        <v>-0.00822</v>
      </c>
      <c r="S1129" s="4">
        <v>-0.008257</v>
      </c>
      <c r="T1129" s="4">
        <v>0.020333</v>
      </c>
      <c r="U1129" s="4">
        <v>-0.007428</v>
      </c>
      <c r="V1129" s="4">
        <v>0.00714283923499414</v>
      </c>
      <c r="W1129" s="4">
        <v>-0.0421818462062442</v>
      </c>
      <c r="X1129" s="4">
        <v>-0.0049812914717921</v>
      </c>
      <c r="Y1129" s="4">
        <v>-0.0148576889549627</v>
      </c>
      <c r="Z1129" s="4">
        <v>-0.0226245129011362</v>
      </c>
      <c r="AA1129" s="4">
        <v>0.0068961887311336</v>
      </c>
      <c r="AB1129" s="4">
        <v>9.835940399933E-4</v>
      </c>
      <c r="AC1129" s="4">
        <v>0.008791251605638</v>
      </c>
      <c r="AD1129" s="4">
        <v>-0.0105123336045809</v>
      </c>
      <c r="AE1129" s="4">
        <v>-2.743237254332E-4</v>
      </c>
      <c r="AF1129" s="4">
        <v>0.0039177541262684</v>
      </c>
      <c r="AG1129" s="4">
        <v>0.0038547464897138</v>
      </c>
      <c r="AH1129" s="4">
        <v>0.01560468772074</v>
      </c>
      <c r="AI1129" s="4">
        <v>-0.0031216763410194</v>
      </c>
      <c r="AJ1129" s="4">
        <v>0.001572</v>
      </c>
      <c r="AK1129" s="4">
        <f>Weights!E1185</f>
        <v>-0.002493840472</v>
      </c>
      <c r="AL1129" s="5">
        <v>0.00346298822448387</v>
      </c>
      <c r="AM1129" s="5">
        <v>0.00328534251606615</v>
      </c>
      <c r="AN1129" s="5">
        <v>-6.14050704995761E-4</v>
      </c>
      <c r="AO1129" s="5">
        <v>-6.84400642803284E-4</v>
      </c>
      <c r="AP1129" s="6">
        <f t="shared" si="3"/>
        <v>1.739917142</v>
      </c>
      <c r="AQ1129" s="4">
        <f t="shared" si="4"/>
        <v>1.695501337</v>
      </c>
      <c r="AR1129" s="7">
        <f t="shared" si="5"/>
        <v>1.619579221</v>
      </c>
      <c r="AS1129" s="7">
        <f t="shared" ref="AS1129:AU1129" si="1131">AS1128*(1+AM1129)</f>
        <v>1.759463471</v>
      </c>
      <c r="AT1129" s="5">
        <f t="shared" si="1131"/>
        <v>1.451571546</v>
      </c>
      <c r="AU1129" s="5">
        <f t="shared" si="1131"/>
        <v>1.452681626</v>
      </c>
    </row>
    <row r="1130" ht="15.75" customHeight="1">
      <c r="A1130" s="3">
        <v>45470.0</v>
      </c>
      <c r="B1130" s="4">
        <v>-6.58E-4</v>
      </c>
      <c r="C1130" s="4">
        <v>-0.004876</v>
      </c>
      <c r="D1130" s="4">
        <v>-0.007291</v>
      </c>
      <c r="E1130" s="4">
        <v>-0.002879</v>
      </c>
      <c r="F1130" s="4">
        <v>-0.002186</v>
      </c>
      <c r="G1130" s="4">
        <v>-0.006947</v>
      </c>
      <c r="H1130" s="4">
        <v>-0.004957</v>
      </c>
      <c r="I1130" s="4">
        <v>-0.002264</v>
      </c>
      <c r="J1130" s="4">
        <v>0.008271</v>
      </c>
      <c r="K1130" s="4">
        <v>0.003108</v>
      </c>
      <c r="L1130" s="4">
        <v>0.005019</v>
      </c>
      <c r="M1130" s="4">
        <v>0.023561</v>
      </c>
      <c r="N1130" s="4">
        <v>0.00679</v>
      </c>
      <c r="O1130" s="4">
        <v>0.027073</v>
      </c>
      <c r="P1130" s="4">
        <v>0.009409</v>
      </c>
      <c r="Q1130" s="4">
        <v>0.008575</v>
      </c>
      <c r="R1130" s="4">
        <v>-0.023246</v>
      </c>
      <c r="S1130" s="4">
        <v>0.00246</v>
      </c>
      <c r="T1130" s="4">
        <v>9.71E-4</v>
      </c>
      <c r="U1130" s="4">
        <v>0.011858</v>
      </c>
      <c r="V1130" s="4">
        <v>-0.0177304523170211</v>
      </c>
      <c r="W1130" s="4">
        <v>1.898438719547E-4</v>
      </c>
      <c r="X1130" s="4">
        <v>0.0</v>
      </c>
      <c r="Y1130" s="4">
        <v>-0.003531025057713</v>
      </c>
      <c r="Z1130" s="4">
        <v>-0.0114814455550753</v>
      </c>
      <c r="AA1130" s="4">
        <v>0.001076816686395</v>
      </c>
      <c r="AB1130" s="4">
        <v>0.0012282601543514</v>
      </c>
      <c r="AC1130" s="4">
        <v>-0.0054465853038322</v>
      </c>
      <c r="AD1130" s="4">
        <v>-0.009296292224158</v>
      </c>
      <c r="AE1130" s="4">
        <v>-0.0128944086008903</v>
      </c>
      <c r="AF1130" s="4">
        <v>-0.0117073361296305</v>
      </c>
      <c r="AG1130" s="4">
        <v>-0.168365095419277</v>
      </c>
      <c r="AH1130" s="4">
        <v>-0.0194195652213731</v>
      </c>
      <c r="AI1130" s="4">
        <v>0.003131451719766</v>
      </c>
      <c r="AJ1130" s="4">
        <v>9.07E-4</v>
      </c>
      <c r="AK1130" s="4">
        <f>Weights!E1186</f>
        <v>-0.009600027792</v>
      </c>
      <c r="AL1130" s="5">
        <v>-5.41437035020964E-4</v>
      </c>
      <c r="AM1130" s="7">
        <v>-3.70568697509732E-5</v>
      </c>
      <c r="AN1130" s="5">
        <v>0.0138247797904935</v>
      </c>
      <c r="AO1130" s="5">
        <v>0.0127853548245933</v>
      </c>
      <c r="AP1130" s="6">
        <f t="shared" si="3"/>
        <v>1.723213889</v>
      </c>
      <c r="AQ1130" s="4">
        <f t="shared" si="4"/>
        <v>1.697039157</v>
      </c>
      <c r="AR1130" s="7">
        <f t="shared" si="5"/>
        <v>1.618702321</v>
      </c>
      <c r="AS1130" s="7">
        <f t="shared" ref="AS1130:AU1130" si="1132">AS1129*(1+AM1130)</f>
        <v>1.759398271</v>
      </c>
      <c r="AT1130" s="5">
        <f t="shared" si="1132"/>
        <v>1.471639203</v>
      </c>
      <c r="AU1130" s="5">
        <f t="shared" si="1132"/>
        <v>1.471254676</v>
      </c>
    </row>
    <row r="1131" ht="15.75" customHeight="1">
      <c r="A1131" s="3">
        <v>45471.0</v>
      </c>
      <c r="B1131" s="4">
        <v>-0.002635</v>
      </c>
      <c r="C1131" s="4">
        <v>0.010289</v>
      </c>
      <c r="D1131" s="4">
        <v>0.005985</v>
      </c>
      <c r="E1131" s="4">
        <v>-0.008</v>
      </c>
      <c r="F1131" s="4">
        <v>-0.004068</v>
      </c>
      <c r="G1131" s="4">
        <v>0.002469</v>
      </c>
      <c r="H1131" s="4">
        <v>-0.010203</v>
      </c>
      <c r="I1131" s="4">
        <v>0.009359</v>
      </c>
      <c r="J1131" s="4">
        <v>-0.004358</v>
      </c>
      <c r="K1131" s="4">
        <v>0.00164</v>
      </c>
      <c r="L1131" s="4">
        <v>0.002356</v>
      </c>
      <c r="M1131" s="4">
        <v>0.004528</v>
      </c>
      <c r="N1131" s="4">
        <v>0.001226</v>
      </c>
      <c r="O1131" s="4">
        <v>-8.35E-4</v>
      </c>
      <c r="P1131" s="4">
        <v>7.17E-4</v>
      </c>
      <c r="Q1131" s="4">
        <v>-0.025507</v>
      </c>
      <c r="R1131" s="4">
        <v>0.005795</v>
      </c>
      <c r="S1131" s="4">
        <v>-0.01057</v>
      </c>
      <c r="T1131" s="4">
        <v>0.025273</v>
      </c>
      <c r="U1131" s="4">
        <v>-0.002389</v>
      </c>
      <c r="V1131" s="4">
        <v>-0.00631767352005929</v>
      </c>
      <c r="W1131" s="4">
        <v>0.0102486037816986</v>
      </c>
      <c r="X1131" s="4">
        <v>-0.0012515087875976</v>
      </c>
      <c r="Y1131" s="4">
        <v>0.0018017462690089</v>
      </c>
      <c r="Z1131" s="4">
        <v>0.0195765254675426</v>
      </c>
      <c r="AA1131" s="4">
        <v>0.0049484970317257</v>
      </c>
      <c r="AB1131" s="4">
        <v>0.0235525793129598</v>
      </c>
      <c r="AC1131" s="4">
        <v>-0.003285950929559</v>
      </c>
      <c r="AD1131" s="4">
        <v>0.0</v>
      </c>
      <c r="AE1131" s="4">
        <v>0.01473053095807</v>
      </c>
      <c r="AF1131" s="4">
        <v>-0.0078973275710075</v>
      </c>
      <c r="AG1131" s="4">
        <v>-0.0206002799814655</v>
      </c>
      <c r="AH1131" s="4">
        <v>-0.0052230015463222</v>
      </c>
      <c r="AI1131" s="4">
        <v>0.0031219854586927</v>
      </c>
      <c r="AJ1131" s="4">
        <v>-0.004084</v>
      </c>
      <c r="AK1131" s="4">
        <f>Weights!E1187</f>
        <v>0.0009789076825</v>
      </c>
      <c r="AL1131" s="5">
        <v>2.70865173947143E-4</v>
      </c>
      <c r="AM1131" s="5">
        <v>0.00241856825132846</v>
      </c>
      <c r="AN1131" s="5">
        <v>-0.00242419797656234</v>
      </c>
      <c r="AO1131" s="5">
        <v>-0.00225437143434759</v>
      </c>
      <c r="AP1131" s="6">
        <f t="shared" si="3"/>
        <v>1.724900756</v>
      </c>
      <c r="AQ1131" s="4">
        <f t="shared" si="4"/>
        <v>1.690108449</v>
      </c>
      <c r="AR1131" s="7">
        <f t="shared" si="5"/>
        <v>1.619140771</v>
      </c>
      <c r="AS1131" s="7">
        <f t="shared" ref="AS1131:AU1131" si="1133">AS1130*(1+AM1131)</f>
        <v>1.763653496</v>
      </c>
      <c r="AT1131" s="5">
        <f t="shared" si="1133"/>
        <v>1.468071658</v>
      </c>
      <c r="AU1131" s="5">
        <f t="shared" si="1133"/>
        <v>1.467937921</v>
      </c>
    </row>
    <row r="1132" ht="15.75" customHeight="1">
      <c r="A1132" s="3">
        <v>45474.0</v>
      </c>
      <c r="B1132" s="4">
        <v>-0.001982</v>
      </c>
      <c r="C1132" s="4">
        <v>0.012124</v>
      </c>
      <c r="D1132" s="4">
        <v>-0.010817</v>
      </c>
      <c r="E1132" s="4">
        <v>-0.012369</v>
      </c>
      <c r="F1132" s="4">
        <v>-0.005813</v>
      </c>
      <c r="G1132" s="4">
        <v>0.001916</v>
      </c>
      <c r="H1132" s="4">
        <v>-0.01334</v>
      </c>
      <c r="I1132" s="4">
        <v>-0.008991</v>
      </c>
      <c r="J1132" s="4">
        <v>-0.005922</v>
      </c>
      <c r="K1132" s="4">
        <v>-0.007642</v>
      </c>
      <c r="L1132" s="4">
        <v>-0.00376</v>
      </c>
      <c r="M1132" s="4">
        <v>-0.012021</v>
      </c>
      <c r="N1132" s="4">
        <v>-0.005511</v>
      </c>
      <c r="O1132" s="4">
        <v>-0.023404</v>
      </c>
      <c r="P1132" s="4">
        <v>-0.005254</v>
      </c>
      <c r="Q1132" s="4">
        <v>-0.002685</v>
      </c>
      <c r="R1132" s="4">
        <v>-0.003909</v>
      </c>
      <c r="S1132" s="4">
        <v>-0.007249</v>
      </c>
      <c r="T1132" s="4">
        <v>-0.006832</v>
      </c>
      <c r="U1132" s="4">
        <v>-0.008212</v>
      </c>
      <c r="V1132" s="4">
        <v>0.0</v>
      </c>
      <c r="W1132" s="4">
        <v>0.0120232750216253</v>
      </c>
      <c r="X1132" s="4">
        <v>0.0</v>
      </c>
      <c r="Y1132" s="4">
        <v>0.0130096876932472</v>
      </c>
      <c r="Z1132" s="4">
        <v>0.0022049418598506</v>
      </c>
      <c r="AA1132" s="4">
        <v>0.0049239573640256</v>
      </c>
      <c r="AB1132" s="4">
        <v>0.0122241787272034</v>
      </c>
      <c r="AC1132" s="4">
        <v>0.0</v>
      </c>
      <c r="AD1132" s="4">
        <v>0.0</v>
      </c>
      <c r="AE1132" s="4">
        <v>0.0191727450326839</v>
      </c>
      <c r="AF1132" s="4">
        <v>0.0019900327691859</v>
      </c>
      <c r="AG1132" s="4">
        <v>0.0135992976940975</v>
      </c>
      <c r="AH1132" s="4">
        <v>-0.0155327275522992</v>
      </c>
      <c r="AI1132" s="4">
        <v>0.0036305867457542</v>
      </c>
      <c r="AJ1132" s="4">
        <v>0.002676</v>
      </c>
      <c r="AK1132" s="4">
        <f>Weights!E1188</f>
        <v>-0.0011625288</v>
      </c>
      <c r="AL1132" s="5">
        <v>-0.00169213693955116</v>
      </c>
      <c r="AM1132" s="5">
        <v>-0.00341984652194482</v>
      </c>
      <c r="AN1132" s="5">
        <v>0.0</v>
      </c>
      <c r="AO1132" s="5">
        <v>4.51981041265758E-4</v>
      </c>
      <c r="AP1132" s="6">
        <f t="shared" si="3"/>
        <v>1.72289551</v>
      </c>
      <c r="AQ1132" s="4">
        <f t="shared" si="4"/>
        <v>1.694631179</v>
      </c>
      <c r="AR1132" s="7">
        <f t="shared" si="5"/>
        <v>1.616400963</v>
      </c>
      <c r="AS1132" s="7">
        <f t="shared" ref="AS1132:AU1132" si="1134">AS1131*(1+AM1132)</f>
        <v>1.757622071</v>
      </c>
      <c r="AT1132" s="5">
        <f t="shared" si="1134"/>
        <v>1.468071658</v>
      </c>
      <c r="AU1132" s="5">
        <f t="shared" si="1134"/>
        <v>1.468601401</v>
      </c>
    </row>
    <row r="1133" ht="15.75" customHeight="1">
      <c r="A1133" s="3">
        <v>45475.0</v>
      </c>
      <c r="B1133" s="4">
        <v>-0.013236</v>
      </c>
      <c r="C1133" s="4">
        <v>-0.015333</v>
      </c>
      <c r="D1133" s="4">
        <v>-0.010388</v>
      </c>
      <c r="E1133" s="4">
        <v>0.004236</v>
      </c>
      <c r="F1133" s="4">
        <v>-0.002054</v>
      </c>
      <c r="G1133" s="4">
        <v>-0.0028</v>
      </c>
      <c r="H1133" s="4">
        <v>0.007252</v>
      </c>
      <c r="I1133" s="4">
        <v>0.01531</v>
      </c>
      <c r="J1133" s="4">
        <v>0.003885</v>
      </c>
      <c r="K1133" s="4">
        <v>0.013568</v>
      </c>
      <c r="L1133" s="4">
        <v>0.014531</v>
      </c>
      <c r="M1133" s="4">
        <v>0.004943</v>
      </c>
      <c r="N1133" s="4">
        <v>0.004926</v>
      </c>
      <c r="O1133" s="4">
        <v>0.012892</v>
      </c>
      <c r="P1133" s="4">
        <v>0.001441</v>
      </c>
      <c r="Q1133" s="4">
        <v>0.005384</v>
      </c>
      <c r="R1133" s="4">
        <v>0.006197</v>
      </c>
      <c r="S1133" s="4">
        <v>0.010953</v>
      </c>
      <c r="T1133" s="4">
        <v>-0.003439</v>
      </c>
      <c r="U1133" s="4">
        <v>0.006555</v>
      </c>
      <c r="V1133" s="4">
        <v>-0.00908273985580898</v>
      </c>
      <c r="W1133" s="4">
        <v>0.0</v>
      </c>
      <c r="X1133" s="4">
        <v>-0.0086419735385023</v>
      </c>
      <c r="Y1133" s="4">
        <v>0.0207728218616429</v>
      </c>
      <c r="Z1133" s="4">
        <v>0.0214501645867566</v>
      </c>
      <c r="AA1133" s="4">
        <v>0.0153387688290436</v>
      </c>
      <c r="AB1133" s="4">
        <v>0.0260479052280211</v>
      </c>
      <c r="AC1133" s="4">
        <v>-0.0032822701713592</v>
      </c>
      <c r="AD1133" s="4">
        <v>0.0134048211598503</v>
      </c>
      <c r="AE1133" s="4">
        <v>-0.0056435363168514</v>
      </c>
      <c r="AF1133" s="4">
        <v>0.0</v>
      </c>
      <c r="AG1133" s="4">
        <v>0.0012522325709649</v>
      </c>
      <c r="AH1133" s="4">
        <v>-0.0024444792005751</v>
      </c>
      <c r="AI1133" s="4">
        <v>0.0015503517357944</v>
      </c>
      <c r="AJ1133" s="4">
        <v>0.006195</v>
      </c>
      <c r="AK1133" s="4">
        <f>Weights!E1189</f>
        <v>0.004479372521</v>
      </c>
      <c r="AL1133" s="5">
        <v>0.00216958988730286</v>
      </c>
      <c r="AM1133" s="5">
        <v>0.00201848955324224</v>
      </c>
      <c r="AN1133" s="5">
        <v>0.00668304117088225</v>
      </c>
      <c r="AO1133" s="5">
        <v>0.00654922462863893</v>
      </c>
      <c r="AP1133" s="6">
        <f t="shared" si="3"/>
        <v>1.730613</v>
      </c>
      <c r="AQ1133" s="4">
        <f t="shared" si="4"/>
        <v>1.705129419</v>
      </c>
      <c r="AR1133" s="7">
        <f t="shared" si="5"/>
        <v>1.61990789</v>
      </c>
      <c r="AS1133" s="7">
        <f t="shared" ref="AS1133:AU1133" si="1135">AS1132*(1+AM1133)</f>
        <v>1.761169813</v>
      </c>
      <c r="AT1133" s="5">
        <f t="shared" si="1135"/>
        <v>1.477882841</v>
      </c>
      <c r="AU1133" s="5">
        <f t="shared" si="1135"/>
        <v>1.478219602</v>
      </c>
    </row>
    <row r="1134" ht="15.75" customHeight="1">
      <c r="A1134" s="3">
        <v>45476.0</v>
      </c>
      <c r="B1134" s="4">
        <v>0.01006</v>
      </c>
      <c r="C1134" s="4">
        <v>4.87E-4</v>
      </c>
      <c r="D1134" s="4">
        <v>0.016851</v>
      </c>
      <c r="E1134" s="4">
        <v>-0.005991</v>
      </c>
      <c r="F1134" s="4">
        <v>0.00285</v>
      </c>
      <c r="G1134" s="4">
        <v>-0.002328</v>
      </c>
      <c r="H1134" s="4">
        <v>-4.27E-4</v>
      </c>
      <c r="I1134" s="4">
        <v>0.002234</v>
      </c>
      <c r="J1134" s="4">
        <v>0.011094</v>
      </c>
      <c r="K1134" s="4">
        <v>0.007598</v>
      </c>
      <c r="L1134" s="4">
        <v>0.013951</v>
      </c>
      <c r="M1134" s="4">
        <v>0.015134</v>
      </c>
      <c r="N1134" s="4">
        <v>0.010212</v>
      </c>
      <c r="O1134" s="4">
        <v>2.64E-4</v>
      </c>
      <c r="P1134" s="4">
        <v>0.041717</v>
      </c>
      <c r="Q1134" s="4">
        <v>0.023427</v>
      </c>
      <c r="R1134" s="4">
        <v>0.039828</v>
      </c>
      <c r="S1134" s="4">
        <v>0.036305</v>
      </c>
      <c r="T1134" s="4">
        <v>-2.56E-4</v>
      </c>
      <c r="U1134" s="4">
        <v>0.014052</v>
      </c>
      <c r="V1134" s="4">
        <v>-0.00458294013821891</v>
      </c>
      <c r="W1134" s="4">
        <v>-0.0050120110592394</v>
      </c>
      <c r="X1134" s="4">
        <v>0.0062266625501412</v>
      </c>
      <c r="Y1134" s="4">
        <v>-0.0034205902623006</v>
      </c>
      <c r="Z1134" s="4">
        <v>0.0011666586026291</v>
      </c>
      <c r="AA1134" s="4">
        <v>0.0014686876503517</v>
      </c>
      <c r="AB1134" s="4">
        <v>-0.0101546910828594</v>
      </c>
      <c r="AC1134" s="4">
        <v>-0.0065861578923124</v>
      </c>
      <c r="AD1134" s="4">
        <v>-0.0079364210226597</v>
      </c>
      <c r="AE1134" s="4">
        <v>-0.0037837460482093</v>
      </c>
      <c r="AF1134" s="4">
        <v>0.0317775289292476</v>
      </c>
      <c r="AG1134" s="4">
        <v>-0.0041092721107169</v>
      </c>
      <c r="AH1134" s="4">
        <v>-0.0057919411436975</v>
      </c>
      <c r="AI1134" s="4">
        <v>0.0041280078938592</v>
      </c>
      <c r="AJ1134" s="4">
        <v>0.005084</v>
      </c>
      <c r="AK1134" s="4">
        <f>Weights!E1190</f>
        <v>0.005792160422</v>
      </c>
      <c r="AL1134" s="5">
        <v>0.0052094425837188</v>
      </c>
      <c r="AM1134" s="5">
        <v>0.00578262898070236</v>
      </c>
      <c r="AN1134" s="5">
        <v>-0.00301750442325066</v>
      </c>
      <c r="AO1134" s="5">
        <v>-0.00179482479655257</v>
      </c>
      <c r="AP1134" s="6">
        <f t="shared" si="3"/>
        <v>1.740636989</v>
      </c>
      <c r="AQ1134" s="4">
        <f t="shared" si="4"/>
        <v>1.713798297</v>
      </c>
      <c r="AR1134" s="7">
        <f t="shared" si="5"/>
        <v>1.628346707</v>
      </c>
      <c r="AS1134" s="7">
        <f t="shared" ref="AS1134:AU1134" si="1136">AS1133*(1+AM1134)</f>
        <v>1.771354005</v>
      </c>
      <c r="AT1134" s="5">
        <f t="shared" si="1136"/>
        <v>1.473423323</v>
      </c>
      <c r="AU1134" s="5">
        <f t="shared" si="1136"/>
        <v>1.475566457</v>
      </c>
    </row>
    <row r="1135" ht="15.75" customHeight="1">
      <c r="A1135" s="3">
        <v>45478.0</v>
      </c>
      <c r="B1135" s="4">
        <v>0.013944</v>
      </c>
      <c r="C1135" s="4">
        <v>0.003648</v>
      </c>
      <c r="D1135" s="4">
        <v>0.003803</v>
      </c>
      <c r="E1135" s="4">
        <v>0.011009</v>
      </c>
      <c r="F1135" s="4">
        <v>0.00679</v>
      </c>
      <c r="G1135" s="4">
        <v>0.005422</v>
      </c>
      <c r="H1135" s="4">
        <v>0.008423</v>
      </c>
      <c r="I1135" s="4">
        <v>-0.007802</v>
      </c>
      <c r="J1135" s="4">
        <v>-0.001531</v>
      </c>
      <c r="K1135" s="4">
        <v>-0.008438</v>
      </c>
      <c r="L1135" s="4">
        <v>-0.002018</v>
      </c>
      <c r="M1135" s="4">
        <v>-0.007082</v>
      </c>
      <c r="N1135" s="4">
        <v>-0.009705</v>
      </c>
      <c r="O1135" s="4">
        <v>0.028194</v>
      </c>
      <c r="P1135" s="4">
        <v>0.024396</v>
      </c>
      <c r="Q1135" s="4">
        <v>0.037933</v>
      </c>
      <c r="R1135" s="4">
        <v>0.017177</v>
      </c>
      <c r="S1135" s="4">
        <v>0.023661</v>
      </c>
      <c r="T1135" s="4">
        <v>-0.016494</v>
      </c>
      <c r="U1135" s="4">
        <v>-0.001521</v>
      </c>
      <c r="V1135" s="4">
        <v>0.0</v>
      </c>
      <c r="W1135" s="4">
        <v>-0.0097015272120339</v>
      </c>
      <c r="X1135" s="4">
        <v>-0.006188131145681</v>
      </c>
      <c r="Y1135" s="4">
        <v>0.0058175852942159</v>
      </c>
      <c r="Z1135" s="4">
        <v>0.0051990584663781</v>
      </c>
      <c r="AA1135" s="4">
        <v>0.0100565091056525</v>
      </c>
      <c r="AB1135" s="4">
        <v>-0.0025646245594512</v>
      </c>
      <c r="AC1135" s="4">
        <v>0.0033149114765398</v>
      </c>
      <c r="AD1135" s="4">
        <v>0.0173333896592779</v>
      </c>
      <c r="AE1135" s="4">
        <v>-0.0081389278609591</v>
      </c>
      <c r="AF1135" s="4">
        <v>0.0086621897567331</v>
      </c>
      <c r="AG1135" s="4">
        <v>-0.01489062115527</v>
      </c>
      <c r="AH1135" s="4">
        <v>0.0064979348986371</v>
      </c>
      <c r="AI1135" s="4">
        <v>-0.0030833798923898</v>
      </c>
      <c r="AJ1135" s="4">
        <v>0.005449</v>
      </c>
      <c r="AK1135" s="4">
        <f>Weights!E1191</f>
        <v>0.001625521304</v>
      </c>
      <c r="AL1135" s="5">
        <v>0.00679759667076074</v>
      </c>
      <c r="AM1135" s="5">
        <v>0.00411713669415081</v>
      </c>
      <c r="AN1135" s="5">
        <v>0.0030266373147354</v>
      </c>
      <c r="AO1135" s="5">
        <v>0.00359627909892856</v>
      </c>
      <c r="AP1135" s="6">
        <f t="shared" si="3"/>
        <v>1.743466431</v>
      </c>
      <c r="AQ1135" s="4">
        <f t="shared" si="4"/>
        <v>1.723136784</v>
      </c>
      <c r="AR1135" s="7">
        <f t="shared" si="5"/>
        <v>1.639415551</v>
      </c>
      <c r="AS1135" s="7">
        <f t="shared" ref="AS1135:AU1135" si="1137">AS1134*(1+AM1135)</f>
        <v>1.778646911</v>
      </c>
      <c r="AT1135" s="5">
        <f t="shared" si="1137"/>
        <v>1.477882841</v>
      </c>
      <c r="AU1135" s="5">
        <f t="shared" si="1137"/>
        <v>1.480873005</v>
      </c>
    </row>
    <row r="1136" ht="15.75" customHeight="1">
      <c r="A1136" s="3">
        <v>45481.0</v>
      </c>
      <c r="B1136" s="4">
        <v>0.009168</v>
      </c>
      <c r="C1136" s="4">
        <v>0.0063</v>
      </c>
      <c r="D1136" s="4">
        <v>-0.00433</v>
      </c>
      <c r="E1136" s="4">
        <v>-0.013809</v>
      </c>
      <c r="F1136" s="4">
        <v>-0.012547</v>
      </c>
      <c r="G1136" s="4">
        <v>-0.006827</v>
      </c>
      <c r="H1136" s="4">
        <v>0.007929</v>
      </c>
      <c r="I1136" s="4">
        <v>-0.006459</v>
      </c>
      <c r="J1136" s="4">
        <v>0.002556</v>
      </c>
      <c r="K1136" s="4">
        <v>0.007423</v>
      </c>
      <c r="L1136" s="4">
        <v>0.003585</v>
      </c>
      <c r="M1136" s="4">
        <v>0.013138</v>
      </c>
      <c r="N1136" s="4">
        <v>0.003675</v>
      </c>
      <c r="O1136" s="4">
        <v>-0.009346</v>
      </c>
      <c r="P1136" s="4">
        <v>-0.008537</v>
      </c>
      <c r="Q1136" s="4">
        <v>-0.021424</v>
      </c>
      <c r="R1136" s="4">
        <v>-0.00757</v>
      </c>
      <c r="S1136" s="4">
        <v>0.006092</v>
      </c>
      <c r="T1136" s="4">
        <v>-0.008905</v>
      </c>
      <c r="U1136" s="4">
        <v>0.001523</v>
      </c>
      <c r="V1136" s="4">
        <v>0.0165746570605549</v>
      </c>
      <c r="W1136" s="4">
        <v>0.0308967366604708</v>
      </c>
      <c r="X1136" s="4">
        <v>-0.0099625829435844</v>
      </c>
      <c r="Y1136" s="4">
        <v>0.0067673079419674</v>
      </c>
      <c r="Z1136" s="4">
        <v>0.0068664518139245</v>
      </c>
      <c r="AA1136" s="4">
        <v>0.0014520160259483</v>
      </c>
      <c r="AB1136" s="4">
        <v>0.0060776108916018</v>
      </c>
      <c r="AC1136" s="4">
        <v>0.0</v>
      </c>
      <c r="AD1136" s="4">
        <v>0.0078636086963144</v>
      </c>
      <c r="AE1136" s="4">
        <v>-0.0084793931792157</v>
      </c>
      <c r="AF1136" s="4">
        <v>0.0085878005983572</v>
      </c>
      <c r="AG1136" s="4">
        <v>0.014022906574723</v>
      </c>
      <c r="AH1136" s="4">
        <v>-0.0095726224992189</v>
      </c>
      <c r="AI1136" s="4">
        <v>0.0</v>
      </c>
      <c r="AJ1136" s="4">
        <v>0.001017</v>
      </c>
      <c r="AK1136" s="4">
        <f>Weights!E1192</f>
        <v>0.001461686675</v>
      </c>
      <c r="AL1136" s="5">
        <v>0.00608340213689362</v>
      </c>
      <c r="AM1136" s="5">
        <v>0.00520862327524751</v>
      </c>
      <c r="AN1136" s="5">
        <v>0.0138803083277492</v>
      </c>
      <c r="AO1136" s="5">
        <v>0.0123179871020564</v>
      </c>
      <c r="AP1136" s="6">
        <f t="shared" si="3"/>
        <v>1.746014833</v>
      </c>
      <c r="AQ1136" s="4">
        <f t="shared" si="4"/>
        <v>1.724889214</v>
      </c>
      <c r="AR1136" s="7">
        <f t="shared" si="5"/>
        <v>1.649388775</v>
      </c>
      <c r="AS1136" s="7">
        <f t="shared" ref="AS1136:AU1136" si="1138">AS1135*(1+AM1136)</f>
        <v>1.787911213</v>
      </c>
      <c r="AT1136" s="5">
        <f t="shared" si="1138"/>
        <v>1.498396311</v>
      </c>
      <c r="AU1136" s="5">
        <f t="shared" si="1138"/>
        <v>1.49911438</v>
      </c>
    </row>
    <row r="1137" ht="15.75" customHeight="1">
      <c r="A1137" s="3">
        <v>45482.0</v>
      </c>
      <c r="B1137" s="4">
        <v>0.001947</v>
      </c>
      <c r="C1137" s="4">
        <v>-0.005538</v>
      </c>
      <c r="D1137" s="4">
        <v>-0.008154</v>
      </c>
      <c r="E1137" s="4">
        <v>-0.001357</v>
      </c>
      <c r="F1137" s="4">
        <v>-0.004288</v>
      </c>
      <c r="G1137" s="4">
        <v>0.010792</v>
      </c>
      <c r="H1137" s="4">
        <v>-0.005165</v>
      </c>
      <c r="I1137" s="4">
        <v>0.0</v>
      </c>
      <c r="J1137" s="4">
        <v>5.1E-4</v>
      </c>
      <c r="K1137" s="4">
        <v>0.004673</v>
      </c>
      <c r="L1137" s="4">
        <v>0.003663</v>
      </c>
      <c r="M1137" s="4">
        <v>-0.001853</v>
      </c>
      <c r="N1137" s="4">
        <v>-6.1E-4</v>
      </c>
      <c r="O1137" s="4">
        <v>-0.013425</v>
      </c>
      <c r="P1137" s="4">
        <v>-0.005439</v>
      </c>
      <c r="Q1137" s="4">
        <v>-0.001932</v>
      </c>
      <c r="R1137" s="4">
        <v>-0.006454</v>
      </c>
      <c r="S1137" s="4">
        <v>-0.001425</v>
      </c>
      <c r="T1137" s="4">
        <v>-0.01456</v>
      </c>
      <c r="U1137" s="4">
        <v>0.003436</v>
      </c>
      <c r="V1137" s="4">
        <v>0.00724635838090192</v>
      </c>
      <c r="W1137" s="4">
        <v>0.0137061386384602</v>
      </c>
      <c r="X1137" s="4">
        <v>0.0</v>
      </c>
      <c r="Y1137" s="4">
        <v>8.618797006629E-4</v>
      </c>
      <c r="Z1137" s="4">
        <v>0.0038081821645901</v>
      </c>
      <c r="AA1137" s="4">
        <v>0.0066280201950361</v>
      </c>
      <c r="AB1137" s="4">
        <v>0.0055762264352201</v>
      </c>
      <c r="AC1137" s="4">
        <v>0.0</v>
      </c>
      <c r="AD1137" s="4">
        <v>0.0</v>
      </c>
      <c r="AE1137" s="4">
        <v>0.006345033256349</v>
      </c>
      <c r="AF1137" s="4">
        <v>-9.460368609038E-4</v>
      </c>
      <c r="AG1137" s="4">
        <v>0.0025144316785614</v>
      </c>
      <c r="AH1137" s="4">
        <v>0.0123623975360089</v>
      </c>
      <c r="AI1137" s="4">
        <v>-0.0015463561813211</v>
      </c>
      <c r="AJ1137" s="4">
        <v>7.41E-4</v>
      </c>
      <c r="AK1137" s="4">
        <f>Weights!E1193</f>
        <v>0.001410668249</v>
      </c>
      <c r="AL1137" s="5">
        <v>-0.001063201104055</v>
      </c>
      <c r="AM1137" s="5">
        <v>0.00135959428483412</v>
      </c>
      <c r="AN1137" s="5">
        <v>-2.97410276779763E-4</v>
      </c>
      <c r="AO1137" s="5">
        <v>0.00132739938147197</v>
      </c>
      <c r="AP1137" s="6">
        <f t="shared" si="3"/>
        <v>1.74847788</v>
      </c>
      <c r="AQ1137" s="4">
        <f t="shared" si="4"/>
        <v>1.726167357</v>
      </c>
      <c r="AR1137" s="7">
        <f t="shared" si="5"/>
        <v>1.647635144</v>
      </c>
      <c r="AS1137" s="7">
        <f t="shared" ref="AS1137:AU1137" si="1139">AS1136*(1+AM1137)</f>
        <v>1.790342047</v>
      </c>
      <c r="AT1137" s="5">
        <f t="shared" si="1139"/>
        <v>1.497950672</v>
      </c>
      <c r="AU1137" s="5">
        <f t="shared" si="1139"/>
        <v>1.501104304</v>
      </c>
    </row>
    <row r="1138" ht="15.75" customHeight="1">
      <c r="A1138" s="3">
        <v>45483.0</v>
      </c>
      <c r="B1138" s="4">
        <v>-0.009067</v>
      </c>
      <c r="C1138" s="4">
        <v>-0.005327</v>
      </c>
      <c r="D1138" s="4">
        <v>-0.003563</v>
      </c>
      <c r="E1138" s="4">
        <v>0.010439</v>
      </c>
      <c r="F1138" s="4">
        <v>0.002233</v>
      </c>
      <c r="G1138" s="4">
        <v>0.016185</v>
      </c>
      <c r="H1138" s="4">
        <v>0.006882</v>
      </c>
      <c r="I1138" s="4">
        <v>0.011023</v>
      </c>
      <c r="J1138" s="4">
        <v>0.014777</v>
      </c>
      <c r="K1138" s="4">
        <v>0.011949</v>
      </c>
      <c r="L1138" s="4">
        <v>0.010676</v>
      </c>
      <c r="M1138" s="4">
        <v>0.008537</v>
      </c>
      <c r="N1138" s="4">
        <v>0.014655</v>
      </c>
      <c r="O1138" s="4">
        <v>0.010508</v>
      </c>
      <c r="P1138" s="4">
        <v>0.035771</v>
      </c>
      <c r="Q1138" s="4">
        <v>0.027097</v>
      </c>
      <c r="R1138" s="4">
        <v>0.015551</v>
      </c>
      <c r="S1138" s="4">
        <v>0.040307</v>
      </c>
      <c r="T1138" s="4">
        <v>0.020699</v>
      </c>
      <c r="U1138" s="4">
        <v>0.010554</v>
      </c>
      <c r="V1138" s="4">
        <v>0.00809350474259251</v>
      </c>
      <c r="W1138" s="4">
        <v>-0.0239768862946411</v>
      </c>
      <c r="X1138" s="4">
        <v>-0.0012658644689994</v>
      </c>
      <c r="Y1138" s="4">
        <v>-0.0072900330451892</v>
      </c>
      <c r="Z1138" s="4">
        <v>-0.0103228484259917</v>
      </c>
      <c r="AA1138" s="4">
        <v>-0.0127572131848178</v>
      </c>
      <c r="AB1138" s="4">
        <v>-0.006007398060321</v>
      </c>
      <c r="AC1138" s="4">
        <v>0.0066298229530794</v>
      </c>
      <c r="AD1138" s="4">
        <v>-0.0065187994108503</v>
      </c>
      <c r="AE1138" s="4">
        <v>-0.0063050276462515</v>
      </c>
      <c r="AF1138" s="4">
        <v>-0.0113636547555766</v>
      </c>
      <c r="AG1138" s="4">
        <v>0.0116445483962854</v>
      </c>
      <c r="AH1138" s="4">
        <v>-0.0051066250824592</v>
      </c>
      <c r="AI1138" s="4">
        <v>-5.163185282486E-4</v>
      </c>
      <c r="AJ1138" s="4">
        <v>0.010208</v>
      </c>
      <c r="AK1138" s="4">
        <f>Weights!E1194</f>
        <v>0.004972679276</v>
      </c>
      <c r="AL1138" s="5">
        <v>5.9864243673835E-4</v>
      </c>
      <c r="AM1138" s="5">
        <v>-2.56733747311832E-4</v>
      </c>
      <c r="AN1138" s="5">
        <v>-0.00714508340307895</v>
      </c>
      <c r="AO1138" s="5">
        <v>-0.00773314229293409</v>
      </c>
      <c r="AP1138" s="6">
        <f t="shared" si="3"/>
        <v>1.7571725</v>
      </c>
      <c r="AQ1138" s="4">
        <f t="shared" si="4"/>
        <v>1.743788073</v>
      </c>
      <c r="AR1138" s="7">
        <f t="shared" si="5"/>
        <v>1.648621488</v>
      </c>
      <c r="AS1138" s="7">
        <f t="shared" ref="AS1138:AU1138" si="1140">AS1137*(1+AM1138)</f>
        <v>1.789882406</v>
      </c>
      <c r="AT1138" s="5">
        <f t="shared" si="1140"/>
        <v>1.48724769</v>
      </c>
      <c r="AU1138" s="5">
        <f t="shared" si="1140"/>
        <v>1.48949605</v>
      </c>
    </row>
    <row r="1139" ht="15.75" customHeight="1">
      <c r="A1139" s="3">
        <v>45484.0</v>
      </c>
      <c r="B1139" s="4">
        <v>0.006536</v>
      </c>
      <c r="C1139" s="4">
        <v>0.005355</v>
      </c>
      <c r="D1139" s="4">
        <v>0.018427</v>
      </c>
      <c r="E1139" s="4">
        <v>0.002201</v>
      </c>
      <c r="F1139" s="4">
        <v>0.004297</v>
      </c>
      <c r="G1139" s="4">
        <v>0.001807</v>
      </c>
      <c r="H1139" s="4">
        <v>-0.007554</v>
      </c>
      <c r="I1139" s="4">
        <v>8.39E-4</v>
      </c>
      <c r="J1139" s="4">
        <v>0.003013</v>
      </c>
      <c r="K1139" s="4">
        <v>0.008599</v>
      </c>
      <c r="L1139" s="4">
        <v>-0.004424</v>
      </c>
      <c r="M1139" s="4">
        <v>7.36E-4</v>
      </c>
      <c r="N1139" s="4">
        <v>0.004213</v>
      </c>
      <c r="O1139" s="4">
        <v>0.038735</v>
      </c>
      <c r="P1139" s="4">
        <v>0.037615</v>
      </c>
      <c r="Q1139" s="4">
        <v>0.018844</v>
      </c>
      <c r="R1139" s="4">
        <v>-0.001551</v>
      </c>
      <c r="S1139" s="4">
        <v>0.016458</v>
      </c>
      <c r="T1139" s="4">
        <v>0.036515</v>
      </c>
      <c r="U1139" s="4">
        <v>-0.005777</v>
      </c>
      <c r="V1139" s="4">
        <v>-0.00713646740507167</v>
      </c>
      <c r="W1139" s="4">
        <v>-0.0323236002193961</v>
      </c>
      <c r="X1139" s="4">
        <v>0.011406925820685</v>
      </c>
      <c r="Y1139" s="4">
        <v>-0.0021395214766576</v>
      </c>
      <c r="Z1139" s="4">
        <v>-0.0109654582015789</v>
      </c>
      <c r="AA1139" s="4">
        <v>0.0193830520261268</v>
      </c>
      <c r="AB1139" s="4">
        <v>-0.0097628868867085</v>
      </c>
      <c r="AC1139" s="4">
        <v>-0.0197584736769371</v>
      </c>
      <c r="AD1139" s="4">
        <v>-0.0013123563859321</v>
      </c>
      <c r="AE1139" s="4">
        <v>-0.0033102052213657</v>
      </c>
      <c r="AF1139" s="4">
        <v>0.0028735679226843</v>
      </c>
      <c r="AG1139" s="4">
        <v>-0.0083230395372709</v>
      </c>
      <c r="AH1139" s="4">
        <v>-0.0080338708685374</v>
      </c>
      <c r="AI1139" s="4">
        <v>0.0</v>
      </c>
      <c r="AJ1139" s="4">
        <v>-0.008763</v>
      </c>
      <c r="AK1139" s="4">
        <f>Weights!E1195</f>
        <v>0.001827700346</v>
      </c>
      <c r="AL1139" s="5">
        <v>0.0105697570054819</v>
      </c>
      <c r="AM1139" s="5">
        <v>0.00969073739404891</v>
      </c>
      <c r="AN1139" s="5">
        <v>0.00149925195415412</v>
      </c>
      <c r="AO1139" s="5">
        <v>0.00222658938778774</v>
      </c>
      <c r="AP1139" s="6">
        <f t="shared" si="3"/>
        <v>1.760384085</v>
      </c>
      <c r="AQ1139" s="4">
        <f t="shared" si="4"/>
        <v>1.728507258</v>
      </c>
      <c r="AR1139" s="7">
        <f t="shared" si="5"/>
        <v>1.666047016</v>
      </c>
      <c r="AS1139" s="7">
        <f t="shared" ref="AS1139:AU1139" si="1141">AS1138*(1+AM1139)</f>
        <v>1.807227686</v>
      </c>
      <c r="AT1139" s="5">
        <f t="shared" si="1141"/>
        <v>1.489477449</v>
      </c>
      <c r="AU1139" s="5">
        <f t="shared" si="1141"/>
        <v>1.492812546</v>
      </c>
    </row>
    <row r="1140" ht="15.75" customHeight="1">
      <c r="A1140" s="3">
        <v>45485.0</v>
      </c>
      <c r="B1140" s="4">
        <v>0.009091</v>
      </c>
      <c r="C1140" s="4">
        <v>0.003148</v>
      </c>
      <c r="D1140" s="4">
        <v>0.006751</v>
      </c>
      <c r="E1140" s="4">
        <v>0.014822</v>
      </c>
      <c r="F1140" s="4">
        <v>0.009509</v>
      </c>
      <c r="G1140" s="4">
        <v>0.001202</v>
      </c>
      <c r="H1140" s="4">
        <v>0.006464</v>
      </c>
      <c r="I1140" s="4">
        <v>0.00838</v>
      </c>
      <c r="J1140" s="4">
        <v>0.0</v>
      </c>
      <c r="K1140" s="4">
        <v>0.007993</v>
      </c>
      <c r="L1140" s="4">
        <v>0.008525</v>
      </c>
      <c r="M1140" s="4">
        <v>-0.001839</v>
      </c>
      <c r="N1140" s="4">
        <v>0.004395</v>
      </c>
      <c r="O1140" s="4">
        <v>0.025278</v>
      </c>
      <c r="P1140" s="4">
        <v>0.007208</v>
      </c>
      <c r="Q1140" s="4">
        <v>-0.01233</v>
      </c>
      <c r="R1140" s="4">
        <v>-0.004465</v>
      </c>
      <c r="S1140" s="4">
        <v>0.00506</v>
      </c>
      <c r="T1140" s="4">
        <v>0.013463</v>
      </c>
      <c r="U1140" s="4">
        <v>0.008717</v>
      </c>
      <c r="V1140" s="4">
        <v>-0.0107816439582888</v>
      </c>
      <c r="W1140" s="4">
        <v>0.0020996556251589</v>
      </c>
      <c r="X1140" s="4">
        <v>0.00375932809845</v>
      </c>
      <c r="Y1140" s="4">
        <v>-0.010952200527052</v>
      </c>
      <c r="Z1140" s="4">
        <v>-0.0091040574912771</v>
      </c>
      <c r="AA1140" s="4">
        <v>0.0087916704000656</v>
      </c>
      <c r="AB1140" s="4">
        <v>-0.0049296166523531</v>
      </c>
      <c r="AC1140" s="4">
        <v>-0.0033594566825878</v>
      </c>
      <c r="AD1140" s="4">
        <v>-0.0039421381776701</v>
      </c>
      <c r="AE1140" s="4">
        <v>0.0099640272417234</v>
      </c>
      <c r="AF1140" s="4">
        <v>0.0076408134405558</v>
      </c>
      <c r="AG1140" s="4">
        <v>0.0046428339649153</v>
      </c>
      <c r="AH1140" s="4">
        <v>-0.0200225470483781</v>
      </c>
      <c r="AI1140" s="4">
        <v>0.0067150967896629</v>
      </c>
      <c r="AJ1140" s="4">
        <v>0.005517</v>
      </c>
      <c r="AK1140" s="4">
        <f>Weights!E1196</f>
        <v>0.002164836577</v>
      </c>
      <c r="AL1140" s="5">
        <v>-0.00493358952114764</v>
      </c>
      <c r="AM1140" s="5">
        <v>-0.00447170198393609</v>
      </c>
      <c r="AN1140" s="5">
        <v>-0.00269459023844487</v>
      </c>
      <c r="AO1140" s="5">
        <v>-0.00355473218637325</v>
      </c>
      <c r="AP1140" s="6">
        <f t="shared" si="3"/>
        <v>1.764195029</v>
      </c>
      <c r="AQ1140" s="4">
        <f t="shared" si="4"/>
        <v>1.738043433</v>
      </c>
      <c r="AR1140" s="7">
        <f t="shared" si="5"/>
        <v>1.657827424</v>
      </c>
      <c r="AS1140" s="7">
        <f t="shared" ref="AS1140:AU1140" si="1142">AS1139*(1+AM1140)</f>
        <v>1.799146302</v>
      </c>
      <c r="AT1140" s="5">
        <f t="shared" si="1142"/>
        <v>1.485463917</v>
      </c>
      <c r="AU1140" s="5">
        <f t="shared" si="1142"/>
        <v>1.487505998</v>
      </c>
    </row>
    <row r="1141" ht="15.75" customHeight="1">
      <c r="A1141" s="3">
        <v>45488.0</v>
      </c>
      <c r="B1141" s="4">
        <v>-0.00193</v>
      </c>
      <c r="C1141" s="4">
        <v>-0.015448</v>
      </c>
      <c r="D1141" s="4">
        <v>0.005097</v>
      </c>
      <c r="E1141" s="4">
        <v>-0.015146</v>
      </c>
      <c r="F1141" s="4">
        <v>-0.004553</v>
      </c>
      <c r="G1141" s="4">
        <v>-0.00427</v>
      </c>
      <c r="H1141" s="4">
        <v>-0.012184</v>
      </c>
      <c r="I1141" s="4">
        <v>-0.008587</v>
      </c>
      <c r="J1141" s="4">
        <v>-0.011014</v>
      </c>
      <c r="K1141" s="4">
        <v>0.008811</v>
      </c>
      <c r="L1141" s="4">
        <v>-0.003597</v>
      </c>
      <c r="M1141" s="4">
        <v>-0.002211</v>
      </c>
      <c r="N1141" s="4">
        <v>0.00358</v>
      </c>
      <c r="O1141" s="4">
        <v>0.002343</v>
      </c>
      <c r="P1141" s="4">
        <v>-0.003368</v>
      </c>
      <c r="Q1141" s="4">
        <v>-0.003745</v>
      </c>
      <c r="R1141" s="4">
        <v>-0.016771</v>
      </c>
      <c r="S1141" s="4">
        <v>-0.001678</v>
      </c>
      <c r="T1141" s="4">
        <v>0.023402</v>
      </c>
      <c r="U1141" s="4">
        <v>-0.002991</v>
      </c>
      <c r="V1141" s="4">
        <v>0.010899154764405</v>
      </c>
      <c r="W1141" s="4">
        <v>0.0015237720343277</v>
      </c>
      <c r="X1141" s="4">
        <v>0.0012483839396832</v>
      </c>
      <c r="Y1141" s="4">
        <v>0.0097258145687266</v>
      </c>
      <c r="Z1141" s="4">
        <v>0.01237154440837</v>
      </c>
      <c r="AA1141" s="4">
        <v>0.0168220838151946</v>
      </c>
      <c r="AB1141" s="4">
        <v>0.0054258335665746</v>
      </c>
      <c r="AC1141" s="4">
        <v>0.0011235348019487</v>
      </c>
      <c r="AD1141" s="4">
        <v>0.0026386684601558</v>
      </c>
      <c r="AE1141" s="4">
        <v>-0.0013774098818407</v>
      </c>
      <c r="AF1141" s="4">
        <v>0.0047393831083697</v>
      </c>
      <c r="AG1141" s="4">
        <v>0.0223960260238536</v>
      </c>
      <c r="AH1141" s="4">
        <v>0.0048209156806084</v>
      </c>
      <c r="AI1141" s="4">
        <v>5.131394695805E-4</v>
      </c>
      <c r="AJ1141" s="4">
        <v>0.002826</v>
      </c>
      <c r="AK1141" s="4">
        <f>Weights!E1197</f>
        <v>0.001885027351</v>
      </c>
      <c r="AL1141" s="5">
        <v>0.00747003328354334</v>
      </c>
      <c r="AM1141" s="5">
        <v>0.00660999945303086</v>
      </c>
      <c r="AN1141" s="5">
        <v>0.0150105228347094</v>
      </c>
      <c r="AO1141" s="5">
        <v>0.0144928883218937</v>
      </c>
      <c r="AP1141" s="6">
        <f t="shared" si="3"/>
        <v>1.767520585</v>
      </c>
      <c r="AQ1141" s="4">
        <f t="shared" si="4"/>
        <v>1.742955144</v>
      </c>
      <c r="AR1141" s="7">
        <f t="shared" si="5"/>
        <v>1.67021145</v>
      </c>
      <c r="AS1141" s="7">
        <f t="shared" ref="AS1141:AU1141" si="1143">AS1140*(1+AM1141)</f>
        <v>1.811038659</v>
      </c>
      <c r="AT1141" s="5">
        <f t="shared" si="1143"/>
        <v>1.507761508</v>
      </c>
      <c r="AU1141" s="5">
        <f t="shared" si="1143"/>
        <v>1.509064256</v>
      </c>
    </row>
    <row r="1142" ht="15.75" customHeight="1">
      <c r="A1142" s="3">
        <v>45489.0</v>
      </c>
      <c r="B1142" s="4">
        <v>0.014184</v>
      </c>
      <c r="C1142" s="4">
        <v>0.01618</v>
      </c>
      <c r="D1142" s="4">
        <v>0.009608</v>
      </c>
      <c r="E1142" s="4">
        <v>0.005492</v>
      </c>
      <c r="F1142" s="4">
        <v>0.013562</v>
      </c>
      <c r="G1142" s="4">
        <v>0.01186</v>
      </c>
      <c r="H1142" s="4">
        <v>0.0144</v>
      </c>
      <c r="I1142" s="4">
        <v>0.006147</v>
      </c>
      <c r="J1142" s="4">
        <v>0.007846</v>
      </c>
      <c r="K1142" s="4">
        <v>0.020262</v>
      </c>
      <c r="L1142" s="4">
        <v>-0.002437</v>
      </c>
      <c r="M1142" s="4">
        <v>-0.012186</v>
      </c>
      <c r="N1142" s="4">
        <v>0.006342</v>
      </c>
      <c r="O1142" s="4">
        <v>0.007257</v>
      </c>
      <c r="P1142" s="4">
        <v>0.020486</v>
      </c>
      <c r="Q1142" s="4">
        <v>0.062657</v>
      </c>
      <c r="R1142" s="4">
        <v>-0.006942</v>
      </c>
      <c r="S1142" s="4">
        <v>0.044881</v>
      </c>
      <c r="T1142" s="4">
        <v>0.007703</v>
      </c>
      <c r="U1142" s="4">
        <v>0.013056</v>
      </c>
      <c r="V1142" s="4">
        <v>0.0161724659374333</v>
      </c>
      <c r="W1142" s="4">
        <v>0.0184481135255951</v>
      </c>
      <c r="X1142" s="4">
        <v>0.0</v>
      </c>
      <c r="Y1142" s="4">
        <v>0.0049322761209396</v>
      </c>
      <c r="Z1142" s="4">
        <v>0.0034143795083476</v>
      </c>
      <c r="AA1142" s="4">
        <v>0.0051823327046505</v>
      </c>
      <c r="AB1142" s="4">
        <v>0.0035194627234149</v>
      </c>
      <c r="AC1142" s="4">
        <v>0.0</v>
      </c>
      <c r="AD1142" s="4">
        <v>0.0</v>
      </c>
      <c r="AE1142" s="4">
        <v>0.0124137878105685</v>
      </c>
      <c r="AF1142" s="4">
        <v>0.0</v>
      </c>
      <c r="AG1142" s="4">
        <v>0.0027817118516282</v>
      </c>
      <c r="AH1142" s="4">
        <v>0.0098241312946156</v>
      </c>
      <c r="AI1142" s="4">
        <v>-0.0010257525850234</v>
      </c>
      <c r="AJ1142" s="4">
        <v>0.006389</v>
      </c>
      <c r="AK1142" s="4">
        <f>Weights!E1198</f>
        <v>0.0084865916</v>
      </c>
      <c r="AL1142" s="7">
        <v>6.57287417169527E-5</v>
      </c>
      <c r="AM1142" s="5">
        <v>0.00428094272197254</v>
      </c>
      <c r="AN1142" s="5">
        <v>0.0070984756917356</v>
      </c>
      <c r="AO1142" s="5">
        <v>0.00813175821722933</v>
      </c>
      <c r="AP1142" s="6">
        <f t="shared" si="3"/>
        <v>1.78252081</v>
      </c>
      <c r="AQ1142" s="4">
        <f t="shared" si="4"/>
        <v>1.754090884</v>
      </c>
      <c r="AR1142" s="7">
        <f t="shared" si="5"/>
        <v>1.670321231</v>
      </c>
      <c r="AS1142" s="7">
        <f t="shared" ref="AS1142:AU1142" si="1144">AS1141*(1+AM1142)</f>
        <v>1.818791611</v>
      </c>
      <c r="AT1142" s="5">
        <f t="shared" si="1144"/>
        <v>1.518464316</v>
      </c>
      <c r="AU1142" s="5">
        <f t="shared" si="1144"/>
        <v>1.521335602</v>
      </c>
    </row>
    <row r="1143" ht="15.75" customHeight="1">
      <c r="A1143" s="3">
        <v>45490.0</v>
      </c>
      <c r="B1143" s="4">
        <v>0.006357</v>
      </c>
      <c r="C1143" s="4">
        <v>0.013993</v>
      </c>
      <c r="D1143" s="4">
        <v>0.00608</v>
      </c>
      <c r="E1143" s="4">
        <v>0.031136</v>
      </c>
      <c r="F1143" s="4">
        <v>0.014626</v>
      </c>
      <c r="G1143" s="4">
        <v>0.036885</v>
      </c>
      <c r="H1143" s="4">
        <v>0.014915</v>
      </c>
      <c r="I1143" s="4">
        <v>0.006387</v>
      </c>
      <c r="J1143" s="4">
        <v>0.01105</v>
      </c>
      <c r="K1143" s="4">
        <v>6.85E-4</v>
      </c>
      <c r="L1143" s="4">
        <v>0.013298</v>
      </c>
      <c r="M1143" s="4">
        <v>-0.010841</v>
      </c>
      <c r="N1143" s="4">
        <v>-0.004529</v>
      </c>
      <c r="O1143" s="4">
        <v>-0.00411</v>
      </c>
      <c r="P1143" s="4">
        <v>-0.001035</v>
      </c>
      <c r="Q1143" s="4">
        <v>0.009434</v>
      </c>
      <c r="R1143" s="4">
        <v>-0.031356</v>
      </c>
      <c r="S1143" s="4">
        <v>-0.013031</v>
      </c>
      <c r="T1143" s="4">
        <v>-0.012881</v>
      </c>
      <c r="U1143" s="4">
        <v>5.5E-5</v>
      </c>
      <c r="V1143" s="4">
        <v>0.0106100532337714</v>
      </c>
      <c r="W1143" s="4">
        <v>9.337066457679E-4</v>
      </c>
      <c r="X1143" s="4">
        <v>-0.0049874062224556</v>
      </c>
      <c r="Y1143" s="4">
        <v>0.0</v>
      </c>
      <c r="Z1143" s="4">
        <v>0.0</v>
      </c>
      <c r="AA1143" s="4">
        <v>0.0</v>
      </c>
      <c r="AB1143" s="4">
        <v>0.0</v>
      </c>
      <c r="AC1143" s="4">
        <v>0.0033670857704068</v>
      </c>
      <c r="AD1143" s="4">
        <v>0.0013156002431347</v>
      </c>
      <c r="AE1143" s="4">
        <v>0.0</v>
      </c>
      <c r="AF1143" s="4">
        <v>0.03773587295986</v>
      </c>
      <c r="AG1143" s="4">
        <v>-0.0048543549686803</v>
      </c>
      <c r="AH1143" s="4">
        <v>0.0038460907768476</v>
      </c>
      <c r="AI1143" s="4">
        <v>0.0</v>
      </c>
      <c r="AJ1143" s="4">
        <v>-0.013928</v>
      </c>
      <c r="AK1143" s="4">
        <f>Weights!E1199</f>
        <v>0.003294529248</v>
      </c>
      <c r="AL1143" s="5">
        <v>0.00583949390582394</v>
      </c>
      <c r="AM1143" s="5">
        <v>0.00823637741895289</v>
      </c>
      <c r="AN1143" s="5">
        <v>0.00587372118510765</v>
      </c>
      <c r="AO1143" s="5">
        <v>0.00610436212834208</v>
      </c>
      <c r="AP1143" s="6">
        <f t="shared" si="3"/>
        <v>1.788393377</v>
      </c>
      <c r="AQ1143" s="4">
        <f t="shared" si="4"/>
        <v>1.729659906</v>
      </c>
      <c r="AR1143" s="7">
        <f t="shared" si="5"/>
        <v>1.680075062</v>
      </c>
      <c r="AS1143" s="7">
        <f t="shared" ref="AS1143:AU1143" si="1145">AS1142*(1+AM1143)</f>
        <v>1.833771865</v>
      </c>
      <c r="AT1143" s="5">
        <f t="shared" si="1145"/>
        <v>1.527383352</v>
      </c>
      <c r="AU1143" s="5">
        <f t="shared" si="1145"/>
        <v>1.530622385</v>
      </c>
    </row>
    <row r="1144" ht="15.75" customHeight="1">
      <c r="A1144" s="3">
        <v>45491.0</v>
      </c>
      <c r="B1144" s="4">
        <v>0.005054</v>
      </c>
      <c r="C1144" s="4">
        <v>9.52E-4</v>
      </c>
      <c r="D1144" s="4">
        <v>-0.008145</v>
      </c>
      <c r="E1144" s="4">
        <v>0.002825</v>
      </c>
      <c r="F1144" s="4">
        <v>-3.07E-4</v>
      </c>
      <c r="G1144" s="4">
        <v>-0.007408</v>
      </c>
      <c r="H1144" s="4">
        <v>-0.005902</v>
      </c>
      <c r="I1144" s="4">
        <v>8.28E-4</v>
      </c>
      <c r="J1144" s="4">
        <v>0.010432</v>
      </c>
      <c r="K1144" s="4">
        <v>-0.006159</v>
      </c>
      <c r="L1144" s="4">
        <v>6.25E-4</v>
      </c>
      <c r="M1144" s="4">
        <v>-0.012094</v>
      </c>
      <c r="N1144" s="4">
        <v>-0.011078</v>
      </c>
      <c r="O1144" s="4">
        <v>-0.010051</v>
      </c>
      <c r="P1144" s="4">
        <v>-0.015745</v>
      </c>
      <c r="Q1144" s="4">
        <v>-0.029206</v>
      </c>
      <c r="R1144" s="4">
        <v>-0.053196</v>
      </c>
      <c r="S1144" s="4">
        <v>-0.006683</v>
      </c>
      <c r="T1144" s="4">
        <v>0.010183</v>
      </c>
      <c r="U1144" s="4">
        <v>-0.005813</v>
      </c>
      <c r="V1144" s="4">
        <v>-0.0209973237448432</v>
      </c>
      <c r="W1144" s="4">
        <v>0.0026119216013542</v>
      </c>
      <c r="X1144" s="4">
        <v>-0.0075189472717025</v>
      </c>
      <c r="Y1144" s="4">
        <v>-0.0013280432553396</v>
      </c>
      <c r="Z1144" s="4">
        <v>-0.0072534366535073</v>
      </c>
      <c r="AA1144" s="4">
        <v>-0.0089232129290652</v>
      </c>
      <c r="AB1144" s="4">
        <v>0.0058452300365954</v>
      </c>
      <c r="AC1144" s="4">
        <v>-0.0055928898422507</v>
      </c>
      <c r="AD1144" s="4">
        <v>-0.0013138717131893</v>
      </c>
      <c r="AE1144" s="4">
        <v>0.0016347714099569</v>
      </c>
      <c r="AF1144" s="4">
        <v>-0.0145454412275877</v>
      </c>
      <c r="AG1144" s="4">
        <v>-0.0013937635207518</v>
      </c>
      <c r="AH1144" s="4">
        <v>-0.0051836296003584</v>
      </c>
      <c r="AI1144" s="4">
        <v>0.0010268058337616</v>
      </c>
      <c r="AJ1144" s="4">
        <v>-0.007816</v>
      </c>
      <c r="AK1144" s="4">
        <f>Weights!E1200</f>
        <v>-0.005309522427</v>
      </c>
      <c r="AL1144" s="5">
        <v>-0.0110893435228095</v>
      </c>
      <c r="AM1144" s="5">
        <v>-0.014116757463206</v>
      </c>
      <c r="AN1144" s="5">
        <v>0.00350358484622348</v>
      </c>
      <c r="AO1144" s="5">
        <v>0.0036835310303469</v>
      </c>
      <c r="AP1144" s="6">
        <f t="shared" si="3"/>
        <v>1.778897862</v>
      </c>
      <c r="AQ1144" s="4">
        <f t="shared" si="4"/>
        <v>1.716140885</v>
      </c>
      <c r="AR1144" s="7">
        <f t="shared" si="5"/>
        <v>1.661444132</v>
      </c>
      <c r="AS1144" s="7">
        <f t="shared" ref="AS1144:AU1144" si="1146">AS1143*(1+AM1144)</f>
        <v>1.807884953</v>
      </c>
      <c r="AT1144" s="5">
        <f t="shared" si="1146"/>
        <v>1.532734669</v>
      </c>
      <c r="AU1144" s="5">
        <f t="shared" si="1146"/>
        <v>1.53626048</v>
      </c>
    </row>
    <row r="1145" ht="15.75" customHeight="1">
      <c r="A1145" s="3">
        <v>45492.0</v>
      </c>
      <c r="B1145" s="4">
        <v>-0.005657</v>
      </c>
      <c r="C1145" s="4">
        <v>-0.010696</v>
      </c>
      <c r="D1145" s="4">
        <v>-0.007682</v>
      </c>
      <c r="E1145" s="4">
        <v>-0.005928</v>
      </c>
      <c r="F1145" s="4">
        <v>0.001534</v>
      </c>
      <c r="G1145" s="4">
        <v>-0.004697</v>
      </c>
      <c r="H1145" s="4">
        <v>0.003126</v>
      </c>
      <c r="I1145" s="4">
        <v>0.007444</v>
      </c>
      <c r="J1145" s="4">
        <v>-0.004425</v>
      </c>
      <c r="K1145" s="4">
        <v>-0.003271</v>
      </c>
      <c r="L1145" s="4">
        <v>-0.008476</v>
      </c>
      <c r="M1145" s="4">
        <v>-0.007269</v>
      </c>
      <c r="N1145" s="4">
        <v>-0.009002</v>
      </c>
      <c r="O1145" s="4">
        <v>-0.003581</v>
      </c>
      <c r="P1145" s="4">
        <v>-0.010735</v>
      </c>
      <c r="Q1145" s="4">
        <v>-6.02E-4</v>
      </c>
      <c r="R1145" s="4">
        <v>-4.35E-4</v>
      </c>
      <c r="S1145" s="4">
        <v>-0.014769</v>
      </c>
      <c r="T1145" s="4">
        <v>-0.019134</v>
      </c>
      <c r="U1145" s="4">
        <v>-0.005185</v>
      </c>
      <c r="V1145" s="4">
        <v>-0.0125111392933171</v>
      </c>
      <c r="W1145" s="4">
        <v>0.0042798289740395</v>
      </c>
      <c r="X1145" s="4">
        <v>0.0126262887943398</v>
      </c>
      <c r="Y1145" s="4">
        <v>0.0093662005871144</v>
      </c>
      <c r="Z1145" s="4">
        <v>-0.0082085997252479</v>
      </c>
      <c r="AA1145" s="4">
        <v>-0.0066026274507874</v>
      </c>
      <c r="AB1145" s="4">
        <v>-0.0039517168510246</v>
      </c>
      <c r="AC1145" s="4">
        <v>0.02249720829704</v>
      </c>
      <c r="AD1145" s="4">
        <v>0.0053189634033741</v>
      </c>
      <c r="AE1145" s="4">
        <v>0.0068008683668276</v>
      </c>
      <c r="AF1145" s="4">
        <v>-0.0036901179371423</v>
      </c>
      <c r="AG1145" s="4">
        <v>0.0020934942960775</v>
      </c>
      <c r="AH1145" s="4">
        <v>0.0045310332512353</v>
      </c>
      <c r="AI1145" s="4">
        <v>-0.0022127819131178</v>
      </c>
      <c r="AJ1145" s="4">
        <v>-0.00714</v>
      </c>
      <c r="AK1145" s="4">
        <f>Weights!E1201</f>
        <v>-0.001871338362</v>
      </c>
      <c r="AL1145" s="5">
        <v>-0.00897097710896399</v>
      </c>
      <c r="AM1145" s="5">
        <v>-0.00872219838465282</v>
      </c>
      <c r="AN1145" s="5">
        <v>0.0104742849348493</v>
      </c>
      <c r="AO1145" s="5">
        <v>0.0103626799198444</v>
      </c>
      <c r="AP1145" s="6">
        <f t="shared" si="3"/>
        <v>1.775568942</v>
      </c>
      <c r="AQ1145" s="4">
        <f t="shared" si="4"/>
        <v>1.703887639</v>
      </c>
      <c r="AR1145" s="7">
        <f t="shared" si="5"/>
        <v>1.646539355</v>
      </c>
      <c r="AS1145" s="7">
        <f t="shared" ref="AS1145:AU1145" si="1147">AS1144*(1+AM1145)</f>
        <v>1.792116222</v>
      </c>
      <c r="AT1145" s="5">
        <f t="shared" si="1147"/>
        <v>1.548788969</v>
      </c>
      <c r="AU1145" s="5">
        <f t="shared" si="1147"/>
        <v>1.552180256</v>
      </c>
    </row>
    <row r="1146" ht="15.75" customHeight="1">
      <c r="A1146" s="3">
        <v>45495.0</v>
      </c>
      <c r="B1146" s="4">
        <v>-0.005689</v>
      </c>
      <c r="C1146" s="4">
        <v>-0.060788</v>
      </c>
      <c r="D1146" s="4">
        <v>0.005606</v>
      </c>
      <c r="E1146" s="4">
        <v>-0.010038</v>
      </c>
      <c r="F1146" s="4">
        <v>-0.007965</v>
      </c>
      <c r="G1146" s="4">
        <v>-0.002909</v>
      </c>
      <c r="H1146" s="4">
        <v>0.001727</v>
      </c>
      <c r="I1146" s="4">
        <v>0.005473</v>
      </c>
      <c r="J1146" s="4">
        <v>0.001975</v>
      </c>
      <c r="K1146" s="4">
        <v>0.005354</v>
      </c>
      <c r="L1146" s="4">
        <v>0.004229</v>
      </c>
      <c r="M1146" s="4">
        <v>0.01079</v>
      </c>
      <c r="N1146" s="4">
        <v>0.010093</v>
      </c>
      <c r="O1146" s="4">
        <v>0.02033</v>
      </c>
      <c r="P1146" s="4">
        <v>0.00617</v>
      </c>
      <c r="Q1146" s="4">
        <v>-0.005418</v>
      </c>
      <c r="R1146" s="4">
        <v>0.002396</v>
      </c>
      <c r="S1146" s="4">
        <v>-6.66E-4</v>
      </c>
      <c r="T1146" s="4">
        <v>0.005169</v>
      </c>
      <c r="U1146" s="4">
        <v>0.00682</v>
      </c>
      <c r="V1146" s="4">
        <v>-0.047058814430723</v>
      </c>
      <c r="W1146" s="4">
        <v>-0.0196405566496784</v>
      </c>
      <c r="X1146" s="4">
        <v>-0.0137156808701049</v>
      </c>
      <c r="Y1146" s="4">
        <v>-0.006243372893755</v>
      </c>
      <c r="Z1146" s="4">
        <v>-0.0089130236293265</v>
      </c>
      <c r="AA1146" s="4">
        <v>-0.012084663043073</v>
      </c>
      <c r="AB1146" s="4">
        <v>-0.0016335572509399</v>
      </c>
      <c r="AC1146" s="4">
        <v>-0.0110011098878738</v>
      </c>
      <c r="AD1146" s="4">
        <v>-0.0251323408718686</v>
      </c>
      <c r="AE1146" s="4">
        <v>-0.0102673876518016</v>
      </c>
      <c r="AF1146" s="4">
        <v>-0.0120370197674254</v>
      </c>
      <c r="AG1146" s="4">
        <v>-0.0311628838132651</v>
      </c>
      <c r="AH1146" s="4">
        <v>0.0092467048337134</v>
      </c>
      <c r="AI1146" s="4">
        <v>-0.0015474356772936</v>
      </c>
      <c r="AJ1146" s="4">
        <v>0.010792</v>
      </c>
      <c r="AK1146" s="4">
        <f>Weights!E1202</f>
        <v>-0.00571430732</v>
      </c>
      <c r="AL1146" s="5">
        <v>-0.00705544942072611</v>
      </c>
      <c r="AM1146" s="5">
        <v>-0.00623256687366191</v>
      </c>
      <c r="AN1146" s="5">
        <v>-0.00489484127563943</v>
      </c>
      <c r="AO1146" s="5">
        <v>-0.00598289082849545</v>
      </c>
      <c r="AP1146" s="6">
        <f t="shared" si="3"/>
        <v>1.765422796</v>
      </c>
      <c r="AQ1146" s="4">
        <f t="shared" si="4"/>
        <v>1.722275994</v>
      </c>
      <c r="AR1146" s="7">
        <f t="shared" si="5"/>
        <v>1.63492228</v>
      </c>
      <c r="AS1146" s="7">
        <f t="shared" ref="AS1146:AU1146" si="1148">AS1145*(1+AM1146)</f>
        <v>1.780946737</v>
      </c>
      <c r="AT1146" s="5">
        <f t="shared" si="1148"/>
        <v>1.541207893</v>
      </c>
      <c r="AU1146" s="5">
        <f t="shared" si="1148"/>
        <v>1.542893731</v>
      </c>
    </row>
    <row r="1147" ht="15.75" customHeight="1">
      <c r="A1147" s="3">
        <v>45496.0</v>
      </c>
      <c r="B1147" s="4">
        <v>-0.002543</v>
      </c>
      <c r="C1147" s="4">
        <v>-0.005116</v>
      </c>
      <c r="D1147" s="4">
        <v>-0.002389</v>
      </c>
      <c r="E1147" s="4">
        <v>-0.008231</v>
      </c>
      <c r="F1147" s="4">
        <v>0.002933</v>
      </c>
      <c r="G1147" s="4">
        <v>-0.012254</v>
      </c>
      <c r="H1147" s="4">
        <v>-0.009688</v>
      </c>
      <c r="I1147" s="4">
        <v>-0.007621</v>
      </c>
      <c r="J1147" s="4">
        <v>-0.0069</v>
      </c>
      <c r="K1147" s="4">
        <v>-0.002749</v>
      </c>
      <c r="L1147" s="4">
        <v>-0.009767</v>
      </c>
      <c r="M1147" s="4">
        <v>-0.003431</v>
      </c>
      <c r="N1147" s="4">
        <v>-0.007194</v>
      </c>
      <c r="O1147" s="4">
        <v>0.010855</v>
      </c>
      <c r="P1147" s="4">
        <v>-0.004652</v>
      </c>
      <c r="Q1147" s="4">
        <v>0.002421</v>
      </c>
      <c r="R1147" s="4">
        <v>-0.016083</v>
      </c>
      <c r="S1147" s="4">
        <v>0.005667</v>
      </c>
      <c r="T1147" s="4">
        <v>-0.010959</v>
      </c>
      <c r="U1147" s="4">
        <v>-0.004901</v>
      </c>
      <c r="V1147" s="4">
        <v>0.00854698674630971</v>
      </c>
      <c r="W1147" s="4">
        <v>-0.0115289364167365</v>
      </c>
      <c r="X1147" s="4">
        <v>0.0</v>
      </c>
      <c r="Y1147" s="4">
        <v>-8.069919160555E-4</v>
      </c>
      <c r="Z1147" s="4">
        <v>0.00165179709119</v>
      </c>
      <c r="AA1147" s="4">
        <v>-0.0036697547830844</v>
      </c>
      <c r="AB1147" s="4">
        <v>-0.0025714034776147</v>
      </c>
      <c r="AC1147" s="4">
        <v>0.0</v>
      </c>
      <c r="AD1147" s="4">
        <v>0.0</v>
      </c>
      <c r="AE1147" s="4">
        <v>0.0109200063123373</v>
      </c>
      <c r="AF1147" s="4">
        <v>0.0093720488166204</v>
      </c>
      <c r="AG1147" s="4">
        <v>-0.0019767252263914</v>
      </c>
      <c r="AH1147" s="4">
        <v>-0.0017876865192538</v>
      </c>
      <c r="AI1147" s="4">
        <v>0.0</v>
      </c>
      <c r="AJ1147" s="4">
        <v>-0.001558</v>
      </c>
      <c r="AK1147" s="4">
        <f>Weights!E1203</f>
        <v>-0.002445426383</v>
      </c>
      <c r="AL1147" s="5">
        <v>0.0106583222545155</v>
      </c>
      <c r="AM1147" s="5">
        <v>0.0104405177907427</v>
      </c>
      <c r="AN1147" s="5">
        <v>-0.00520840627940899</v>
      </c>
      <c r="AO1147" s="5">
        <v>-0.00515910607428926</v>
      </c>
      <c r="AP1147" s="6">
        <f t="shared" si="3"/>
        <v>1.761105584</v>
      </c>
      <c r="AQ1147" s="4">
        <f t="shared" si="4"/>
        <v>1.719592688</v>
      </c>
      <c r="AR1147" s="7">
        <f t="shared" si="5"/>
        <v>1.652347808</v>
      </c>
      <c r="AS1147" s="7">
        <f t="shared" ref="AS1147:AU1147" si="1149">AS1146*(1+AM1147)</f>
        <v>1.799540743</v>
      </c>
      <c r="AT1147" s="5">
        <f t="shared" si="1149"/>
        <v>1.533180656</v>
      </c>
      <c r="AU1147" s="5">
        <f t="shared" si="1149"/>
        <v>1.534933778</v>
      </c>
    </row>
    <row r="1148" ht="15.75" customHeight="1">
      <c r="A1148" s="3">
        <v>45497.0</v>
      </c>
      <c r="B1148" s="4">
        <v>0.004461</v>
      </c>
      <c r="C1148" s="4">
        <v>0.020057</v>
      </c>
      <c r="D1148" s="4">
        <v>-0.014902</v>
      </c>
      <c r="E1148" s="4">
        <v>0.011366</v>
      </c>
      <c r="F1148" s="4">
        <v>0.013085</v>
      </c>
      <c r="G1148" s="4">
        <v>0.025796</v>
      </c>
      <c r="H1148" s="4">
        <v>0.008282</v>
      </c>
      <c r="I1148" s="4">
        <v>0.003017</v>
      </c>
      <c r="J1148" s="4">
        <v>0.01464</v>
      </c>
      <c r="K1148" s="4">
        <v>-0.009991</v>
      </c>
      <c r="L1148" s="4">
        <v>-0.00181</v>
      </c>
      <c r="M1148" s="4">
        <v>-0.01798</v>
      </c>
      <c r="N1148" s="4">
        <v>-0.005837</v>
      </c>
      <c r="O1148" s="4">
        <v>-0.015893</v>
      </c>
      <c r="P1148" s="4">
        <v>0.013384</v>
      </c>
      <c r="Q1148" s="4">
        <v>-0.009662</v>
      </c>
      <c r="R1148" s="4">
        <v>-0.024078</v>
      </c>
      <c r="S1148" s="4">
        <v>-0.006629</v>
      </c>
      <c r="T1148" s="4">
        <v>-0.041845</v>
      </c>
      <c r="U1148" s="4">
        <v>-0.005424</v>
      </c>
      <c r="V1148" s="4">
        <v>-0.0160076074301196</v>
      </c>
      <c r="W1148" s="4">
        <v>0.0</v>
      </c>
      <c r="X1148" s="4">
        <v>-0.0025640878017674</v>
      </c>
      <c r="Y1148" s="4">
        <v>0.0052493239943234</v>
      </c>
      <c r="Z1148" s="4">
        <v>0.0034813922786698</v>
      </c>
      <c r="AA1148" s="4">
        <v>-0.0067525131457903</v>
      </c>
      <c r="AB1148" s="4">
        <v>4.686995374856E-4</v>
      </c>
      <c r="AC1148" s="4">
        <v>0.0067491448424434</v>
      </c>
      <c r="AD1148" s="4">
        <v>0.0041039325276683</v>
      </c>
      <c r="AE1148" s="4">
        <v>2.699468495834E-4</v>
      </c>
      <c r="AF1148" s="4">
        <v>0.0</v>
      </c>
      <c r="AG1148" s="4">
        <v>0.0</v>
      </c>
      <c r="AH1148" s="4">
        <v>0.0</v>
      </c>
      <c r="AI1148" s="4">
        <v>-0.0010327808789861</v>
      </c>
      <c r="AJ1148" s="4">
        <v>-0.023149</v>
      </c>
      <c r="AK1148" s="4">
        <f>Weights!E1204</f>
        <v>-0.001550598287</v>
      </c>
      <c r="AL1148" s="5">
        <v>-0.00318368755249798</v>
      </c>
      <c r="AM1148" s="5">
        <v>-7.30257669562139E-4</v>
      </c>
      <c r="AN1148" s="5">
        <v>-8.72669404421877E-4</v>
      </c>
      <c r="AO1148" s="5">
        <v>-0.00172859210024567</v>
      </c>
      <c r="AP1148" s="6">
        <f t="shared" si="3"/>
        <v>1.758374817</v>
      </c>
      <c r="AQ1148" s="4">
        <f t="shared" si="4"/>
        <v>1.679785837</v>
      </c>
      <c r="AR1148" s="7">
        <f t="shared" si="5"/>
        <v>1.647087249</v>
      </c>
      <c r="AS1148" s="7">
        <f t="shared" ref="AS1148:AU1148" si="1150">AS1147*(1+AM1148)</f>
        <v>1.798226615</v>
      </c>
      <c r="AT1148" s="5">
        <f t="shared" si="1150"/>
        <v>1.531842696</v>
      </c>
      <c r="AU1148" s="5">
        <f t="shared" si="1150"/>
        <v>1.532280504</v>
      </c>
    </row>
    <row r="1149" ht="15.75" customHeight="1">
      <c r="A1149" s="3">
        <v>45498.0</v>
      </c>
      <c r="B1149" s="4">
        <v>0.004442</v>
      </c>
      <c r="C1149" s="4">
        <v>0.007058</v>
      </c>
      <c r="D1149" s="4">
        <v>-0.003241</v>
      </c>
      <c r="E1149" s="4">
        <v>0.016947</v>
      </c>
      <c r="F1149" s="4">
        <v>0.003951</v>
      </c>
      <c r="G1149" s="4">
        <v>0.0215</v>
      </c>
      <c r="H1149" s="4">
        <v>-0.006548</v>
      </c>
      <c r="I1149" s="4">
        <v>-0.006563</v>
      </c>
      <c r="J1149" s="4">
        <v>-0.004402</v>
      </c>
      <c r="K1149" s="4">
        <v>0.007308</v>
      </c>
      <c r="L1149" s="4">
        <v>0.002804</v>
      </c>
      <c r="M1149" s="4">
        <v>0.005454</v>
      </c>
      <c r="N1149" s="4">
        <v>0.00324</v>
      </c>
      <c r="O1149" s="4">
        <v>0.010378</v>
      </c>
      <c r="P1149" s="4">
        <v>-0.041929</v>
      </c>
      <c r="Q1149" s="4">
        <v>-0.012805</v>
      </c>
      <c r="R1149" s="4">
        <v>0.007922</v>
      </c>
      <c r="S1149" s="4">
        <v>-0.02002</v>
      </c>
      <c r="T1149" s="4">
        <v>0.014407</v>
      </c>
      <c r="U1149" s="4">
        <v>-0.023538</v>
      </c>
      <c r="V1149" s="4">
        <v>0.0229665676591099</v>
      </c>
      <c r="W1149" s="4">
        <v>-0.021797393761865</v>
      </c>
      <c r="X1149" s="4">
        <v>-0.0025707787682255</v>
      </c>
      <c r="Y1149" s="4">
        <v>-0.0281762188699187</v>
      </c>
      <c r="Z1149" s="4">
        <v>-0.0310417780410502</v>
      </c>
      <c r="AA1149" s="4">
        <v>-0.0173053171546492</v>
      </c>
      <c r="AB1149" s="4">
        <v>-0.0119464241059686</v>
      </c>
      <c r="AC1149" s="4">
        <v>-0.0055865534988548</v>
      </c>
      <c r="AD1149" s="4">
        <v>-0.0081743182049638</v>
      </c>
      <c r="AE1149" s="4">
        <v>-0.0086392018322639</v>
      </c>
      <c r="AF1149" s="4">
        <v>0.0</v>
      </c>
      <c r="AG1149" s="4">
        <v>-0.0343896132420324</v>
      </c>
      <c r="AH1149" s="4">
        <v>0.016789749079257</v>
      </c>
      <c r="AI1149" s="4">
        <v>-0.0036193375715242</v>
      </c>
      <c r="AJ1149" s="4">
        <v>-0.005143</v>
      </c>
      <c r="AK1149" s="4">
        <f>Weights!E1205</f>
        <v>-0.004682018593</v>
      </c>
      <c r="AL1149" s="5">
        <v>-0.0203607156657691</v>
      </c>
      <c r="AM1149" s="5">
        <v>-0.0225072471079129</v>
      </c>
      <c r="AN1149" s="5">
        <v>0.00786043003609293</v>
      </c>
      <c r="AO1149" s="5">
        <v>0.00800871906114086</v>
      </c>
      <c r="AP1149" s="6">
        <f t="shared" si="3"/>
        <v>1.750142073</v>
      </c>
      <c r="AQ1149" s="4">
        <f t="shared" si="4"/>
        <v>1.671146698</v>
      </c>
      <c r="AR1149" s="7">
        <f t="shared" si="5"/>
        <v>1.613551374</v>
      </c>
      <c r="AS1149" s="7">
        <f t="shared" ref="AS1149:AU1149" si="1151">AS1148*(1+AM1149)</f>
        <v>1.757753484</v>
      </c>
      <c r="AT1149" s="5">
        <f t="shared" si="1151"/>
        <v>1.543883638</v>
      </c>
      <c r="AU1149" s="5">
        <f t="shared" si="1151"/>
        <v>1.544552108</v>
      </c>
    </row>
    <row r="1150" ht="15.75" customHeight="1">
      <c r="A1150" s="3">
        <v>45499.0</v>
      </c>
      <c r="B1150" s="4">
        <v>0.003159</v>
      </c>
      <c r="C1150" s="4">
        <v>0.003504</v>
      </c>
      <c r="D1150" s="4">
        <v>0.024932</v>
      </c>
      <c r="E1150" s="4">
        <v>0.010116</v>
      </c>
      <c r="F1150" s="4">
        <v>0.014833</v>
      </c>
      <c r="G1150" s="4">
        <v>0.006264</v>
      </c>
      <c r="H1150" s="4">
        <v>0.013242</v>
      </c>
      <c r="I1150" s="4">
        <v>0.009083</v>
      </c>
      <c r="J1150" s="4">
        <v>0.007615</v>
      </c>
      <c r="K1150" s="4">
        <v>0.005528</v>
      </c>
      <c r="L1150" s="4">
        <v>0.009855</v>
      </c>
      <c r="M1150" s="4">
        <v>0.007362</v>
      </c>
      <c r="N1150" s="4">
        <v>0.007064</v>
      </c>
      <c r="O1150" s="4">
        <v>-0.054238</v>
      </c>
      <c r="P1150" s="4">
        <v>0.022538</v>
      </c>
      <c r="Q1150" s="4">
        <v>0.00803</v>
      </c>
      <c r="R1150" s="4">
        <v>0.010555</v>
      </c>
      <c r="S1150" s="4">
        <v>-0.007491</v>
      </c>
      <c r="T1150" s="4">
        <v>0.024647</v>
      </c>
      <c r="U1150" s="4">
        <v>0.001026</v>
      </c>
      <c r="V1150" s="4">
        <v>0.0130963188259383</v>
      </c>
      <c r="W1150" s="4">
        <v>-0.0304925879197208</v>
      </c>
      <c r="X1150" s="4">
        <v>-0.0051546098597303</v>
      </c>
      <c r="Y1150" s="4">
        <v>-0.0023028612011959</v>
      </c>
      <c r="Z1150" s="4">
        <v>-0.0106472883927126</v>
      </c>
      <c r="AA1150" s="4">
        <v>-0.0287211300071275</v>
      </c>
      <c r="AB1150" s="4">
        <v>-4.742379573017E-4</v>
      </c>
      <c r="AC1150" s="4">
        <v>0.0056179384123487</v>
      </c>
      <c r="AD1150" s="4">
        <v>0.0</v>
      </c>
      <c r="AE1150" s="4">
        <v>-0.0196078348840488</v>
      </c>
      <c r="AF1150" s="4">
        <v>-0.0064995090144004</v>
      </c>
      <c r="AG1150" s="4">
        <v>7.458701290283E-4</v>
      </c>
      <c r="AH1150" s="4">
        <v>0.0180537778270502</v>
      </c>
      <c r="AI1150" s="4">
        <v>-0.0036326895975353</v>
      </c>
      <c r="AJ1150" s="4">
        <v>0.01109</v>
      </c>
      <c r="AK1150" s="4">
        <f>Weights!E1206</f>
        <v>0.002076967219</v>
      </c>
      <c r="AL1150" s="5">
        <v>-0.00495813074901962</v>
      </c>
      <c r="AM1150" s="5">
        <v>-0.00385006074253568</v>
      </c>
      <c r="AN1150" s="5">
        <v>-0.00375501342155426</v>
      </c>
      <c r="AO1150" s="5">
        <v>-0.00257678338497968</v>
      </c>
      <c r="AP1150" s="6">
        <f t="shared" si="3"/>
        <v>1.753777061</v>
      </c>
      <c r="AQ1150" s="4">
        <f t="shared" si="4"/>
        <v>1.689679715</v>
      </c>
      <c r="AR1150" s="7">
        <f t="shared" si="5"/>
        <v>1.605551175</v>
      </c>
      <c r="AS1150" s="7">
        <f t="shared" ref="AS1150:AU1150" si="1152">AS1149*(1+AM1150)</f>
        <v>1.750986027</v>
      </c>
      <c r="AT1150" s="5">
        <f t="shared" si="1152"/>
        <v>1.538086334</v>
      </c>
      <c r="AU1150" s="5">
        <f t="shared" si="1152"/>
        <v>1.540572132</v>
      </c>
    </row>
    <row r="1151" ht="15.75" customHeight="1">
      <c r="A1151" s="3">
        <v>45502.0</v>
      </c>
      <c r="B1151" s="4">
        <v>6.3E-4</v>
      </c>
      <c r="C1151" s="4">
        <v>-0.001497</v>
      </c>
      <c r="D1151" s="4">
        <v>0.00899</v>
      </c>
      <c r="E1151" s="4">
        <v>0.002663</v>
      </c>
      <c r="F1151" s="4">
        <v>-0.003281</v>
      </c>
      <c r="G1151" s="4">
        <v>-0.012948</v>
      </c>
      <c r="H1151" s="4">
        <v>0.004849</v>
      </c>
      <c r="I1151" s="4">
        <v>5.46E-4</v>
      </c>
      <c r="J1151" s="4">
        <v>0.001219</v>
      </c>
      <c r="K1151" s="4">
        <v>-0.007731</v>
      </c>
      <c r="L1151" s="4">
        <v>-0.004066</v>
      </c>
      <c r="M1151" s="4">
        <v>-0.003846</v>
      </c>
      <c r="N1151" s="4">
        <v>-0.007014</v>
      </c>
      <c r="O1151" s="4">
        <v>0.058364</v>
      </c>
      <c r="P1151" s="4">
        <v>0.01177</v>
      </c>
      <c r="Q1151" s="4">
        <v>0.010417</v>
      </c>
      <c r="R1151" s="4">
        <v>-0.013778</v>
      </c>
      <c r="S1151" s="4">
        <v>0.005832</v>
      </c>
      <c r="T1151" s="4">
        <v>-0.009199</v>
      </c>
      <c r="U1151" s="4">
        <v>0.001366</v>
      </c>
      <c r="V1151" s="4">
        <v>-0.0212372511167162</v>
      </c>
      <c r="W1151" s="4">
        <v>0.0120967730025798</v>
      </c>
      <c r="X1151" s="4">
        <v>0.0</v>
      </c>
      <c r="Y1151" s="4">
        <v>0.004557270991732</v>
      </c>
      <c r="Z1151" s="4">
        <v>0.0106667749607758</v>
      </c>
      <c r="AA1151" s="4">
        <v>0.0101445853818313</v>
      </c>
      <c r="AB1151" s="4">
        <v>-0.0090132032463274</v>
      </c>
      <c r="AC1151" s="4">
        <v>0.0022346038711749</v>
      </c>
      <c r="AD1151" s="4">
        <v>0.0</v>
      </c>
      <c r="AE1151" s="4">
        <v>0.0033332245692836</v>
      </c>
      <c r="AF1151" s="4">
        <v>0.0037382859813306</v>
      </c>
      <c r="AG1151" s="4">
        <v>0.0441588003606006</v>
      </c>
      <c r="AH1151" s="4">
        <v>-0.0151384451912097</v>
      </c>
      <c r="AI1151" s="4">
        <v>0.002604033090432</v>
      </c>
      <c r="AJ1151" s="4">
        <v>8.13E-4</v>
      </c>
      <c r="AK1151" s="4">
        <f>Weights!E1207</f>
        <v>0.001750987071</v>
      </c>
      <c r="AL1151" s="5">
        <v>0.0111262789400445</v>
      </c>
      <c r="AM1151" s="5">
        <v>0.0119700768316319</v>
      </c>
      <c r="AN1151" s="5">
        <v>-0.00666878686773109</v>
      </c>
      <c r="AO1151" s="5">
        <v>-0.00753502736838151</v>
      </c>
      <c r="AP1151" s="6">
        <f t="shared" si="3"/>
        <v>1.756847902</v>
      </c>
      <c r="AQ1151" s="4">
        <f t="shared" si="4"/>
        <v>1.691053425</v>
      </c>
      <c r="AR1151" s="7">
        <f t="shared" si="5"/>
        <v>1.623414986</v>
      </c>
      <c r="AS1151" s="7">
        <f t="shared" ref="AS1151:AU1151" si="1153">AS1150*(1+AM1151)</f>
        <v>1.771945464</v>
      </c>
      <c r="AT1151" s="5">
        <f t="shared" si="1153"/>
        <v>1.527829164</v>
      </c>
      <c r="AU1151" s="5">
        <f t="shared" si="1153"/>
        <v>1.528963879</v>
      </c>
    </row>
    <row r="1152" ht="15.75" customHeight="1">
      <c r="A1152" s="3">
        <v>45503.0</v>
      </c>
      <c r="B1152" s="4">
        <v>0.006293</v>
      </c>
      <c r="C1152" s="4">
        <v>2.5E-4</v>
      </c>
      <c r="D1152" s="4">
        <v>0.003931</v>
      </c>
      <c r="E1152" s="4">
        <v>-1.73E-4</v>
      </c>
      <c r="F1152" s="4">
        <v>0.012719</v>
      </c>
      <c r="G1152" s="4">
        <v>0.01747</v>
      </c>
      <c r="H1152" s="4">
        <v>-0.048432</v>
      </c>
      <c r="I1152" s="4">
        <v>0.014449</v>
      </c>
      <c r="J1152" s="4">
        <v>0.004383</v>
      </c>
      <c r="K1152" s="4">
        <v>0.022161</v>
      </c>
      <c r="L1152" s="4">
        <v>0.008347</v>
      </c>
      <c r="M1152" s="4">
        <v>0.007722</v>
      </c>
      <c r="N1152" s="4">
        <v>0.007467</v>
      </c>
      <c r="O1152" s="4">
        <v>-0.002398</v>
      </c>
      <c r="P1152" s="4">
        <v>0.00275</v>
      </c>
      <c r="Q1152" s="4">
        <v>-0.001213</v>
      </c>
      <c r="R1152" s="4">
        <v>-0.011942</v>
      </c>
      <c r="S1152" s="4">
        <v>0.004093</v>
      </c>
      <c r="T1152" s="4">
        <v>1.25E-4</v>
      </c>
      <c r="U1152" s="4">
        <v>0.002615</v>
      </c>
      <c r="V1152" s="4">
        <v>-0.0235849610744945</v>
      </c>
      <c r="W1152" s="4">
        <v>0.0013944610857807</v>
      </c>
      <c r="X1152" s="4">
        <v>0.0</v>
      </c>
      <c r="Y1152" s="4">
        <v>0.0222117336900413</v>
      </c>
      <c r="Z1152" s="4">
        <v>0.0223331377969351</v>
      </c>
      <c r="AA1152" s="4">
        <v>0.0141024485778324</v>
      </c>
      <c r="AB1152" s="4">
        <v>-0.0215414296889066</v>
      </c>
      <c r="AC1152" s="4">
        <v>0.0</v>
      </c>
      <c r="AD1152" s="4">
        <v>0.0</v>
      </c>
      <c r="AE1152" s="4">
        <v>0.0127354295780455</v>
      </c>
      <c r="AF1152" s="4">
        <v>-0.0111730897392513</v>
      </c>
      <c r="AG1152" s="4">
        <v>0.0635259686425515</v>
      </c>
      <c r="AH1152" s="4">
        <v>-0.008783478859067</v>
      </c>
      <c r="AI1152" s="4">
        <v>0.0067532293372858</v>
      </c>
      <c r="AJ1152" s="4">
        <v>-0.00496</v>
      </c>
      <c r="AK1152" s="4">
        <f>Weights!E1208</f>
        <v>0.00562449482</v>
      </c>
      <c r="AL1152" s="5">
        <v>-3.37598588122212E-4</v>
      </c>
      <c r="AM1152" s="7">
        <v>7.40487563066771E-5</v>
      </c>
      <c r="AN1152" s="5">
        <v>-2.91794756513197E-4</v>
      </c>
      <c r="AO1152" s="5">
        <v>-6.50700229502865E-4</v>
      </c>
      <c r="AP1152" s="6">
        <f t="shared" si="3"/>
        <v>1.766729284</v>
      </c>
      <c r="AQ1152" s="4">
        <f t="shared" si="4"/>
        <v>1.6826658</v>
      </c>
      <c r="AR1152" s="7">
        <f t="shared" si="5"/>
        <v>1.622866923</v>
      </c>
      <c r="AS1152" s="7">
        <f t="shared" ref="AS1152:AU1152" si="1154">AS1151*(1+AM1152)</f>
        <v>1.772076674</v>
      </c>
      <c r="AT1152" s="5">
        <f t="shared" si="1154"/>
        <v>1.527383352</v>
      </c>
      <c r="AU1152" s="5">
        <f t="shared" si="1154"/>
        <v>1.527968981</v>
      </c>
    </row>
    <row r="1153" ht="15.75" customHeight="1">
      <c r="A1153" s="3">
        <v>45504.0</v>
      </c>
      <c r="B1153" s="4">
        <v>0.009381</v>
      </c>
      <c r="C1153" s="4">
        <v>0.011988</v>
      </c>
      <c r="D1153" s="4">
        <v>0.008875</v>
      </c>
      <c r="E1153" s="4">
        <v>-0.002945</v>
      </c>
      <c r="F1153" s="4">
        <v>-0.013889</v>
      </c>
      <c r="G1153" s="4">
        <v>-0.021571</v>
      </c>
      <c r="H1153" s="4">
        <v>-0.005813</v>
      </c>
      <c r="I1153" s="4">
        <v>0.005644</v>
      </c>
      <c r="J1153" s="4">
        <v>0.014303</v>
      </c>
      <c r="K1153" s="4">
        <v>-1.69E-4</v>
      </c>
      <c r="L1153" s="4">
        <v>0.005399</v>
      </c>
      <c r="M1153" s="4">
        <v>0.020306</v>
      </c>
      <c r="N1153" s="4">
        <v>-0.00621</v>
      </c>
      <c r="O1153" s="4">
        <v>0.025043</v>
      </c>
      <c r="P1153" s="4">
        <v>0.035014</v>
      </c>
      <c r="Q1153" s="4">
        <v>0.041894</v>
      </c>
      <c r="R1153" s="4">
        <v>0.035576</v>
      </c>
      <c r="S1153" s="4">
        <v>0.014946</v>
      </c>
      <c r="T1153" s="4">
        <v>0.022016</v>
      </c>
      <c r="U1153" s="4">
        <v>0.007995</v>
      </c>
      <c r="V1153" s="4">
        <v>0.0241546474954428</v>
      </c>
      <c r="W1153" s="4">
        <v>-0.0041774606743232</v>
      </c>
      <c r="X1153" s="4">
        <v>0.0116580145891667</v>
      </c>
      <c r="Y1153" s="4">
        <v>-0.0108933145429628</v>
      </c>
      <c r="Z1153" s="4">
        <v>-0.0212922529322053</v>
      </c>
      <c r="AA1153" s="4">
        <v>0.0073748098107779</v>
      </c>
      <c r="AB1153" s="4">
        <v>0.0041583893356889</v>
      </c>
      <c r="AC1153" s="4">
        <v>-0.0011147670519002</v>
      </c>
      <c r="AD1153" s="4">
        <v>0.01373621944626</v>
      </c>
      <c r="AE1153" s="4">
        <v>-0.0139420389423875</v>
      </c>
      <c r="AF1153" s="4">
        <v>-0.0084745899097179</v>
      </c>
      <c r="AG1153" s="4">
        <v>0.0102349271645127</v>
      </c>
      <c r="AH1153" s="4">
        <v>-0.0248116947430866</v>
      </c>
      <c r="AI1153" s="4">
        <v>0.0056761123930744</v>
      </c>
      <c r="AJ1153" s="4">
        <v>0.015793</v>
      </c>
      <c r="AK1153" s="4">
        <f>Weights!E1209</f>
        <v>0.004849496728</v>
      </c>
      <c r="AL1153" s="5">
        <v>-0.00283626707536632</v>
      </c>
      <c r="AM1153" s="5">
        <v>-0.00415259358846953</v>
      </c>
      <c r="AN1153" s="5">
        <v>0.00875901910109644</v>
      </c>
      <c r="AO1153" s="5">
        <v>0.00803114841515584</v>
      </c>
      <c r="AP1153" s="6">
        <f t="shared" si="3"/>
        <v>1.775297032</v>
      </c>
      <c r="AQ1153" s="4">
        <f t="shared" si="4"/>
        <v>1.709240141</v>
      </c>
      <c r="AR1153" s="7">
        <f t="shared" si="5"/>
        <v>1.618264039</v>
      </c>
      <c r="AS1153" s="7">
        <f t="shared" ref="AS1153:AU1153" si="1155">AS1152*(1+AM1153)</f>
        <v>1.76471796</v>
      </c>
      <c r="AT1153" s="5">
        <f t="shared" si="1155"/>
        <v>1.540761732</v>
      </c>
      <c r="AU1153" s="5">
        <f t="shared" si="1155"/>
        <v>1.540240327</v>
      </c>
    </row>
    <row r="1154" ht="15.75" customHeight="1">
      <c r="A1154" s="3">
        <v>45505.0</v>
      </c>
      <c r="B1154" s="4">
        <v>0.013631</v>
      </c>
      <c r="C1154" s="4">
        <v>0.008144</v>
      </c>
      <c r="D1154" s="4">
        <v>-0.014489</v>
      </c>
      <c r="E1154" s="4">
        <v>0.013262</v>
      </c>
      <c r="F1154" s="4">
        <v>0.01828</v>
      </c>
      <c r="G1154" s="4">
        <v>0.018435</v>
      </c>
      <c r="H1154" s="4">
        <v>0.030667</v>
      </c>
      <c r="I1154" s="4">
        <v>0.00481</v>
      </c>
      <c r="J1154" s="4">
        <v>-0.001195</v>
      </c>
      <c r="K1154" s="4">
        <v>-0.015924</v>
      </c>
      <c r="L1154" s="4">
        <v>-0.016735</v>
      </c>
      <c r="M1154" s="4">
        <v>-0.03605</v>
      </c>
      <c r="N1154" s="4">
        <v>-0.02177</v>
      </c>
      <c r="O1154" s="4">
        <v>0.006143</v>
      </c>
      <c r="P1154" s="4">
        <v>0.009782</v>
      </c>
      <c r="Q1154" s="4">
        <v>-0.011655</v>
      </c>
      <c r="R1154" s="4">
        <v>-0.039198</v>
      </c>
      <c r="S1154" s="4">
        <v>-0.021586</v>
      </c>
      <c r="T1154" s="4">
        <v>-0.043943</v>
      </c>
      <c r="U1154" s="4">
        <v>0.00585</v>
      </c>
      <c r="V1154" s="4">
        <v>-0.0066037568520153</v>
      </c>
      <c r="W1154" s="4">
        <v>-0.0397522730802217</v>
      </c>
      <c r="X1154" s="4">
        <v>-0.0051216097292144</v>
      </c>
      <c r="Y1154" s="4">
        <v>-5.827895130972E-4</v>
      </c>
      <c r="Z1154" s="4">
        <v>-0.005179930276503</v>
      </c>
      <c r="AA1154" s="4">
        <v>-0.0027191135849932</v>
      </c>
      <c r="AB1154" s="4">
        <v>0.0124239874603251</v>
      </c>
      <c r="AC1154" s="4">
        <v>-0.0267857557127941</v>
      </c>
      <c r="AD1154" s="4">
        <v>-0.0067750462017442</v>
      </c>
      <c r="AE1154" s="4">
        <v>0.0257831882865626</v>
      </c>
      <c r="AF1154" s="4">
        <v>-0.0113960298928984</v>
      </c>
      <c r="AG1154" s="4">
        <v>8.303494835737E-4</v>
      </c>
      <c r="AH1154" s="4">
        <v>-0.0149931816185233</v>
      </c>
      <c r="AI1154" s="4">
        <v>0.0046175765621534</v>
      </c>
      <c r="AJ1154" s="4">
        <v>-0.013694</v>
      </c>
      <c r="AK1154" s="4">
        <f>Weights!E1210</f>
        <v>-0.0053029868</v>
      </c>
      <c r="AL1154" s="5">
        <v>0.0156440991376995</v>
      </c>
      <c r="AM1154" s="5">
        <v>0.0148181983930093</v>
      </c>
      <c r="AN1154" s="5">
        <v>-0.00115783409552516</v>
      </c>
      <c r="AO1154" s="5">
        <v>2.15423952324878E-4</v>
      </c>
      <c r="AP1154" s="6">
        <f t="shared" si="3"/>
        <v>1.765882655</v>
      </c>
      <c r="AQ1154" s="4">
        <f t="shared" si="4"/>
        <v>1.685833806</v>
      </c>
      <c r="AR1154" s="7">
        <f t="shared" si="5"/>
        <v>1.643580322</v>
      </c>
      <c r="AS1154" s="7">
        <f t="shared" ref="AS1154:AU1154" si="1156">AS1153*(1+AM1154)</f>
        <v>1.790867901</v>
      </c>
      <c r="AT1154" s="5">
        <f t="shared" si="1156"/>
        <v>1.538977785</v>
      </c>
      <c r="AU1154" s="5">
        <f t="shared" si="1156"/>
        <v>1.540572132</v>
      </c>
    </row>
    <row r="1155" ht="15.75" customHeight="1">
      <c r="A1155" s="3">
        <v>45506.0</v>
      </c>
      <c r="B1155" s="4">
        <v>0.015281</v>
      </c>
      <c r="C1155" s="4">
        <v>0.002938</v>
      </c>
      <c r="D1155" s="4">
        <v>0.014965</v>
      </c>
      <c r="E1155" s="4">
        <v>0.017604</v>
      </c>
      <c r="F1155" s="4">
        <v>0.020159</v>
      </c>
      <c r="G1155" s="4">
        <v>0.021025</v>
      </c>
      <c r="H1155" s="4">
        <v>0.026495</v>
      </c>
      <c r="I1155" s="4">
        <v>0.009574</v>
      </c>
      <c r="J1155" s="4">
        <v>0.018904</v>
      </c>
      <c r="K1155" s="4">
        <v>-0.024101</v>
      </c>
      <c r="L1155" s="4">
        <v>-0.021935</v>
      </c>
      <c r="M1155" s="4">
        <v>-0.036229</v>
      </c>
      <c r="N1155" s="4">
        <v>-0.010097</v>
      </c>
      <c r="O1155" s="4">
        <v>0.042319</v>
      </c>
      <c r="P1155" s="4">
        <v>-0.020989</v>
      </c>
      <c r="Q1155" s="4">
        <v>-0.03184</v>
      </c>
      <c r="R1155" s="4">
        <v>-0.038047</v>
      </c>
      <c r="S1155" s="4">
        <v>-0.013682</v>
      </c>
      <c r="T1155" s="4">
        <v>-0.030363</v>
      </c>
      <c r="U1155" s="4">
        <v>0.003803</v>
      </c>
      <c r="V1155" s="4">
        <v>0.00759732155227532</v>
      </c>
      <c r="W1155" s="4">
        <v>-0.0120656951153703</v>
      </c>
      <c r="X1155" s="4">
        <v>0.0012870437364684</v>
      </c>
      <c r="Y1155" s="4">
        <v>0.0058888607469458</v>
      </c>
      <c r="Z1155" s="4">
        <v>0.0100350984494734</v>
      </c>
      <c r="AA1155" s="4">
        <v>-0.0039849830874133</v>
      </c>
      <c r="AB1155" s="4">
        <v>-0.033686283337776</v>
      </c>
      <c r="AC1155" s="4">
        <v>-0.0091742665372297</v>
      </c>
      <c r="AD1155" s="4">
        <v>-0.0040927348422342</v>
      </c>
      <c r="AE1155" s="4">
        <v>0.0067567539342687</v>
      </c>
      <c r="AF1155" s="4">
        <v>9.605772798553E-4</v>
      </c>
      <c r="AG1155" s="4">
        <v>0.0073018128306459</v>
      </c>
      <c r="AH1155" s="4">
        <v>-0.01083946764474</v>
      </c>
      <c r="AI1155" s="4">
        <v>0.0020429577528673</v>
      </c>
      <c r="AJ1155" s="4">
        <v>-0.018382</v>
      </c>
      <c r="AK1155" s="4">
        <f>Weights!E1211</f>
        <v>-0.003398581531</v>
      </c>
      <c r="AL1155" s="5">
        <v>-0.0177369170298662</v>
      </c>
      <c r="AM1155" s="5">
        <v>-0.0156657706613938</v>
      </c>
      <c r="AN1155" s="5">
        <v>0.00318773463053689</v>
      </c>
      <c r="AO1155" s="5">
        <v>0.00150697192577053</v>
      </c>
      <c r="AP1155" s="6">
        <f t="shared" si="3"/>
        <v>1.759881159</v>
      </c>
      <c r="AQ1155" s="4">
        <f t="shared" si="4"/>
        <v>1.654844809</v>
      </c>
      <c r="AR1155" s="7">
        <f t="shared" si="5"/>
        <v>1.614428274</v>
      </c>
      <c r="AS1155" s="7">
        <f t="shared" ref="AS1155:AU1155" si="1157">AS1154*(1+AM1155)</f>
        <v>1.762812575</v>
      </c>
      <c r="AT1155" s="5">
        <f t="shared" si="1157"/>
        <v>1.543883638</v>
      </c>
      <c r="AU1155" s="5">
        <f t="shared" si="1157"/>
        <v>1.542893731</v>
      </c>
    </row>
    <row r="1156" ht="15.75" customHeight="1">
      <c r="A1156" s="3">
        <v>45509.0</v>
      </c>
      <c r="B1156" s="4">
        <v>-0.024684</v>
      </c>
      <c r="C1156" s="4">
        <v>-0.028558</v>
      </c>
      <c r="D1156" s="4">
        <v>-0.014744</v>
      </c>
      <c r="E1156" s="4">
        <v>-0.022467</v>
      </c>
      <c r="F1156" s="4">
        <v>-0.017741</v>
      </c>
      <c r="G1156" s="4">
        <v>-0.017607</v>
      </c>
      <c r="H1156" s="4">
        <v>-0.011877</v>
      </c>
      <c r="I1156" s="4">
        <v>-0.017387</v>
      </c>
      <c r="J1156" s="4">
        <v>-0.018553</v>
      </c>
      <c r="K1156" s="4">
        <v>-0.015523</v>
      </c>
      <c r="L1156" s="4">
        <v>-0.016843</v>
      </c>
      <c r="M1156" s="4">
        <v>-0.022231</v>
      </c>
      <c r="N1156" s="4">
        <v>-0.020192</v>
      </c>
      <c r="O1156" s="4">
        <v>-0.035593</v>
      </c>
      <c r="P1156" s="4">
        <v>-0.030509</v>
      </c>
      <c r="Q1156" s="4">
        <v>-0.013398</v>
      </c>
      <c r="R1156" s="4">
        <v>-0.026209</v>
      </c>
      <c r="S1156" s="4">
        <v>-0.02705</v>
      </c>
      <c r="T1156" s="4">
        <v>-0.003509</v>
      </c>
      <c r="U1156" s="4">
        <v>-0.01716</v>
      </c>
      <c r="V1156" s="4">
        <v>0.0348727883329633</v>
      </c>
      <c r="W1156" s="4">
        <v>0.0157927955608039</v>
      </c>
      <c r="X1156" s="4">
        <v>0.0141387856294741</v>
      </c>
      <c r="Y1156" s="4">
        <v>0.0033619339569161</v>
      </c>
      <c r="Z1156" s="4">
        <v>0.0054362319909451</v>
      </c>
      <c r="AA1156" s="4">
        <v>6.317878245605E-4</v>
      </c>
      <c r="AB1156" s="4">
        <v>-0.0149401901484111</v>
      </c>
      <c r="AC1156" s="4">
        <v>0.0381943785612663</v>
      </c>
      <c r="AD1156" s="4">
        <v>-0.0041096620596842</v>
      </c>
      <c r="AE1156" s="4">
        <v>0.0155704633380855</v>
      </c>
      <c r="AF1156" s="4">
        <v>0.0</v>
      </c>
      <c r="AG1156" s="4">
        <v>0.0039538414360811</v>
      </c>
      <c r="AH1156" s="4">
        <v>-0.0018652126227878</v>
      </c>
      <c r="AI1156" s="4">
        <v>-5.096981464371E-4</v>
      </c>
      <c r="AJ1156" s="4">
        <v>-0.029969</v>
      </c>
      <c r="AK1156" s="4">
        <f>Weights!E1212</f>
        <v>-0.00647622973</v>
      </c>
      <c r="AL1156" s="5">
        <v>-0.0182608827153637</v>
      </c>
      <c r="AM1156" s="5">
        <v>-0.020126610878363</v>
      </c>
      <c r="AN1156" s="5">
        <v>0.0118426739240515</v>
      </c>
      <c r="AO1156" s="5">
        <v>0.0116079467953682</v>
      </c>
      <c r="AP1156" s="6">
        <f t="shared" si="3"/>
        <v>1.748483764</v>
      </c>
      <c r="AQ1156" s="4">
        <f t="shared" si="4"/>
        <v>1.605250765</v>
      </c>
      <c r="AR1156" s="7">
        <f t="shared" si="5"/>
        <v>1.584947389</v>
      </c>
      <c r="AS1156" s="7">
        <f t="shared" ref="AS1156:AU1156" si="1158">AS1155*(1+AM1156)</f>
        <v>1.727333132</v>
      </c>
      <c r="AT1156" s="5">
        <f t="shared" si="1158"/>
        <v>1.562167349</v>
      </c>
      <c r="AU1156" s="5">
        <f t="shared" si="1158"/>
        <v>1.560803559</v>
      </c>
    </row>
    <row r="1157" ht="15.75" customHeight="1">
      <c r="A1157" s="3">
        <v>45510.0</v>
      </c>
      <c r="B1157" s="4">
        <v>0.008642</v>
      </c>
      <c r="C1157" s="4">
        <v>0.011558</v>
      </c>
      <c r="D1157" s="4">
        <v>0.029142</v>
      </c>
      <c r="E1157" s="4">
        <v>-0.008906</v>
      </c>
      <c r="F1157" s="4">
        <v>-7.34E-4</v>
      </c>
      <c r="G1157" s="4">
        <v>-0.01414</v>
      </c>
      <c r="H1157" s="4">
        <v>1.79E-4</v>
      </c>
      <c r="I1157" s="4">
        <v>0.026273</v>
      </c>
      <c r="J1157" s="4">
        <v>0.014597</v>
      </c>
      <c r="K1157" s="4">
        <v>0.005555</v>
      </c>
      <c r="L1157" s="4">
        <v>0.01486</v>
      </c>
      <c r="M1157" s="4">
        <v>0.019016</v>
      </c>
      <c r="N1157" s="4">
        <v>0.009985</v>
      </c>
      <c r="O1157" s="4">
        <v>0.014605</v>
      </c>
      <c r="P1157" s="4">
        <v>0.01212</v>
      </c>
      <c r="Q1157" s="4">
        <v>0.016667</v>
      </c>
      <c r="R1157" s="4">
        <v>0.00416</v>
      </c>
      <c r="S1157" s="4">
        <v>-0.019604</v>
      </c>
      <c r="T1157" s="4">
        <v>-0.00372</v>
      </c>
      <c r="U1157" s="4">
        <v>0.007086</v>
      </c>
      <c r="V1157" s="4">
        <v>-0.0291439346541111</v>
      </c>
      <c r="W1157" s="4">
        <v>-0.0122305928508615</v>
      </c>
      <c r="X1157" s="4">
        <v>0.0</v>
      </c>
      <c r="Y1157" s="4">
        <v>-0.0078081360934881</v>
      </c>
      <c r="Z1157" s="4">
        <v>-0.0091357036126146</v>
      </c>
      <c r="AA1157" s="4">
        <v>0.0012626081588649</v>
      </c>
      <c r="AB1157" s="4">
        <v>0.0091000309299982</v>
      </c>
      <c r="AC1157" s="4">
        <v>0.0</v>
      </c>
      <c r="AD1157" s="4">
        <v>0.0</v>
      </c>
      <c r="AE1157" s="4">
        <v>-0.0219402500896795</v>
      </c>
      <c r="AF1157" s="4">
        <v>0.0067178225158766</v>
      </c>
      <c r="AG1157" s="4">
        <v>0.0137840103146715</v>
      </c>
      <c r="AH1157" s="4">
        <v>0.0348048788203221</v>
      </c>
      <c r="AI1157" s="4">
        <v>-0.0035694045688495</v>
      </c>
      <c r="AJ1157" s="4">
        <v>0.010354</v>
      </c>
      <c r="AK1157" s="4">
        <f>Weights!E1213</f>
        <v>0.004759868641</v>
      </c>
      <c r="AL1157" s="5">
        <v>-0.0272437591394605</v>
      </c>
      <c r="AM1157" s="5">
        <v>-0.0293649371145304</v>
      </c>
      <c r="AN1157" s="5">
        <v>-0.0162717190542652</v>
      </c>
      <c r="AO1157" s="5">
        <v>-0.0163620693637301</v>
      </c>
      <c r="AP1157" s="6">
        <f t="shared" si="3"/>
        <v>1.756806317</v>
      </c>
      <c r="AQ1157" s="4">
        <f t="shared" si="4"/>
        <v>1.621871532</v>
      </c>
      <c r="AR1157" s="7">
        <f t="shared" si="5"/>
        <v>1.541767464</v>
      </c>
      <c r="AS1157" s="7">
        <f t="shared" ref="AS1157:AU1157" si="1159">AS1156*(1+AM1157)</f>
        <v>1.676610103</v>
      </c>
      <c r="AT1157" s="5">
        <f t="shared" si="1159"/>
        <v>1.536748201</v>
      </c>
      <c r="AU1157" s="5">
        <f t="shared" si="1159"/>
        <v>1.535265583</v>
      </c>
    </row>
    <row r="1158" ht="15.75" customHeight="1">
      <c r="A1158" s="3">
        <v>45511.0</v>
      </c>
      <c r="B1158" s="4">
        <v>0.004284</v>
      </c>
      <c r="C1158" s="4">
        <v>4.97E-4</v>
      </c>
      <c r="D1158" s="4">
        <v>0.003061</v>
      </c>
      <c r="E1158" s="4">
        <v>-0.004058</v>
      </c>
      <c r="F1158" s="4">
        <v>0.006025</v>
      </c>
      <c r="G1158" s="4">
        <v>-4.4E-4</v>
      </c>
      <c r="H1158" s="4">
        <v>0.011482</v>
      </c>
      <c r="I1158" s="4">
        <v>0.004441</v>
      </c>
      <c r="J1158" s="4">
        <v>0.00684</v>
      </c>
      <c r="K1158" s="4">
        <v>-0.004277</v>
      </c>
      <c r="L1158" s="4">
        <v>0.001492</v>
      </c>
      <c r="M1158" s="4">
        <v>-0.021095</v>
      </c>
      <c r="N1158" s="4">
        <v>-0.009466</v>
      </c>
      <c r="O1158" s="4">
        <v>-0.036055</v>
      </c>
      <c r="P1158" s="4">
        <v>-0.02521</v>
      </c>
      <c r="Q1158" s="4">
        <v>-0.027322</v>
      </c>
      <c r="R1158" s="4">
        <v>-0.037037</v>
      </c>
      <c r="S1158" s="4">
        <v>-0.029267</v>
      </c>
      <c r="T1158" s="4">
        <v>-0.031809</v>
      </c>
      <c r="U1158" s="4">
        <v>0.010779</v>
      </c>
      <c r="V1158" s="4">
        <v>-0.0712945512566499</v>
      </c>
      <c r="W1158" s="4">
        <v>-0.0039873872795499</v>
      </c>
      <c r="X1158" s="4">
        <v>-0.011002428788048</v>
      </c>
      <c r="Y1158" s="4">
        <v>0.0011700888101402</v>
      </c>
      <c r="Z1158" s="4">
        <v>-0.0062095407580659</v>
      </c>
      <c r="AA1158" s="4">
        <v>-0.0023118908927141</v>
      </c>
      <c r="AB1158" s="4">
        <v>0.0142786294328878</v>
      </c>
      <c r="AC1158" s="4">
        <v>0.0044994546570673</v>
      </c>
      <c r="AD1158" s="4">
        <v>0.0026632331600218</v>
      </c>
      <c r="AE1158" s="4">
        <v>0.0062162136195274</v>
      </c>
      <c r="AF1158" s="4">
        <v>-0.0028597550430633</v>
      </c>
      <c r="AG1158" s="4">
        <v>-0.0242797430304986</v>
      </c>
      <c r="AH1158" s="4">
        <v>0.0088036198292362</v>
      </c>
      <c r="AI1158" s="4">
        <v>-0.0010236706800417</v>
      </c>
      <c r="AJ1158" s="4">
        <v>-0.007735</v>
      </c>
      <c r="AK1158" s="4">
        <f>Weights!E1214</f>
        <v>-0.007078809953</v>
      </c>
      <c r="AL1158" s="5">
        <v>0.00767698896383683</v>
      </c>
      <c r="AM1158" s="5">
        <v>0.0101497379671624</v>
      </c>
      <c r="AN1158" s="5">
        <v>-0.0206035306259559</v>
      </c>
      <c r="AO1158" s="5">
        <v>-0.0225751541510319</v>
      </c>
      <c r="AP1158" s="6">
        <f t="shared" si="3"/>
        <v>1.744370219</v>
      </c>
      <c r="AQ1158" s="4">
        <f t="shared" si="4"/>
        <v>1.609326355</v>
      </c>
      <c r="AR1158" s="7">
        <f t="shared" si="5"/>
        <v>1.553603596</v>
      </c>
      <c r="AS1158" s="7">
        <f t="shared" ref="AS1158:AU1158" si="1160">AS1157*(1+AM1158)</f>
        <v>1.693627257</v>
      </c>
      <c r="AT1158" s="5">
        <f t="shared" si="1160"/>
        <v>1.505085762</v>
      </c>
      <c r="AU1158" s="5">
        <f t="shared" si="1160"/>
        <v>1.500606726</v>
      </c>
    </row>
    <row r="1159" ht="15.75" customHeight="1">
      <c r="A1159" s="3">
        <v>45512.0</v>
      </c>
      <c r="B1159" s="4">
        <v>-6.09E-4</v>
      </c>
      <c r="C1159" s="4">
        <v>0.005958</v>
      </c>
      <c r="D1159" s="4">
        <v>0.009664</v>
      </c>
      <c r="E1159" s="4">
        <v>0.003376</v>
      </c>
      <c r="F1159" s="4">
        <v>0.003944</v>
      </c>
      <c r="G1159" s="4">
        <v>0.008307</v>
      </c>
      <c r="H1159" s="4">
        <v>0.004999</v>
      </c>
      <c r="I1159" s="4">
        <v>0.007282</v>
      </c>
      <c r="J1159" s="4">
        <v>0.008667</v>
      </c>
      <c r="K1159" s="4">
        <v>0.014137</v>
      </c>
      <c r="L1159" s="4">
        <v>0.012572</v>
      </c>
      <c r="M1159" s="4">
        <v>0.025694</v>
      </c>
      <c r="N1159" s="4">
        <v>0.009769</v>
      </c>
      <c r="O1159" s="4">
        <v>0.015407</v>
      </c>
      <c r="P1159" s="4">
        <v>0.028233</v>
      </c>
      <c r="Q1159" s="4">
        <v>-0.041199</v>
      </c>
      <c r="R1159" s="4">
        <v>0.038462</v>
      </c>
      <c r="S1159" s="4">
        <v>0.018165</v>
      </c>
      <c r="T1159" s="4">
        <v>0.003168</v>
      </c>
      <c r="U1159" s="4">
        <v>0.003737</v>
      </c>
      <c r="V1159" s="4">
        <v>-0.0292929785578824</v>
      </c>
      <c r="W1159" s="4">
        <v>-0.0058996631292147</v>
      </c>
      <c r="X1159" s="4">
        <v>-0.0111249246317723</v>
      </c>
      <c r="Y1159" s="4">
        <v>-0.0095259312987084</v>
      </c>
      <c r="Z1159" s="4">
        <v>-0.0017040993496238</v>
      </c>
      <c r="AA1159" s="4">
        <v>-0.0075837983216172</v>
      </c>
      <c r="AB1159" s="4">
        <v>-2.470648124576E-4</v>
      </c>
      <c r="AC1159" s="4">
        <v>-0.0145577044493978</v>
      </c>
      <c r="AD1159" s="4">
        <v>-0.0039841341770446</v>
      </c>
      <c r="AE1159" s="4">
        <v>-0.0072523167310285</v>
      </c>
      <c r="AF1159" s="4">
        <v>-0.0124283959108421</v>
      </c>
      <c r="AG1159" s="4">
        <v>-0.0046449115547342</v>
      </c>
      <c r="AH1159" s="4">
        <v>-0.0145446541100608</v>
      </c>
      <c r="AI1159" s="4">
        <v>0.0015367256086897</v>
      </c>
      <c r="AJ1159" s="4">
        <v>0.023043</v>
      </c>
      <c r="AK1159" s="4">
        <f>Weights!E1215</f>
        <v>0.0007734943745</v>
      </c>
      <c r="AL1159" s="5">
        <v>-0.00409146580620745</v>
      </c>
      <c r="AM1159" s="5">
        <v>-0.00764244687421611</v>
      </c>
      <c r="AN1159" s="5">
        <v>-0.0115555444522399</v>
      </c>
      <c r="AO1159" s="5">
        <v>-0.00983533919938939</v>
      </c>
      <c r="AP1159" s="6">
        <f t="shared" si="3"/>
        <v>1.74571948</v>
      </c>
      <c r="AQ1159" s="4">
        <f t="shared" si="4"/>
        <v>1.646410063</v>
      </c>
      <c r="AR1159" s="7">
        <f t="shared" si="5"/>
        <v>1.54724708</v>
      </c>
      <c r="AS1159" s="7">
        <f t="shared" ref="AS1159:AU1159" si="1161">AS1158*(1+AM1159)</f>
        <v>1.6806838</v>
      </c>
      <c r="AT1159" s="5">
        <f t="shared" si="1161"/>
        <v>1.487693676</v>
      </c>
      <c r="AU1159" s="5">
        <f t="shared" si="1161"/>
        <v>1.48584775</v>
      </c>
    </row>
    <row r="1160" ht="15.75" customHeight="1">
      <c r="A1160" s="3">
        <v>45513.0</v>
      </c>
      <c r="B1160" s="4">
        <v>0.0</v>
      </c>
      <c r="C1160" s="4">
        <v>0.005676</v>
      </c>
      <c r="D1160" s="4">
        <v>0.001511</v>
      </c>
      <c r="E1160" s="4">
        <v>1.16E-4</v>
      </c>
      <c r="F1160" s="4">
        <v>-7.28E-4</v>
      </c>
      <c r="G1160" s="4">
        <v>0.002497</v>
      </c>
      <c r="H1160" s="4">
        <v>-0.001931</v>
      </c>
      <c r="I1160" s="4">
        <v>0.003098</v>
      </c>
      <c r="J1160" s="4">
        <v>-0.002322</v>
      </c>
      <c r="K1160" s="4">
        <v>0.006529</v>
      </c>
      <c r="L1160" s="4">
        <v>0.003679</v>
      </c>
      <c r="M1160" s="4">
        <v>0.013333</v>
      </c>
      <c r="N1160" s="4">
        <v>0.011356</v>
      </c>
      <c r="O1160" s="4">
        <v>0.011205</v>
      </c>
      <c r="P1160" s="4">
        <v>0.0</v>
      </c>
      <c r="Q1160" s="4">
        <v>0.009115</v>
      </c>
      <c r="R1160" s="4">
        <v>2.44E-4</v>
      </c>
      <c r="S1160" s="4">
        <v>0.026485</v>
      </c>
      <c r="T1160" s="4">
        <v>-0.003502</v>
      </c>
      <c r="U1160" s="4">
        <v>0.001889</v>
      </c>
      <c r="V1160" s="4">
        <v>0.0228928267872339</v>
      </c>
      <c r="W1160" s="4">
        <v>0.0065706003671057</v>
      </c>
      <c r="X1160" s="4">
        <v>-0.0024998889422159</v>
      </c>
      <c r="Y1160" s="4">
        <v>-0.0023601978203132</v>
      </c>
      <c r="Z1160" s="4">
        <v>-0.0045519250589116</v>
      </c>
      <c r="AA1160" s="4">
        <v>-0.0129482909609801</v>
      </c>
      <c r="AB1160" s="4">
        <v>-0.0155632688584024</v>
      </c>
      <c r="AC1160" s="4">
        <v>-0.0045454718849875</v>
      </c>
      <c r="AD1160" s="4">
        <v>-0.0186667529268511</v>
      </c>
      <c r="AE1160" s="4">
        <v>8.117926022015E-4</v>
      </c>
      <c r="AF1160" s="4">
        <v>0.0116166702101119</v>
      </c>
      <c r="AG1160" s="4">
        <v>-1.666379719282E-4</v>
      </c>
      <c r="AH1160" s="4">
        <v>-0.0247501666602245</v>
      </c>
      <c r="AI1160" s="4">
        <v>0.0035806624240626</v>
      </c>
      <c r="AJ1160" s="4">
        <v>0.004672</v>
      </c>
      <c r="AK1160" s="4">
        <f>Weights!E1216</f>
        <v>0.0007300892539</v>
      </c>
      <c r="AL1160" s="5">
        <v>0.0212494826840772</v>
      </c>
      <c r="AM1160" s="5">
        <v>0.0234167919334797</v>
      </c>
      <c r="AN1160" s="5">
        <v>-0.00149880250255207</v>
      </c>
      <c r="AO1160" s="5">
        <v>-0.00468750991872923</v>
      </c>
      <c r="AP1160" s="6">
        <f t="shared" si="3"/>
        <v>1.746994011</v>
      </c>
      <c r="AQ1160" s="4">
        <f t="shared" si="4"/>
        <v>1.65410209</v>
      </c>
      <c r="AR1160" s="7">
        <f t="shared" si="5"/>
        <v>1.58012528</v>
      </c>
      <c r="AS1160" s="7">
        <f t="shared" ref="AS1160:AU1160" si="1162">AS1159*(1+AM1160)</f>
        <v>1.720040023</v>
      </c>
      <c r="AT1160" s="5">
        <f t="shared" si="1162"/>
        <v>1.485463917</v>
      </c>
      <c r="AU1160" s="5">
        <f t="shared" si="1162"/>
        <v>1.478882824</v>
      </c>
    </row>
    <row r="1161" ht="15.75" customHeight="1">
      <c r="A1161" s="3">
        <v>45516.0</v>
      </c>
      <c r="B1161" s="4">
        <v>-6.1E-4</v>
      </c>
      <c r="C1161" s="4">
        <v>-0.005399</v>
      </c>
      <c r="D1161" s="4">
        <v>-0.009054</v>
      </c>
      <c r="E1161" s="4">
        <v>-0.005627</v>
      </c>
      <c r="F1161" s="4">
        <v>-0.007426</v>
      </c>
      <c r="G1161" s="4">
        <v>-0.004607</v>
      </c>
      <c r="H1161" s="4">
        <v>-0.021872</v>
      </c>
      <c r="I1161" s="4">
        <v>0.005148</v>
      </c>
      <c r="J1161" s="4">
        <v>-0.004888</v>
      </c>
      <c r="K1161" s="4">
        <v>0.001578</v>
      </c>
      <c r="L1161" s="4">
        <v>-0.007972</v>
      </c>
      <c r="M1161" s="4">
        <v>-0.004785</v>
      </c>
      <c r="N1161" s="4">
        <v>-0.002703</v>
      </c>
      <c r="O1161" s="4">
        <v>-0.008957</v>
      </c>
      <c r="P1161" s="4">
        <v>0.022637</v>
      </c>
      <c r="Q1161" s="4">
        <v>-0.045806</v>
      </c>
      <c r="R1161" s="4">
        <v>0.012424</v>
      </c>
      <c r="S1161" s="4">
        <v>0.024368</v>
      </c>
      <c r="T1161" s="4">
        <v>-0.026113</v>
      </c>
      <c r="U1161" s="4">
        <v>-0.001719</v>
      </c>
      <c r="V1161" s="4">
        <v>0.013224851222209</v>
      </c>
      <c r="W1161" s="4">
        <v>0.0061065270512998</v>
      </c>
      <c r="X1161" s="4">
        <v>-0.0100251013207131</v>
      </c>
      <c r="Y1161" s="4">
        <v>-0.0116512743833807</v>
      </c>
      <c r="Z1161" s="4">
        <v>-0.0028579258619679</v>
      </c>
      <c r="AA1161" s="4">
        <v>-4.303036419485E-4</v>
      </c>
      <c r="AB1161" s="4">
        <v>-0.021329952124325</v>
      </c>
      <c r="AC1161" s="4">
        <v>0.007990919975227</v>
      </c>
      <c r="AD1161" s="4">
        <v>-0.005434808200993</v>
      </c>
      <c r="AE1161" s="4">
        <v>-0.0024330890076857</v>
      </c>
      <c r="AF1161" s="4">
        <v>-0.014354091021082</v>
      </c>
      <c r="AG1161" s="4">
        <v>0.0173362006953208</v>
      </c>
      <c r="AH1161" s="4">
        <v>-0.0132712827019246</v>
      </c>
      <c r="AI1161" s="4">
        <v>0.0040774845797955</v>
      </c>
      <c r="AJ1161" s="4">
        <v>4.3E-5</v>
      </c>
      <c r="AK1161" s="4">
        <f>Weights!E1217</f>
        <v>-0.002847566753</v>
      </c>
      <c r="AL1161" s="5">
        <v>0.00589544959436416</v>
      </c>
      <c r="AM1161" s="5">
        <v>0.00431636433712556</v>
      </c>
      <c r="AN1161" s="5">
        <v>0.0162112240367116</v>
      </c>
      <c r="AO1161" s="5">
        <v>0.015698678747251</v>
      </c>
      <c r="AP1161" s="6">
        <f t="shared" si="3"/>
        <v>1.742019329</v>
      </c>
      <c r="AQ1161" s="4">
        <f t="shared" si="4"/>
        <v>1.654173217</v>
      </c>
      <c r="AR1161" s="7">
        <f t="shared" si="5"/>
        <v>1.589440829</v>
      </c>
      <c r="AS1161" s="7">
        <f t="shared" ref="AS1161:AU1161" si="1163">AS1160*(1+AM1161)</f>
        <v>1.727464343</v>
      </c>
      <c r="AT1161" s="5">
        <f t="shared" si="1163"/>
        <v>1.509545106</v>
      </c>
      <c r="AU1161" s="5">
        <f t="shared" si="1163"/>
        <v>1.50209933</v>
      </c>
    </row>
    <row r="1162" ht="15.75" customHeight="1">
      <c r="A1162" s="3">
        <v>45517.0</v>
      </c>
      <c r="B1162" s="4">
        <v>-0.010982</v>
      </c>
      <c r="C1162" s="4">
        <v>0.006168</v>
      </c>
      <c r="D1162" s="4">
        <v>0.006599</v>
      </c>
      <c r="E1162" s="4">
        <v>0.005542</v>
      </c>
      <c r="F1162" s="4">
        <v>0.004254</v>
      </c>
      <c r="G1162" s="4">
        <v>-0.00932</v>
      </c>
      <c r="H1162" s="4">
        <v>0.002877</v>
      </c>
      <c r="I1162" s="4">
        <v>0.008195</v>
      </c>
      <c r="J1162" s="4">
        <v>0.016608</v>
      </c>
      <c r="K1162" s="4">
        <v>0.011553</v>
      </c>
      <c r="L1162" s="4">
        <v>0.011269</v>
      </c>
      <c r="M1162" s="4">
        <v>0.020032</v>
      </c>
      <c r="N1162" s="4">
        <v>0.053169</v>
      </c>
      <c r="O1162" s="4">
        <v>0.026182</v>
      </c>
      <c r="P1162" s="4">
        <v>0.004714</v>
      </c>
      <c r="Q1162" s="4">
        <v>0.027045</v>
      </c>
      <c r="R1162" s="4">
        <v>0.00794</v>
      </c>
      <c r="S1162" s="4">
        <v>0.017842</v>
      </c>
      <c r="T1162" s="4">
        <v>0.010824</v>
      </c>
      <c r="U1162" s="4">
        <v>0.002167</v>
      </c>
      <c r="V1162" s="4">
        <v>-0.0135542440961498</v>
      </c>
      <c r="W1162" s="4">
        <v>-2.0931299754E-4</v>
      </c>
      <c r="X1162" s="4">
        <v>0.0</v>
      </c>
      <c r="Y1162" s="4">
        <v>0.0010770636436312</v>
      </c>
      <c r="Z1162" s="4">
        <v>0.0090761471099016</v>
      </c>
      <c r="AA1162" s="4">
        <v>-0.0144146552536947</v>
      </c>
      <c r="AB1162" s="4">
        <v>0.0053846587119366</v>
      </c>
      <c r="AC1162" s="4">
        <v>0.0</v>
      </c>
      <c r="AD1162" s="4">
        <v>0.0</v>
      </c>
      <c r="AE1162" s="4">
        <v>0.0065039576012877</v>
      </c>
      <c r="AF1162" s="4">
        <v>-0.0223300560064828</v>
      </c>
      <c r="AG1162" s="4">
        <v>-0.0132721415582904</v>
      </c>
      <c r="AH1162" s="4">
        <v>-0.005899031586243</v>
      </c>
      <c r="AI1162" s="4">
        <v>0.0020305131994877</v>
      </c>
      <c r="AJ1162" s="4">
        <v>0.016848</v>
      </c>
      <c r="AK1162" s="4">
        <f>Weights!E1218</f>
        <v>0.004706754551</v>
      </c>
      <c r="AL1162" s="5">
        <v>-8.96412359007281E-4</v>
      </c>
      <c r="AM1162" s="5">
        <v>-6.46559176398997E-4</v>
      </c>
      <c r="AN1162" s="5">
        <v>0.00384054629303221</v>
      </c>
      <c r="AO1162" s="5">
        <v>0.00441590064864372</v>
      </c>
      <c r="AP1162" s="6">
        <f t="shared" si="3"/>
        <v>1.750218586</v>
      </c>
      <c r="AQ1162" s="4">
        <f t="shared" si="4"/>
        <v>1.682042727</v>
      </c>
      <c r="AR1162" s="7">
        <f t="shared" si="5"/>
        <v>1.588016034</v>
      </c>
      <c r="AS1162" s="7">
        <f t="shared" ref="AS1162:AU1162" si="1164">AS1161*(1+AM1162)</f>
        <v>1.726347435</v>
      </c>
      <c r="AT1162" s="5">
        <f t="shared" si="1164"/>
        <v>1.515342584</v>
      </c>
      <c r="AU1162" s="5">
        <f t="shared" si="1164"/>
        <v>1.508732451</v>
      </c>
    </row>
    <row r="1163" ht="15.75" customHeight="1">
      <c r="A1163" s="3">
        <v>45518.0</v>
      </c>
      <c r="B1163" s="4">
        <v>-0.012955</v>
      </c>
      <c r="C1163" s="4">
        <v>0.002943</v>
      </c>
      <c r="D1163" s="4">
        <v>0.003782</v>
      </c>
      <c r="E1163" s="4">
        <v>0.007774</v>
      </c>
      <c r="F1163" s="4">
        <v>0.001753</v>
      </c>
      <c r="G1163" s="4">
        <v>5.68E-4</v>
      </c>
      <c r="H1163" s="4">
        <v>0.009026</v>
      </c>
      <c r="I1163" s="4">
        <v>0.004318</v>
      </c>
      <c r="J1163" s="4">
        <v>-9.2E-4</v>
      </c>
      <c r="K1163" s="4">
        <v>0.002076</v>
      </c>
      <c r="L1163" s="4">
        <v>0.008129</v>
      </c>
      <c r="M1163" s="4">
        <v>0.016104</v>
      </c>
      <c r="N1163" s="4">
        <v>0.009107</v>
      </c>
      <c r="O1163" s="4">
        <v>0.008807</v>
      </c>
      <c r="P1163" s="4">
        <v>0.002448</v>
      </c>
      <c r="Q1163" s="4">
        <v>0.05135</v>
      </c>
      <c r="R1163" s="4">
        <v>4.77E-4</v>
      </c>
      <c r="S1163" s="4">
        <v>-0.009624</v>
      </c>
      <c r="T1163" s="4">
        <v>-0.011338</v>
      </c>
      <c r="U1163" s="4">
        <v>0.006542</v>
      </c>
      <c r="V1163" s="4">
        <v>0.0132315814096677</v>
      </c>
      <c r="W1163" s="4">
        <v>-0.0073267730774491</v>
      </c>
      <c r="X1163" s="4">
        <v>0.0</v>
      </c>
      <c r="Y1163" s="4">
        <v>-0.0094445998549811</v>
      </c>
      <c r="Z1163" s="4">
        <v>0.0154327410620163</v>
      </c>
      <c r="AA1163" s="4">
        <v>-0.0032744352730059</v>
      </c>
      <c r="AB1163" s="4">
        <v>7.651890376645E-4</v>
      </c>
      <c r="AC1163" s="4">
        <v>0.0</v>
      </c>
      <c r="AD1163" s="4">
        <v>0.0</v>
      </c>
      <c r="AE1163" s="4">
        <v>-0.0099621976448825</v>
      </c>
      <c r="AF1163" s="4">
        <v>0.0059583018282123</v>
      </c>
      <c r="AG1163" s="4">
        <v>0.0144469669890536</v>
      </c>
      <c r="AH1163" s="4">
        <v>0.0156657933894954</v>
      </c>
      <c r="AI1163" s="4">
        <v>-0.0015197989278323</v>
      </c>
      <c r="AJ1163" s="4">
        <v>0.003824</v>
      </c>
      <c r="AK1163" s="4">
        <f>Weights!E1219</f>
        <v>0.004318749126</v>
      </c>
      <c r="AL1163" s="5">
        <v>0.0173913919369255</v>
      </c>
      <c r="AM1163" s="5">
        <v>0.0166317549827295</v>
      </c>
      <c r="AN1163" s="5">
        <v>0.00294302564725246</v>
      </c>
      <c r="AO1163" s="5">
        <v>0.00351722321778402</v>
      </c>
      <c r="AP1163" s="6">
        <f t="shared" si="3"/>
        <v>1.757777341</v>
      </c>
      <c r="AQ1163" s="4">
        <f t="shared" si="4"/>
        <v>1.688474858</v>
      </c>
      <c r="AR1163" s="7">
        <f t="shared" si="5"/>
        <v>1.615633844</v>
      </c>
      <c r="AS1163" s="7">
        <f t="shared" ref="AS1163:AU1163" si="1165">AS1162*(1+AM1163)</f>
        <v>1.755059622</v>
      </c>
      <c r="AT1163" s="5">
        <f t="shared" si="1165"/>
        <v>1.519802276</v>
      </c>
      <c r="AU1163" s="5">
        <f t="shared" si="1165"/>
        <v>1.514039</v>
      </c>
    </row>
    <row r="1164" ht="15.75" customHeight="1">
      <c r="A1164" s="3">
        <v>45519.0</v>
      </c>
      <c r="B1164" s="4">
        <v>-0.003125</v>
      </c>
      <c r="C1164" s="4">
        <v>-0.021027</v>
      </c>
      <c r="D1164" s="4">
        <v>-0.008541</v>
      </c>
      <c r="E1164" s="4">
        <v>-0.006851</v>
      </c>
      <c r="F1164" s="4">
        <v>0.001021</v>
      </c>
      <c r="G1164" s="4">
        <v>0.003849</v>
      </c>
      <c r="H1164" s="4">
        <v>-0.005213</v>
      </c>
      <c r="I1164" s="4">
        <v>-0.007657</v>
      </c>
      <c r="J1164" s="4">
        <v>0.004376</v>
      </c>
      <c r="K1164" s="4">
        <v>0.010534</v>
      </c>
      <c r="L1164" s="4">
        <v>0.003081</v>
      </c>
      <c r="M1164" s="4">
        <v>0.005025</v>
      </c>
      <c r="N1164" s="4">
        <v>0.011968</v>
      </c>
      <c r="O1164" s="4">
        <v>0.024931</v>
      </c>
      <c r="P1164" s="4">
        <v>0.00346</v>
      </c>
      <c r="Q1164" s="4">
        <v>0.010645</v>
      </c>
      <c r="R1164" s="4">
        <v>0.039847</v>
      </c>
      <c r="S1164" s="4">
        <v>0.002429</v>
      </c>
      <c r="T1164" s="4">
        <v>0.028033</v>
      </c>
      <c r="U1164" s="4">
        <v>0.008041</v>
      </c>
      <c r="V1164" s="4">
        <v>0.0135609905176019</v>
      </c>
      <c r="W1164" s="4">
        <v>0.0075917529471964</v>
      </c>
      <c r="X1164" s="4">
        <v>0.0</v>
      </c>
      <c r="Y1164" s="4">
        <v>-0.0194315121459947</v>
      </c>
      <c r="Z1164" s="4">
        <v>-0.0071794522690239</v>
      </c>
      <c r="AA1164" s="4">
        <v>-0.006351319039282</v>
      </c>
      <c r="AB1164" s="4">
        <v>-2.549351138787E-4</v>
      </c>
      <c r="AC1164" s="4">
        <v>0.0</v>
      </c>
      <c r="AD1164" s="4">
        <v>0.0</v>
      </c>
      <c r="AE1164" s="4">
        <v>0.0127821539961832</v>
      </c>
      <c r="AF1164" s="4">
        <v>0.0029615053712384</v>
      </c>
      <c r="AG1164" s="4">
        <v>-0.0013095765338266</v>
      </c>
      <c r="AH1164" s="4">
        <v>-0.0144893200841169</v>
      </c>
      <c r="AI1164" s="4">
        <v>0.0025366534558683</v>
      </c>
      <c r="AJ1164" s="4">
        <v>0.016133</v>
      </c>
      <c r="AK1164" s="4">
        <f>Weights!E1220</f>
        <v>0.002162544709</v>
      </c>
      <c r="AL1164" s="5">
        <v>0.00305239533673118</v>
      </c>
      <c r="AM1164" s="5">
        <v>0.00284519425104856</v>
      </c>
      <c r="AN1164" s="5">
        <v>0.00938961167185881</v>
      </c>
      <c r="AO1164" s="5">
        <v>0.00985765788138559</v>
      </c>
      <c r="AP1164" s="6">
        <f t="shared" si="3"/>
        <v>1.761578613</v>
      </c>
      <c r="AQ1164" s="4">
        <f t="shared" si="4"/>
        <v>1.715715023</v>
      </c>
      <c r="AR1164" s="7">
        <f t="shared" si="5"/>
        <v>1.620565397</v>
      </c>
      <c r="AS1164" s="7">
        <f t="shared" ref="AS1164:AU1164" si="1166">AS1163*(1+AM1164)</f>
        <v>1.760053108</v>
      </c>
      <c r="AT1164" s="5">
        <f t="shared" si="1166"/>
        <v>1.534072629</v>
      </c>
      <c r="AU1164" s="5">
        <f t="shared" si="1166"/>
        <v>1.528963879</v>
      </c>
    </row>
    <row r="1165" ht="15.75" customHeight="1">
      <c r="A1165" s="3">
        <v>45520.0</v>
      </c>
      <c r="B1165" s="4">
        <v>0.003135</v>
      </c>
      <c r="C1165" s="4">
        <v>0.014236</v>
      </c>
      <c r="D1165" s="4">
        <v>0.001773</v>
      </c>
      <c r="E1165" s="4">
        <v>5.8E-4</v>
      </c>
      <c r="F1165" s="4">
        <v>0.00772</v>
      </c>
      <c r="G1165" s="4">
        <v>0.001886</v>
      </c>
      <c r="H1165" s="4">
        <v>-1.79E-4</v>
      </c>
      <c r="I1165" s="4">
        <v>0.003371</v>
      </c>
      <c r="J1165" s="4">
        <v>0.003669</v>
      </c>
      <c r="K1165" s="4">
        <v>0.007861</v>
      </c>
      <c r="L1165" s="4">
        <v>0.009936</v>
      </c>
      <c r="M1165" s="4">
        <v>0.005385</v>
      </c>
      <c r="N1165" s="4">
        <v>0.015316</v>
      </c>
      <c r="O1165" s="4">
        <v>0.002333</v>
      </c>
      <c r="P1165" s="4">
        <v>0.018252</v>
      </c>
      <c r="Q1165" s="4">
        <v>0.037175</v>
      </c>
      <c r="R1165" s="4">
        <v>-0.003213</v>
      </c>
      <c r="S1165" s="4">
        <v>0.022157</v>
      </c>
      <c r="T1165" s="4">
        <v>6.9E-5</v>
      </c>
      <c r="U1165" s="4">
        <v>-0.006229</v>
      </c>
      <c r="V1165" s="4">
        <v>0.0138751499669167</v>
      </c>
      <c r="W1165" s="4">
        <v>0.0165340915478635</v>
      </c>
      <c r="X1165" s="4">
        <v>0.0</v>
      </c>
      <c r="Y1165" s="4">
        <v>-0.0152626043125485</v>
      </c>
      <c r="Z1165" s="4">
        <v>-0.0109881150312169</v>
      </c>
      <c r="AA1165" s="4">
        <v>-0.0108000820727328</v>
      </c>
      <c r="AB1165" s="4">
        <v>-0.0012744970570748</v>
      </c>
      <c r="AC1165" s="4">
        <v>0.0</v>
      </c>
      <c r="AD1165" s="4">
        <v>0.0</v>
      </c>
      <c r="AE1165" s="4">
        <v>-0.0085930110412052</v>
      </c>
      <c r="AF1165" s="4">
        <v>0.0039369742865653</v>
      </c>
      <c r="AG1165" s="4">
        <v>0.0</v>
      </c>
      <c r="AH1165" s="4">
        <v>0.0</v>
      </c>
      <c r="AI1165" s="4">
        <v>-0.0015180611725015</v>
      </c>
      <c r="AJ1165" s="4">
        <v>0.00199</v>
      </c>
      <c r="AK1165" s="4">
        <f>Weights!E1221</f>
        <v>0.003144333664</v>
      </c>
      <c r="AL1165" s="5">
        <v>0.0150132409266821</v>
      </c>
      <c r="AM1165" s="5">
        <v>0.0173211589760498</v>
      </c>
      <c r="AN1165" s="5">
        <v>0.00610456661798242</v>
      </c>
      <c r="AO1165" s="5">
        <v>0.0060738218565306</v>
      </c>
      <c r="AP1165" s="6">
        <f t="shared" si="3"/>
        <v>1.767117604</v>
      </c>
      <c r="AQ1165" s="4">
        <f t="shared" si="4"/>
        <v>1.719129296</v>
      </c>
      <c r="AR1165" s="7">
        <f t="shared" si="5"/>
        <v>1.644895336</v>
      </c>
      <c r="AS1165" s="7">
        <f t="shared" ref="AS1165:AU1165" si="1167">AS1164*(1+AM1165)</f>
        <v>1.790539267</v>
      </c>
      <c r="AT1165" s="5">
        <f t="shared" si="1167"/>
        <v>1.543437478</v>
      </c>
      <c r="AU1165" s="5">
        <f t="shared" si="1167"/>
        <v>1.538250533</v>
      </c>
    </row>
    <row r="1166" ht="15.75" customHeight="1">
      <c r="A1166" s="3">
        <v>45523.0</v>
      </c>
      <c r="B1166" s="4">
        <v>0.001875</v>
      </c>
      <c r="C1166" s="4">
        <v>0.003201</v>
      </c>
      <c r="D1166" s="4">
        <v>0.010622</v>
      </c>
      <c r="E1166" s="4">
        <v>0.006952</v>
      </c>
      <c r="F1166" s="4">
        <v>-0.002891</v>
      </c>
      <c r="G1166" s="4">
        <v>0.001506</v>
      </c>
      <c r="H1166" s="4">
        <v>0.003157</v>
      </c>
      <c r="I1166" s="4">
        <v>0.011111</v>
      </c>
      <c r="J1166" s="4">
        <v>0.005712</v>
      </c>
      <c r="K1166" s="4">
        <v>0.00746</v>
      </c>
      <c r="L1166" s="4">
        <v>0.008675</v>
      </c>
      <c r="M1166" s="4">
        <v>0.006503</v>
      </c>
      <c r="N1166" s="4">
        <v>0.003437</v>
      </c>
      <c r="O1166" s="4">
        <v>0.015587</v>
      </c>
      <c r="P1166" s="4">
        <v>0.019518</v>
      </c>
      <c r="Q1166" s="4">
        <v>0.024492</v>
      </c>
      <c r="R1166" s="4">
        <v>0.018646</v>
      </c>
      <c r="S1166" s="4">
        <v>0.024555</v>
      </c>
      <c r="T1166" s="4">
        <v>-0.007987</v>
      </c>
      <c r="U1166" s="4">
        <v>0.004508</v>
      </c>
      <c r="V1166" s="4">
        <v>0.0107526612242814</v>
      </c>
      <c r="W1166" s="4">
        <v>0.016059253384671</v>
      </c>
      <c r="X1166" s="4">
        <v>0.0</v>
      </c>
      <c r="Y1166" s="4">
        <v>0.0091244635692722</v>
      </c>
      <c r="Z1166" s="4">
        <v>0.0229798830895198</v>
      </c>
      <c r="AA1166" s="4">
        <v>-0.0057932634111262</v>
      </c>
      <c r="AB1166" s="4">
        <v>-0.008677942132666</v>
      </c>
      <c r="AC1166" s="4">
        <v>0.0</v>
      </c>
      <c r="AD1166" s="4">
        <v>0.0</v>
      </c>
      <c r="AE1166" s="4">
        <v>0.0035211256550171</v>
      </c>
      <c r="AF1166" s="4">
        <v>0.0098038981006436</v>
      </c>
      <c r="AG1166" s="4">
        <v>-1.638145983928E-4</v>
      </c>
      <c r="AH1166" s="4">
        <v>0.0087740524600026</v>
      </c>
      <c r="AI1166" s="4">
        <v>-0.0015205692476696</v>
      </c>
      <c r="AJ1166" s="4">
        <v>0.009722</v>
      </c>
      <c r="AK1166" s="4">
        <f>Weights!E1222</f>
        <v>0.00589811174</v>
      </c>
      <c r="AL1166" s="5">
        <v>0.00413094129899249</v>
      </c>
      <c r="AM1166" s="5">
        <v>0.00238532531311563</v>
      </c>
      <c r="AN1166" s="5">
        <v>0.0132909936185907</v>
      </c>
      <c r="AO1166" s="5">
        <v>0.012074138533491</v>
      </c>
      <c r="AP1166" s="6">
        <f t="shared" si="3"/>
        <v>1.777540261</v>
      </c>
      <c r="AQ1166" s="4">
        <f t="shared" si="4"/>
        <v>1.735842671</v>
      </c>
      <c r="AR1166" s="7">
        <f t="shared" si="5"/>
        <v>1.651690302</v>
      </c>
      <c r="AS1166" s="7">
        <f t="shared" ref="AS1166:AU1166" si="1168">AS1165*(1+AM1166)</f>
        <v>1.794810286</v>
      </c>
      <c r="AT1166" s="5">
        <f t="shared" si="1168"/>
        <v>1.563951295</v>
      </c>
      <c r="AU1166" s="5">
        <f t="shared" si="1168"/>
        <v>1.556823583</v>
      </c>
    </row>
    <row r="1167" ht="15.75" customHeight="1">
      <c r="A1167" s="3">
        <v>45524.0</v>
      </c>
      <c r="B1167" s="4">
        <v>-0.008734</v>
      </c>
      <c r="C1167" s="4">
        <v>0.0027</v>
      </c>
      <c r="D1167" s="4">
        <v>-0.005255</v>
      </c>
      <c r="E1167" s="4">
        <v>0.011679</v>
      </c>
      <c r="F1167" s="4">
        <v>0.005799</v>
      </c>
      <c r="G1167" s="4">
        <v>0.00332</v>
      </c>
      <c r="H1167" s="4">
        <v>0.011816</v>
      </c>
      <c r="I1167" s="4">
        <v>-0.002045</v>
      </c>
      <c r="J1167" s="4">
        <v>2.71E-4</v>
      </c>
      <c r="K1167" s="4">
        <v>1.68E-4</v>
      </c>
      <c r="L1167" s="4">
        <v>-0.001773</v>
      </c>
      <c r="M1167" s="4">
        <v>-0.009122</v>
      </c>
      <c r="N1167" s="4">
        <v>-0.003806</v>
      </c>
      <c r="O1167" s="4">
        <v>-0.035236</v>
      </c>
      <c r="P1167" s="4">
        <v>0.005079</v>
      </c>
      <c r="Q1167" s="4">
        <v>0.002916</v>
      </c>
      <c r="R1167" s="4">
        <v>-0.016271</v>
      </c>
      <c r="S1167" s="4">
        <v>0.019339</v>
      </c>
      <c r="T1167" s="4">
        <v>-0.004651</v>
      </c>
      <c r="U1167" s="4">
        <v>-0.001095</v>
      </c>
      <c r="V1167" s="4">
        <v>0.0251451234220614</v>
      </c>
      <c r="W1167" s="4">
        <v>0.0020263422513633</v>
      </c>
      <c r="X1167" s="4">
        <v>0.0</v>
      </c>
      <c r="Y1167" s="4">
        <v>-0.0084225204348423</v>
      </c>
      <c r="Z1167" s="4">
        <v>9.27594850488322E-5</v>
      </c>
      <c r="AA1167" s="4">
        <v>0.0013446693240197</v>
      </c>
      <c r="AB1167" s="4">
        <v>0.0131307094767969</v>
      </c>
      <c r="AC1167" s="4">
        <v>0.0</v>
      </c>
      <c r="AD1167" s="4">
        <v>0.0</v>
      </c>
      <c r="AE1167" s="4">
        <v>0.0188934856943334</v>
      </c>
      <c r="AF1167" s="4">
        <v>-0.0106795507771132</v>
      </c>
      <c r="AG1167" s="4">
        <v>0.0060655006984631</v>
      </c>
      <c r="AH1167" s="4">
        <v>7.051674730713E-4</v>
      </c>
      <c r="AI1167" s="4">
        <v>-0.0030455694328221</v>
      </c>
      <c r="AJ1167" s="4">
        <v>-0.001985</v>
      </c>
      <c r="AK1167" s="4">
        <f>Weights!E1223</f>
        <v>0.001530504154</v>
      </c>
      <c r="AL1167" s="5">
        <v>0.0100192077971301</v>
      </c>
      <c r="AM1167" s="5">
        <v>0.00944447553179683</v>
      </c>
      <c r="AN1167" s="5">
        <v>8.55388384727318E-4</v>
      </c>
      <c r="AO1167" s="5">
        <v>0.00191725040679635</v>
      </c>
      <c r="AP1167" s="6">
        <f t="shared" si="3"/>
        <v>1.780260794</v>
      </c>
      <c r="AQ1167" s="4">
        <f t="shared" si="4"/>
        <v>1.732397024</v>
      </c>
      <c r="AR1167" s="7">
        <f t="shared" si="5"/>
        <v>1.66823893</v>
      </c>
      <c r="AS1167" s="7">
        <f t="shared" ref="AS1167:AU1167" si="1169">AS1166*(1+AM1167)</f>
        <v>1.811761328</v>
      </c>
      <c r="AT1167" s="5">
        <f t="shared" si="1169"/>
        <v>1.565289081</v>
      </c>
      <c r="AU1167" s="5">
        <f t="shared" si="1169"/>
        <v>1.559808403</v>
      </c>
    </row>
    <row r="1168" ht="15.75" customHeight="1">
      <c r="A1168" s="3">
        <v>45525.0</v>
      </c>
      <c r="B1168" s="4">
        <v>0.0</v>
      </c>
      <c r="C1168" s="4">
        <v>0.004896</v>
      </c>
      <c r="D1168" s="4">
        <v>0.009811</v>
      </c>
      <c r="E1168" s="4">
        <v>-0.003639</v>
      </c>
      <c r="F1168" s="4">
        <v>0.002739</v>
      </c>
      <c r="G1168" s="4">
        <v>0.00793</v>
      </c>
      <c r="H1168" s="4">
        <v>-0.001467</v>
      </c>
      <c r="I1168" s="4">
        <v>-0.00128</v>
      </c>
      <c r="J1168" s="4">
        <v>4.59E-4</v>
      </c>
      <c r="K1168" s="4">
        <v>0.005553</v>
      </c>
      <c r="L1168" s="4">
        <v>0.003198</v>
      </c>
      <c r="M1168" s="4">
        <v>0.012026</v>
      </c>
      <c r="N1168" s="4">
        <v>0.016619</v>
      </c>
      <c r="O1168" s="4">
        <v>0.005154</v>
      </c>
      <c r="P1168" s="4">
        <v>0.008163</v>
      </c>
      <c r="Q1168" s="4">
        <v>-0.031395</v>
      </c>
      <c r="R1168" s="4">
        <v>0.00827</v>
      </c>
      <c r="S1168" s="4">
        <v>0.003567</v>
      </c>
      <c r="T1168" s="4">
        <v>0.021339</v>
      </c>
      <c r="U1168" s="4">
        <v>0.010575</v>
      </c>
      <c r="V1168" s="4">
        <v>-9.43393836002171E-4</v>
      </c>
      <c r="W1168" s="4">
        <v>0.0111223447054877</v>
      </c>
      <c r="X1168" s="4">
        <v>0.0037037302557969</v>
      </c>
      <c r="Y1168" s="4">
        <v>0.0091810979470929</v>
      </c>
      <c r="Z1168" s="4">
        <v>0.0107667187912858</v>
      </c>
      <c r="AA1168" s="4">
        <v>0.0290957994500589</v>
      </c>
      <c r="AB1168" s="4">
        <v>-0.0066072751212652</v>
      </c>
      <c r="AC1168" s="4">
        <v>-0.0193181471391157</v>
      </c>
      <c r="AD1168" s="4">
        <v>-0.0120000029406881</v>
      </c>
      <c r="AE1168" s="4">
        <v>0.0066225138448412</v>
      </c>
      <c r="AF1168" s="4">
        <v>0.0049067594110667</v>
      </c>
      <c r="AG1168" s="4">
        <v>0.0058660785568669</v>
      </c>
      <c r="AH1168" s="4">
        <v>-0.0021141236994229</v>
      </c>
      <c r="AI1168" s="4">
        <v>0.0025457947107081</v>
      </c>
      <c r="AJ1168" s="4">
        <v>0.00424</v>
      </c>
      <c r="AK1168" s="4">
        <f>Weights!E1224</f>
        <v>0.004133034111</v>
      </c>
      <c r="AL1168" s="5">
        <v>-0.00144531977801021</v>
      </c>
      <c r="AM1168" s="5">
        <v>-0.00242980624918764</v>
      </c>
      <c r="AN1168" s="5">
        <v>0.0025640831734488</v>
      </c>
      <c r="AO1168" s="5">
        <v>0.00233894159662173</v>
      </c>
      <c r="AP1168" s="6">
        <f t="shared" si="3"/>
        <v>1.787618673</v>
      </c>
      <c r="AQ1168" s="4">
        <f t="shared" si="4"/>
        <v>1.739742387</v>
      </c>
      <c r="AR1168" s="7">
        <f t="shared" si="5"/>
        <v>1.665827791</v>
      </c>
      <c r="AS1168" s="7">
        <f t="shared" ref="AS1168:AU1168" si="1170">AS1167*(1+AM1168)</f>
        <v>1.807359099</v>
      </c>
      <c r="AT1168" s="5">
        <f t="shared" si="1170"/>
        <v>1.569302612</v>
      </c>
      <c r="AU1168" s="5">
        <f t="shared" si="1170"/>
        <v>1.563456704</v>
      </c>
    </row>
    <row r="1169" ht="15.75" customHeight="1">
      <c r="A1169" s="3">
        <v>45526.0</v>
      </c>
      <c r="B1169" s="4">
        <v>-0.003147</v>
      </c>
      <c r="C1169" s="4">
        <v>-0.004385</v>
      </c>
      <c r="D1169" s="4">
        <v>2.49E-4</v>
      </c>
      <c r="E1169" s="4">
        <v>0.003025</v>
      </c>
      <c r="F1169" s="4">
        <v>-0.00345</v>
      </c>
      <c r="G1169" s="4">
        <v>0.005699</v>
      </c>
      <c r="H1169" s="4">
        <v>-5.9E-5</v>
      </c>
      <c r="I1169" s="4">
        <v>0.001026</v>
      </c>
      <c r="J1169" s="4">
        <v>2.29E-4</v>
      </c>
      <c r="K1169" s="4">
        <v>-0.021921</v>
      </c>
      <c r="L1169" s="4">
        <v>0.003542</v>
      </c>
      <c r="M1169" s="4">
        <v>0.00345</v>
      </c>
      <c r="N1169" s="4">
        <v>0.002255</v>
      </c>
      <c r="O1169" s="4">
        <v>-0.003968</v>
      </c>
      <c r="P1169" s="4">
        <v>-0.008868</v>
      </c>
      <c r="Q1169" s="4">
        <v>-0.054022</v>
      </c>
      <c r="R1169" s="4">
        <v>-0.013443</v>
      </c>
      <c r="S1169" s="4">
        <v>-0.014542</v>
      </c>
      <c r="T1169" s="4">
        <v>-0.001639</v>
      </c>
      <c r="U1169" s="4">
        <v>2.71E-4</v>
      </c>
      <c r="V1169" s="4">
        <v>0.00188856933667547</v>
      </c>
      <c r="W1169" s="4">
        <v>0.0079999992186736</v>
      </c>
      <c r="X1169" s="4">
        <v>0.0086100841094811</v>
      </c>
      <c r="Y1169" s="4">
        <v>-0.0035896150155186</v>
      </c>
      <c r="Z1169" s="4">
        <v>-0.0065197432131901</v>
      </c>
      <c r="AA1169" s="4">
        <v>-0.005219586426164</v>
      </c>
      <c r="AB1169" s="4">
        <v>0.0061396979898467</v>
      </c>
      <c r="AC1169" s="4">
        <v>-0.0011588192349849</v>
      </c>
      <c r="AD1169" s="4">
        <v>0.0107961649447101</v>
      </c>
      <c r="AE1169" s="4">
        <v>-0.0028948373485573</v>
      </c>
      <c r="AF1169" s="4">
        <v>-0.0278320175409576</v>
      </c>
      <c r="AG1169" s="4">
        <v>-0.0208975069549887</v>
      </c>
      <c r="AH1169" s="4">
        <v>-0.0023541027637921</v>
      </c>
      <c r="AI1169" s="4">
        <v>-0.0011720370581418</v>
      </c>
      <c r="AJ1169" s="4">
        <v>-0.008933</v>
      </c>
      <c r="AK1169" s="4">
        <f>Weights!E1225</f>
        <v>-0.004065227553</v>
      </c>
      <c r="AL1169" s="5">
        <v>0.00572364421891413</v>
      </c>
      <c r="AM1169" s="5">
        <v>0.0050167568799333</v>
      </c>
      <c r="AN1169" s="5">
        <v>-0.00369419112488966</v>
      </c>
      <c r="AO1169" s="5">
        <v>-0.00275768586446534</v>
      </c>
      <c r="AP1169" s="6">
        <f t="shared" si="3"/>
        <v>1.780351596</v>
      </c>
      <c r="AQ1169" s="4">
        <f t="shared" si="4"/>
        <v>1.724201268</v>
      </c>
      <c r="AR1169" s="7">
        <f t="shared" si="5"/>
        <v>1.675362397</v>
      </c>
      <c r="AS1169" s="7">
        <f t="shared" ref="AS1169:AU1169" si="1171">AS1168*(1+AM1169)</f>
        <v>1.81642618</v>
      </c>
      <c r="AT1169" s="5">
        <f t="shared" si="1171"/>
        <v>1.563505309</v>
      </c>
      <c r="AU1169" s="5">
        <f t="shared" si="1171"/>
        <v>1.559145182</v>
      </c>
    </row>
    <row r="1170" ht="15.75" customHeight="1">
      <c r="A1170" s="3">
        <v>45527.0</v>
      </c>
      <c r="B1170" s="4">
        <v>0.015783</v>
      </c>
      <c r="C1170" s="4">
        <v>0.008319</v>
      </c>
      <c r="D1170" s="4">
        <v>0.016687</v>
      </c>
      <c r="E1170" s="4">
        <v>7.4E-4</v>
      </c>
      <c r="F1170" s="4">
        <v>0.006635</v>
      </c>
      <c r="G1170" s="4">
        <v>0.010964</v>
      </c>
      <c r="H1170" s="4">
        <v>-0.00576</v>
      </c>
      <c r="I1170" s="4">
        <v>0.015881</v>
      </c>
      <c r="J1170" s="4">
        <v>0.009397</v>
      </c>
      <c r="K1170" s="4">
        <v>0.015398</v>
      </c>
      <c r="L1170" s="4">
        <v>0.019234</v>
      </c>
      <c r="M1170" s="4">
        <v>0.037051</v>
      </c>
      <c r="N1170" s="4">
        <v>0.02156</v>
      </c>
      <c r="O1170" s="4">
        <v>0.014458</v>
      </c>
      <c r="P1170" s="4">
        <v>0.012254</v>
      </c>
      <c r="Q1170" s="4">
        <v>-0.07868</v>
      </c>
      <c r="R1170" s="4">
        <v>0.031409</v>
      </c>
      <c r="S1170" s="4">
        <v>0.018364</v>
      </c>
      <c r="T1170" s="4">
        <v>0.010327</v>
      </c>
      <c r="U1170" s="4">
        <v>0.01057</v>
      </c>
      <c r="V1170" s="4">
        <v>-0.00188500936578794</v>
      </c>
      <c r="W1170" s="4">
        <v>0.0029761901878253</v>
      </c>
      <c r="X1170" s="4">
        <v>-0.0109756881722775</v>
      </c>
      <c r="Y1170" s="4">
        <v>0.0061492411494754</v>
      </c>
      <c r="Z1170" s="4">
        <v>0.0091505239822808</v>
      </c>
      <c r="AA1170" s="4">
        <v>-0.0054657442565834</v>
      </c>
      <c r="AB1170" s="4">
        <v>-0.00228826170666</v>
      </c>
      <c r="AC1170" s="4">
        <v>0.0174013927274343</v>
      </c>
      <c r="AD1170" s="4">
        <v>-0.0093457855468859</v>
      </c>
      <c r="AE1170" s="4">
        <v>-0.0036948031982669</v>
      </c>
      <c r="AF1170" s="4">
        <v>-0.0010045424227407</v>
      </c>
      <c r="AG1170" s="4">
        <v>0.0031436607471229</v>
      </c>
      <c r="AH1170" s="4">
        <v>0.0184049245420372</v>
      </c>
      <c r="AI1170" s="4">
        <v>-0.0061226574653531</v>
      </c>
      <c r="AJ1170" s="4">
        <v>0.011483</v>
      </c>
      <c r="AK1170" s="4">
        <f>Weights!E1226</f>
        <v>0.006397972136</v>
      </c>
      <c r="AL1170" s="5">
        <v>-0.0090272015022087</v>
      </c>
      <c r="AM1170" s="5">
        <v>-0.00846414396257133</v>
      </c>
      <c r="AN1170" s="5">
        <v>0.0031375042990378</v>
      </c>
      <c r="AO1170" s="5">
        <v>0.00319085266802976</v>
      </c>
      <c r="AP1170" s="6">
        <f t="shared" si="3"/>
        <v>1.791742236</v>
      </c>
      <c r="AQ1170" s="4">
        <f t="shared" si="4"/>
        <v>1.744000271</v>
      </c>
      <c r="AR1170" s="7">
        <f t="shared" si="5"/>
        <v>1.660238563</v>
      </c>
      <c r="AS1170" s="7">
        <f t="shared" ref="AS1170:AU1170" si="1172">AS1169*(1+AM1170)</f>
        <v>1.801051687</v>
      </c>
      <c r="AT1170" s="5">
        <f t="shared" si="1172"/>
        <v>1.568410813</v>
      </c>
      <c r="AU1170" s="5">
        <f t="shared" si="1172"/>
        <v>1.564120184</v>
      </c>
    </row>
    <row r="1171" ht="15.75" customHeight="1">
      <c r="A1171" s="3">
        <v>45530.0</v>
      </c>
      <c r="B1171" s="4">
        <v>0.010566</v>
      </c>
      <c r="C1171" s="4">
        <v>0.006795</v>
      </c>
      <c r="D1171" s="4">
        <v>-0.003185</v>
      </c>
      <c r="E1171" s="4">
        <v>5.69E-4</v>
      </c>
      <c r="F1171" s="4">
        <v>0.015045</v>
      </c>
      <c r="G1171" s="4">
        <v>0.002924</v>
      </c>
      <c r="H1171" s="4">
        <v>0.006975</v>
      </c>
      <c r="I1171" s="4">
        <v>0.005799</v>
      </c>
      <c r="J1171" s="4">
        <v>-0.00386</v>
      </c>
      <c r="K1171" s="4">
        <v>-0.002864</v>
      </c>
      <c r="L1171" s="4">
        <v>0.001385</v>
      </c>
      <c r="M1171" s="4">
        <v>0.001105</v>
      </c>
      <c r="N1171" s="4">
        <v>0.001285</v>
      </c>
      <c r="O1171" s="4">
        <v>-0.003442</v>
      </c>
      <c r="P1171" s="4">
        <v>0.004227</v>
      </c>
      <c r="Q1171" s="4">
        <v>-0.018595</v>
      </c>
      <c r="R1171" s="4">
        <v>0.011867</v>
      </c>
      <c r="S1171" s="4">
        <v>0.003059</v>
      </c>
      <c r="T1171" s="4">
        <v>0.018344</v>
      </c>
      <c r="U1171" s="4">
        <v>1.61E-4</v>
      </c>
      <c r="V1171" s="4">
        <v>0.00566570801002641</v>
      </c>
      <c r="W1171" s="4">
        <v>-0.0148367938189444</v>
      </c>
      <c r="X1171" s="4">
        <v>0.0049322499434341</v>
      </c>
      <c r="Y1171" s="4">
        <v>-0.0027162503403936</v>
      </c>
      <c r="Z1171" s="4">
        <v>-0.0090675511381309</v>
      </c>
      <c r="AA1171" s="4">
        <v>-0.0015387482820693</v>
      </c>
      <c r="AB1171" s="4">
        <v>0.0101936792000032</v>
      </c>
      <c r="AC1171" s="4">
        <v>0.0262258053796196</v>
      </c>
      <c r="AD1171" s="4">
        <v>0.0107817215191863</v>
      </c>
      <c r="AE1171" s="4">
        <v>0.00556280927242</v>
      </c>
      <c r="AF1171" s="4">
        <v>0.0035193418335452</v>
      </c>
      <c r="AG1171" s="4">
        <v>-0.0374402165219852</v>
      </c>
      <c r="AH1171" s="4">
        <v>-0.00648746015493</v>
      </c>
      <c r="AI1171" s="4">
        <v>5.136338641722E-4</v>
      </c>
      <c r="AJ1171" s="4">
        <v>-0.003154</v>
      </c>
      <c r="AK1171" s="4">
        <f>Weights!E1227</f>
        <v>0.0003419773689</v>
      </c>
      <c r="AL1171" s="5">
        <v>0.0152484800960455</v>
      </c>
      <c r="AM1171" s="5">
        <v>0.0126587230919501</v>
      </c>
      <c r="AN1171" s="5">
        <v>-0.00255886868591803</v>
      </c>
      <c r="AO1171" s="5">
        <v>-0.00296865110382071</v>
      </c>
      <c r="AP1171" s="6">
        <f t="shared" si="3"/>
        <v>1.792354971</v>
      </c>
      <c r="AQ1171" s="4">
        <f t="shared" si="4"/>
        <v>1.738499695</v>
      </c>
      <c r="AR1171" s="7">
        <f t="shared" si="5"/>
        <v>1.685554678</v>
      </c>
      <c r="AS1171" s="7">
        <f t="shared" ref="AS1171:AU1171" si="1173">AS1170*(1+AM1171)</f>
        <v>1.823850702</v>
      </c>
      <c r="AT1171" s="5">
        <f t="shared" si="1173"/>
        <v>1.564397456</v>
      </c>
      <c r="AU1171" s="5">
        <f t="shared" si="1173"/>
        <v>1.559476857</v>
      </c>
    </row>
    <row r="1172" ht="15.75" customHeight="1">
      <c r="A1172" s="3">
        <v>45531.0</v>
      </c>
      <c r="B1172" s="4">
        <v>-0.005535</v>
      </c>
      <c r="C1172" s="4">
        <v>-9.64E-4</v>
      </c>
      <c r="D1172" s="4">
        <v>0.010568</v>
      </c>
      <c r="E1172" s="4">
        <v>-0.003807</v>
      </c>
      <c r="F1172" s="4">
        <v>0.009317</v>
      </c>
      <c r="G1172" s="4">
        <v>-0.002552</v>
      </c>
      <c r="H1172" s="4">
        <v>-0.006457</v>
      </c>
      <c r="I1172" s="4">
        <v>-0.005515</v>
      </c>
      <c r="J1172" s="4">
        <v>-9.12E-4</v>
      </c>
      <c r="K1172" s="4">
        <v>0.008618</v>
      </c>
      <c r="L1172" s="4">
        <v>0.006224</v>
      </c>
      <c r="M1172" s="4">
        <v>0.008094</v>
      </c>
      <c r="N1172" s="4">
        <v>0.002566</v>
      </c>
      <c r="O1172" s="4">
        <v>0.072567</v>
      </c>
      <c r="P1172" s="4">
        <v>0.008419</v>
      </c>
      <c r="Q1172" s="4">
        <v>0.006316</v>
      </c>
      <c r="R1172" s="4">
        <v>8.85E-4</v>
      </c>
      <c r="S1172" s="4">
        <v>0.002087</v>
      </c>
      <c r="T1172" s="4">
        <v>-4.65E-4</v>
      </c>
      <c r="U1172" s="4">
        <v>-0.002413</v>
      </c>
      <c r="V1172" s="4">
        <v>0.0</v>
      </c>
      <c r="W1172" s="4">
        <v>0.004819355082273</v>
      </c>
      <c r="X1172" s="4">
        <v>0.0</v>
      </c>
      <c r="Y1172" s="4">
        <v>6.809121128568E-4</v>
      </c>
      <c r="Z1172" s="4">
        <v>-0.002407446880679</v>
      </c>
      <c r="AA1172" s="4">
        <v>0.0050638057454241</v>
      </c>
      <c r="AB1172" s="4">
        <v>0.0068111990792154</v>
      </c>
      <c r="AC1172" s="4">
        <v>0.0</v>
      </c>
      <c r="AD1172" s="4">
        <v>0.0</v>
      </c>
      <c r="AE1172" s="4">
        <v>0.0031613231649549</v>
      </c>
      <c r="AF1172" s="4">
        <v>-0.0060119729363052</v>
      </c>
      <c r="AG1172" s="4">
        <v>0.0119945504976186</v>
      </c>
      <c r="AH1172" s="4">
        <v>0.0128264521848437</v>
      </c>
      <c r="AI1172" s="4">
        <v>-0.0020525724568974</v>
      </c>
      <c r="AJ1172" s="4">
        <v>0.001595</v>
      </c>
      <c r="AK1172" s="4">
        <f>Weights!E1228</f>
        <v>0.003352449754</v>
      </c>
      <c r="AL1172" s="5">
        <v>-0.00286084404638964</v>
      </c>
      <c r="AM1172" s="5">
        <v>-0.00252161239310377</v>
      </c>
      <c r="AN1172" s="5">
        <v>0.0096918965245194</v>
      </c>
      <c r="AO1172" s="5">
        <v>0.0106337753295251</v>
      </c>
      <c r="AP1172" s="6">
        <f t="shared" si="3"/>
        <v>1.798363751</v>
      </c>
      <c r="AQ1172" s="4">
        <f t="shared" si="4"/>
        <v>1.741272602</v>
      </c>
      <c r="AR1172" s="7">
        <f t="shared" si="5"/>
        <v>1.680732569</v>
      </c>
      <c r="AS1172" s="7">
        <f t="shared" ref="AS1172:AU1172" si="1174">AS1171*(1+AM1172)</f>
        <v>1.819251658</v>
      </c>
      <c r="AT1172" s="5">
        <f t="shared" si="1174"/>
        <v>1.579559434</v>
      </c>
      <c r="AU1172" s="5">
        <f t="shared" si="1174"/>
        <v>1.576059984</v>
      </c>
    </row>
    <row r="1173" ht="15.75" customHeight="1">
      <c r="A1173" s="3">
        <v>45532.0</v>
      </c>
      <c r="B1173" s="4">
        <v>-0.006184</v>
      </c>
      <c r="C1173" s="4">
        <v>9.65E-4</v>
      </c>
      <c r="D1173" s="4">
        <v>-0.007296</v>
      </c>
      <c r="E1173" s="4">
        <v>-0.007872</v>
      </c>
      <c r="F1173" s="4">
        <v>0.003497</v>
      </c>
      <c r="G1173" s="4">
        <v>0.005953</v>
      </c>
      <c r="H1173" s="4">
        <v>-0.001123</v>
      </c>
      <c r="I1173" s="4">
        <v>-0.007562</v>
      </c>
      <c r="J1173" s="4">
        <v>-0.001369</v>
      </c>
      <c r="K1173" s="4">
        <v>-0.004356</v>
      </c>
      <c r="L1173" s="4">
        <v>0.020962</v>
      </c>
      <c r="M1173" s="4">
        <v>-0.00365</v>
      </c>
      <c r="N1173" s="4">
        <v>-0.002898</v>
      </c>
      <c r="O1173" s="4">
        <v>0.001816</v>
      </c>
      <c r="P1173" s="4">
        <v>-0.016509</v>
      </c>
      <c r="Q1173" s="4">
        <v>-0.019526</v>
      </c>
      <c r="R1173" s="4">
        <v>-0.030069</v>
      </c>
      <c r="S1173" s="4">
        <v>-0.016659</v>
      </c>
      <c r="T1173" s="4">
        <v>-0.015495</v>
      </c>
      <c r="U1173" s="4">
        <v>-0.003172</v>
      </c>
      <c r="V1173" s="4">
        <v>0.0197182601307259</v>
      </c>
      <c r="W1173" s="4">
        <v>-0.027777850968553</v>
      </c>
      <c r="X1173" s="4">
        <v>-0.0184049446936798</v>
      </c>
      <c r="Y1173" s="4">
        <v>0.0</v>
      </c>
      <c r="Z1173" s="4">
        <v>0.0</v>
      </c>
      <c r="AA1173" s="4">
        <v>0.0</v>
      </c>
      <c r="AB1173" s="4">
        <v>0.0</v>
      </c>
      <c r="AC1173" s="4">
        <v>0.012222205268012</v>
      </c>
      <c r="AD1173" s="4">
        <v>0.0133333949477507</v>
      </c>
      <c r="AE1173" s="4">
        <v>0.0</v>
      </c>
      <c r="AF1173" s="4">
        <v>0.0010080251278969</v>
      </c>
      <c r="AG1173" s="4">
        <v>-0.0154080154320946</v>
      </c>
      <c r="AH1173" s="4">
        <v>0.0313147958630779</v>
      </c>
      <c r="AI1173" s="4">
        <v>0.0</v>
      </c>
      <c r="AJ1173" s="4">
        <v>-0.005976</v>
      </c>
      <c r="AK1173" s="4">
        <f>Weights!E1229</f>
        <v>-0.001590967929</v>
      </c>
      <c r="AL1173" s="5">
        <v>0.00149969299871788</v>
      </c>
      <c r="AM1173" s="5">
        <v>9.02765047688713E-4</v>
      </c>
      <c r="AN1173" s="5">
        <v>0.00282326699093049</v>
      </c>
      <c r="AO1173" s="5">
        <v>0.00242008751338129</v>
      </c>
      <c r="AP1173" s="6">
        <f t="shared" si="3"/>
        <v>1.795502612</v>
      </c>
      <c r="AQ1173" s="4">
        <f t="shared" si="4"/>
        <v>1.730866756</v>
      </c>
      <c r="AR1173" s="7">
        <f t="shared" si="5"/>
        <v>1.683253151</v>
      </c>
      <c r="AS1173" s="7">
        <f t="shared" ref="AS1173:AU1173" si="1175">AS1172*(1+AM1173)</f>
        <v>1.820894014</v>
      </c>
      <c r="AT1173" s="5">
        <f t="shared" si="1175"/>
        <v>1.584018952</v>
      </c>
      <c r="AU1173" s="5">
        <f t="shared" si="1175"/>
        <v>1.579874187</v>
      </c>
    </row>
    <row r="1174" ht="15.75" customHeight="1">
      <c r="A1174" s="3">
        <v>45533.0</v>
      </c>
      <c r="B1174" s="4">
        <v>-0.003734</v>
      </c>
      <c r="C1174" s="4">
        <v>-0.005785</v>
      </c>
      <c r="D1174" s="4">
        <v>-0.00343</v>
      </c>
      <c r="E1174" s="4">
        <v>-0.010522</v>
      </c>
      <c r="F1174" s="4">
        <v>0.004181</v>
      </c>
      <c r="G1174" s="4">
        <v>0.001891</v>
      </c>
      <c r="H1174" s="4">
        <v>0.005738</v>
      </c>
      <c r="I1174" s="4">
        <v>0.004826</v>
      </c>
      <c r="J1174" s="4">
        <v>-6.85E-4</v>
      </c>
      <c r="K1174" s="4">
        <v>3.37E-4</v>
      </c>
      <c r="L1174" s="4">
        <v>0.003029</v>
      </c>
      <c r="M1174" s="4">
        <v>0.00293</v>
      </c>
      <c r="N1174" s="4">
        <v>0.004264</v>
      </c>
      <c r="O1174" s="4">
        <v>0.001937</v>
      </c>
      <c r="P1174" s="4">
        <v>0.026047</v>
      </c>
      <c r="Q1174" s="4">
        <v>7.11E-4</v>
      </c>
      <c r="R1174" s="4">
        <v>-9.12E-4</v>
      </c>
      <c r="S1174" s="4">
        <v>0.004398</v>
      </c>
      <c r="T1174" s="4">
        <v>0.013375</v>
      </c>
      <c r="U1174" s="4">
        <v>0.001888</v>
      </c>
      <c r="V1174" s="4">
        <v>-0.0119705044647554</v>
      </c>
      <c r="W1174" s="4">
        <v>-0.01500509708962</v>
      </c>
      <c r="X1174" s="4">
        <v>-0.0049999714491971</v>
      </c>
      <c r="Y1174" s="4">
        <v>-0.0051960670885826</v>
      </c>
      <c r="Z1174" s="4">
        <v>5.569491126296E-4</v>
      </c>
      <c r="AA1174" s="4">
        <v>-0.0240963365955472</v>
      </c>
      <c r="AB1174" s="4">
        <v>-0.003758444273733</v>
      </c>
      <c r="AC1174" s="4">
        <v>-0.0186607791077527</v>
      </c>
      <c r="AD1174" s="4">
        <v>-0.0092105164970105</v>
      </c>
      <c r="AE1174" s="4">
        <v>0.0107668023526479</v>
      </c>
      <c r="AF1174" s="4">
        <v>-0.0140986937453316</v>
      </c>
      <c r="AG1174" s="4">
        <v>-0.010834154195227</v>
      </c>
      <c r="AH1174" s="4">
        <v>-0.0096004064240897</v>
      </c>
      <c r="AI1174" s="4">
        <v>-0.0041129815981691</v>
      </c>
      <c r="AJ1174" s="4">
        <v>-3.9E-5</v>
      </c>
      <c r="AK1174" s="4">
        <f>Weights!E1230</f>
        <v>-0.002706548902</v>
      </c>
      <c r="AL1174" s="5">
        <v>-0.00475281966723462</v>
      </c>
      <c r="AM1174" s="5">
        <v>-0.00609792576892664</v>
      </c>
      <c r="AN1174" s="5">
        <v>-0.00408450879130428</v>
      </c>
      <c r="AO1174" s="5">
        <v>-0.00346377070693371</v>
      </c>
      <c r="AP1174" s="6">
        <f t="shared" si="3"/>
        <v>1.790642997</v>
      </c>
      <c r="AQ1174" s="4">
        <f t="shared" si="4"/>
        <v>1.730799253</v>
      </c>
      <c r="AR1174" s="7">
        <f t="shared" si="5"/>
        <v>1.675252953</v>
      </c>
      <c r="AS1174" s="7">
        <f t="shared" ref="AS1174:AU1174" si="1176">AS1173*(1+AM1174)</f>
        <v>1.809790338</v>
      </c>
      <c r="AT1174" s="5">
        <f t="shared" si="1176"/>
        <v>1.577549013</v>
      </c>
      <c r="AU1174" s="5">
        <f t="shared" si="1176"/>
        <v>1.574401865</v>
      </c>
    </row>
    <row r="1175" ht="15.75" customHeight="1">
      <c r="A1175" s="3">
        <v>45534.0</v>
      </c>
      <c r="B1175" s="4">
        <v>0.00812</v>
      </c>
      <c r="C1175" s="4">
        <v>0.012848</v>
      </c>
      <c r="D1175" s="4">
        <v>-0.003196</v>
      </c>
      <c r="E1175" s="4">
        <v>0.004591</v>
      </c>
      <c r="F1175" s="4">
        <v>0.005829</v>
      </c>
      <c r="G1175" s="4">
        <v>0.009925</v>
      </c>
      <c r="H1175" s="4">
        <v>0.008881</v>
      </c>
      <c r="I1175" s="4">
        <v>0.015672</v>
      </c>
      <c r="J1175" s="4">
        <v>0.005944</v>
      </c>
      <c r="K1175" s="4">
        <v>0.007906</v>
      </c>
      <c r="L1175" s="4">
        <v>0.013255</v>
      </c>
      <c r="M1175" s="4">
        <v>0.0084</v>
      </c>
      <c r="N1175" s="4">
        <v>0.006461</v>
      </c>
      <c r="O1175" s="4">
        <v>0.007649</v>
      </c>
      <c r="P1175" s="4">
        <v>0.003949</v>
      </c>
      <c r="Q1175" s="4">
        <v>-0.023454</v>
      </c>
      <c r="R1175" s="4">
        <v>0.010267</v>
      </c>
      <c r="S1175" s="4">
        <v>0.002433</v>
      </c>
      <c r="T1175" s="4">
        <v>0.012598</v>
      </c>
      <c r="U1175" s="4">
        <v>0.00393</v>
      </c>
      <c r="V1175" s="4">
        <v>0.0</v>
      </c>
      <c r="W1175" s="4">
        <v>0.0123121648407493</v>
      </c>
      <c r="X1175" s="4">
        <v>-0.0062814196214554</v>
      </c>
      <c r="Y1175" s="4">
        <v>0.0131823295805344</v>
      </c>
      <c r="Z1175" s="4">
        <v>0.0275509364185067</v>
      </c>
      <c r="AA1175" s="4">
        <v>0.016385999583893</v>
      </c>
      <c r="AB1175" s="4">
        <v>0.0047787292640353</v>
      </c>
      <c r="AC1175" s="4">
        <v>-0.0123042332812788</v>
      </c>
      <c r="AD1175" s="4">
        <v>0.0119520887127042</v>
      </c>
      <c r="AE1175" s="4">
        <v>0.004936345120917</v>
      </c>
      <c r="AF1175" s="4">
        <v>0.0030643564739174</v>
      </c>
      <c r="AG1175" s="4">
        <v>-0.0142558611748323</v>
      </c>
      <c r="AH1175" s="4">
        <v>-0.0182596604136787</v>
      </c>
      <c r="AI1175" s="4">
        <v>0.0010323904769464</v>
      </c>
      <c r="AJ1175" s="4">
        <v>0.010093</v>
      </c>
      <c r="AK1175" s="4">
        <f>Weights!E1231</f>
        <v>0.004046352312</v>
      </c>
      <c r="AL1175" s="5">
        <v>6.54203794582919E-4</v>
      </c>
      <c r="AM1175" s="5">
        <v>9.80208646489622E-4</v>
      </c>
      <c r="AN1175" s="5">
        <v>-0.00398749284952582</v>
      </c>
      <c r="AO1175" s="5">
        <v>-0.00526660775852549</v>
      </c>
      <c r="AP1175" s="6">
        <f t="shared" si="3"/>
        <v>1.797888569</v>
      </c>
      <c r="AQ1175" s="4">
        <f t="shared" si="4"/>
        <v>1.74826821</v>
      </c>
      <c r="AR1175" s="7">
        <f t="shared" si="5"/>
        <v>1.67634891</v>
      </c>
      <c r="AS1175" s="7">
        <f t="shared" ref="AS1175:AU1175" si="1177">AS1174*(1+AM1175)</f>
        <v>1.81156431</v>
      </c>
      <c r="AT1175" s="5">
        <f t="shared" si="1177"/>
        <v>1.571258547</v>
      </c>
      <c r="AU1175" s="5">
        <f t="shared" si="1177"/>
        <v>1.566110108</v>
      </c>
    </row>
    <row r="1176" ht="15.75" customHeight="1">
      <c r="A1176" s="3">
        <v>45538.0</v>
      </c>
      <c r="B1176" s="4">
        <v>0.016109</v>
      </c>
      <c r="C1176" s="4">
        <v>0.027525</v>
      </c>
      <c r="D1176" s="4">
        <v>-0.004192</v>
      </c>
      <c r="E1176" s="4">
        <v>0.026955</v>
      </c>
      <c r="F1176" s="4">
        <v>0.007451</v>
      </c>
      <c r="G1176" s="4">
        <v>0.007838</v>
      </c>
      <c r="H1176" s="4">
        <v>0.017372</v>
      </c>
      <c r="I1176" s="4">
        <v>4.98E-4</v>
      </c>
      <c r="J1176" s="4">
        <v>0.013182</v>
      </c>
      <c r="K1176" s="4">
        <v>-0.01285</v>
      </c>
      <c r="L1176" s="4">
        <v>4.97E-4</v>
      </c>
      <c r="M1176" s="4">
        <v>-0.006519</v>
      </c>
      <c r="N1176" s="4">
        <v>0.005319</v>
      </c>
      <c r="O1176" s="4">
        <v>-4.9E-4</v>
      </c>
      <c r="P1176" s="4">
        <v>-0.020978</v>
      </c>
      <c r="Q1176" s="4">
        <v>7.28E-4</v>
      </c>
      <c r="R1176" s="4">
        <v>-0.065944</v>
      </c>
      <c r="S1176" s="4">
        <v>-0.033813</v>
      </c>
      <c r="T1176" s="4">
        <v>-0.04924</v>
      </c>
      <c r="U1176" s="4">
        <v>-0.007239</v>
      </c>
      <c r="V1176" s="4">
        <v>0.00745571293093094</v>
      </c>
      <c r="W1176" s="4">
        <v>0.0032983087472677</v>
      </c>
      <c r="X1176" s="4">
        <v>0.0063211252617039</v>
      </c>
      <c r="Y1176" s="4">
        <v>-0.0014114587550546</v>
      </c>
      <c r="Z1176" s="4">
        <v>-0.0027985580086364</v>
      </c>
      <c r="AA1176" s="4">
        <v>-0.0026500499638993</v>
      </c>
      <c r="AB1176" s="4">
        <v>-0.0055069180138345</v>
      </c>
      <c r="AC1176" s="4">
        <v>-0.0079275713866782</v>
      </c>
      <c r="AD1176" s="4">
        <v>-0.0039368711317409</v>
      </c>
      <c r="AE1176" s="4">
        <v>0.0036194401255975</v>
      </c>
      <c r="AF1176" s="4">
        <v>-0.0010183523465553</v>
      </c>
      <c r="AG1176" s="4">
        <v>0.0</v>
      </c>
      <c r="AH1176" s="4">
        <v>0.0</v>
      </c>
      <c r="AI1176" s="4">
        <v>0.0</v>
      </c>
      <c r="AJ1176" s="4">
        <v>-0.021151</v>
      </c>
      <c r="AK1176" s="4">
        <f>Weights!E1232</f>
        <v>-0.001897863081</v>
      </c>
      <c r="AL1176" s="5">
        <v>0.00797588752439737</v>
      </c>
      <c r="AM1176" s="5">
        <v>0.0096474056110809</v>
      </c>
      <c r="AN1176" s="5">
        <v>0.00457534732223963</v>
      </c>
      <c r="AO1176" s="5">
        <v>0.00423549441340953</v>
      </c>
      <c r="AP1176" s="6">
        <f t="shared" si="3"/>
        <v>1.794476423</v>
      </c>
      <c r="AQ1176" s="4">
        <f t="shared" si="4"/>
        <v>1.711290589</v>
      </c>
      <c r="AR1176" s="7">
        <f t="shared" si="5"/>
        <v>1.68971928</v>
      </c>
      <c r="AS1176" s="7">
        <f t="shared" ref="AS1176:AU1176" si="1178">AS1175*(1+AM1176)</f>
        <v>1.829041206</v>
      </c>
      <c r="AT1176" s="5">
        <f t="shared" si="1178"/>
        <v>1.578447601</v>
      </c>
      <c r="AU1176" s="5">
        <f t="shared" si="1178"/>
        <v>1.572743358</v>
      </c>
    </row>
    <row r="1177" ht="15.75" customHeight="1">
      <c r="A1177" s="3">
        <v>45539.0</v>
      </c>
      <c r="B1177" s="4">
        <v>0.013415</v>
      </c>
      <c r="C1177" s="4">
        <v>-0.033776</v>
      </c>
      <c r="D1177" s="4">
        <v>0.005696</v>
      </c>
      <c r="E1177" s="4">
        <v>0.00552</v>
      </c>
      <c r="F1177" s="4">
        <v>-0.006164</v>
      </c>
      <c r="G1177" s="4">
        <v>0.001196</v>
      </c>
      <c r="H1177" s="4">
        <v>0.007907</v>
      </c>
      <c r="I1177" s="4">
        <v>0.005224</v>
      </c>
      <c r="J1177" s="4">
        <v>0.004711</v>
      </c>
      <c r="K1177" s="4">
        <v>3.38E-4</v>
      </c>
      <c r="L1177" s="4">
        <v>0.010262</v>
      </c>
      <c r="M1177" s="4">
        <v>0.006198</v>
      </c>
      <c r="N1177" s="4">
        <v>0.010764</v>
      </c>
      <c r="O1177" s="4">
        <v>-6.12E-4</v>
      </c>
      <c r="P1177" s="4">
        <v>-0.012627</v>
      </c>
      <c r="Q1177" s="4">
        <v>-0.014545</v>
      </c>
      <c r="R1177" s="4">
        <v>0.006044</v>
      </c>
      <c r="S1177" s="4">
        <v>-6.7E-4</v>
      </c>
      <c r="T1177" s="4">
        <v>-0.018833</v>
      </c>
      <c r="U1177" s="4">
        <v>-0.001998</v>
      </c>
      <c r="V1177" s="4">
        <v>-0.0166512074717321</v>
      </c>
      <c r="W1177" s="4">
        <v>0.0043147924216015</v>
      </c>
      <c r="X1177" s="4">
        <v>0.0</v>
      </c>
      <c r="Y1177" s="4">
        <v>-0.0119231127692294</v>
      </c>
      <c r="Z1177" s="4">
        <v>-0.0099583543220491</v>
      </c>
      <c r="AA1177" s="4">
        <v>2.213126886714E-4</v>
      </c>
      <c r="AB1177" s="4">
        <v>-0.0032720890623977</v>
      </c>
      <c r="AC1177" s="4">
        <v>0.0</v>
      </c>
      <c r="AD1177" s="4">
        <v>0.0</v>
      </c>
      <c r="AE1177" s="4">
        <v>-0.0172591378991143</v>
      </c>
      <c r="AF1177" s="4">
        <v>0.0056065541149605</v>
      </c>
      <c r="AG1177" s="4">
        <v>-0.0014109705257508</v>
      </c>
      <c r="AH1177" s="4">
        <v>-0.0190585953483248</v>
      </c>
      <c r="AI1177" s="4">
        <v>0.006704581015674</v>
      </c>
      <c r="AJ1177" s="4">
        <v>-0.001602</v>
      </c>
      <c r="AK1177" s="4">
        <f>Weights!E1233</f>
        <v>-0.001966930216</v>
      </c>
      <c r="AL1177" s="5">
        <v>-0.0205603833463405</v>
      </c>
      <c r="AM1177" s="5">
        <v>-0.0215171849423544</v>
      </c>
      <c r="AN1177" s="5">
        <v>0.00512390518310557</v>
      </c>
      <c r="AO1177" s="5">
        <v>0.00590466649638843</v>
      </c>
      <c r="AP1177" s="6">
        <f t="shared" si="3"/>
        <v>1.790946813</v>
      </c>
      <c r="AQ1177" s="4">
        <f t="shared" si="4"/>
        <v>1.708549101</v>
      </c>
      <c r="AR1177" s="7">
        <f t="shared" si="5"/>
        <v>1.654978004</v>
      </c>
      <c r="AS1177" s="7">
        <f t="shared" ref="AS1177:AU1177" si="1179">AS1176*(1+AM1177)</f>
        <v>1.789685388</v>
      </c>
      <c r="AT1177" s="5">
        <f t="shared" si="1179"/>
        <v>1.586535417</v>
      </c>
      <c r="AU1177" s="5">
        <f t="shared" si="1179"/>
        <v>1.582029883</v>
      </c>
    </row>
    <row r="1178" ht="15.75" customHeight="1">
      <c r="A1178" s="3">
        <v>45540.0</v>
      </c>
      <c r="B1178" s="4">
        <v>0.012034</v>
      </c>
      <c r="C1178" s="4">
        <v>-0.004098</v>
      </c>
      <c r="D1178" s="4">
        <v>0.01379</v>
      </c>
      <c r="E1178" s="4">
        <v>0.004369</v>
      </c>
      <c r="F1178" s="4">
        <v>-0.019157</v>
      </c>
      <c r="G1178" s="4">
        <v>-0.014161</v>
      </c>
      <c r="H1178" s="4">
        <v>-0.002445</v>
      </c>
      <c r="I1178" s="4">
        <v>9.9E-4</v>
      </c>
      <c r="J1178" s="4">
        <v>0.010493</v>
      </c>
      <c r="K1178" s="4">
        <v>0.022816</v>
      </c>
      <c r="L1178" s="4">
        <v>-0.004833</v>
      </c>
      <c r="M1178" s="4">
        <v>-0.001087</v>
      </c>
      <c r="N1178" s="4">
        <v>-0.004874</v>
      </c>
      <c r="O1178" s="4">
        <v>1.23E-4</v>
      </c>
      <c r="P1178" s="4">
        <v>0.011044</v>
      </c>
      <c r="Q1178" s="4">
        <v>0.002952</v>
      </c>
      <c r="R1178" s="4">
        <v>-0.005047</v>
      </c>
      <c r="S1178" s="4">
        <v>0.003351</v>
      </c>
      <c r="T1178" s="4">
        <v>-0.01489</v>
      </c>
      <c r="U1178" s="4">
        <v>5.95E-4</v>
      </c>
      <c r="V1178" s="4">
        <v>-0.00470365697701458</v>
      </c>
      <c r="W1178" s="4">
        <v>-0.0122749571213692</v>
      </c>
      <c r="X1178" s="4">
        <v>0.0062892230354809</v>
      </c>
      <c r="Y1178" s="4">
        <v>-0.0093300295573065</v>
      </c>
      <c r="Z1178" s="4">
        <v>-0.0021945150424875</v>
      </c>
      <c r="AA1178" s="4">
        <v>0.0057561591688553</v>
      </c>
      <c r="AB1178" s="4">
        <v>-5.049357695962E-4</v>
      </c>
      <c r="AC1178" s="4">
        <v>0.0011286509688857</v>
      </c>
      <c r="AD1178" s="4">
        <v>0.0171731848504876</v>
      </c>
      <c r="AE1178" s="4">
        <v>0.0154653636947768</v>
      </c>
      <c r="AF1178" s="4">
        <v>-0.0040547662917379</v>
      </c>
      <c r="AG1178" s="4">
        <v>0.0047686494422063</v>
      </c>
      <c r="AH1178" s="4">
        <v>-7.02196319625E-4</v>
      </c>
      <c r="AI1178" s="4">
        <v>0.0025614956450239</v>
      </c>
      <c r="AJ1178" s="4">
        <v>-0.003018</v>
      </c>
      <c r="AK1178" s="4">
        <f>Weights!E1234</f>
        <v>0.001527375208</v>
      </c>
      <c r="AL1178" s="5">
        <v>-0.00192042310351603</v>
      </c>
      <c r="AM1178" s="5">
        <v>-0.00223949443588478</v>
      </c>
      <c r="AN1178" s="5">
        <v>-0.00906269163598383</v>
      </c>
      <c r="AO1178" s="5">
        <v>-0.0129978414110948</v>
      </c>
      <c r="AP1178" s="6">
        <f t="shared" si="3"/>
        <v>1.79368226</v>
      </c>
      <c r="AQ1178" s="4">
        <f t="shared" si="4"/>
        <v>1.7033927</v>
      </c>
      <c r="AR1178" s="7">
        <f t="shared" si="5"/>
        <v>1.651799746</v>
      </c>
      <c r="AS1178" s="7">
        <f t="shared" ref="AS1178:AU1178" si="1180">AS1177*(1+AM1178)</f>
        <v>1.785677397</v>
      </c>
      <c r="AT1178" s="5">
        <f t="shared" si="1180"/>
        <v>1.572157136</v>
      </c>
      <c r="AU1178" s="5">
        <f t="shared" si="1180"/>
        <v>1.56146691</v>
      </c>
    </row>
    <row r="1179" ht="15.75" customHeight="1">
      <c r="A1179" s="3">
        <v>45541.0</v>
      </c>
      <c r="B1179" s="4">
        <v>0.002378</v>
      </c>
      <c r="C1179" s="4">
        <v>-0.003873</v>
      </c>
      <c r="D1179" s="4">
        <v>-0.006801</v>
      </c>
      <c r="E1179" s="4">
        <v>-0.003374</v>
      </c>
      <c r="F1179" s="4">
        <v>-4.22E-4</v>
      </c>
      <c r="G1179" s="4">
        <v>-0.003697</v>
      </c>
      <c r="H1179" s="4">
        <v>6.84E-4</v>
      </c>
      <c r="I1179" s="4">
        <v>-0.001483</v>
      </c>
      <c r="J1179" s="4">
        <v>-0.014803</v>
      </c>
      <c r="K1179" s="4">
        <v>-0.002479</v>
      </c>
      <c r="L1179" s="4">
        <v>-0.004609</v>
      </c>
      <c r="M1179" s="4">
        <v>-0.018498</v>
      </c>
      <c r="N1179" s="4">
        <v>-0.009251</v>
      </c>
      <c r="O1179" s="4">
        <v>3.68E-4</v>
      </c>
      <c r="P1179" s="4">
        <v>-0.030618</v>
      </c>
      <c r="Q1179" s="4">
        <v>-0.018396</v>
      </c>
      <c r="R1179" s="4">
        <v>-0.033816</v>
      </c>
      <c r="S1179" s="4">
        <v>-0.03173</v>
      </c>
      <c r="T1179" s="4">
        <v>-0.005802</v>
      </c>
      <c r="U1179" s="4">
        <v>-0.012278</v>
      </c>
      <c r="V1179" s="4">
        <v>-0.0189036590854017</v>
      </c>
      <c r="W1179" s="4">
        <v>-0.0142916096039357</v>
      </c>
      <c r="X1179" s="4">
        <v>0.0100000396807768</v>
      </c>
      <c r="Y1179" s="4">
        <v>-0.0106736966395567</v>
      </c>
      <c r="Z1179" s="4">
        <v>-0.0197947753641476</v>
      </c>
      <c r="AA1179" s="4">
        <v>-6.60435862821E-4</v>
      </c>
      <c r="AB1179" s="4">
        <v>0.0025264533944715</v>
      </c>
      <c r="AC1179" s="4">
        <v>0.0146561792162902</v>
      </c>
      <c r="AD1179" s="4">
        <v>0.0025973122574929</v>
      </c>
      <c r="AE1179" s="4">
        <v>0.0036138340263538</v>
      </c>
      <c r="AF1179" s="4">
        <v>-0.0173027451700096</v>
      </c>
      <c r="AG1179" s="4">
        <v>0.0128317938236017</v>
      </c>
      <c r="AH1179" s="4">
        <v>0.0072616858611584</v>
      </c>
      <c r="AI1179" s="4">
        <v>-0.001533010891483</v>
      </c>
      <c r="AJ1179" s="4">
        <v>-0.01726</v>
      </c>
      <c r="AK1179" s="4">
        <f>Weights!E1235</f>
        <v>-0.005550461172</v>
      </c>
      <c r="AL1179" s="5">
        <v>-0.0035164392029201</v>
      </c>
      <c r="AM1179" s="5">
        <v>-0.00309078052271916</v>
      </c>
      <c r="AN1179" s="5">
        <v>0.0</v>
      </c>
      <c r="AO1179" s="5">
        <v>6.37238194274969E-4</v>
      </c>
      <c r="AP1179" s="6">
        <f t="shared" si="3"/>
        <v>1.783726497</v>
      </c>
      <c r="AQ1179" s="4">
        <f t="shared" si="4"/>
        <v>1.673992142</v>
      </c>
      <c r="AR1179" s="7">
        <f t="shared" si="5"/>
        <v>1.645991292</v>
      </c>
      <c r="AS1179" s="7">
        <f t="shared" ref="AS1179:AU1179" si="1181">AS1178*(1+AM1179)</f>
        <v>1.78015826</v>
      </c>
      <c r="AT1179" s="5">
        <f t="shared" si="1181"/>
        <v>1.572157136</v>
      </c>
      <c r="AU1179" s="5">
        <f t="shared" si="1181"/>
        <v>1.562461936</v>
      </c>
    </row>
    <row r="1180" ht="15.75" customHeight="1">
      <c r="A1180" s="3">
        <v>45544.0</v>
      </c>
      <c r="B1180" s="4">
        <v>0.00949</v>
      </c>
      <c r="C1180" s="4">
        <v>0.038396</v>
      </c>
      <c r="D1180" s="4">
        <v>-0.003179</v>
      </c>
      <c r="E1180" s="4">
        <v>0.004793</v>
      </c>
      <c r="F1180" s="4">
        <v>0.00998</v>
      </c>
      <c r="G1180" s="4">
        <v>0.013566</v>
      </c>
      <c r="H1180" s="4">
        <v>0.002677</v>
      </c>
      <c r="I1180" s="4">
        <v>0.009903</v>
      </c>
      <c r="J1180" s="4">
        <v>0.008971</v>
      </c>
      <c r="K1180" s="4">
        <v>0.018221</v>
      </c>
      <c r="L1180" s="4">
        <v>0.016952</v>
      </c>
      <c r="M1180" s="4">
        <v>0.011087</v>
      </c>
      <c r="N1180" s="4">
        <v>0.00714</v>
      </c>
      <c r="O1180" s="4">
        <v>0.019153</v>
      </c>
      <c r="P1180" s="4">
        <v>0.007549</v>
      </c>
      <c r="Q1180" s="4">
        <v>0.008995</v>
      </c>
      <c r="R1180" s="4">
        <v>0.01</v>
      </c>
      <c r="S1180" s="4">
        <v>0.010003</v>
      </c>
      <c r="T1180" s="4">
        <v>0.015347</v>
      </c>
      <c r="U1180" s="4">
        <v>0.013033</v>
      </c>
      <c r="V1180" s="4">
        <v>0.0</v>
      </c>
      <c r="W1180" s="4">
        <v>0.0117670937158367</v>
      </c>
      <c r="X1180" s="4">
        <v>-0.0037128978522361</v>
      </c>
      <c r="Y1180" s="4">
        <v>0.0249411895428943</v>
      </c>
      <c r="Z1180" s="4">
        <v>0.0340313995597378</v>
      </c>
      <c r="AA1180" s="4">
        <v>0.0035242379943154</v>
      </c>
      <c r="AB1180" s="4">
        <v>7.559263851961E-4</v>
      </c>
      <c r="AC1180" s="4">
        <v>-0.002222188313802</v>
      </c>
      <c r="AD1180" s="4">
        <v>0.0012953938829982</v>
      </c>
      <c r="AE1180" s="4">
        <v>0.0349793071042776</v>
      </c>
      <c r="AF1180" s="4">
        <v>0.0139823520103348</v>
      </c>
      <c r="AG1180" s="4">
        <v>-0.0015620315542166</v>
      </c>
      <c r="AH1180" s="4">
        <v>-0.0046511581486919</v>
      </c>
      <c r="AI1180" s="4">
        <v>0.0010234086483718</v>
      </c>
      <c r="AJ1180" s="4">
        <v>0.01158</v>
      </c>
      <c r="AK1180" s="4">
        <f>Weights!E1236</f>
        <v>0.009087490029</v>
      </c>
      <c r="AL1180" s="5">
        <v>-0.016246081742801</v>
      </c>
      <c r="AM1180" s="5">
        <v>-0.0166089009777683</v>
      </c>
      <c r="AN1180" s="5">
        <v>-0.00200058418652693</v>
      </c>
      <c r="AO1180" s="5">
        <v>-0.00233496936655153</v>
      </c>
      <c r="AP1180" s="6">
        <f t="shared" si="3"/>
        <v>1.799936094</v>
      </c>
      <c r="AQ1180" s="4">
        <f t="shared" si="4"/>
        <v>1.693376971</v>
      </c>
      <c r="AR1180" s="7">
        <f t="shared" si="5"/>
        <v>1.619250383</v>
      </c>
      <c r="AS1180" s="7">
        <f t="shared" ref="AS1180:AU1180" si="1182">AS1179*(1+AM1180)</f>
        <v>1.750591788</v>
      </c>
      <c r="AT1180" s="5">
        <f t="shared" si="1182"/>
        <v>1.569011903</v>
      </c>
      <c r="AU1180" s="5">
        <f t="shared" si="1182"/>
        <v>1.558813636</v>
      </c>
    </row>
    <row r="1181" ht="15.75" customHeight="1">
      <c r="A1181" s="3">
        <v>45545.0</v>
      </c>
      <c r="B1181" s="4">
        <v>-0.007569</v>
      </c>
      <c r="C1181" s="4">
        <v>0.021531</v>
      </c>
      <c r="D1181" s="4">
        <v>-0.011531</v>
      </c>
      <c r="E1181" s="4">
        <v>-0.002133</v>
      </c>
      <c r="F1181" s="4">
        <v>-0.004175</v>
      </c>
      <c r="G1181" s="4">
        <v>0.004622</v>
      </c>
      <c r="H1181" s="4">
        <v>0.009826</v>
      </c>
      <c r="I1181" s="4">
        <v>-0.012993</v>
      </c>
      <c r="J1181" s="4">
        <v>-0.010669</v>
      </c>
      <c r="K1181" s="4">
        <v>-0.006507</v>
      </c>
      <c r="L1181" s="4">
        <v>-0.005773</v>
      </c>
      <c r="M1181" s="4">
        <v>0.003655</v>
      </c>
      <c r="N1181" s="4">
        <v>5.45E-4</v>
      </c>
      <c r="O1181" s="4">
        <v>0.013223</v>
      </c>
      <c r="P1181" s="4">
        <v>0.011435</v>
      </c>
      <c r="Q1181" s="4">
        <v>0.008915</v>
      </c>
      <c r="R1181" s="4">
        <v>2.47E-4</v>
      </c>
      <c r="S1181" s="4">
        <v>0.014515</v>
      </c>
      <c r="T1181" s="4">
        <v>-0.009296</v>
      </c>
      <c r="U1181" s="4">
        <v>-0.00173</v>
      </c>
      <c r="V1181" s="4">
        <v>-0.00385355502918682</v>
      </c>
      <c r="W1181" s="4">
        <v>-0.0056074152158616</v>
      </c>
      <c r="X1181" s="4">
        <v>0.0</v>
      </c>
      <c r="Y1181" s="4">
        <v>0.0074923526239043</v>
      </c>
      <c r="Z1181" s="4">
        <v>0.0261302341196159</v>
      </c>
      <c r="AA1181" s="4">
        <v>0.0136084406436494</v>
      </c>
      <c r="AB1181" s="4">
        <v>-2.517188016434E-4</v>
      </c>
      <c r="AC1181" s="4">
        <v>-0.0022272223924251</v>
      </c>
      <c r="AD1181" s="4">
        <v>-0.0051745663354519</v>
      </c>
      <c r="AE1181" s="4">
        <v>0.0139164956487904</v>
      </c>
      <c r="AF1181" s="4">
        <v>0.0091930694217525</v>
      </c>
      <c r="AG1181" s="4">
        <v>0.0118200147507279</v>
      </c>
      <c r="AH1181" s="4">
        <v>-0.020327188261874</v>
      </c>
      <c r="AI1181" s="4">
        <v>0.0030675898463639</v>
      </c>
      <c r="AJ1181" s="4">
        <v>0.004473</v>
      </c>
      <c r="AK1181" s="4">
        <f>Weights!E1237</f>
        <v>0.001054971913</v>
      </c>
      <c r="AL1181" s="5">
        <v>0.0106937853323536</v>
      </c>
      <c r="AM1181" s="5">
        <v>0.01069673784138</v>
      </c>
      <c r="AN1181" s="5">
        <v>-0.00773180149232899</v>
      </c>
      <c r="AO1181" s="5">
        <v>-0.00893618827183517</v>
      </c>
      <c r="AP1181" s="6">
        <f t="shared" si="3"/>
        <v>1.801834976</v>
      </c>
      <c r="AQ1181" s="4">
        <f t="shared" si="4"/>
        <v>1.700951446</v>
      </c>
      <c r="AR1181" s="7">
        <f t="shared" si="5"/>
        <v>1.636566299</v>
      </c>
      <c r="AS1181" s="7">
        <f t="shared" ref="AS1181:AU1181" si="1183">AS1180*(1+AM1181)</f>
        <v>1.769317409</v>
      </c>
      <c r="AT1181" s="5">
        <f t="shared" si="1183"/>
        <v>1.556880614</v>
      </c>
      <c r="AU1181" s="5">
        <f t="shared" si="1183"/>
        <v>1.544883783</v>
      </c>
    </row>
    <row r="1182" ht="15.75" customHeight="1">
      <c r="A1182" s="3">
        <v>45546.0</v>
      </c>
      <c r="B1182" s="4">
        <v>-0.001806</v>
      </c>
      <c r="C1182" s="4">
        <v>0.003436</v>
      </c>
      <c r="D1182" s="4">
        <v>0.001986</v>
      </c>
      <c r="E1182" s="4">
        <v>-0.011417</v>
      </c>
      <c r="F1182" s="4">
        <v>-0.006569</v>
      </c>
      <c r="G1182" s="4">
        <v>-0.015295</v>
      </c>
      <c r="H1182" s="4">
        <v>-0.021767</v>
      </c>
      <c r="I1182" s="4">
        <v>-4.97E-4</v>
      </c>
      <c r="J1182" s="4">
        <v>0.005617</v>
      </c>
      <c r="K1182" s="4">
        <v>0.010644</v>
      </c>
      <c r="L1182" s="4">
        <v>0.00826</v>
      </c>
      <c r="M1182" s="4">
        <v>0.007283</v>
      </c>
      <c r="N1182" s="4">
        <v>0.005087</v>
      </c>
      <c r="O1182" s="4">
        <v>2.37E-4</v>
      </c>
      <c r="P1182" s="4">
        <v>-0.010916</v>
      </c>
      <c r="Q1182" s="4">
        <v>-0.002209</v>
      </c>
      <c r="R1182" s="4">
        <v>0.022024</v>
      </c>
      <c r="S1182" s="4">
        <v>-0.002356</v>
      </c>
      <c r="T1182" s="4">
        <v>-0.01318</v>
      </c>
      <c r="U1182" s="4">
        <v>0.003845</v>
      </c>
      <c r="V1182" s="4">
        <v>-0.00773692472355269</v>
      </c>
      <c r="W1182" s="4">
        <v>8.354013536948E-4</v>
      </c>
      <c r="X1182" s="4">
        <v>0.0</v>
      </c>
      <c r="Y1182" s="4">
        <v>0.0067603862429173</v>
      </c>
      <c r="Z1182" s="4">
        <v>0.0012335260591318</v>
      </c>
      <c r="AA1182" s="4">
        <v>0.0058466906395242</v>
      </c>
      <c r="AB1182" s="4">
        <v>0.0093198218855041</v>
      </c>
      <c r="AC1182" s="4">
        <v>0.0</v>
      </c>
      <c r="AD1182" s="4">
        <v>0.0</v>
      </c>
      <c r="AE1182" s="4">
        <v>-0.0083333301764818</v>
      </c>
      <c r="AF1182" s="4">
        <v>0.0141700432372373</v>
      </c>
      <c r="AG1182" s="4">
        <v>0.0135715220289958</v>
      </c>
      <c r="AH1182" s="4">
        <v>-9.539017972428E-4</v>
      </c>
      <c r="AI1182" s="4">
        <v>0.0010193360060495</v>
      </c>
      <c r="AJ1182" s="4">
        <v>0.010665</v>
      </c>
      <c r="AK1182" s="4">
        <f>Weights!E1238</f>
        <v>0.001588142892</v>
      </c>
      <c r="AL1182" s="5">
        <v>0.0027455481039349</v>
      </c>
      <c r="AM1182" s="5">
        <v>0.00389894177302574</v>
      </c>
      <c r="AN1182" s="5">
        <v>0.0126982352194668</v>
      </c>
      <c r="AO1182" s="5">
        <v>0.0109488318519501</v>
      </c>
      <c r="AP1182" s="6">
        <f t="shared" si="3"/>
        <v>1.804696547</v>
      </c>
      <c r="AQ1182" s="4">
        <f t="shared" si="4"/>
        <v>1.719092093</v>
      </c>
      <c r="AR1182" s="7">
        <f t="shared" si="5"/>
        <v>1.641059571</v>
      </c>
      <c r="AS1182" s="7">
        <f t="shared" ref="AS1182:AU1182" si="1184">AS1181*(1+AM1182)</f>
        <v>1.776215875</v>
      </c>
      <c r="AT1182" s="5">
        <f t="shared" si="1184"/>
        <v>1.576650251</v>
      </c>
      <c r="AU1182" s="5">
        <f t="shared" si="1184"/>
        <v>1.561798456</v>
      </c>
    </row>
    <row r="1183" ht="15.75" customHeight="1">
      <c r="A1183" s="3">
        <v>45547.0</v>
      </c>
      <c r="B1183" s="4">
        <v>0.023522</v>
      </c>
      <c r="C1183" s="4">
        <v>0.00137</v>
      </c>
      <c r="D1183" s="4">
        <v>-0.003963</v>
      </c>
      <c r="E1183" s="4">
        <v>0.008363</v>
      </c>
      <c r="F1183" s="4">
        <v>0.00211</v>
      </c>
      <c r="G1183" s="4">
        <v>-0.001092</v>
      </c>
      <c r="H1183" s="4">
        <v>-0.002587</v>
      </c>
      <c r="I1183" s="4">
        <v>0.006213</v>
      </c>
      <c r="J1183" s="4">
        <v>0.009383</v>
      </c>
      <c r="K1183" s="4">
        <v>0.002754</v>
      </c>
      <c r="L1183" s="4">
        <v>0.005516</v>
      </c>
      <c r="M1183" s="4">
        <v>0.010484</v>
      </c>
      <c r="N1183" s="4">
        <v>0.012111</v>
      </c>
      <c r="O1183" s="4">
        <v>-0.008738</v>
      </c>
      <c r="P1183" s="4">
        <v>0.042176</v>
      </c>
      <c r="Q1183" s="4">
        <v>0.033948</v>
      </c>
      <c r="R1183" s="4">
        <v>0.012349</v>
      </c>
      <c r="S1183" s="4">
        <v>0.035431</v>
      </c>
      <c r="T1183" s="4">
        <v>0.020541</v>
      </c>
      <c r="U1183" s="4">
        <v>0.003236</v>
      </c>
      <c r="V1183" s="4">
        <v>0.018518472244186</v>
      </c>
      <c r="W1183" s="4">
        <v>-0.0131468688815586</v>
      </c>
      <c r="X1183" s="4">
        <v>0.0171990125249232</v>
      </c>
      <c r="Y1183" s="4">
        <v>0.0145290263576729</v>
      </c>
      <c r="Z1183" s="4">
        <v>0.0051923347456781</v>
      </c>
      <c r="AA1183" s="4">
        <v>-0.0040905060039597</v>
      </c>
      <c r="AB1183" s="4">
        <v>2.4975308166E-4</v>
      </c>
      <c r="AC1183" s="4">
        <v>-0.0134379007461086</v>
      </c>
      <c r="AD1183" s="4">
        <v>0.0090792113144571</v>
      </c>
      <c r="AE1183" s="4">
        <v>0.0079089474486422</v>
      </c>
      <c r="AF1183" s="4">
        <v>-0.0184630839141647</v>
      </c>
      <c r="AG1183" s="4">
        <v>-0.0055931948848484</v>
      </c>
      <c r="AH1183" s="4">
        <v>0.0095488089316184</v>
      </c>
      <c r="AI1183" s="4">
        <v>5.091490091075E-4</v>
      </c>
      <c r="AJ1183" s="4">
        <v>0.007495</v>
      </c>
      <c r="AK1183" s="4">
        <f>Weights!E1239</f>
        <v>0.006719178309</v>
      </c>
      <c r="AL1183" s="5">
        <v>0.00981703950609147</v>
      </c>
      <c r="AM1183" s="5">
        <v>0.00995066051031678</v>
      </c>
      <c r="AN1183" s="5">
        <v>-0.00313475297424481</v>
      </c>
      <c r="AO1183" s="5">
        <v>-9.55613012386558E-4</v>
      </c>
      <c r="AP1183" s="6">
        <f t="shared" si="3"/>
        <v>1.816822625</v>
      </c>
      <c r="AQ1183" s="4">
        <f t="shared" si="4"/>
        <v>1.731976689</v>
      </c>
      <c r="AR1183" s="7">
        <f t="shared" si="5"/>
        <v>1.657169918</v>
      </c>
      <c r="AS1183" s="7">
        <f t="shared" ref="AS1183:AU1183" si="1185">AS1182*(1+AM1183)</f>
        <v>1.793890396</v>
      </c>
      <c r="AT1183" s="5">
        <f t="shared" si="1185"/>
        <v>1.571707842</v>
      </c>
      <c r="AU1183" s="5">
        <f t="shared" si="1185"/>
        <v>1.560305981</v>
      </c>
    </row>
    <row r="1184" ht="15.75" customHeight="1">
      <c r="A1184" s="3">
        <v>45548.0</v>
      </c>
      <c r="B1184" s="4">
        <v>-0.002357</v>
      </c>
      <c r="C1184" s="4">
        <v>0.012996</v>
      </c>
      <c r="D1184" s="4">
        <v>0.010943</v>
      </c>
      <c r="E1184" s="4">
        <v>6.21E-4</v>
      </c>
      <c r="F1184" s="4">
        <v>0.009336</v>
      </c>
      <c r="G1184" s="4">
        <v>0.005345</v>
      </c>
      <c r="H1184" s="4">
        <v>0.003516</v>
      </c>
      <c r="I1184" s="4">
        <v>0.005927</v>
      </c>
      <c r="J1184" s="4">
        <v>0.006861</v>
      </c>
      <c r="K1184" s="4">
        <v>0.005009</v>
      </c>
      <c r="L1184" s="4">
        <v>-0.002985</v>
      </c>
      <c r="M1184" s="4">
        <v>0.004651</v>
      </c>
      <c r="N1184" s="4">
        <v>0.001607</v>
      </c>
      <c r="O1184" s="4">
        <v>-0.0071</v>
      </c>
      <c r="P1184" s="4">
        <v>0.015696</v>
      </c>
      <c r="Q1184" s="4">
        <v>0.026356</v>
      </c>
      <c r="R1184" s="4">
        <v>0.02033</v>
      </c>
      <c r="S1184" s="4">
        <v>0.019391</v>
      </c>
      <c r="T1184" s="4">
        <v>0.021266</v>
      </c>
      <c r="U1184" s="4">
        <v>-0.001667</v>
      </c>
      <c r="V1184" s="4">
        <v>0.00669866498684057</v>
      </c>
      <c r="W1184" s="4">
        <v>-0.0232607273322065</v>
      </c>
      <c r="X1184" s="4">
        <v>0.0036231206452606</v>
      </c>
      <c r="Y1184" s="4">
        <v>0.0164871958962311</v>
      </c>
      <c r="Z1184" s="4">
        <v>0.0089301112374704</v>
      </c>
      <c r="AA1184" s="4">
        <v>0.0062690291293019</v>
      </c>
      <c r="AB1184" s="4">
        <v>0.0229539999309973</v>
      </c>
      <c r="AC1184" s="4">
        <v>0.0011350564796031</v>
      </c>
      <c r="AD1184" s="4">
        <v>0.0</v>
      </c>
      <c r="AE1184" s="4">
        <v>0.0117704723775655</v>
      </c>
      <c r="AF1184" s="4">
        <v>0.0086426379406672</v>
      </c>
      <c r="AG1184" s="4">
        <v>0.0236918639686924</v>
      </c>
      <c r="AH1184" s="4">
        <v>-0.0146607409117929</v>
      </c>
      <c r="AI1184" s="4">
        <v>0.0030536397389764</v>
      </c>
      <c r="AJ1184" s="4">
        <v>0.005408</v>
      </c>
      <c r="AK1184" s="4">
        <f>Weights!E1240</f>
        <v>0.006714165404</v>
      </c>
      <c r="AL1184" s="5">
        <v>0.00760528594399856</v>
      </c>
      <c r="AM1184" s="5">
        <v>0.00831391039248963</v>
      </c>
      <c r="AN1184" s="5">
        <v>0.00886221517611285</v>
      </c>
      <c r="AO1184" s="5">
        <v>0.0086088265480444</v>
      </c>
      <c r="AP1184" s="6">
        <f t="shared" si="3"/>
        <v>1.829021072</v>
      </c>
      <c r="AQ1184" s="4">
        <f t="shared" si="4"/>
        <v>1.741343218</v>
      </c>
      <c r="AR1184" s="7">
        <f t="shared" si="5"/>
        <v>1.669773169</v>
      </c>
      <c r="AS1184" s="7">
        <f t="shared" ref="AS1184:AU1184" si="1186">AS1183*(1+AM1184)</f>
        <v>1.80880464</v>
      </c>
      <c r="AT1184" s="5">
        <f t="shared" si="1186"/>
        <v>1.585636655</v>
      </c>
      <c r="AU1184" s="5">
        <f t="shared" si="1186"/>
        <v>1.573738385</v>
      </c>
    </row>
    <row r="1185" ht="15.75" customHeight="1">
      <c r="A1185" s="3">
        <v>45551.0</v>
      </c>
      <c r="B1185" s="4">
        <v>0.001181</v>
      </c>
      <c r="C1185" s="4">
        <v>0.012829</v>
      </c>
      <c r="D1185" s="4">
        <v>0.00615</v>
      </c>
      <c r="E1185" s="4">
        <v>-8.46E-4</v>
      </c>
      <c r="F1185" s="4">
        <v>0.009662</v>
      </c>
      <c r="G1185" s="4">
        <v>0.008881</v>
      </c>
      <c r="H1185" s="4">
        <v>0.018153</v>
      </c>
      <c r="I1185" s="4">
        <v>0.011048</v>
      </c>
      <c r="J1185" s="4">
        <v>0.003517</v>
      </c>
      <c r="K1185" s="4">
        <v>0.011576</v>
      </c>
      <c r="L1185" s="4">
        <v>-0.002104</v>
      </c>
      <c r="M1185" s="4">
        <v>0.007835</v>
      </c>
      <c r="N1185" s="4">
        <v>0.007846</v>
      </c>
      <c r="O1185" s="4">
        <v>0.011409</v>
      </c>
      <c r="P1185" s="4">
        <v>-0.010799</v>
      </c>
      <c r="Q1185" s="4">
        <v>0.021816</v>
      </c>
      <c r="R1185" s="4">
        <v>0.005391</v>
      </c>
      <c r="S1185" s="4">
        <v>-0.005115</v>
      </c>
      <c r="T1185" s="4">
        <v>-0.004387</v>
      </c>
      <c r="U1185" s="4">
        <v>-9.16E-4</v>
      </c>
      <c r="V1185" s="4">
        <v>0.0228136299671555</v>
      </c>
      <c r="W1185" s="4">
        <v>-0.0149383800676408</v>
      </c>
      <c r="X1185" s="4">
        <v>0.0024068182500032</v>
      </c>
      <c r="Y1185" s="4">
        <v>-0.0033149983484271</v>
      </c>
      <c r="Z1185" s="4">
        <v>-0.0029502902989991</v>
      </c>
      <c r="AA1185" s="4">
        <v>0.0038667545114949</v>
      </c>
      <c r="AB1185" s="4">
        <v>0.0134145250914294</v>
      </c>
      <c r="AC1185" s="4">
        <v>-0.0034013087612612</v>
      </c>
      <c r="AD1185" s="4">
        <v>-0.0038561093216661</v>
      </c>
      <c r="AE1185" s="4">
        <v>-9.692743768525E-4</v>
      </c>
      <c r="AF1185" s="4">
        <v>-0.0191532773523113</v>
      </c>
      <c r="AG1185" s="4">
        <v>0.0256409514355748</v>
      </c>
      <c r="AH1185" s="4">
        <v>-0.0050395750828028</v>
      </c>
      <c r="AI1185" s="4">
        <v>5.070412977703E-4</v>
      </c>
      <c r="AJ1185" s="4">
        <v>0.001257</v>
      </c>
      <c r="AK1185" s="4">
        <f>Weights!E1241</f>
        <v>0.004375025096</v>
      </c>
      <c r="AL1185" s="5">
        <v>0.00511941469124499</v>
      </c>
      <c r="AM1185" s="5">
        <v>0.00697423325245361</v>
      </c>
      <c r="AN1185" s="5">
        <v>0.0104845909382536</v>
      </c>
      <c r="AO1185" s="5">
        <v>0.0115911099054855</v>
      </c>
      <c r="AP1185" s="6">
        <f t="shared" si="3"/>
        <v>1.837023086</v>
      </c>
      <c r="AQ1185" s="4">
        <f t="shared" si="4"/>
        <v>1.743532087</v>
      </c>
      <c r="AR1185" s="7">
        <f t="shared" si="5"/>
        <v>1.67832143</v>
      </c>
      <c r="AS1185" s="7">
        <f t="shared" ref="AS1185:AU1185" si="1187">AS1184*(1+AM1185)</f>
        <v>1.821419666</v>
      </c>
      <c r="AT1185" s="5">
        <f t="shared" si="1187"/>
        <v>1.602261406</v>
      </c>
      <c r="AU1185" s="5">
        <f t="shared" si="1187"/>
        <v>1.591979759</v>
      </c>
    </row>
    <row r="1186" ht="15.75" customHeight="1">
      <c r="A1186" s="3">
        <v>45552.0</v>
      </c>
      <c r="B1186" s="4">
        <v>-0.00531</v>
      </c>
      <c r="C1186" s="4">
        <v>-0.020444</v>
      </c>
      <c r="D1186" s="4">
        <v>-0.002445</v>
      </c>
      <c r="E1186" s="4">
        <v>-0.001919</v>
      </c>
      <c r="F1186" s="4">
        <v>-0.004161</v>
      </c>
      <c r="G1186" s="4">
        <v>4.79E-4</v>
      </c>
      <c r="H1186" s="4">
        <v>-0.007673</v>
      </c>
      <c r="I1186" s="4">
        <v>-0.008742</v>
      </c>
      <c r="J1186" s="4">
        <v>-0.006791</v>
      </c>
      <c r="K1186" s="4">
        <v>-4.77E-4</v>
      </c>
      <c r="L1186" s="4">
        <v>-0.003811</v>
      </c>
      <c r="M1186" s="4">
        <v>-0.001413</v>
      </c>
      <c r="N1186" s="4">
        <v>-0.001946</v>
      </c>
      <c r="O1186" s="4">
        <v>-0.003535</v>
      </c>
      <c r="P1186" s="4">
        <v>-3.76E-4</v>
      </c>
      <c r="Q1186" s="4">
        <v>-0.004821</v>
      </c>
      <c r="R1186" s="4">
        <v>0.005596</v>
      </c>
      <c r="S1186" s="4">
        <v>-0.008676</v>
      </c>
      <c r="T1186" s="4">
        <v>-0.005456</v>
      </c>
      <c r="U1186" s="4">
        <v>-0.022101</v>
      </c>
      <c r="V1186" s="4">
        <v>0.0446096675364648</v>
      </c>
      <c r="W1186" s="4">
        <v>0.0048352072462425</v>
      </c>
      <c r="X1186" s="4">
        <v>0.008403266053047</v>
      </c>
      <c r="Y1186" s="4">
        <v>-0.0136009394250428</v>
      </c>
      <c r="Z1186" s="4">
        <v>-0.0054831491757985</v>
      </c>
      <c r="AA1186" s="4">
        <v>0.0059919265021637</v>
      </c>
      <c r="AB1186" s="4">
        <v>-0.016606387453911</v>
      </c>
      <c r="AC1186" s="4">
        <v>0.0068259210888004</v>
      </c>
      <c r="AD1186" s="4">
        <v>-0.0012902777293591</v>
      </c>
      <c r="AE1186" s="4">
        <v>0.003153713611907</v>
      </c>
      <c r="AF1186" s="4">
        <v>0.005138796565286</v>
      </c>
      <c r="AG1186" s="4">
        <v>-0.0274350882962314</v>
      </c>
      <c r="AH1186" s="4">
        <v>0.0103714959483791</v>
      </c>
      <c r="AI1186" s="4">
        <v>-0.0015211509400443</v>
      </c>
      <c r="AJ1186" s="4">
        <v>2.65E-4</v>
      </c>
      <c r="AK1186" s="4">
        <f>Weights!E1242</f>
        <v>-0.001915262235</v>
      </c>
      <c r="AL1186" s="5">
        <v>0.00346097097601938</v>
      </c>
      <c r="AM1186" s="5">
        <v>0.00198391920426233</v>
      </c>
      <c r="AN1186" s="5">
        <v>0.0033650583672975</v>
      </c>
      <c r="AO1186" s="5">
        <v>0.00437500918139166</v>
      </c>
      <c r="AP1186" s="6">
        <f t="shared" si="3"/>
        <v>1.833504705</v>
      </c>
      <c r="AQ1186" s="4">
        <f t="shared" si="4"/>
        <v>1.743994123</v>
      </c>
      <c r="AR1186" s="7">
        <f t="shared" si="5"/>
        <v>1.684130052</v>
      </c>
      <c r="AS1186" s="7">
        <f t="shared" ref="AS1186:AU1186" si="1188">AS1185*(1+AM1186)</f>
        <v>1.825033215</v>
      </c>
      <c r="AT1186" s="5">
        <f t="shared" si="1188"/>
        <v>1.607653109</v>
      </c>
      <c r="AU1186" s="5">
        <f t="shared" si="1188"/>
        <v>1.598944685</v>
      </c>
    </row>
    <row r="1187" ht="15.75" customHeight="1">
      <c r="A1187" s="3">
        <v>45553.0</v>
      </c>
      <c r="B1187" s="4">
        <v>-0.004745</v>
      </c>
      <c r="C1187" s="4">
        <v>-0.004537</v>
      </c>
      <c r="D1187" s="4">
        <v>-0.028186</v>
      </c>
      <c r="E1187" s="4">
        <v>-0.009385</v>
      </c>
      <c r="F1187" s="4">
        <v>-6.96E-4</v>
      </c>
      <c r="G1187" s="4">
        <v>-0.005507</v>
      </c>
      <c r="H1187" s="4">
        <v>-0.011144</v>
      </c>
      <c r="I1187" s="4">
        <v>-0.007349</v>
      </c>
      <c r="J1187" s="4">
        <v>-0.009704</v>
      </c>
      <c r="K1187" s="4">
        <v>-0.00477</v>
      </c>
      <c r="L1187" s="4">
        <v>-0.002442</v>
      </c>
      <c r="M1187" s="4">
        <v>-7.08E-4</v>
      </c>
      <c r="N1187" s="4">
        <v>-1.77E-4</v>
      </c>
      <c r="O1187" s="4">
        <v>-0.05122</v>
      </c>
      <c r="P1187" s="4">
        <v>-9.41E-4</v>
      </c>
      <c r="Q1187" s="4">
        <v>-0.005536</v>
      </c>
      <c r="R1187" s="4">
        <v>0.018317</v>
      </c>
      <c r="S1187" s="4">
        <v>-0.006483</v>
      </c>
      <c r="T1187" s="4">
        <v>0.005627</v>
      </c>
      <c r="U1187" s="4">
        <v>-0.019569</v>
      </c>
      <c r="V1187" s="4">
        <v>0.0204626909491092</v>
      </c>
      <c r="W1187" s="4">
        <v>-0.0174978101569199</v>
      </c>
      <c r="X1187" s="4">
        <v>0.0</v>
      </c>
      <c r="Y1187" s="4">
        <v>-0.0025288903219173</v>
      </c>
      <c r="Z1187" s="4">
        <v>0.0044631356997058</v>
      </c>
      <c r="AA1187" s="4">
        <v>-6.382387150011E-4</v>
      </c>
      <c r="AB1187" s="4">
        <v>-0.0014683851911042</v>
      </c>
      <c r="AC1187" s="4">
        <v>0.0</v>
      </c>
      <c r="AD1187" s="4">
        <v>0.0</v>
      </c>
      <c r="AE1187" s="4">
        <v>0.0012092828366871</v>
      </c>
      <c r="AF1187" s="4">
        <v>-0.0209612000133314</v>
      </c>
      <c r="AG1187" s="4">
        <v>-0.0056751258800127</v>
      </c>
      <c r="AH1187" s="4">
        <v>0.0119359542491324</v>
      </c>
      <c r="AI1187" s="4">
        <v>-0.0025393803236737</v>
      </c>
      <c r="AJ1187" s="4">
        <v>-0.002896</v>
      </c>
      <c r="AK1187" s="4">
        <f>Weights!E1243</f>
        <v>-0.002974031082</v>
      </c>
      <c r="AL1187" s="5">
        <v>-0.00162693865692431</v>
      </c>
      <c r="AM1187" s="5">
        <v>0.00100808017421605</v>
      </c>
      <c r="AN1187" s="5">
        <v>0.00614870965887193</v>
      </c>
      <c r="AO1187" s="5">
        <v>0.00694875532342487</v>
      </c>
      <c r="AP1187" s="6">
        <f t="shared" si="3"/>
        <v>1.828051805</v>
      </c>
      <c r="AQ1187" s="4">
        <f t="shared" si="4"/>
        <v>1.738943516</v>
      </c>
      <c r="AR1187" s="7">
        <f t="shared" si="5"/>
        <v>1.681390075</v>
      </c>
      <c r="AS1187" s="7">
        <f t="shared" ref="AS1187:AU1187" si="1189">AS1186*(1+AM1187)</f>
        <v>1.826872995</v>
      </c>
      <c r="AT1187" s="5">
        <f t="shared" si="1189"/>
        <v>1.617538102</v>
      </c>
      <c r="AU1187" s="5">
        <f t="shared" si="1189"/>
        <v>1.610055361</v>
      </c>
    </row>
    <row r="1188" ht="15.75" customHeight="1">
      <c r="A1188" s="3">
        <v>45554.0</v>
      </c>
      <c r="B1188" s="4">
        <v>0.004172</v>
      </c>
      <c r="C1188" s="4">
        <v>0.001367</v>
      </c>
      <c r="D1188" s="4">
        <v>0.005296</v>
      </c>
      <c r="E1188" s="4">
        <v>-0.003139</v>
      </c>
      <c r="F1188" s="4">
        <v>-0.015749</v>
      </c>
      <c r="G1188" s="4">
        <v>-0.008005</v>
      </c>
      <c r="H1188" s="4">
        <v>-0.013684</v>
      </c>
      <c r="I1188" s="4">
        <v>-0.003208</v>
      </c>
      <c r="J1188" s="4">
        <v>-0.007127</v>
      </c>
      <c r="K1188" s="4">
        <v>0.029078</v>
      </c>
      <c r="L1188" s="4">
        <v>0.00408</v>
      </c>
      <c r="M1188" s="4">
        <v>0.022309</v>
      </c>
      <c r="N1188" s="4">
        <v>0.008511</v>
      </c>
      <c r="O1188" s="4">
        <v>0.020796</v>
      </c>
      <c r="P1188" s="4">
        <v>0.008669</v>
      </c>
      <c r="Q1188" s="4">
        <v>0.022965</v>
      </c>
      <c r="R1188" s="4">
        <v>0.027778</v>
      </c>
      <c r="S1188" s="4">
        <v>0.014845</v>
      </c>
      <c r="T1188" s="4">
        <v>0.042104</v>
      </c>
      <c r="U1188" s="4">
        <v>0.007646</v>
      </c>
      <c r="V1188" s="4">
        <v>0.0122057229613603</v>
      </c>
      <c r="W1188" s="4">
        <v>-0.0053428091454907</v>
      </c>
      <c r="X1188" s="4">
        <v>-0.0035461246048167</v>
      </c>
      <c r="Y1188" s="4">
        <v>0.0137630938046682</v>
      </c>
      <c r="Z1188" s="4">
        <v>0.0018296274112616</v>
      </c>
      <c r="AA1188" s="4">
        <v>0.0131971173897507</v>
      </c>
      <c r="AB1188" s="4">
        <v>-0.0012255505996201</v>
      </c>
      <c r="AC1188" s="4">
        <v>-0.0056753689972749</v>
      </c>
      <c r="AD1188" s="4">
        <v>0.0103628449690231</v>
      </c>
      <c r="AE1188" s="4">
        <v>0.0135263770699507</v>
      </c>
      <c r="AF1188" s="4">
        <v>0.0067885656452091</v>
      </c>
      <c r="AG1188" s="4">
        <v>-0.0097614266218905</v>
      </c>
      <c r="AH1188" s="4">
        <v>0.0049540896577626</v>
      </c>
      <c r="AI1188" s="4">
        <v>5.091490091075E-4</v>
      </c>
      <c r="AJ1188" s="4">
        <v>0.016977</v>
      </c>
      <c r="AK1188" s="4">
        <f>Weights!E1244</f>
        <v>0.00589549119</v>
      </c>
      <c r="AL1188" s="5">
        <v>-0.00267235519351793</v>
      </c>
      <c r="AM1188" s="5">
        <v>-0.0025175515929604</v>
      </c>
      <c r="AN1188" s="5">
        <v>-0.00249998493336678</v>
      </c>
      <c r="AO1188" s="5">
        <v>-0.0017509812404497</v>
      </c>
      <c r="AP1188" s="6">
        <f t="shared" si="3"/>
        <v>1.838829068</v>
      </c>
      <c r="AQ1188" s="4">
        <f t="shared" si="4"/>
        <v>1.76846556</v>
      </c>
      <c r="AR1188" s="7">
        <f t="shared" si="5"/>
        <v>1.676896804</v>
      </c>
      <c r="AS1188" s="7">
        <f t="shared" ref="AS1188:AU1188" si="1190">AS1187*(1+AM1188)</f>
        <v>1.822273748</v>
      </c>
      <c r="AT1188" s="5">
        <f t="shared" si="1190"/>
        <v>1.613494281</v>
      </c>
      <c r="AU1188" s="5">
        <f t="shared" si="1190"/>
        <v>1.607236184</v>
      </c>
    </row>
    <row r="1189" ht="15.75" customHeight="1">
      <c r="A1189" s="3">
        <v>45555.0</v>
      </c>
      <c r="B1189" s="4">
        <v>-0.006528</v>
      </c>
      <c r="C1189" s="4">
        <v>0.008876</v>
      </c>
      <c r="D1189" s="4">
        <v>0.012544</v>
      </c>
      <c r="E1189" s="4">
        <v>-0.019924</v>
      </c>
      <c r="F1189" s="4">
        <v>0.014443</v>
      </c>
      <c r="G1189" s="4">
        <v>-0.004004</v>
      </c>
      <c r="H1189" s="4">
        <v>0.015623</v>
      </c>
      <c r="I1189" s="4">
        <v>0.003219</v>
      </c>
      <c r="J1189" s="4">
        <v>0.002243</v>
      </c>
      <c r="K1189" s="4">
        <v>0.002329</v>
      </c>
      <c r="L1189" s="4">
        <v>-0.009264</v>
      </c>
      <c r="M1189" s="4">
        <v>-0.003464</v>
      </c>
      <c r="N1189" s="4">
        <v>-0.005098</v>
      </c>
      <c r="O1189" s="4">
        <v>0.008067</v>
      </c>
      <c r="P1189" s="4">
        <v>0.01775</v>
      </c>
      <c r="Q1189" s="4">
        <v>0.030612</v>
      </c>
      <c r="R1189" s="4">
        <v>-0.013514</v>
      </c>
      <c r="S1189" s="4">
        <v>0.006269</v>
      </c>
      <c r="T1189" s="4">
        <v>-0.018054</v>
      </c>
      <c r="U1189" s="4">
        <v>-3.91E-4</v>
      </c>
      <c r="V1189" s="4">
        <v>0.00689059415180692</v>
      </c>
      <c r="W1189" s="4">
        <v>-0.0221576484670539</v>
      </c>
      <c r="X1189" s="4">
        <v>-0.0071174887114777</v>
      </c>
      <c r="Y1189" s="4">
        <v>-0.0154221207578747</v>
      </c>
      <c r="Z1189" s="4">
        <v>-0.0174797093574803</v>
      </c>
      <c r="AA1189" s="4">
        <v>0.0069328436618472</v>
      </c>
      <c r="AB1189" s="4">
        <v>0.0093251675783447</v>
      </c>
      <c r="AC1189" s="4">
        <v>0.0</v>
      </c>
      <c r="AD1189" s="4">
        <v>-0.0038463228020958</v>
      </c>
      <c r="AE1189" s="4">
        <v>-0.0040513843910597</v>
      </c>
      <c r="AF1189" s="4">
        <v>-0.00881746282261</v>
      </c>
      <c r="AG1189" s="4">
        <v>-0.0061718139076325</v>
      </c>
      <c r="AH1189" s="4">
        <v>-0.0049296676422798</v>
      </c>
      <c r="AI1189" s="4">
        <v>0.0020356597296216</v>
      </c>
      <c r="AJ1189" s="4">
        <v>-0.001941</v>
      </c>
      <c r="AK1189" s="4">
        <f>Weights!E1245</f>
        <v>-0.0009797319092</v>
      </c>
      <c r="AL1189" s="5">
        <v>0.0173191547727131</v>
      </c>
      <c r="AM1189" s="5">
        <v>0.0169460808236505</v>
      </c>
      <c r="AN1189" s="5">
        <v>-0.00362019958083148</v>
      </c>
      <c r="AO1189" s="5">
        <v>-0.00288893315756633</v>
      </c>
      <c r="AP1189" s="6">
        <f t="shared" si="3"/>
        <v>1.837027508</v>
      </c>
      <c r="AQ1189" s="4">
        <f t="shared" si="4"/>
        <v>1.765032968</v>
      </c>
      <c r="AR1189" s="7">
        <f t="shared" si="5"/>
        <v>1.705939239</v>
      </c>
      <c r="AS1189" s="7">
        <f t="shared" ref="AS1189:AU1189" si="1191">AS1188*(1+AM1189)</f>
        <v>1.853154146</v>
      </c>
      <c r="AT1189" s="5">
        <f t="shared" si="1191"/>
        <v>1.607653109</v>
      </c>
      <c r="AU1189" s="5">
        <f t="shared" si="1191"/>
        <v>1.602592986</v>
      </c>
    </row>
    <row r="1190" ht="15.75" customHeight="1">
      <c r="A1190" s="3">
        <v>45558.0</v>
      </c>
      <c r="B1190" s="4">
        <v>-0.004182</v>
      </c>
      <c r="C1190" s="4">
        <v>-0.001579</v>
      </c>
      <c r="D1190" s="4">
        <v>-0.001734</v>
      </c>
      <c r="E1190" s="4">
        <v>0.005433</v>
      </c>
      <c r="F1190" s="4">
        <v>0.001256</v>
      </c>
      <c r="G1190" s="4">
        <v>-0.005726</v>
      </c>
      <c r="H1190" s="4">
        <v>-0.002583</v>
      </c>
      <c r="I1190" s="4">
        <v>0.008885</v>
      </c>
      <c r="J1190" s="4">
        <v>0.007386</v>
      </c>
      <c r="K1190" s="4">
        <v>-0.010533</v>
      </c>
      <c r="L1190" s="4">
        <v>0.010007</v>
      </c>
      <c r="M1190" s="4">
        <v>0.002433</v>
      </c>
      <c r="N1190" s="4">
        <v>0.004948</v>
      </c>
      <c r="O1190" s="4">
        <v>0.005062</v>
      </c>
      <c r="P1190" s="4">
        <v>1.84E-4</v>
      </c>
      <c r="Q1190" s="4">
        <v>0.023762</v>
      </c>
      <c r="R1190" s="4">
        <v>0.013699</v>
      </c>
      <c r="S1190" s="4">
        <v>-0.005911</v>
      </c>
      <c r="T1190" s="4">
        <v>0.004716</v>
      </c>
      <c r="U1190" s="4">
        <v>0.007368</v>
      </c>
      <c r="V1190" s="4">
        <v>-0.00769886864154589</v>
      </c>
      <c r="W1190" s="4">
        <v>0.0171665098701341</v>
      </c>
      <c r="X1190" s="4">
        <v>0.008363293089437</v>
      </c>
      <c r="Y1190" s="4">
        <v>-0.0324766385626325</v>
      </c>
      <c r="Z1190" s="4">
        <v>-0.008762698750755</v>
      </c>
      <c r="AA1190" s="4">
        <v>0.0098059386925482</v>
      </c>
      <c r="AB1190" s="4">
        <v>0.0029174918100436</v>
      </c>
      <c r="AC1190" s="4">
        <v>-0.0034246053377718</v>
      </c>
      <c r="AD1190" s="4">
        <v>0.0064350874567902</v>
      </c>
      <c r="AE1190" s="4">
        <v>-0.0026322076888425</v>
      </c>
      <c r="AF1190" s="4">
        <v>0.0010465955077969</v>
      </c>
      <c r="AG1190" s="4">
        <v>0.009832685125376</v>
      </c>
      <c r="AH1190" s="4">
        <v>0.0110875048524565</v>
      </c>
      <c r="AI1190" s="4">
        <v>-0.0015234683653808</v>
      </c>
      <c r="AJ1190" s="4">
        <v>0.002809</v>
      </c>
      <c r="AK1190" s="4">
        <f>Weights!E1246</f>
        <v>0.002607761415</v>
      </c>
      <c r="AL1190" s="5">
        <v>-0.00353334883575862</v>
      </c>
      <c r="AM1190" s="5">
        <v>-0.00209177156027651</v>
      </c>
      <c r="AN1190" s="5">
        <v>0.0114588949257687</v>
      </c>
      <c r="AO1190" s="5">
        <v>0.0111755314611692</v>
      </c>
      <c r="AP1190" s="6">
        <f t="shared" si="3"/>
        <v>1.841818038</v>
      </c>
      <c r="AQ1190" s="4">
        <f t="shared" si="4"/>
        <v>1.769990946</v>
      </c>
      <c r="AR1190" s="7">
        <f t="shared" si="5"/>
        <v>1.699911561</v>
      </c>
      <c r="AS1190" s="7">
        <f t="shared" ref="AS1190:AU1190" si="1192">AS1189*(1+AM1190)</f>
        <v>1.849277771</v>
      </c>
      <c r="AT1190" s="5">
        <f t="shared" si="1192"/>
        <v>1.626075038</v>
      </c>
      <c r="AU1190" s="5">
        <f t="shared" si="1192"/>
        <v>1.620502815</v>
      </c>
    </row>
    <row r="1191" ht="15.75" customHeight="1">
      <c r="A1191" s="3">
        <v>45559.0</v>
      </c>
      <c r="B1191" s="4">
        <v>6.0E-4</v>
      </c>
      <c r="C1191" s="4">
        <v>0.009038</v>
      </c>
      <c r="D1191" s="4">
        <v>0.007446</v>
      </c>
      <c r="E1191" s="4">
        <v>-0.012724</v>
      </c>
      <c r="F1191" s="4">
        <v>-0.005576</v>
      </c>
      <c r="G1191" s="4">
        <v>-0.002696</v>
      </c>
      <c r="H1191" s="4">
        <v>-0.00305</v>
      </c>
      <c r="I1191" s="4">
        <v>-4.89E-4</v>
      </c>
      <c r="J1191" s="4">
        <v>0.002666</v>
      </c>
      <c r="K1191" s="4">
        <v>-0.001409</v>
      </c>
      <c r="L1191" s="4">
        <v>0.004223</v>
      </c>
      <c r="M1191" s="4">
        <v>0.012829</v>
      </c>
      <c r="N1191" s="4">
        <v>0.011254</v>
      </c>
      <c r="O1191" s="4">
        <v>0.00394</v>
      </c>
      <c r="P1191" s="4">
        <v>0.025147</v>
      </c>
      <c r="Q1191" s="4">
        <v>0.004513</v>
      </c>
      <c r="R1191" s="4">
        <v>0.079309</v>
      </c>
      <c r="S1191" s="4">
        <v>0.019926</v>
      </c>
      <c r="T1191" s="4">
        <v>0.024558</v>
      </c>
      <c r="U1191" s="4">
        <v>-0.00604</v>
      </c>
      <c r="V1191" s="4">
        <v>0.00948273466824067</v>
      </c>
      <c r="W1191" s="4">
        <v>0.0193518434578605</v>
      </c>
      <c r="X1191" s="4">
        <v>-0.0106635830853762</v>
      </c>
      <c r="Y1191" s="4">
        <v>-0.0197525009343212</v>
      </c>
      <c r="Z1191" s="4">
        <v>-2.678381360762E-4</v>
      </c>
      <c r="AA1191" s="4">
        <v>0.010743703553149</v>
      </c>
      <c r="AB1191" s="4">
        <v>0.0055757841152936</v>
      </c>
      <c r="AC1191" s="4">
        <v>-0.0068729219076878</v>
      </c>
      <c r="AD1191" s="4">
        <v>0.0012788286670759</v>
      </c>
      <c r="AE1191" s="4">
        <v>0.0016795546551948</v>
      </c>
      <c r="AF1191" s="4">
        <v>-0.0067955988499037</v>
      </c>
      <c r="AG1191" s="4">
        <v>0.0018790466480671</v>
      </c>
      <c r="AH1191" s="4">
        <v>-0.0069994714294312</v>
      </c>
      <c r="AI1191" s="4">
        <v>5.084308784619E-4</v>
      </c>
      <c r="AJ1191" s="4">
        <v>0.002511</v>
      </c>
      <c r="AK1191" s="4">
        <f>Weights!E1247</f>
        <v>0.004155086822</v>
      </c>
      <c r="AL1191" s="5">
        <v>0.00303012624172338</v>
      </c>
      <c r="AM1191" s="5">
        <v>0.00248715989333958</v>
      </c>
      <c r="AN1191" s="5">
        <v>2.76412930943825E-4</v>
      </c>
      <c r="AO1191" s="5">
        <v>1.64728213198905E-4</v>
      </c>
      <c r="AP1191" s="6">
        <f t="shared" si="3"/>
        <v>1.849470952</v>
      </c>
      <c r="AQ1191" s="4">
        <f t="shared" si="4"/>
        <v>1.774435393</v>
      </c>
      <c r="AR1191" s="7">
        <f t="shared" si="5"/>
        <v>1.705062507</v>
      </c>
      <c r="AS1191" s="7">
        <f t="shared" ref="AS1191:AU1191" si="1193">AS1190*(1+AM1191)</f>
        <v>1.853877221</v>
      </c>
      <c r="AT1191" s="5">
        <f t="shared" si="1193"/>
        <v>1.626524506</v>
      </c>
      <c r="AU1191" s="5">
        <f t="shared" si="1193"/>
        <v>1.620769757</v>
      </c>
    </row>
    <row r="1192" ht="15.75" customHeight="1">
      <c r="A1192" s="3">
        <v>45560.0</v>
      </c>
      <c r="B1192" s="4">
        <v>-0.01199</v>
      </c>
      <c r="C1192" s="4">
        <v>-0.002463</v>
      </c>
      <c r="D1192" s="4">
        <v>-0.009116</v>
      </c>
      <c r="E1192" s="4">
        <v>-0.00306</v>
      </c>
      <c r="F1192" s="4">
        <v>0.001682</v>
      </c>
      <c r="G1192" s="4">
        <v>-0.013392</v>
      </c>
      <c r="H1192" s="4">
        <v>-0.005657</v>
      </c>
      <c r="I1192" s="4">
        <v>0.005629</v>
      </c>
      <c r="J1192" s="4">
        <v>-0.003102</v>
      </c>
      <c r="K1192" s="4">
        <v>-0.013952</v>
      </c>
      <c r="L1192" s="4">
        <v>-8.9E-4</v>
      </c>
      <c r="M1192" s="4">
        <v>-0.002739</v>
      </c>
      <c r="N1192" s="4">
        <v>0.001739</v>
      </c>
      <c r="O1192" s="4">
        <v>-0.025895</v>
      </c>
      <c r="P1192" s="4">
        <v>-0.010564</v>
      </c>
      <c r="Q1192" s="4">
        <v>0.00706</v>
      </c>
      <c r="R1192" s="4">
        <v>-0.008415</v>
      </c>
      <c r="S1192" s="4">
        <v>0.010871</v>
      </c>
      <c r="T1192" s="4">
        <v>-0.011487</v>
      </c>
      <c r="U1192" s="4">
        <v>0.006244</v>
      </c>
      <c r="V1192" s="4">
        <v>-0.0128095324231352</v>
      </c>
      <c r="W1192" s="4">
        <v>0.0507726214583355</v>
      </c>
      <c r="X1192" s="4">
        <v>0.0</v>
      </c>
      <c r="Y1192" s="4">
        <v>0.0177273699046653</v>
      </c>
      <c r="Z1192" s="4">
        <v>0.0163451018577274</v>
      </c>
      <c r="AA1192" s="4">
        <v>0.0018397946326356</v>
      </c>
      <c r="AB1192" s="4">
        <v>4.821457945256E-4</v>
      </c>
      <c r="AC1192" s="4">
        <v>0.0</v>
      </c>
      <c r="AD1192" s="4">
        <v>0.0</v>
      </c>
      <c r="AE1192" s="4">
        <v>0.0059879286305617</v>
      </c>
      <c r="AF1192" s="4">
        <v>0.007894685439812</v>
      </c>
      <c r="AG1192" s="4">
        <v>0.0400681795037498</v>
      </c>
      <c r="AH1192" s="4">
        <v>-0.0131579492820497</v>
      </c>
      <c r="AI1192" s="4">
        <v>0.0034691123210235</v>
      </c>
      <c r="AJ1192" s="4">
        <v>-0.001861</v>
      </c>
      <c r="AK1192" s="4">
        <f>Weights!E1248</f>
        <v>0.001871184071</v>
      </c>
      <c r="AL1192" s="5">
        <v>0.00314954533833411</v>
      </c>
      <c r="AM1192" s="5">
        <v>0.00251626814650052</v>
      </c>
      <c r="AN1192" s="5">
        <v>0.0019337136902926</v>
      </c>
      <c r="AO1192" s="5">
        <v>0.00102934190437986</v>
      </c>
      <c r="AP1192" s="6">
        <f t="shared" si="3"/>
        <v>1.852931652</v>
      </c>
      <c r="AQ1192" s="4">
        <f t="shared" si="4"/>
        <v>1.771133169</v>
      </c>
      <c r="AR1192" s="7">
        <f t="shared" si="5"/>
        <v>1.710432679</v>
      </c>
      <c r="AS1192" s="7">
        <f t="shared" ref="AS1192:AU1192" si="1194">AS1191*(1+AM1192)</f>
        <v>1.858542073</v>
      </c>
      <c r="AT1192" s="5">
        <f t="shared" si="1194"/>
        <v>1.629669738</v>
      </c>
      <c r="AU1192" s="5">
        <f t="shared" si="1194"/>
        <v>1.622438083</v>
      </c>
    </row>
    <row r="1193" ht="15.75" customHeight="1">
      <c r="A1193" s="3">
        <v>45561.0</v>
      </c>
      <c r="B1193" s="4">
        <v>0.010922</v>
      </c>
      <c r="C1193" s="4">
        <v>0.001571</v>
      </c>
      <c r="D1193" s="4">
        <v>-0.003481</v>
      </c>
      <c r="E1193" s="4">
        <v>0.001712</v>
      </c>
      <c r="F1193" s="4">
        <v>-7.0E-4</v>
      </c>
      <c r="G1193" s="4">
        <v>0.004919</v>
      </c>
      <c r="H1193" s="4">
        <v>0.005515</v>
      </c>
      <c r="I1193" s="4">
        <v>-0.007544</v>
      </c>
      <c r="J1193" s="4">
        <v>0.008669</v>
      </c>
      <c r="K1193" s="4">
        <v>0.006518</v>
      </c>
      <c r="L1193" s="4">
        <v>0.008013</v>
      </c>
      <c r="M1193" s="4">
        <v>0.017164</v>
      </c>
      <c r="N1193" s="4">
        <v>0.008505</v>
      </c>
      <c r="O1193" s="4">
        <v>0.007518</v>
      </c>
      <c r="P1193" s="4">
        <v>0.004886</v>
      </c>
      <c r="Q1193" s="4">
        <v>0.029955</v>
      </c>
      <c r="R1193" s="4">
        <v>0.074519</v>
      </c>
      <c r="S1193" s="4">
        <v>9.35E-4</v>
      </c>
      <c r="T1193" s="4">
        <v>0.011486</v>
      </c>
      <c r="U1193" s="4">
        <v>-0.01097</v>
      </c>
      <c r="V1193" s="4">
        <v>-0.00173009942104718</v>
      </c>
      <c r="W1193" s="4">
        <v>-0.017016722904851</v>
      </c>
      <c r="X1193" s="4">
        <v>-0.0081585964001648</v>
      </c>
      <c r="Y1193" s="4">
        <v>-0.0037594094646167</v>
      </c>
      <c r="Z1193" s="4">
        <v>0.0023728153991602</v>
      </c>
      <c r="AA1193" s="4">
        <v>-6.121112474557E-4</v>
      </c>
      <c r="AB1193" s="4">
        <v>0.002409662412113</v>
      </c>
      <c r="AC1193" s="4">
        <v>-0.0057803468208093</v>
      </c>
      <c r="AD1193" s="4">
        <v>0.0064683907640235</v>
      </c>
      <c r="AE1193" s="4">
        <v>-0.0038094304079523</v>
      </c>
      <c r="AF1193" s="4">
        <v>0.0078329113217157</v>
      </c>
      <c r="AG1193" s="4">
        <v>0.0093442108349044</v>
      </c>
      <c r="AH1193" s="4">
        <v>-0.0052380564207374</v>
      </c>
      <c r="AI1193" s="4">
        <v>0.0035588607101735</v>
      </c>
      <c r="AJ1193" s="4">
        <v>0.004039</v>
      </c>
      <c r="AK1193" s="4">
        <f>Weights!E1249</f>
        <v>0.004062473201</v>
      </c>
      <c r="AL1193" s="5">
        <v>-0.00249900698286698</v>
      </c>
      <c r="AM1193" s="5">
        <v>-0.00328773481096367</v>
      </c>
      <c r="AN1193" s="5">
        <v>2.7558958813989E-4</v>
      </c>
      <c r="AO1193" s="5">
        <v>0.00205688544952642</v>
      </c>
      <c r="AP1193" s="6">
        <f t="shared" si="3"/>
        <v>1.860459137</v>
      </c>
      <c r="AQ1193" s="4">
        <f t="shared" si="4"/>
        <v>1.778286776</v>
      </c>
      <c r="AR1193" s="7">
        <f t="shared" si="5"/>
        <v>1.706158296</v>
      </c>
      <c r="AS1193" s="7">
        <f t="shared" ref="AS1193:AU1193" si="1195">AS1192*(1+AM1193)</f>
        <v>1.852431679</v>
      </c>
      <c r="AT1193" s="5">
        <f t="shared" si="1195"/>
        <v>1.630118858</v>
      </c>
      <c r="AU1193" s="5">
        <f t="shared" si="1195"/>
        <v>1.625775253</v>
      </c>
    </row>
    <row r="1194" ht="15.75" customHeight="1">
      <c r="A1194" s="3">
        <v>45562.0</v>
      </c>
      <c r="B1194" s="4">
        <v>0.006603</v>
      </c>
      <c r="C1194" s="4">
        <v>0.006051</v>
      </c>
      <c r="D1194" s="4">
        <v>0.003992</v>
      </c>
      <c r="E1194" s="4">
        <v>0.001827</v>
      </c>
      <c r="F1194" s="4">
        <v>0.005462</v>
      </c>
      <c r="G1194" s="4">
        <v>6.2E-5</v>
      </c>
      <c r="H1194" s="4">
        <v>0.001963</v>
      </c>
      <c r="I1194" s="4">
        <v>-0.001717</v>
      </c>
      <c r="J1194" s="4">
        <v>0.003746</v>
      </c>
      <c r="K1194" s="4">
        <v>7.9E-4</v>
      </c>
      <c r="L1194" s="4">
        <v>-0.002248</v>
      </c>
      <c r="M1194" s="4">
        <v>-0.003375</v>
      </c>
      <c r="N1194" s="4">
        <v>-0.004819</v>
      </c>
      <c r="O1194" s="4">
        <v>-0.014677</v>
      </c>
      <c r="P1194" s="4">
        <v>-0.029353</v>
      </c>
      <c r="Q1194" s="4">
        <v>0.00495</v>
      </c>
      <c r="R1194" s="4">
        <v>-0.010981</v>
      </c>
      <c r="S1194" s="4">
        <v>-0.027562</v>
      </c>
      <c r="T1194" s="4">
        <v>5.31E-4</v>
      </c>
      <c r="U1194" s="4">
        <v>-0.00661</v>
      </c>
      <c r="V1194" s="4">
        <v>0.00173309785263864</v>
      </c>
      <c r="W1194" s="4">
        <v>-0.0267151050475815</v>
      </c>
      <c r="X1194" s="4">
        <v>-0.0011750359584659</v>
      </c>
      <c r="Y1194" s="4">
        <v>0.003270462845367</v>
      </c>
      <c r="Z1194" s="4">
        <v>-0.0026302429002839</v>
      </c>
      <c r="AA1194" s="4">
        <v>0.0169458070338532</v>
      </c>
      <c r="AB1194" s="4">
        <v>-0.0028846248819482</v>
      </c>
      <c r="AC1194" s="4">
        <v>0.0046511805334756</v>
      </c>
      <c r="AD1194" s="4">
        <v>-0.0077122837079848</v>
      </c>
      <c r="AE1194" s="4">
        <v>-0.0016731317319033</v>
      </c>
      <c r="AF1194" s="4">
        <v>0.0362694693807996</v>
      </c>
      <c r="AG1194" s="4">
        <v>0.0261491462444563</v>
      </c>
      <c r="AH1194" s="4">
        <v>-0.0083771775097664</v>
      </c>
      <c r="AI1194" s="4">
        <v>0.0010130128762453</v>
      </c>
      <c r="AJ1194" s="4">
        <v>-0.001253</v>
      </c>
      <c r="AK1194" s="4">
        <f>Weights!E1250</f>
        <v>0.0004169154556</v>
      </c>
      <c r="AL1194" s="5">
        <v>0.00912134146395615</v>
      </c>
      <c r="AM1194" s="5">
        <v>0.00446904694472305</v>
      </c>
      <c r="AN1194" s="5">
        <v>-0.00192944992202859</v>
      </c>
      <c r="AO1194" s="5">
        <v>-0.0020526633561364</v>
      </c>
      <c r="AP1194" s="6">
        <f t="shared" si="3"/>
        <v>1.861234792</v>
      </c>
      <c r="AQ1194" s="4">
        <f t="shared" si="4"/>
        <v>1.776058582</v>
      </c>
      <c r="AR1194" s="7">
        <f t="shared" si="5"/>
        <v>1.721720748</v>
      </c>
      <c r="AS1194" s="7">
        <f t="shared" ref="AS1194:AU1194" si="1196">AS1193*(1+AM1194)</f>
        <v>1.860710283</v>
      </c>
      <c r="AT1194" s="5">
        <f t="shared" si="1196"/>
        <v>1.626973626</v>
      </c>
      <c r="AU1194" s="5">
        <f t="shared" si="1196"/>
        <v>1.622438083</v>
      </c>
    </row>
    <row r="1195" ht="15.75" customHeight="1">
      <c r="A1195" s="3">
        <v>45565.0</v>
      </c>
      <c r="B1195" s="4">
        <v>5.96E-4</v>
      </c>
      <c r="C1195" s="4">
        <v>4.46E-4</v>
      </c>
      <c r="D1195" s="4">
        <v>-7.46E-4</v>
      </c>
      <c r="E1195" s="4">
        <v>2.94E-4</v>
      </c>
      <c r="F1195" s="4">
        <v>9.75E-4</v>
      </c>
      <c r="G1195" s="4">
        <v>0.004089</v>
      </c>
      <c r="H1195" s="4">
        <v>-0.002017</v>
      </c>
      <c r="I1195" s="4">
        <v>-0.002456</v>
      </c>
      <c r="J1195" s="4">
        <v>-0.002415</v>
      </c>
      <c r="K1195" s="4">
        <v>-0.001578</v>
      </c>
      <c r="L1195" s="4">
        <v>0.003782</v>
      </c>
      <c r="M1195" s="4">
        <v>6.77E-4</v>
      </c>
      <c r="N1195" s="4">
        <v>0.003459</v>
      </c>
      <c r="O1195" s="4">
        <v>0.021423</v>
      </c>
      <c r="P1195" s="4">
        <v>-0.008349</v>
      </c>
      <c r="Q1195" s="4">
        <v>-0.054803</v>
      </c>
      <c r="R1195" s="4">
        <v>-0.027659</v>
      </c>
      <c r="S1195" s="4">
        <v>-0.021938</v>
      </c>
      <c r="T1195" s="4">
        <v>0.001399</v>
      </c>
      <c r="U1195" s="4">
        <v>0.008346</v>
      </c>
      <c r="V1195" s="4">
        <v>-0.00519029826314154</v>
      </c>
      <c r="W1195" s="4">
        <v>0.0320596357392803</v>
      </c>
      <c r="X1195" s="4">
        <v>0.0070587830214647</v>
      </c>
      <c r="Y1195" s="4">
        <v>0.0019433096903158</v>
      </c>
      <c r="Z1195" s="4">
        <v>0.0177567292758131</v>
      </c>
      <c r="AA1195" s="4">
        <v>6.021990951148E-4</v>
      </c>
      <c r="AB1195" s="4">
        <v>-2.409776491801E-4</v>
      </c>
      <c r="AC1195" s="4">
        <v>-0.0127314635960003</v>
      </c>
      <c r="AD1195" s="4">
        <v>-0.0025906071228618</v>
      </c>
      <c r="AE1195" s="4">
        <v>0.0045486249870492</v>
      </c>
      <c r="AF1195" s="4">
        <v>0.0159999853503465</v>
      </c>
      <c r="AG1195" s="4">
        <v>-0.045109149038816</v>
      </c>
      <c r="AH1195" s="4">
        <v>-0.00820659397979</v>
      </c>
      <c r="AI1195" s="4">
        <v>0.0050606329635014</v>
      </c>
      <c r="AJ1195" s="4">
        <v>0.004237</v>
      </c>
      <c r="AK1195" s="4">
        <f>Weights!E1251</f>
        <v>-0.002789419642</v>
      </c>
      <c r="AL1195" s="5">
        <v>-0.00305540788516833</v>
      </c>
      <c r="AM1195" s="5">
        <v>-9.884248840617E-4</v>
      </c>
      <c r="AN1195" s="5">
        <v>0.00524734013897965</v>
      </c>
      <c r="AO1195" s="5">
        <v>0.00534767918289058</v>
      </c>
      <c r="AP1195" s="6">
        <f t="shared" si="3"/>
        <v>1.856043027</v>
      </c>
      <c r="AQ1195" s="4">
        <f t="shared" si="4"/>
        <v>1.783583743</v>
      </c>
      <c r="AR1195" s="7">
        <f t="shared" si="5"/>
        <v>1.716460189</v>
      </c>
      <c r="AS1195" s="7">
        <f t="shared" ref="AS1195:AU1195" si="1197">AS1194*(1+AM1195)</f>
        <v>1.858871111</v>
      </c>
      <c r="AT1195" s="5">
        <f t="shared" si="1197"/>
        <v>1.63551091</v>
      </c>
      <c r="AU1195" s="5">
        <f t="shared" si="1197"/>
        <v>1.631114362</v>
      </c>
    </row>
    <row r="1196" ht="15.75" customHeight="1">
      <c r="A1196" s="3">
        <v>45566.0</v>
      </c>
      <c r="B1196" s="4">
        <v>0.0</v>
      </c>
      <c r="C1196" s="4">
        <v>0.00668</v>
      </c>
      <c r="D1196" s="4">
        <v>-0.020642</v>
      </c>
      <c r="E1196" s="4">
        <v>0.007821</v>
      </c>
      <c r="F1196" s="4">
        <v>-0.002087</v>
      </c>
      <c r="G1196" s="4">
        <v>-4.32E-4</v>
      </c>
      <c r="H1196" s="4">
        <v>-9.24E-4</v>
      </c>
      <c r="I1196" s="4">
        <v>0.013051</v>
      </c>
      <c r="J1196" s="4">
        <v>0.003741</v>
      </c>
      <c r="K1196" s="4">
        <v>0.004426</v>
      </c>
      <c r="L1196" s="4">
        <v>-0.007456</v>
      </c>
      <c r="M1196" s="4">
        <v>-0.001015</v>
      </c>
      <c r="N1196" s="4">
        <v>0.0</v>
      </c>
      <c r="O1196" s="4">
        <v>-0.021997</v>
      </c>
      <c r="P1196" s="4">
        <v>0.012909</v>
      </c>
      <c r="Q1196" s="4">
        <v>0.065147</v>
      </c>
      <c r="R1196" s="4">
        <v>0.009215</v>
      </c>
      <c r="S1196" s="4">
        <v>0.001801</v>
      </c>
      <c r="T1196" s="4">
        <v>0.015764</v>
      </c>
      <c r="U1196" s="4">
        <v>-0.00576</v>
      </c>
      <c r="V1196" s="4">
        <v>0.0191303860409606</v>
      </c>
      <c r="W1196" s="4">
        <v>-0.0123403826898422</v>
      </c>
      <c r="X1196" s="4">
        <v>-0.0070093058523221</v>
      </c>
      <c r="Y1196" s="4">
        <v>-0.0173935185239136</v>
      </c>
      <c r="Z1196" s="4">
        <v>-0.0368802639002143</v>
      </c>
      <c r="AA1196" s="4">
        <v>-0.0043158322357633</v>
      </c>
      <c r="AB1196" s="4">
        <v>-0.0036171556087634</v>
      </c>
      <c r="AC1196" s="4">
        <v>0.0046892600489316</v>
      </c>
      <c r="AD1196" s="4">
        <v>-0.0038961555724461</v>
      </c>
      <c r="AE1196" s="4">
        <v>-0.0138225923684791</v>
      </c>
      <c r="AF1196" s="4">
        <v>-0.025590573178517</v>
      </c>
      <c r="AG1196" s="4">
        <v>-0.0049726874811504</v>
      </c>
      <c r="AH1196" s="4">
        <v>-0.0323680040774274</v>
      </c>
      <c r="AI1196" s="4">
        <v>0.0020142778933667</v>
      </c>
      <c r="AJ1196" s="4">
        <v>-0.009324</v>
      </c>
      <c r="AK1196" s="4">
        <f>Weights!E1252</f>
        <v>-0.002123037334</v>
      </c>
      <c r="AL1196" s="5">
        <v>0.00185163513527708</v>
      </c>
      <c r="AM1196" s="5">
        <v>0.00393549873451637</v>
      </c>
      <c r="AN1196" s="5">
        <v>-0.00109905993442249</v>
      </c>
      <c r="AO1196" s="5">
        <v>-0.00163672383053892</v>
      </c>
      <c r="AP1196" s="6">
        <f t="shared" si="3"/>
        <v>1.852102578</v>
      </c>
      <c r="AQ1196" s="4">
        <f t="shared" si="4"/>
        <v>1.766953608</v>
      </c>
      <c r="AR1196" s="7">
        <f t="shared" si="5"/>
        <v>1.719638447</v>
      </c>
      <c r="AS1196" s="7">
        <f t="shared" ref="AS1196:AU1196" si="1198">AS1195*(1+AM1196)</f>
        <v>1.866186696</v>
      </c>
      <c r="AT1196" s="5">
        <f t="shared" si="1198"/>
        <v>1.633713385</v>
      </c>
      <c r="AU1196" s="5">
        <f t="shared" si="1198"/>
        <v>1.628444678</v>
      </c>
    </row>
    <row r="1197" ht="15.75" customHeight="1">
      <c r="A1197" s="3">
        <v>45567.0</v>
      </c>
      <c r="B1197" s="4">
        <v>-0.007747</v>
      </c>
      <c r="C1197" s="4">
        <v>-0.003539</v>
      </c>
      <c r="D1197" s="4">
        <v>-0.005587</v>
      </c>
      <c r="E1197" s="4">
        <v>-0.010678</v>
      </c>
      <c r="F1197" s="4">
        <v>-0.009761</v>
      </c>
      <c r="G1197" s="4">
        <v>-0.005062</v>
      </c>
      <c r="H1197" s="4">
        <v>-0.006472</v>
      </c>
      <c r="I1197" s="4">
        <v>-0.001945</v>
      </c>
      <c r="J1197" s="4">
        <v>0.004385</v>
      </c>
      <c r="K1197" s="4">
        <v>-0.006295</v>
      </c>
      <c r="L1197" s="4">
        <v>-0.007351</v>
      </c>
      <c r="M1197" s="4">
        <v>0.00542</v>
      </c>
      <c r="N1197" s="4">
        <v>-0.002068</v>
      </c>
      <c r="O1197" s="4">
        <v>4.61E-4</v>
      </c>
      <c r="P1197" s="4">
        <v>-0.002586</v>
      </c>
      <c r="Q1197" s="4">
        <v>-0.017737</v>
      </c>
      <c r="R1197" s="4">
        <v>0.008734</v>
      </c>
      <c r="S1197" s="4">
        <v>0.007354</v>
      </c>
      <c r="T1197" s="4">
        <v>-0.008251</v>
      </c>
      <c r="U1197" s="4">
        <v>-0.00135</v>
      </c>
      <c r="V1197" s="4">
        <v>-0.00511944112611451</v>
      </c>
      <c r="W1197" s="4">
        <v>-0.0333907749185794</v>
      </c>
      <c r="X1197" s="4">
        <v>0.0</v>
      </c>
      <c r="Y1197" s="4">
        <v>-0.0084049717251465</v>
      </c>
      <c r="Z1197" s="4">
        <v>-0.0201775546819716</v>
      </c>
      <c r="AA1197" s="4">
        <v>0.0163565025199439</v>
      </c>
      <c r="AB1197" s="4">
        <v>-0.0055663379548807</v>
      </c>
      <c r="AC1197" s="4">
        <v>0.0</v>
      </c>
      <c r="AD1197" s="4">
        <v>0.0</v>
      </c>
      <c r="AE1197" s="4">
        <v>-0.0140164278241369</v>
      </c>
      <c r="AF1197" s="4">
        <v>-0.0358585427922499</v>
      </c>
      <c r="AG1197" s="4">
        <v>-0.0118274192766482</v>
      </c>
      <c r="AH1197" s="4">
        <v>-0.0462776690122952</v>
      </c>
      <c r="AI1197" s="4">
        <v>0.0075376928968566</v>
      </c>
      <c r="AJ1197" s="4">
        <v>1.38E-4</v>
      </c>
      <c r="AK1197" s="4">
        <f>Weights!E1253</f>
        <v>-0.006659068507</v>
      </c>
      <c r="AL1197" s="5">
        <v>-0.00828503837567973</v>
      </c>
      <c r="AM1197" s="5">
        <v>-0.00911135285372377</v>
      </c>
      <c r="AN1197" s="5">
        <v>8.25042067235992E-4</v>
      </c>
      <c r="AO1197" s="5">
        <v>0.00143446136527169</v>
      </c>
      <c r="AP1197" s="6">
        <f t="shared" si="3"/>
        <v>1.8397693</v>
      </c>
      <c r="AQ1197" s="4">
        <f t="shared" si="4"/>
        <v>1.767197447</v>
      </c>
      <c r="AR1197" s="7">
        <f t="shared" si="5"/>
        <v>1.705391177</v>
      </c>
      <c r="AS1197" s="7">
        <f t="shared" ref="AS1197:AU1197" si="1199">AS1196*(1+AM1197)</f>
        <v>1.84918321</v>
      </c>
      <c r="AT1197" s="5">
        <f t="shared" si="1199"/>
        <v>1.635061267</v>
      </c>
      <c r="AU1197" s="5">
        <f t="shared" si="1199"/>
        <v>1.630780619</v>
      </c>
    </row>
    <row r="1198" ht="15.75" customHeight="1">
      <c r="A1198" s="3">
        <v>45568.0</v>
      </c>
      <c r="B1198" s="4">
        <v>-0.013213</v>
      </c>
      <c r="C1198" s="4">
        <v>-0.011765</v>
      </c>
      <c r="D1198" s="4">
        <v>-0.008172</v>
      </c>
      <c r="E1198" s="4">
        <v>-0.006016</v>
      </c>
      <c r="F1198" s="4">
        <v>-0.006901</v>
      </c>
      <c r="G1198" s="4">
        <v>-0.004157</v>
      </c>
      <c r="H1198" s="4">
        <v>-0.01047</v>
      </c>
      <c r="I1198" s="4">
        <v>-0.00755</v>
      </c>
      <c r="J1198" s="4">
        <v>-0.019646</v>
      </c>
      <c r="K1198" s="4">
        <v>0.002059</v>
      </c>
      <c r="L1198" s="4">
        <v>-0.012206</v>
      </c>
      <c r="M1198" s="4">
        <v>-0.002022</v>
      </c>
      <c r="N1198" s="4">
        <v>-0.005354</v>
      </c>
      <c r="O1198" s="4">
        <v>-0.0018</v>
      </c>
      <c r="P1198" s="4">
        <v>-0.014815</v>
      </c>
      <c r="Q1198" s="4">
        <v>-0.024284</v>
      </c>
      <c r="R1198" s="4">
        <v>-0.020661</v>
      </c>
      <c r="S1198" s="4">
        <v>-0.015412</v>
      </c>
      <c r="T1198" s="4">
        <v>-0.001056</v>
      </c>
      <c r="U1198" s="4">
        <v>0.003154</v>
      </c>
      <c r="V1198" s="4">
        <v>-0.044596905158035</v>
      </c>
      <c r="W1198" s="4">
        <v>-0.0220637145643239</v>
      </c>
      <c r="X1198" s="4">
        <v>0.0181378853401856</v>
      </c>
      <c r="Y1198" s="4">
        <v>0.0</v>
      </c>
      <c r="Z1198" s="4">
        <v>0.0</v>
      </c>
      <c r="AA1198" s="4">
        <v>0.0</v>
      </c>
      <c r="AB1198" s="4">
        <v>0.0</v>
      </c>
      <c r="AC1198" s="4">
        <v>-0.0217391664905209</v>
      </c>
      <c r="AD1198" s="4">
        <v>0.0</v>
      </c>
      <c r="AE1198" s="4">
        <v>0.0</v>
      </c>
      <c r="AF1198" s="4">
        <v>-0.0151912455083157</v>
      </c>
      <c r="AG1198" s="4">
        <v>-0.0254551493598974</v>
      </c>
      <c r="AH1198" s="4">
        <v>-0.0018459834863697</v>
      </c>
      <c r="AI1198" s="4">
        <v>0.0</v>
      </c>
      <c r="AJ1198" s="4">
        <v>-0.001681</v>
      </c>
      <c r="AK1198" s="4">
        <f>Weights!E1254</f>
        <v>-0.008350152532</v>
      </c>
      <c r="AL1198" s="5">
        <v>1.28548245035053E-4</v>
      </c>
      <c r="AM1198" s="5">
        <v>2.13853033800281E-4</v>
      </c>
      <c r="AN1198" s="5">
        <v>8.24361933961848E-4</v>
      </c>
      <c r="AO1198" s="5">
        <v>0.00102310232069058</v>
      </c>
      <c r="AP1198" s="6">
        <f t="shared" si="3"/>
        <v>1.824406946</v>
      </c>
      <c r="AQ1198" s="4">
        <f t="shared" si="4"/>
        <v>1.764226789</v>
      </c>
      <c r="AR1198" s="7">
        <f t="shared" si="5"/>
        <v>1.705610402</v>
      </c>
      <c r="AS1198" s="7">
        <f t="shared" ref="AS1198:AU1198" si="1200">AS1197*(1+AM1198)</f>
        <v>1.849578664</v>
      </c>
      <c r="AT1198" s="5">
        <f t="shared" si="1200"/>
        <v>1.63640915</v>
      </c>
      <c r="AU1198" s="5">
        <f t="shared" si="1200"/>
        <v>1.632449074</v>
      </c>
    </row>
    <row r="1199" ht="15.75" customHeight="1">
      <c r="A1199" s="3">
        <v>45569.0</v>
      </c>
      <c r="B1199" s="4">
        <v>-0.007912</v>
      </c>
      <c r="C1199" s="4">
        <v>-0.007637</v>
      </c>
      <c r="D1199" s="4">
        <v>0.004377</v>
      </c>
      <c r="E1199" s="4">
        <v>-0.003323</v>
      </c>
      <c r="F1199" s="4">
        <v>-0.004963</v>
      </c>
      <c r="G1199" s="4">
        <v>-0.001308</v>
      </c>
      <c r="H1199" s="4">
        <v>-0.007289</v>
      </c>
      <c r="I1199" s="4">
        <v>0.008098</v>
      </c>
      <c r="J1199" s="4">
        <v>-0.009797</v>
      </c>
      <c r="K1199" s="4">
        <v>0.006954</v>
      </c>
      <c r="L1199" s="4">
        <v>0.008485</v>
      </c>
      <c r="M1199" s="4">
        <v>0.020932</v>
      </c>
      <c r="N1199" s="4">
        <v>0.012502</v>
      </c>
      <c r="O1199" s="4">
        <v>-0.018664</v>
      </c>
      <c r="P1199" s="4">
        <v>0.002632</v>
      </c>
      <c r="Q1199" s="4">
        <v>-0.009572</v>
      </c>
      <c r="R1199" s="4">
        <v>0.015672</v>
      </c>
      <c r="S1199" s="4">
        <v>-0.006261</v>
      </c>
      <c r="T1199" s="4">
        <v>9.92E-4</v>
      </c>
      <c r="U1199" s="4">
        <v>-0.009545</v>
      </c>
      <c r="V1199" s="4">
        <v>-0.035008998008394</v>
      </c>
      <c r="W1199" s="4">
        <v>-4.558329479081E-4</v>
      </c>
      <c r="X1199" s="4">
        <v>0.0095012254350907</v>
      </c>
      <c r="Y1199" s="4">
        <v>-0.012008011454047</v>
      </c>
      <c r="Z1199" s="4">
        <v>-0.0212337835781217</v>
      </c>
      <c r="AA1199" s="4">
        <v>4.024737065166E-4</v>
      </c>
      <c r="AB1199" s="4">
        <v>-0.0114382558698223</v>
      </c>
      <c r="AC1199" s="4">
        <v>0.0</v>
      </c>
      <c r="AD1199" s="4">
        <v>0.0269179414994331</v>
      </c>
      <c r="AE1199" s="4">
        <v>4.901011871907E-4</v>
      </c>
      <c r="AF1199" s="4">
        <v>-0.0063829893619224</v>
      </c>
      <c r="AG1199" s="4">
        <v>0.0091679132226742</v>
      </c>
      <c r="AH1199" s="4">
        <v>0.0272126613679581</v>
      </c>
      <c r="AI1199" s="4">
        <v>-0.0089775222715029</v>
      </c>
      <c r="AJ1199" s="4">
        <v>0.00897</v>
      </c>
      <c r="AK1199" s="4">
        <f>Weights!E1255</f>
        <v>0.0003175207457</v>
      </c>
      <c r="AL1199" s="5">
        <v>-0.00379109350189221</v>
      </c>
      <c r="AM1199" s="5">
        <v>-0.00213796362823448</v>
      </c>
      <c r="AN1199" s="5">
        <v>-2.74454595954987E-4</v>
      </c>
      <c r="AO1199" s="5">
        <v>0.0</v>
      </c>
      <c r="AP1199" s="6">
        <f t="shared" si="3"/>
        <v>1.824986233</v>
      </c>
      <c r="AQ1199" s="4">
        <f t="shared" si="4"/>
        <v>1.780051903</v>
      </c>
      <c r="AR1199" s="7">
        <f t="shared" si="5"/>
        <v>1.699144273</v>
      </c>
      <c r="AS1199" s="7">
        <f t="shared" ref="AS1199:AU1199" si="1201">AS1198*(1+AM1199)</f>
        <v>1.845624332</v>
      </c>
      <c r="AT1199" s="5">
        <f t="shared" si="1201"/>
        <v>1.63596003</v>
      </c>
      <c r="AU1199" s="5">
        <f t="shared" si="1201"/>
        <v>1.632449074</v>
      </c>
    </row>
    <row r="1200" ht="15.75" customHeight="1">
      <c r="A1200" s="3">
        <v>45572.0</v>
      </c>
      <c r="B1200" s="4">
        <v>-0.002454</v>
      </c>
      <c r="C1200" s="4">
        <v>-0.007696</v>
      </c>
      <c r="D1200" s="4">
        <v>-0.012305</v>
      </c>
      <c r="E1200" s="4">
        <v>-0.004525</v>
      </c>
      <c r="F1200" s="4">
        <v>-0.016531</v>
      </c>
      <c r="G1200" s="4">
        <v>-0.004741</v>
      </c>
      <c r="H1200" s="4">
        <v>-0.010422</v>
      </c>
      <c r="I1200" s="4">
        <v>-0.006329</v>
      </c>
      <c r="J1200" s="4">
        <v>-0.018439</v>
      </c>
      <c r="K1200" s="4">
        <v>0.001413</v>
      </c>
      <c r="L1200" s="4">
        <v>-0.005391</v>
      </c>
      <c r="M1200" s="4">
        <v>-0.011574</v>
      </c>
      <c r="N1200" s="4">
        <v>-0.013377</v>
      </c>
      <c r="O1200" s="4">
        <v>-0.007223</v>
      </c>
      <c r="P1200" s="4">
        <v>-0.006749</v>
      </c>
      <c r="Q1200" s="4">
        <v>-0.010954</v>
      </c>
      <c r="R1200" s="4">
        <v>0.004748</v>
      </c>
      <c r="S1200" s="4">
        <v>-0.011275</v>
      </c>
      <c r="T1200" s="4">
        <v>0.00865</v>
      </c>
      <c r="U1200" s="4">
        <v>0.001757</v>
      </c>
      <c r="V1200" s="4">
        <v>0.0046511511698517</v>
      </c>
      <c r="W1200" s="4">
        <v>0.0036479925964623</v>
      </c>
      <c r="X1200" s="4">
        <v>-0.0035294370553817</v>
      </c>
      <c r="Y1200" s="4">
        <v>-0.0161834511170919</v>
      </c>
      <c r="Z1200" s="4">
        <v>-0.0047690524242116</v>
      </c>
      <c r="AA1200" s="4">
        <v>-0.0086467070480629</v>
      </c>
      <c r="AB1200" s="4">
        <v>-0.0270802307934646</v>
      </c>
      <c r="AC1200" s="4">
        <v>0.0160494203920718</v>
      </c>
      <c r="AD1200" s="4">
        <v>-0.0065531663232135</v>
      </c>
      <c r="AE1200" s="4">
        <v>0.0137188560744527</v>
      </c>
      <c r="AF1200" s="4">
        <v>0.020877979346314</v>
      </c>
      <c r="AG1200" s="4">
        <v>-0.032053437527996</v>
      </c>
      <c r="AH1200" s="4">
        <v>0.0205761120037499</v>
      </c>
      <c r="AI1200" s="4">
        <v>-0.0010064838949259</v>
      </c>
      <c r="AJ1200" s="4">
        <v>-0.009586</v>
      </c>
      <c r="AK1200" s="4">
        <f>Weights!E1256</f>
        <v>-0.004720370528</v>
      </c>
      <c r="AL1200" s="5">
        <v>0.00838496809954469</v>
      </c>
      <c r="AM1200" s="5">
        <v>0.00967716029553478</v>
      </c>
      <c r="AN1200" s="5">
        <v>-0.00274646989608939</v>
      </c>
      <c r="AO1200" s="5">
        <v>-0.00204419245375042</v>
      </c>
      <c r="AP1200" s="6">
        <f t="shared" si="3"/>
        <v>1.816371622</v>
      </c>
      <c r="AQ1200" s="4">
        <f t="shared" si="4"/>
        <v>1.762988325</v>
      </c>
      <c r="AR1200" s="7">
        <f t="shared" si="5"/>
        <v>1.713391544</v>
      </c>
      <c r="AS1200" s="7">
        <f t="shared" ref="AS1200:AU1200" si="1202">AS1199*(1+AM1200)</f>
        <v>1.863484734</v>
      </c>
      <c r="AT1200" s="5">
        <f t="shared" si="1202"/>
        <v>1.631466915</v>
      </c>
      <c r="AU1200" s="5">
        <f t="shared" si="1202"/>
        <v>1.629112034</v>
      </c>
    </row>
    <row r="1201" ht="15.75" customHeight="1">
      <c r="A1201" s="3">
        <v>45573.0</v>
      </c>
      <c r="B1201" s="4">
        <v>-0.00615</v>
      </c>
      <c r="C1201" s="4">
        <v>0.003878</v>
      </c>
      <c r="D1201" s="4">
        <v>-7.79E-4</v>
      </c>
      <c r="E1201" s="4">
        <v>0.019197</v>
      </c>
      <c r="F1201" s="4">
        <v>0.002463</v>
      </c>
      <c r="G1201" s="4">
        <v>0.001003</v>
      </c>
      <c r="H1201" s="4">
        <v>0.006223</v>
      </c>
      <c r="I1201" s="4">
        <v>-0.005145</v>
      </c>
      <c r="J1201" s="4">
        <v>-0.001146</v>
      </c>
      <c r="K1201" s="4">
        <v>-0.006113</v>
      </c>
      <c r="L1201" s="4">
        <v>4.11E-4</v>
      </c>
      <c r="M1201" s="4">
        <v>-0.002342</v>
      </c>
      <c r="N1201" s="4">
        <v>-0.003476</v>
      </c>
      <c r="O1201" s="4">
        <v>0.01623</v>
      </c>
      <c r="P1201" s="4">
        <v>-0.00453</v>
      </c>
      <c r="Q1201" s="4">
        <v>-0.005212</v>
      </c>
      <c r="R1201" s="4">
        <v>-0.043316</v>
      </c>
      <c r="S1201" s="4">
        <v>0.001006</v>
      </c>
      <c r="T1201" s="4">
        <v>-0.030376</v>
      </c>
      <c r="U1201" s="4">
        <v>0.017712</v>
      </c>
      <c r="V1201" s="4">
        <v>-0.0185184724645394</v>
      </c>
      <c r="W1201" s="4">
        <v>0.0095411605653477</v>
      </c>
      <c r="X1201" s="4">
        <v>0.0129870759069137</v>
      </c>
      <c r="Y1201" s="4">
        <v>0.0093810281047341</v>
      </c>
      <c r="Z1201" s="4">
        <v>0.0107112034208638</v>
      </c>
      <c r="AA1201" s="4">
        <v>0.0068965356041457</v>
      </c>
      <c r="AB1201" s="4">
        <v>0.0141701196134005</v>
      </c>
      <c r="AC1201" s="4">
        <v>-0.0072904748635099</v>
      </c>
      <c r="AD1201" s="4">
        <v>0.0039578361525154</v>
      </c>
      <c r="AE1201" s="4">
        <v>0.0062832262659924</v>
      </c>
      <c r="AF1201" s="4">
        <v>-0.001573154131783</v>
      </c>
      <c r="AG1201" s="4">
        <v>0.0244377576713428</v>
      </c>
      <c r="AH1201" s="4">
        <v>0.0073084789170796</v>
      </c>
      <c r="AI1201" s="4">
        <v>-0.0015113950059385</v>
      </c>
      <c r="AJ1201" s="4">
        <v>0.009689</v>
      </c>
      <c r="AK1201" s="4">
        <f>Weights!E1257</f>
        <v>0.001597597837</v>
      </c>
      <c r="AL1201" s="5">
        <v>-0.00857104279006071</v>
      </c>
      <c r="AM1201" s="5">
        <v>-0.00912456386836135</v>
      </c>
      <c r="AN1201" s="5">
        <v>0.00798670859407701</v>
      </c>
      <c r="AO1201" s="5">
        <v>0.00850069262787922</v>
      </c>
      <c r="AP1201" s="6">
        <f t="shared" si="3"/>
        <v>1.819273453</v>
      </c>
      <c r="AQ1201" s="4">
        <f t="shared" si="4"/>
        <v>1.780069919</v>
      </c>
      <c r="AR1201" s="7">
        <f t="shared" si="5"/>
        <v>1.698705991</v>
      </c>
      <c r="AS1201" s="7">
        <f t="shared" ref="AS1201:AU1201" si="1203">AS1200*(1+AM1201)</f>
        <v>1.846481249</v>
      </c>
      <c r="AT1201" s="5">
        <f t="shared" si="1203"/>
        <v>1.644496966</v>
      </c>
      <c r="AU1201" s="5">
        <f t="shared" si="1203"/>
        <v>1.642960615</v>
      </c>
    </row>
    <row r="1202" ht="15.75" customHeight="1">
      <c r="A1202" s="3">
        <v>45574.0</v>
      </c>
      <c r="B1202" s="4">
        <v>-0.001238</v>
      </c>
      <c r="C1202" s="4">
        <v>0.002272</v>
      </c>
      <c r="D1202" s="4">
        <v>-0.006753</v>
      </c>
      <c r="E1202" s="4">
        <v>0.01244</v>
      </c>
      <c r="F1202" s="4">
        <v>0.005637</v>
      </c>
      <c r="G1202" s="4">
        <v>0.006012</v>
      </c>
      <c r="H1202" s="4">
        <v>0.006601</v>
      </c>
      <c r="I1202" s="4">
        <v>0.006895</v>
      </c>
      <c r="J1202" s="4">
        <v>-0.005963</v>
      </c>
      <c r="K1202" s="4">
        <v>0.001577</v>
      </c>
      <c r="L1202" s="4">
        <v>0.003776</v>
      </c>
      <c r="M1202" s="4">
        <v>-0.001677</v>
      </c>
      <c r="N1202" s="4">
        <v>-0.003489</v>
      </c>
      <c r="O1202" s="4">
        <v>0.004151</v>
      </c>
      <c r="P1202" s="4">
        <v>-1.9E-4</v>
      </c>
      <c r="Q1202" s="4">
        <v>-0.011788</v>
      </c>
      <c r="R1202" s="4">
        <v>0.005762</v>
      </c>
      <c r="S1202" s="4">
        <v>-0.003351</v>
      </c>
      <c r="T1202" s="4">
        <v>0.025049</v>
      </c>
      <c r="U1202" s="4">
        <v>0.010954</v>
      </c>
      <c r="V1202" s="4">
        <v>-0.00188678767200434</v>
      </c>
      <c r="W1202" s="4">
        <v>0.0018001357079477</v>
      </c>
      <c r="X1202" s="4">
        <v>0.0</v>
      </c>
      <c r="Y1202" s="4">
        <v>-0.0037960234959906</v>
      </c>
      <c r="Z1202" s="4">
        <v>-0.0066932400666634</v>
      </c>
      <c r="AA1202" s="4">
        <v>-0.0098710276126056</v>
      </c>
      <c r="AB1202" s="4">
        <v>0.0309379913352489</v>
      </c>
      <c r="AC1202" s="4">
        <v>0.0</v>
      </c>
      <c r="AD1202" s="4">
        <v>0.0</v>
      </c>
      <c r="AE1202" s="4">
        <v>0.0031219969199465</v>
      </c>
      <c r="AF1202" s="4">
        <v>-0.0078781642255173</v>
      </c>
      <c r="AG1202" s="4">
        <v>-0.0127916993761242</v>
      </c>
      <c r="AH1202" s="4">
        <v>-0.013760337014237</v>
      </c>
      <c r="AI1202" s="4">
        <v>0.0040362896199495</v>
      </c>
      <c r="AJ1202" s="4">
        <v>0.007113</v>
      </c>
      <c r="AK1202" s="4">
        <f>Weights!E1258</f>
        <v>0.0004357604965</v>
      </c>
      <c r="AL1202" s="5">
        <v>0.00690330623427648</v>
      </c>
      <c r="AM1202" s="5">
        <v>0.00842342267259832</v>
      </c>
      <c r="AN1202" s="5">
        <v>-0.00191247456976206</v>
      </c>
      <c r="AO1202" s="5">
        <v>-0.00192950705046668</v>
      </c>
      <c r="AP1202" s="6">
        <f t="shared" si="3"/>
        <v>1.820066221</v>
      </c>
      <c r="AQ1202" s="4">
        <f t="shared" si="4"/>
        <v>1.792731557</v>
      </c>
      <c r="AR1202" s="7">
        <f t="shared" si="5"/>
        <v>1.710432679</v>
      </c>
      <c r="AS1202" s="7">
        <f t="shared" ref="AS1202:AU1202" si="1204">AS1201*(1+AM1202)</f>
        <v>1.862034941</v>
      </c>
      <c r="AT1202" s="5">
        <f t="shared" si="1204"/>
        <v>1.641351907</v>
      </c>
      <c r="AU1202" s="5">
        <f t="shared" si="1204"/>
        <v>1.639790511</v>
      </c>
    </row>
    <row r="1203" ht="15.75" customHeight="1">
      <c r="A1203" s="3">
        <v>45575.0</v>
      </c>
      <c r="B1203" s="4">
        <v>-0.005576</v>
      </c>
      <c r="C1203" s="4">
        <v>-0.026298</v>
      </c>
      <c r="D1203" s="4">
        <v>0.003923</v>
      </c>
      <c r="E1203" s="4">
        <v>0.002608</v>
      </c>
      <c r="F1203" s="4">
        <v>-0.0046</v>
      </c>
      <c r="G1203" s="4">
        <v>-8.71E-4</v>
      </c>
      <c r="H1203" s="4">
        <v>-0.001891</v>
      </c>
      <c r="I1203" s="4">
        <v>-2.45E-4</v>
      </c>
      <c r="J1203" s="4">
        <v>-0.004845</v>
      </c>
      <c r="K1203" s="4">
        <v>-0.052345</v>
      </c>
      <c r="L1203" s="4">
        <v>-0.006543</v>
      </c>
      <c r="M1203" s="4">
        <v>0.010749</v>
      </c>
      <c r="N1203" s="4">
        <v>0.001925</v>
      </c>
      <c r="O1203" s="4">
        <v>0.003755</v>
      </c>
      <c r="P1203" s="4">
        <v>0.012706</v>
      </c>
      <c r="Q1203" s="4">
        <v>0.032472</v>
      </c>
      <c r="R1203" s="4">
        <v>0.01371</v>
      </c>
      <c r="S1203" s="4">
        <v>0.02471</v>
      </c>
      <c r="T1203" s="4">
        <v>-0.00606</v>
      </c>
      <c r="U1203" s="4">
        <v>-0.01089</v>
      </c>
      <c r="V1203" s="4">
        <v>-0.0141777731620913</v>
      </c>
      <c r="W1203" s="4">
        <v>0.0029199916154856</v>
      </c>
      <c r="X1203" s="4">
        <v>-0.0058139650038523</v>
      </c>
      <c r="Y1203" s="4">
        <v>-6.57736743162606E-5</v>
      </c>
      <c r="Z1203" s="4">
        <v>-0.0066448389095328</v>
      </c>
      <c r="AA1203" s="4">
        <v>-0.0069175828195908</v>
      </c>
      <c r="AB1203" s="4">
        <v>0.0164569118685626</v>
      </c>
      <c r="AC1203" s="4">
        <v>-0.0084642923104369</v>
      </c>
      <c r="AD1203" s="4">
        <v>0.0236843187762985</v>
      </c>
      <c r="AE1203" s="4">
        <v>-0.0016757507807527</v>
      </c>
      <c r="AF1203" s="4">
        <v>0.0079407225417706</v>
      </c>
      <c r="AG1203" s="4">
        <v>-0.0227630994591677</v>
      </c>
      <c r="AH1203" s="4">
        <v>-0.0083713833346257</v>
      </c>
      <c r="AI1203" s="4">
        <v>0.0010048681241097</v>
      </c>
      <c r="AJ1203" s="4">
        <v>-0.00207</v>
      </c>
      <c r="AK1203" s="4">
        <f>Weights!E1259</f>
        <v>-0.002815765854</v>
      </c>
      <c r="AL1203" s="5">
        <v>0.00531804357659426</v>
      </c>
      <c r="AM1203" s="5">
        <v>0.00697266502173254</v>
      </c>
      <c r="AN1203" s="5">
        <v>-5.47574382300464E-4</v>
      </c>
      <c r="AO1203" s="5">
        <v>-0.00101755964078265</v>
      </c>
      <c r="AP1203" s="6">
        <f t="shared" si="3"/>
        <v>1.81494134</v>
      </c>
      <c r="AQ1203" s="4">
        <f t="shared" si="4"/>
        <v>1.789020602</v>
      </c>
      <c r="AR1203" s="7">
        <f t="shared" si="5"/>
        <v>1.719528835</v>
      </c>
      <c r="AS1203" s="7">
        <f t="shared" ref="AS1203:AU1203" si="1205">AS1202*(1+AM1203)</f>
        <v>1.875018287</v>
      </c>
      <c r="AT1203" s="5">
        <f t="shared" si="1205"/>
        <v>1.640453145</v>
      </c>
      <c r="AU1203" s="5">
        <f t="shared" si="1205"/>
        <v>1.638121926</v>
      </c>
    </row>
    <row r="1204" ht="15.75" customHeight="1">
      <c r="A1204" s="3">
        <v>45576.0</v>
      </c>
      <c r="B1204" s="4">
        <v>0.008723</v>
      </c>
      <c r="C1204" s="4">
        <v>0.001164</v>
      </c>
      <c r="D1204" s="4">
        <v>-0.007294</v>
      </c>
      <c r="E1204" s="4">
        <v>0.010521</v>
      </c>
      <c r="F1204" s="4">
        <v>0.004621</v>
      </c>
      <c r="G1204" s="4">
        <v>0.005919</v>
      </c>
      <c r="H1204" s="4">
        <v>0.012666</v>
      </c>
      <c r="I1204" s="4">
        <v>0.004648</v>
      </c>
      <c r="J1204" s="4">
        <v>0.00626</v>
      </c>
      <c r="K1204" s="4">
        <v>-0.040882</v>
      </c>
      <c r="L1204" s="4">
        <v>0.019099</v>
      </c>
      <c r="M1204" s="4">
        <v>0.00997</v>
      </c>
      <c r="N1204" s="4">
        <v>-3.49E-4</v>
      </c>
      <c r="O1204" s="4">
        <v>0.010844</v>
      </c>
      <c r="P1204" s="4">
        <v>0.016854</v>
      </c>
      <c r="Q1204" s="4">
        <v>-0.011553</v>
      </c>
      <c r="R1204" s="4">
        <v>0.009891</v>
      </c>
      <c r="S1204" s="4">
        <v>-0.004101</v>
      </c>
      <c r="T1204" s="4">
        <v>0.006693</v>
      </c>
      <c r="U1204" s="4">
        <v>0.008674</v>
      </c>
      <c r="V1204" s="4">
        <v>0.00287631124232334</v>
      </c>
      <c r="W1204" s="4">
        <v>-4.47862661575E-4</v>
      </c>
      <c r="X1204" s="4">
        <v>0.002967359050445</v>
      </c>
      <c r="Y1204" s="4">
        <v>-5.912881372179E-4</v>
      </c>
      <c r="Z1204" s="4">
        <v>0.0017900901796334</v>
      </c>
      <c r="AA1204" s="4">
        <v>0.0071705943840749</v>
      </c>
      <c r="AB1204" s="4">
        <v>0.0033334226987122</v>
      </c>
      <c r="AC1204" s="4">
        <v>0.0036585738019245</v>
      </c>
      <c r="AD1204" s="4">
        <v>0.0051412552515086</v>
      </c>
      <c r="AE1204" s="4">
        <v>-0.0071942412711679</v>
      </c>
      <c r="AF1204" s="4">
        <v>-0.0036764552659471</v>
      </c>
      <c r="AG1204" s="4">
        <v>1.791783677955E-4</v>
      </c>
      <c r="AH1204" s="4">
        <v>-0.014581714752322</v>
      </c>
      <c r="AI1204" s="4">
        <v>0.0035141966104148</v>
      </c>
      <c r="AJ1204" s="4">
        <v>0.006052</v>
      </c>
      <c r="AK1204" s="4">
        <f>Weights!E1260</f>
        <v>0.001413053656</v>
      </c>
      <c r="AL1204" s="5">
        <v>-0.00165709371828015</v>
      </c>
      <c r="AM1204" s="5">
        <v>-0.00207375138093501</v>
      </c>
      <c r="AN1204" s="5">
        <v>0.00657364368724655</v>
      </c>
      <c r="AO1204" s="5">
        <v>0.00590752623748702</v>
      </c>
      <c r="AP1204" s="6">
        <f t="shared" si="3"/>
        <v>1.81750595</v>
      </c>
      <c r="AQ1204" s="4">
        <f t="shared" si="4"/>
        <v>1.799847755</v>
      </c>
      <c r="AR1204" s="7">
        <f t="shared" si="5"/>
        <v>1.716679414</v>
      </c>
      <c r="AS1204" s="7">
        <f t="shared" ref="AS1204:AU1204" si="1206">AS1203*(1+AM1204)</f>
        <v>1.871129965</v>
      </c>
      <c r="AT1204" s="5">
        <f t="shared" si="1206"/>
        <v>1.651236899</v>
      </c>
      <c r="AU1204" s="5">
        <f t="shared" si="1206"/>
        <v>1.647799174</v>
      </c>
    </row>
    <row r="1205" ht="15.75" customHeight="1">
      <c r="A1205" s="3">
        <v>45579.0</v>
      </c>
      <c r="B1205" s="4">
        <v>-0.003706</v>
      </c>
      <c r="C1205" s="4">
        <v>0.004419</v>
      </c>
      <c r="D1205" s="4">
        <v>-0.003149</v>
      </c>
      <c r="E1205" s="4">
        <v>0.007379</v>
      </c>
      <c r="F1205" s="4">
        <v>0.011068</v>
      </c>
      <c r="G1205" s="4">
        <v>8.67E-4</v>
      </c>
      <c r="H1205" s="4">
        <v>0.0083</v>
      </c>
      <c r="I1205" s="4">
        <v>0.001948</v>
      </c>
      <c r="J1205" s="4">
        <v>0.00553</v>
      </c>
      <c r="K1205" s="4">
        <v>-0.00877</v>
      </c>
      <c r="L1205" s="4">
        <v>-0.002908</v>
      </c>
      <c r="M1205" s="4">
        <v>0.002962</v>
      </c>
      <c r="N1205" s="4">
        <v>0.003845</v>
      </c>
      <c r="O1205" s="4">
        <v>8.32E-4</v>
      </c>
      <c r="P1205" s="4">
        <v>0.009576</v>
      </c>
      <c r="Q1205" s="4">
        <v>0.012987</v>
      </c>
      <c r="R1205" s="4">
        <v>-0.023386</v>
      </c>
      <c r="S1205" s="4">
        <v>0.003294</v>
      </c>
      <c r="T1205" s="4">
        <v>0.006122</v>
      </c>
      <c r="U1205" s="4">
        <v>0.00419</v>
      </c>
      <c r="V1205" s="4">
        <v>0.0105163433303294</v>
      </c>
      <c r="W1205" s="4">
        <v>-0.0150123646878825</v>
      </c>
      <c r="X1205" s="4">
        <v>-0.0059171597633136</v>
      </c>
      <c r="Y1205" s="4">
        <v>0.0019722626080724</v>
      </c>
      <c r="Z1205" s="4">
        <v>0.0067714388818025</v>
      </c>
      <c r="AA1205" s="4">
        <v>0.009357226856312</v>
      </c>
      <c r="AB1205" s="4">
        <v>0.0064071173775315</v>
      </c>
      <c r="AC1205" s="4">
        <v>0.0109355268907871</v>
      </c>
      <c r="AD1205" s="4">
        <v>0.00383636800301</v>
      </c>
      <c r="AE1205" s="4">
        <v>0.0147341993079359</v>
      </c>
      <c r="AF1205" s="4">
        <v>0.0010542550730956</v>
      </c>
      <c r="AG1205" s="4">
        <v>0.0030454865672138</v>
      </c>
      <c r="AH1205" s="4">
        <v>-0.0083073896328397</v>
      </c>
      <c r="AI1205" s="4">
        <v>0.0015007120660581</v>
      </c>
      <c r="AJ1205" s="4">
        <v>0.007708</v>
      </c>
      <c r="AK1205" s="4">
        <f>Weights!E1261</f>
        <v>0.002422354165</v>
      </c>
      <c r="AL1205" s="5">
        <v>0.00574555430391843</v>
      </c>
      <c r="AM1205" s="5">
        <v>0.00774876534318846</v>
      </c>
      <c r="AN1205" s="5">
        <v>0.0024488592810965</v>
      </c>
      <c r="AO1205" s="5">
        <v>0.00344268399658087</v>
      </c>
      <c r="AP1205" s="6">
        <f t="shared" si="3"/>
        <v>1.821908593</v>
      </c>
      <c r="AQ1205" s="4">
        <f t="shared" si="4"/>
        <v>1.813720981</v>
      </c>
      <c r="AR1205" s="7">
        <f t="shared" si="5"/>
        <v>1.726542689</v>
      </c>
      <c r="AS1205" s="7">
        <f t="shared" ref="AS1205:AU1205" si="1207">AS1204*(1+AM1205)</f>
        <v>1.885628912</v>
      </c>
      <c r="AT1205" s="5">
        <f t="shared" si="1207"/>
        <v>1.655280546</v>
      </c>
      <c r="AU1205" s="5">
        <f t="shared" si="1207"/>
        <v>1.653472026</v>
      </c>
    </row>
    <row r="1206" ht="15.75" customHeight="1">
      <c r="A1206" s="3">
        <v>45580.0</v>
      </c>
      <c r="B1206" s="4">
        <v>6.2E-4</v>
      </c>
      <c r="C1206" s="4">
        <v>0.012735</v>
      </c>
      <c r="D1206" s="4">
        <v>0.006581</v>
      </c>
      <c r="E1206" s="4">
        <v>-0.001136</v>
      </c>
      <c r="F1206" s="4">
        <v>0.0</v>
      </c>
      <c r="G1206" s="4">
        <v>0.01547</v>
      </c>
      <c r="H1206" s="4">
        <v>0.006145</v>
      </c>
      <c r="I1206" s="4">
        <v>0.003402</v>
      </c>
      <c r="J1206" s="4">
        <v>0.018561</v>
      </c>
      <c r="K1206" s="4">
        <v>-0.003362</v>
      </c>
      <c r="L1206" s="4">
        <v>0.00794</v>
      </c>
      <c r="M1206" s="4">
        <v>-0.005249</v>
      </c>
      <c r="N1206" s="4">
        <v>-0.001567</v>
      </c>
      <c r="O1206" s="4">
        <v>-0.006356</v>
      </c>
      <c r="P1206" s="4">
        <v>0.015688</v>
      </c>
      <c r="Q1206" s="4">
        <v>0.005769</v>
      </c>
      <c r="R1206" s="4">
        <v>-0.032337</v>
      </c>
      <c r="S1206" s="4">
        <v>0.013955</v>
      </c>
      <c r="T1206" s="4">
        <v>-0.007851</v>
      </c>
      <c r="U1206" s="4">
        <v>-7.14E-4</v>
      </c>
      <c r="V1206" s="4">
        <v>-0.0198676146861788</v>
      </c>
      <c r="W1206" s="4">
        <v>-0.0056869874129789</v>
      </c>
      <c r="X1206" s="4">
        <v>-0.0023809160505022</v>
      </c>
      <c r="Y1206" s="4">
        <v>0.0185683413380262</v>
      </c>
      <c r="Z1206" s="4">
        <v>0.0186827950452879</v>
      </c>
      <c r="AA1206" s="4">
        <v>0.0034259898269355</v>
      </c>
      <c r="AB1206" s="4">
        <v>0.0054232748904001</v>
      </c>
      <c r="AC1206" s="4">
        <v>-0.0084134251672826</v>
      </c>
      <c r="AD1206" s="4">
        <v>-0.00382170653036</v>
      </c>
      <c r="AE1206" s="4">
        <v>0.0028564616960407</v>
      </c>
      <c r="AF1206" s="4">
        <v>0.0189573776579017</v>
      </c>
      <c r="AG1206" s="4">
        <v>0.0280407763090138</v>
      </c>
      <c r="AH1206" s="4">
        <v>0.0277487400170799</v>
      </c>
      <c r="AI1206" s="4">
        <v>-0.0024975041113504</v>
      </c>
      <c r="AJ1206" s="4">
        <v>-0.007609</v>
      </c>
      <c r="AK1206" s="4">
        <f>Weights!E1262</f>
        <v>0.004790448308</v>
      </c>
      <c r="AL1206" s="5">
        <v>0.00634759863211975</v>
      </c>
      <c r="AM1206" s="5">
        <v>0.0077943119477275</v>
      </c>
      <c r="AN1206" s="5">
        <v>0.00705751577211599</v>
      </c>
      <c r="AO1206" s="5">
        <v>0.00686182331596163</v>
      </c>
      <c r="AP1206" s="6">
        <f t="shared" si="3"/>
        <v>1.830636352</v>
      </c>
      <c r="AQ1206" s="4">
        <f t="shared" si="4"/>
        <v>1.799920378</v>
      </c>
      <c r="AR1206" s="7">
        <f t="shared" si="5"/>
        <v>1.737502089</v>
      </c>
      <c r="AS1206" s="7">
        <f t="shared" ref="AS1206:AU1206" si="1208">AS1205*(1+AM1206)</f>
        <v>1.900326092</v>
      </c>
      <c r="AT1206" s="5">
        <f t="shared" si="1208"/>
        <v>1.666962715</v>
      </c>
      <c r="AU1206" s="5">
        <f t="shared" si="1208"/>
        <v>1.664817859</v>
      </c>
    </row>
    <row r="1207" ht="15.75" customHeight="1">
      <c r="A1207" s="3">
        <v>45581.0</v>
      </c>
      <c r="B1207" s="4">
        <v>0.006196</v>
      </c>
      <c r="C1207" s="4">
        <v>0.003887</v>
      </c>
      <c r="D1207" s="4">
        <v>-2.62E-4</v>
      </c>
      <c r="E1207" s="4">
        <v>-0.008073</v>
      </c>
      <c r="F1207" s="4">
        <v>0.00327</v>
      </c>
      <c r="G1207" s="4">
        <v>0.001097</v>
      </c>
      <c r="H1207" s="4">
        <v>-0.006856</v>
      </c>
      <c r="I1207" s="4">
        <v>0.012594</v>
      </c>
      <c r="J1207" s="4">
        <v>0.009674</v>
      </c>
      <c r="K1207" s="4">
        <v>5.33E-4</v>
      </c>
      <c r="L1207" s="4">
        <v>0.013664</v>
      </c>
      <c r="M1207" s="4">
        <v>0.011544</v>
      </c>
      <c r="N1207" s="4">
        <v>-0.006277</v>
      </c>
      <c r="O1207" s="4">
        <v>-0.003512</v>
      </c>
      <c r="P1207" s="4">
        <v>0.010596</v>
      </c>
      <c r="Q1207" s="4">
        <v>0.042065</v>
      </c>
      <c r="R1207" s="4">
        <v>0.014594</v>
      </c>
      <c r="S1207" s="4">
        <v>0.015868</v>
      </c>
      <c r="T1207" s="4">
        <v>0.017344</v>
      </c>
      <c r="U1207" s="4">
        <v>-8.79E-4</v>
      </c>
      <c r="V1207" s="4">
        <v>0.00965248576550004</v>
      </c>
      <c r="W1207" s="4">
        <v>0.0</v>
      </c>
      <c r="X1207" s="4">
        <v>0.0</v>
      </c>
      <c r="Y1207" s="4">
        <v>-0.0047025631083609</v>
      </c>
      <c r="Z1207" s="4">
        <v>-0.0081613494546872</v>
      </c>
      <c r="AA1207" s="4">
        <v>0.0054227890417029</v>
      </c>
      <c r="AB1207" s="4">
        <v>0.0089118336208167</v>
      </c>
      <c r="AC1207" s="4">
        <v>0.0</v>
      </c>
      <c r="AD1207" s="4">
        <v>0.0</v>
      </c>
      <c r="AE1207" s="4">
        <v>0.0088221418058178</v>
      </c>
      <c r="AF1207" s="4">
        <v>-0.0077519507004452</v>
      </c>
      <c r="AG1207" s="4">
        <v>0.0137247325190517</v>
      </c>
      <c r="AH1207" s="4">
        <v>-0.0086602540208385</v>
      </c>
      <c r="AI1207" s="4">
        <v>-0.0010015421629228</v>
      </c>
      <c r="AJ1207" s="4">
        <v>0.004679</v>
      </c>
      <c r="AK1207" s="4">
        <f>Weights!E1263</f>
        <v>0.004700984332</v>
      </c>
      <c r="AL1207" s="5">
        <v>-0.00990279966388874</v>
      </c>
      <c r="AM1207" s="5">
        <v>-0.00686701013615742</v>
      </c>
      <c r="AN1207" s="5">
        <v>-0.00134764288852351</v>
      </c>
      <c r="AO1207" s="5">
        <v>-0.00160351147359372</v>
      </c>
      <c r="AP1207" s="6">
        <f t="shared" si="3"/>
        <v>1.839242145</v>
      </c>
      <c r="AQ1207" s="4">
        <f t="shared" si="4"/>
        <v>1.808342206</v>
      </c>
      <c r="AR1207" s="7">
        <f t="shared" si="5"/>
        <v>1.720295954</v>
      </c>
      <c r="AS1207" s="7">
        <f t="shared" ref="AS1207:AU1207" si="1209">AS1206*(1+AM1207)</f>
        <v>1.887276534</v>
      </c>
      <c r="AT1207" s="5">
        <f t="shared" si="1209"/>
        <v>1.664716244</v>
      </c>
      <c r="AU1207" s="5">
        <f t="shared" si="1209"/>
        <v>1.662148305</v>
      </c>
    </row>
    <row r="1208" ht="15.75" customHeight="1">
      <c r="A1208" s="3">
        <v>45582.0</v>
      </c>
      <c r="B1208" s="4">
        <v>0.006158</v>
      </c>
      <c r="C1208" s="4">
        <v>-0.001366</v>
      </c>
      <c r="D1208" s="4">
        <v>0.011509</v>
      </c>
      <c r="E1208" s="4">
        <v>0.001089</v>
      </c>
      <c r="F1208" s="4">
        <v>-0.009494</v>
      </c>
      <c r="G1208" s="4">
        <v>0.001157</v>
      </c>
      <c r="H1208" s="4">
        <v>-5.8E-4</v>
      </c>
      <c r="I1208" s="4">
        <v>7.18E-4</v>
      </c>
      <c r="J1208" s="4">
        <v>-0.002674</v>
      </c>
      <c r="K1208" s="4">
        <v>0.001242</v>
      </c>
      <c r="L1208" s="4">
        <v>0.002855</v>
      </c>
      <c r="M1208" s="4">
        <v>-0.003587</v>
      </c>
      <c r="N1208" s="4">
        <v>0.004387</v>
      </c>
      <c r="O1208" s="4">
        <v>0.005245</v>
      </c>
      <c r="P1208" s="4">
        <v>0.004087</v>
      </c>
      <c r="Q1208" s="4">
        <v>0.054434</v>
      </c>
      <c r="R1208" s="4">
        <v>-4.17E-4</v>
      </c>
      <c r="S1208" s="4">
        <v>0.013389</v>
      </c>
      <c r="T1208" s="4">
        <v>0.024762</v>
      </c>
      <c r="U1208" s="4">
        <v>0.003079</v>
      </c>
      <c r="V1208" s="4">
        <v>0.0</v>
      </c>
      <c r="W1208" s="4">
        <v>0.0226492539606197</v>
      </c>
      <c r="X1208" s="4">
        <v>0.0120192312100935</v>
      </c>
      <c r="Y1208" s="4">
        <v>0.003430296184633</v>
      </c>
      <c r="Z1208" s="4">
        <v>0.0040679613993839</v>
      </c>
      <c r="AA1208" s="4">
        <v>0.0017978734609827</v>
      </c>
      <c r="AB1208" s="4">
        <v>0.0016271018952243</v>
      </c>
      <c r="AC1208" s="4">
        <v>0.0024242054332384</v>
      </c>
      <c r="AD1208" s="4">
        <v>0.0012837140056931</v>
      </c>
      <c r="AE1208" s="4">
        <v>-0.0042543082655677</v>
      </c>
      <c r="AF1208" s="4">
        <v>0.0067708233321681</v>
      </c>
      <c r="AG1208" s="4">
        <v>0.0077121068717356</v>
      </c>
      <c r="AH1208" s="4">
        <v>-0.006423395993355</v>
      </c>
      <c r="AI1208" s="4">
        <v>0.0</v>
      </c>
      <c r="AJ1208" s="4">
        <v>-1.71E-4</v>
      </c>
      <c r="AK1208" s="4">
        <f>Weights!E1264</f>
        <v>0.003880828322</v>
      </c>
      <c r="AL1208" s="5">
        <v>0.00407721864724863</v>
      </c>
      <c r="AM1208" s="5">
        <v>0.00509861576047554</v>
      </c>
      <c r="AN1208" s="5">
        <v>0.00539815962942458</v>
      </c>
      <c r="AO1208" s="5">
        <v>0.00481826055686696</v>
      </c>
      <c r="AP1208" s="6">
        <f t="shared" si="3"/>
        <v>1.846379928</v>
      </c>
      <c r="AQ1208" s="4">
        <f t="shared" si="4"/>
        <v>1.808032979</v>
      </c>
      <c r="AR1208" s="7">
        <f t="shared" si="5"/>
        <v>1.727309977</v>
      </c>
      <c r="AS1208" s="7">
        <f t="shared" ref="AS1208:AU1208" si="1210">AS1207*(1+AM1208)</f>
        <v>1.896899032</v>
      </c>
      <c r="AT1208" s="5">
        <f t="shared" si="1210"/>
        <v>1.673702648</v>
      </c>
      <c r="AU1208" s="5">
        <f t="shared" si="1210"/>
        <v>1.670156968</v>
      </c>
    </row>
    <row r="1209" ht="15.75" customHeight="1">
      <c r="A1209" s="3">
        <v>45583.0</v>
      </c>
      <c r="B1209" s="4">
        <v>6.12E-4</v>
      </c>
      <c r="C1209" s="4">
        <v>0.003193</v>
      </c>
      <c r="D1209" s="4">
        <v>0.010344</v>
      </c>
      <c r="E1209" s="4">
        <v>0.002233</v>
      </c>
      <c r="F1209" s="4">
        <v>0.007725</v>
      </c>
      <c r="G1209" s="4">
        <v>0.003952</v>
      </c>
      <c r="H1209" s="4">
        <v>3.8E-5</v>
      </c>
      <c r="I1209" s="4">
        <v>0.003346</v>
      </c>
      <c r="J1209" s="4">
        <v>0.003798</v>
      </c>
      <c r="K1209" s="4">
        <v>-0.001241</v>
      </c>
      <c r="L1209" s="4">
        <v>-0.003321</v>
      </c>
      <c r="M1209" s="4">
        <v>-0.002291</v>
      </c>
      <c r="N1209" s="4">
        <v>-0.001922</v>
      </c>
      <c r="O1209" s="4">
        <v>0.001711</v>
      </c>
      <c r="P1209" s="4">
        <v>0.019823</v>
      </c>
      <c r="Q1209" s="4">
        <v>0.045244</v>
      </c>
      <c r="R1209" s="4">
        <v>0.004797</v>
      </c>
      <c r="S1209" s="4">
        <v>0.045769</v>
      </c>
      <c r="T1209" s="4">
        <v>9.49E-4</v>
      </c>
      <c r="U1209" s="4">
        <v>9.32E-4</v>
      </c>
      <c r="V1209" s="4">
        <v>-0.0143403090195659</v>
      </c>
      <c r="W1209" s="4">
        <v>0.0040269107451691</v>
      </c>
      <c r="X1209" s="4">
        <v>0.0273159517235093</v>
      </c>
      <c r="Y1209" s="4">
        <v>3.870380884123E-4</v>
      </c>
      <c r="Z1209" s="4">
        <v>-0.0052486237113805</v>
      </c>
      <c r="AA1209" s="4">
        <v>0.0077766448216276</v>
      </c>
      <c r="AB1209" s="4">
        <v>0.0095149619462036</v>
      </c>
      <c r="AC1209" s="4">
        <v>-0.0145102417475685</v>
      </c>
      <c r="AD1209" s="4">
        <v>0.0051281728364263</v>
      </c>
      <c r="AE1209" s="4">
        <v>0.0054593215537108</v>
      </c>
      <c r="AF1209" s="4">
        <v>-0.0098292762056613</v>
      </c>
      <c r="AG1209" s="4">
        <v>0.0017006708947382</v>
      </c>
      <c r="AH1209" s="4">
        <v>-0.0126713275123935</v>
      </c>
      <c r="AI1209" s="4">
        <v>0.0045114581487046</v>
      </c>
      <c r="AJ1209" s="4">
        <v>0.003972</v>
      </c>
      <c r="AK1209" s="4">
        <f>Weights!E1265</f>
        <v>0.003554049034</v>
      </c>
      <c r="AL1209" s="5">
        <v>5.71029132331091E-4</v>
      </c>
      <c r="AM1209" s="5">
        <v>-2.08473636731376E-4</v>
      </c>
      <c r="AN1209" s="5">
        <v>0.00617440154380322</v>
      </c>
      <c r="AO1209" s="5">
        <v>0.00559438763333508</v>
      </c>
      <c r="AP1209" s="6">
        <f t="shared" si="3"/>
        <v>1.852942052</v>
      </c>
      <c r="AQ1209" s="4">
        <f t="shared" si="4"/>
        <v>1.815214486</v>
      </c>
      <c r="AR1209" s="7">
        <f t="shared" si="5"/>
        <v>1.728296321</v>
      </c>
      <c r="AS1209" s="7">
        <f t="shared" ref="AS1209:AU1209" si="1211">AS1208*(1+AM1209)</f>
        <v>1.896503578</v>
      </c>
      <c r="AT1209" s="5">
        <f t="shared" si="1211"/>
        <v>1.68403676</v>
      </c>
      <c r="AU1209" s="5">
        <f t="shared" si="1211"/>
        <v>1.679500474</v>
      </c>
    </row>
    <row r="1210" ht="15.75" customHeight="1">
      <c r="A1210" s="3">
        <v>45586.0</v>
      </c>
      <c r="B1210" s="4">
        <v>-0.009174</v>
      </c>
      <c r="C1210" s="4">
        <v>-0.006592</v>
      </c>
      <c r="D1210" s="4">
        <v>0.001024</v>
      </c>
      <c r="E1210" s="4">
        <v>-2.86E-4</v>
      </c>
      <c r="F1210" s="4">
        <v>-0.014055</v>
      </c>
      <c r="G1210" s="4">
        <v>-0.013869</v>
      </c>
      <c r="H1210" s="4">
        <v>-0.010159</v>
      </c>
      <c r="I1210" s="4">
        <v>-0.010481</v>
      </c>
      <c r="J1210" s="4">
        <v>-0.002226</v>
      </c>
      <c r="K1210" s="4">
        <v>0.005679</v>
      </c>
      <c r="L1210" s="4">
        <v>-0.008409</v>
      </c>
      <c r="M1210" s="4">
        <v>-0.014759</v>
      </c>
      <c r="N1210" s="4">
        <v>-0.003676</v>
      </c>
      <c r="O1210" s="4">
        <v>2.08E-4</v>
      </c>
      <c r="P1210" s="4">
        <v>-8.68E-4</v>
      </c>
      <c r="Q1210" s="4">
        <v>0.017203</v>
      </c>
      <c r="R1210" s="4">
        <v>-0.004981</v>
      </c>
      <c r="S1210" s="4">
        <v>0.006016</v>
      </c>
      <c r="T1210" s="4">
        <v>-0.013461</v>
      </c>
      <c r="U1210" s="4">
        <v>-0.004929</v>
      </c>
      <c r="V1210" s="4">
        <v>0.0223085013490915</v>
      </c>
      <c r="W1210" s="4">
        <v>0.0149286308686509</v>
      </c>
      <c r="X1210" s="4">
        <v>0.0300577858279895</v>
      </c>
      <c r="Y1210" s="4">
        <v>0.0011605649690713</v>
      </c>
      <c r="Z1210" s="4">
        <v>0.0045358298669424</v>
      </c>
      <c r="AA1210" s="4">
        <v>-0.0035615965544502</v>
      </c>
      <c r="AB1210" s="4">
        <v>-0.0050574123429089</v>
      </c>
      <c r="AC1210" s="4">
        <v>0.0</v>
      </c>
      <c r="AD1210" s="4">
        <v>0.0140304994861397</v>
      </c>
      <c r="AE1210" s="4">
        <v>-7.081992841366E-4</v>
      </c>
      <c r="AF1210" s="4">
        <v>0.0041797565100962</v>
      </c>
      <c r="AG1210" s="4">
        <v>-0.0098472107572095</v>
      </c>
      <c r="AH1210" s="4">
        <v>-0.0104766791602245</v>
      </c>
      <c r="AI1210" s="4">
        <v>-9.981414322886E-4</v>
      </c>
      <c r="AJ1210" s="4">
        <v>-0.001823</v>
      </c>
      <c r="AK1210" s="4">
        <f>Weights!E1266</f>
        <v>-0.001059496262</v>
      </c>
      <c r="AL1210" s="5">
        <v>0.00443878136054753</v>
      </c>
      <c r="AM1210" s="5">
        <v>0.00392691203140493</v>
      </c>
      <c r="AN1210" s="5">
        <v>0.00453584027061237</v>
      </c>
      <c r="AO1210" s="5">
        <v>0.00536454907853478</v>
      </c>
      <c r="AP1210" s="6">
        <f t="shared" si="3"/>
        <v>1.850978867</v>
      </c>
      <c r="AQ1210" s="4">
        <f t="shared" si="4"/>
        <v>1.81190535</v>
      </c>
      <c r="AR1210" s="7">
        <f t="shared" si="5"/>
        <v>1.73596785</v>
      </c>
      <c r="AS1210" s="7">
        <f t="shared" ref="AS1210:AU1210" si="1212">AS1209*(1+AM1210)</f>
        <v>1.903950981</v>
      </c>
      <c r="AT1210" s="5">
        <f t="shared" si="1212"/>
        <v>1.691675282</v>
      </c>
      <c r="AU1210" s="5">
        <f t="shared" si="1212"/>
        <v>1.688510236</v>
      </c>
    </row>
    <row r="1211" ht="15.75" customHeight="1">
      <c r="A1211" s="3">
        <v>45587.0</v>
      </c>
      <c r="B1211" s="4">
        <v>-6.17E-4</v>
      </c>
      <c r="C1211" s="4">
        <v>-0.050343</v>
      </c>
      <c r="D1211" s="4">
        <v>-0.00179</v>
      </c>
      <c r="E1211" s="4">
        <v>-0.003657</v>
      </c>
      <c r="F1211" s="4">
        <v>0.0</v>
      </c>
      <c r="G1211" s="4">
        <v>0.003808</v>
      </c>
      <c r="H1211" s="4">
        <v>9.44E-4</v>
      </c>
      <c r="I1211" s="4">
        <v>-0.002167</v>
      </c>
      <c r="J1211" s="4">
        <v>-0.001785</v>
      </c>
      <c r="K1211" s="4">
        <v>0.010588</v>
      </c>
      <c r="L1211" s="4">
        <v>8.0E-4</v>
      </c>
      <c r="M1211" s="4">
        <v>0.001332</v>
      </c>
      <c r="N1211" s="4">
        <v>-0.004568</v>
      </c>
      <c r="O1211" s="4">
        <v>-2.92E-4</v>
      </c>
      <c r="P1211" s="4">
        <v>0.019281</v>
      </c>
      <c r="Q1211" s="4">
        <v>0.031642</v>
      </c>
      <c r="R1211" s="4">
        <v>0.012307</v>
      </c>
      <c r="S1211" s="4">
        <v>0.024518</v>
      </c>
      <c r="T1211" s="4">
        <v>-0.064634</v>
      </c>
      <c r="U1211" s="4">
        <v>-0.001926</v>
      </c>
      <c r="V1211" s="4">
        <v>0.0256166330141673</v>
      </c>
      <c r="W1211" s="4">
        <v>-0.0180021291353844</v>
      </c>
      <c r="X1211" s="4">
        <v>-0.0022446346988465</v>
      </c>
      <c r="Y1211" s="4">
        <v>0.0057958981797943</v>
      </c>
      <c r="Z1211" s="4">
        <v>0.0083855473840395</v>
      </c>
      <c r="AA1211" s="4">
        <v>5.958000475787E-4</v>
      </c>
      <c r="AB1211" s="4">
        <v>0.0050831197756024</v>
      </c>
      <c r="AC1211" s="4">
        <v>-0.0024539502851802</v>
      </c>
      <c r="AD1211" s="4">
        <v>0.0</v>
      </c>
      <c r="AE1211" s="4">
        <v>-4.725280377236E-4</v>
      </c>
      <c r="AF1211" s="4">
        <v>0.0026014187119851</v>
      </c>
      <c r="AG1211" s="4">
        <v>-0.0099450756938948</v>
      </c>
      <c r="AH1211" s="4">
        <v>0.0222339517259819</v>
      </c>
      <c r="AI1211" s="4">
        <v>-0.0034965449186035</v>
      </c>
      <c r="AJ1211" s="4">
        <v>-4.75E-4</v>
      </c>
      <c r="AK1211" s="4">
        <f>Weights!E1267</f>
        <v>0.001185621299</v>
      </c>
      <c r="AL1211" s="5">
        <v>-0.00435602362772546</v>
      </c>
      <c r="AM1211" s="5">
        <v>-0.00314997961271168</v>
      </c>
      <c r="AN1211" s="5">
        <v>-0.00451535932196345</v>
      </c>
      <c r="AO1211" s="5">
        <v>-0.00355725732682365</v>
      </c>
      <c r="AP1211" s="6">
        <f t="shared" si="3"/>
        <v>1.853173427</v>
      </c>
      <c r="AQ1211" s="4">
        <f t="shared" si="4"/>
        <v>1.811044695</v>
      </c>
      <c r="AR1211" s="7">
        <f t="shared" si="5"/>
        <v>1.728405933</v>
      </c>
      <c r="AS1211" s="7">
        <f t="shared" ref="AS1211:AU1211" si="1213">AS1210*(1+AM1211)</f>
        <v>1.897953574</v>
      </c>
      <c r="AT1211" s="5">
        <f t="shared" si="1213"/>
        <v>1.68403676</v>
      </c>
      <c r="AU1211" s="5">
        <f t="shared" si="1213"/>
        <v>1.682503771</v>
      </c>
    </row>
    <row r="1212" ht="15.75" customHeight="1">
      <c r="A1212" s="3">
        <v>45588.0</v>
      </c>
      <c r="B1212" s="4">
        <v>-0.001235</v>
      </c>
      <c r="C1212" s="4">
        <v>0.032771</v>
      </c>
      <c r="D1212" s="4">
        <v>0.004867</v>
      </c>
      <c r="E1212" s="4">
        <v>-0.008144</v>
      </c>
      <c r="F1212" s="4">
        <v>-0.020734</v>
      </c>
      <c r="G1212" s="4">
        <v>0.014745</v>
      </c>
      <c r="H1212" s="4">
        <v>-7.07E-4</v>
      </c>
      <c r="I1212" s="4">
        <v>-0.005549</v>
      </c>
      <c r="J1212" s="4">
        <v>0.003352</v>
      </c>
      <c r="K1212" s="4">
        <v>-0.009429</v>
      </c>
      <c r="L1212" s="4">
        <v>7.2E-4</v>
      </c>
      <c r="M1212" s="4">
        <v>-0.001995</v>
      </c>
      <c r="N1212" s="4">
        <v>0.001588</v>
      </c>
      <c r="O1212" s="4">
        <v>-0.010751</v>
      </c>
      <c r="P1212" s="4">
        <v>-0.016019</v>
      </c>
      <c r="Q1212" s="4">
        <v>-0.050767</v>
      </c>
      <c r="R1212" s="4">
        <v>-0.01257</v>
      </c>
      <c r="S1212" s="4">
        <v>-0.016051</v>
      </c>
      <c r="T1212" s="4">
        <v>-0.029859</v>
      </c>
      <c r="U1212" s="4">
        <v>-0.005459</v>
      </c>
      <c r="V1212" s="4">
        <v>-0.00647546957234024</v>
      </c>
      <c r="W1212" s="4">
        <v>0.006036150745905</v>
      </c>
      <c r="X1212" s="4">
        <v>0.0</v>
      </c>
      <c r="Y1212" s="4">
        <v>0.0161993582470187</v>
      </c>
      <c r="Z1212" s="4">
        <v>0.012884912944022</v>
      </c>
      <c r="AA1212" s="4">
        <v>-1.984817604172E-4</v>
      </c>
      <c r="AB1212" s="4">
        <v>0.0020689950823673</v>
      </c>
      <c r="AC1212" s="4">
        <v>0.0</v>
      </c>
      <c r="AD1212" s="4">
        <v>0.0</v>
      </c>
      <c r="AE1212" s="4">
        <v>-0.002127108675916</v>
      </c>
      <c r="AF1212" s="4">
        <v>0.0057083855965847</v>
      </c>
      <c r="AG1212" s="4">
        <v>0.0174921770572746</v>
      </c>
      <c r="AH1212" s="4">
        <v>-0.014241343065816</v>
      </c>
      <c r="AI1212" s="4">
        <v>0.0040099885204327</v>
      </c>
      <c r="AJ1212" s="4">
        <v>-0.009191</v>
      </c>
      <c r="AK1212" s="4">
        <f>Weights!E1268</f>
        <v>-0.001913562171</v>
      </c>
      <c r="AL1212" s="5">
        <v>-0.00158516460500446</v>
      </c>
      <c r="AM1212" s="5">
        <v>-0.00114602126743212</v>
      </c>
      <c r="AN1212" s="5">
        <v>-0.00133397945971402</v>
      </c>
      <c r="AO1212" s="5">
        <v>-5.9500556262626E-4</v>
      </c>
      <c r="AP1212" s="6">
        <f t="shared" si="3"/>
        <v>1.849627265</v>
      </c>
      <c r="AQ1212" s="4">
        <f t="shared" si="4"/>
        <v>1.794399384</v>
      </c>
      <c r="AR1212" s="7">
        <f t="shared" si="5"/>
        <v>1.725666125</v>
      </c>
      <c r="AS1212" s="7">
        <f t="shared" ref="AS1212:AU1212" si="1214">AS1211*(1+AM1212)</f>
        <v>1.895778479</v>
      </c>
      <c r="AT1212" s="5">
        <f t="shared" si="1214"/>
        <v>1.68179029</v>
      </c>
      <c r="AU1212" s="5">
        <f t="shared" si="1214"/>
        <v>1.681502672</v>
      </c>
    </row>
    <row r="1213" ht="15.75" customHeight="1">
      <c r="A1213" s="3">
        <v>45589.0</v>
      </c>
      <c r="B1213" s="4">
        <v>-0.014224</v>
      </c>
      <c r="C1213" s="4">
        <v>-0.023332</v>
      </c>
      <c r="D1213" s="4">
        <v>-0.031608</v>
      </c>
      <c r="E1213" s="4">
        <v>-0.004568</v>
      </c>
      <c r="F1213" s="4">
        <v>-0.01044</v>
      </c>
      <c r="G1213" s="4">
        <v>-0.013204</v>
      </c>
      <c r="H1213" s="4">
        <v>2.36E-4</v>
      </c>
      <c r="I1213" s="4">
        <v>-0.002183</v>
      </c>
      <c r="J1213" s="4">
        <v>-0.015145</v>
      </c>
      <c r="K1213" s="4">
        <v>0.002115</v>
      </c>
      <c r="L1213" s="4">
        <v>-0.004981</v>
      </c>
      <c r="M1213" s="4">
        <v>-0.001332</v>
      </c>
      <c r="N1213" s="4">
        <v>-5.29E-4</v>
      </c>
      <c r="O1213" s="4">
        <v>0.00695</v>
      </c>
      <c r="P1213" s="4">
        <v>-0.147038</v>
      </c>
      <c r="Q1213" s="4">
        <v>-0.004457</v>
      </c>
      <c r="R1213" s="4">
        <v>-0.022538</v>
      </c>
      <c r="S1213" s="4">
        <v>-0.004597</v>
      </c>
      <c r="T1213" s="4">
        <v>-0.002259</v>
      </c>
      <c r="U1213" s="4">
        <v>-0.00998</v>
      </c>
      <c r="V1213" s="4">
        <v>-0.0121042527835132</v>
      </c>
      <c r="W1213" s="4">
        <v>0.0</v>
      </c>
      <c r="X1213" s="4">
        <v>-0.0011273785519907</v>
      </c>
      <c r="Y1213" s="4">
        <v>0.0034024027281029</v>
      </c>
      <c r="Z1213" s="4">
        <v>0.0051426216726815</v>
      </c>
      <c r="AA1213" s="4">
        <v>0.0027789019247876</v>
      </c>
      <c r="AB1213" s="4">
        <v>0.0011471087168297</v>
      </c>
      <c r="AC1213" s="4">
        <v>0.0049019795754747</v>
      </c>
      <c r="AD1213" s="4">
        <v>-0.0022883597293644</v>
      </c>
      <c r="AE1213" s="4">
        <v>-0.0042633769316277</v>
      </c>
      <c r="AF1213" s="4">
        <v>0.0</v>
      </c>
      <c r="AG1213" s="4">
        <v>-8.510591331177E-4</v>
      </c>
      <c r="AH1213" s="4">
        <v>0.0028894553791822</v>
      </c>
      <c r="AI1213" s="4">
        <v>-4.991731985192E-4</v>
      </c>
      <c r="AJ1213" s="4">
        <v>0.002146</v>
      </c>
      <c r="AK1213" s="4">
        <f>Weights!E1269</f>
        <v>-0.006961149819</v>
      </c>
      <c r="AL1213" s="5">
        <v>-0.00997081835450175</v>
      </c>
      <c r="AM1213" s="5">
        <v>-0.00903877007103937</v>
      </c>
      <c r="AN1213" s="5">
        <v>-0.00454189907068069</v>
      </c>
      <c r="AO1213" s="5">
        <v>-0.00555664028657187</v>
      </c>
      <c r="AP1213" s="6">
        <f t="shared" si="3"/>
        <v>1.836751732</v>
      </c>
      <c r="AQ1213" s="4">
        <f t="shared" si="4"/>
        <v>1.798250165</v>
      </c>
      <c r="AR1213" s="7">
        <f t="shared" si="5"/>
        <v>1.708459822</v>
      </c>
      <c r="AS1213" s="7">
        <f t="shared" ref="AS1213:AU1213" si="1215">AS1212*(1+AM1213)</f>
        <v>1.878642973</v>
      </c>
      <c r="AT1213" s="5">
        <f t="shared" si="1215"/>
        <v>1.674151768</v>
      </c>
      <c r="AU1213" s="5">
        <f t="shared" si="1215"/>
        <v>1.672159166</v>
      </c>
    </row>
    <row r="1214" ht="15.75" customHeight="1">
      <c r="A1214" s="3">
        <v>45590.0</v>
      </c>
      <c r="B1214" s="4">
        <v>-0.007528</v>
      </c>
      <c r="C1214" s="4">
        <v>-0.011467</v>
      </c>
      <c r="D1214" s="4">
        <v>-0.022374</v>
      </c>
      <c r="E1214" s="4">
        <v>-0.002149</v>
      </c>
      <c r="F1214" s="4">
        <v>-0.005646</v>
      </c>
      <c r="G1214" s="4">
        <v>-0.017046</v>
      </c>
      <c r="H1214" s="4">
        <v>-0.008254</v>
      </c>
      <c r="I1214" s="4">
        <v>-0.00462</v>
      </c>
      <c r="J1214" s="4">
        <v>-0.009724</v>
      </c>
      <c r="K1214" s="4">
        <v>-0.008971</v>
      </c>
      <c r="L1214" s="4">
        <v>-0.008662</v>
      </c>
      <c r="M1214" s="4">
        <v>-0.006338</v>
      </c>
      <c r="N1214" s="4">
        <v>-0.005642</v>
      </c>
      <c r="O1214" s="4">
        <v>0.071199</v>
      </c>
      <c r="P1214" s="4">
        <v>-0.016853</v>
      </c>
      <c r="Q1214" s="4">
        <v>-0.020146</v>
      </c>
      <c r="R1214" s="4">
        <v>-0.005124</v>
      </c>
      <c r="S1214" s="4">
        <v>-0.01475</v>
      </c>
      <c r="T1214" s="4">
        <v>9.2E-4</v>
      </c>
      <c r="U1214" s="4">
        <v>-0.015457</v>
      </c>
      <c r="V1214" s="4">
        <v>0.0</v>
      </c>
      <c r="W1214" s="4">
        <v>0.0128889526007365</v>
      </c>
      <c r="X1214" s="4">
        <v>-0.0067719919238637</v>
      </c>
      <c r="Y1214" s="4">
        <v>-0.0022606420695215</v>
      </c>
      <c r="Z1214" s="4">
        <v>0.0040391056396642</v>
      </c>
      <c r="AA1214" s="4">
        <v>-0.0019794742512612</v>
      </c>
      <c r="AB1214" s="4">
        <v>0.0178734324544442</v>
      </c>
      <c r="AC1214" s="4">
        <v>0.0073170545624523</v>
      </c>
      <c r="AD1214" s="4">
        <v>0.0</v>
      </c>
      <c r="AE1214" s="4">
        <v>-0.0021407698207177</v>
      </c>
      <c r="AF1214" s="4">
        <v>-0.0056759848862137</v>
      </c>
      <c r="AG1214" s="4">
        <v>-0.021124444119406</v>
      </c>
      <c r="AH1214" s="4">
        <v>0.0039287234621174</v>
      </c>
      <c r="AI1214" s="4">
        <v>-0.0011026261829952</v>
      </c>
      <c r="AJ1214" s="4">
        <v>-2.99E-4</v>
      </c>
      <c r="AK1214" s="4">
        <f>Weights!E1270</f>
        <v>-0.004320924785</v>
      </c>
      <c r="AL1214" s="5">
        <v>0.00327150118885732</v>
      </c>
      <c r="AM1214" s="5">
        <v>0.00266621944051959</v>
      </c>
      <c r="AN1214" s="5">
        <v>-8.05113547213021E-4</v>
      </c>
      <c r="AO1214" s="5">
        <v>-3.99098570392553E-4</v>
      </c>
      <c r="AP1214" s="6">
        <f t="shared" si="3"/>
        <v>1.828815266</v>
      </c>
      <c r="AQ1214" s="4">
        <f t="shared" si="4"/>
        <v>1.797712488</v>
      </c>
      <c r="AR1214" s="7">
        <f t="shared" si="5"/>
        <v>1.71404905</v>
      </c>
      <c r="AS1214" s="7">
        <f t="shared" ref="AS1214:AU1214" si="1216">AS1213*(1+AM1214)</f>
        <v>1.883651847</v>
      </c>
      <c r="AT1214" s="5">
        <f t="shared" si="1216"/>
        <v>1.672803886</v>
      </c>
      <c r="AU1214" s="5">
        <f t="shared" si="1216"/>
        <v>1.67149181</v>
      </c>
    </row>
    <row r="1215" ht="15.75" customHeight="1">
      <c r="A1215" s="3">
        <v>45593.0</v>
      </c>
      <c r="B1215" s="4">
        <v>0.020228</v>
      </c>
      <c r="C1215" s="4">
        <v>0.0058</v>
      </c>
      <c r="D1215" s="4">
        <v>0.004577</v>
      </c>
      <c r="E1215" s="4">
        <v>-0.011351</v>
      </c>
      <c r="F1215" s="4">
        <v>-0.003736</v>
      </c>
      <c r="G1215" s="4">
        <v>0.004475</v>
      </c>
      <c r="H1215" s="4">
        <v>0.00642</v>
      </c>
      <c r="I1215" s="4">
        <v>-0.00171</v>
      </c>
      <c r="J1215" s="4">
        <v>0.002284</v>
      </c>
      <c r="K1215" s="4">
        <v>-0.001065</v>
      </c>
      <c r="L1215" s="4">
        <v>0.012821</v>
      </c>
      <c r="M1215" s="4">
        <v>0.01477</v>
      </c>
      <c r="N1215" s="4">
        <v>0.009929</v>
      </c>
      <c r="O1215" s="4">
        <v>-0.036084</v>
      </c>
      <c r="P1215" s="4">
        <v>-0.001239</v>
      </c>
      <c r="Q1215" s="4">
        <v>-0.01542</v>
      </c>
      <c r="R1215" s="4">
        <v>0.00279</v>
      </c>
      <c r="S1215" s="4">
        <v>0.004839</v>
      </c>
      <c r="T1215" s="4">
        <v>0.04425</v>
      </c>
      <c r="U1215" s="4">
        <v>0.006314</v>
      </c>
      <c r="V1215" s="4">
        <v>-0.0169651993579783</v>
      </c>
      <c r="W1215" s="4">
        <v>-0.0193067744432804</v>
      </c>
      <c r="X1215" s="4">
        <v>-0.0147727619517933</v>
      </c>
      <c r="Y1215" s="4">
        <v>-0.0053496612148242</v>
      </c>
      <c r="Z1215" s="4">
        <v>-0.005006276666937</v>
      </c>
      <c r="AA1215" s="4">
        <v>0.0031734247839532</v>
      </c>
      <c r="AB1215" s="4">
        <v>0.0024762886533751</v>
      </c>
      <c r="AC1215" s="4">
        <v>0.0096852671493505</v>
      </c>
      <c r="AD1215" s="4">
        <v>-0.020642206756265</v>
      </c>
      <c r="AE1215" s="4">
        <v>0.0145410962502781</v>
      </c>
      <c r="AF1215" s="4">
        <v>0.0114167078405742</v>
      </c>
      <c r="AG1215" s="4">
        <v>-0.0038286616305818</v>
      </c>
      <c r="AH1215" s="4">
        <v>0.0020871733726066</v>
      </c>
      <c r="AI1215" s="4">
        <v>-0.0015052141453082</v>
      </c>
      <c r="AJ1215" s="4">
        <v>0.002651</v>
      </c>
      <c r="AK1215" s="4">
        <f>Weights!E1271</f>
        <v>0.001331657576</v>
      </c>
      <c r="AL1215" s="5">
        <v>-0.00159844195132119</v>
      </c>
      <c r="AM1215" s="5">
        <v>-9.44675226504876E-4</v>
      </c>
      <c r="AN1215" s="5">
        <v>-0.00376032802423098</v>
      </c>
      <c r="AO1215" s="5">
        <v>-0.00339396281838211</v>
      </c>
      <c r="AP1215" s="6">
        <f t="shared" si="3"/>
        <v>1.831250622</v>
      </c>
      <c r="AQ1215" s="4">
        <f t="shared" si="4"/>
        <v>1.802478224</v>
      </c>
      <c r="AR1215" s="7">
        <f t="shared" si="5"/>
        <v>1.711309242</v>
      </c>
      <c r="AS1215" s="7">
        <f t="shared" ref="AS1215:AU1215" si="1217">AS1214*(1+AM1215)</f>
        <v>1.881872408</v>
      </c>
      <c r="AT1215" s="5">
        <f t="shared" si="1217"/>
        <v>1.666513594</v>
      </c>
      <c r="AU1215" s="5">
        <f t="shared" si="1217"/>
        <v>1.665818829</v>
      </c>
    </row>
    <row r="1216" ht="15.75" customHeight="1">
      <c r="A1216" s="3">
        <v>45594.0</v>
      </c>
      <c r="B1216" s="4">
        <v>-0.007435</v>
      </c>
      <c r="C1216" s="4">
        <v>-0.006968</v>
      </c>
      <c r="D1216" s="4">
        <v>-0.027071</v>
      </c>
      <c r="E1216" s="4">
        <v>-0.013778</v>
      </c>
      <c r="F1216" s="4">
        <v>-0.016649</v>
      </c>
      <c r="G1216" s="4">
        <v>-0.009344</v>
      </c>
      <c r="H1216" s="4">
        <v>-0.012581</v>
      </c>
      <c r="I1216" s="4">
        <v>-0.0115</v>
      </c>
      <c r="J1216" s="4">
        <v>-0.014126</v>
      </c>
      <c r="K1216" s="4">
        <v>-0.014215</v>
      </c>
      <c r="L1216" s="4">
        <v>-0.004515</v>
      </c>
      <c r="M1216" s="4">
        <v>-0.005293</v>
      </c>
      <c r="N1216" s="4">
        <v>-0.002633</v>
      </c>
      <c r="O1216" s="4">
        <v>-0.009845</v>
      </c>
      <c r="P1216" s="4">
        <v>-0.01158</v>
      </c>
      <c r="Q1216" s="4">
        <v>-0.0058</v>
      </c>
      <c r="R1216" s="4">
        <v>-0.003424</v>
      </c>
      <c r="S1216" s="4">
        <v>0.021068</v>
      </c>
      <c r="T1216" s="4">
        <v>-0.003588</v>
      </c>
      <c r="U1216" s="4">
        <v>0.019897</v>
      </c>
      <c r="V1216" s="4">
        <v>0.0153404436774176</v>
      </c>
      <c r="W1216" s="4">
        <v>0.0017897745242425</v>
      </c>
      <c r="X1216" s="4">
        <v>0.0161476536927063</v>
      </c>
      <c r="Y1216" s="4">
        <v>-0.0016451645852075</v>
      </c>
      <c r="Z1216" s="4">
        <v>-0.0028750642277434</v>
      </c>
      <c r="AA1216" s="4">
        <v>-0.0021748622563667</v>
      </c>
      <c r="AB1216" s="4">
        <v>-0.0040421880251366</v>
      </c>
      <c r="AC1216" s="4">
        <v>-0.0167865887321895</v>
      </c>
      <c r="AD1216" s="4">
        <v>0.0070257628344712</v>
      </c>
      <c r="AE1216" s="4">
        <v>-0.00587413795846</v>
      </c>
      <c r="AF1216" s="4">
        <v>0.0251411191138148</v>
      </c>
      <c r="AG1216" s="4">
        <v>-0.004716955058105</v>
      </c>
      <c r="AH1216" s="4">
        <v>0.0067690763722785</v>
      </c>
      <c r="AI1216" s="4">
        <v>0.0010048906576485</v>
      </c>
      <c r="AJ1216" s="4">
        <v>0.001614</v>
      </c>
      <c r="AK1216" s="4">
        <f>Weights!E1272</f>
        <v>-0.00241208949</v>
      </c>
      <c r="AL1216" s="5">
        <v>0.00441879047085591</v>
      </c>
      <c r="AM1216" s="5">
        <v>0.00406245830589591</v>
      </c>
      <c r="AN1216" s="5">
        <v>0.00539223320787107</v>
      </c>
      <c r="AO1216" s="5">
        <v>0.00460745137867513</v>
      </c>
      <c r="AP1216" s="6">
        <f t="shared" si="3"/>
        <v>1.826833481</v>
      </c>
      <c r="AQ1216" s="4">
        <f t="shared" si="4"/>
        <v>1.805387423</v>
      </c>
      <c r="AR1216" s="7">
        <f t="shared" si="5"/>
        <v>1.718871159</v>
      </c>
      <c r="AS1216" s="7">
        <f t="shared" ref="AS1216:AU1216" si="1218">AS1215*(1+AM1216)</f>
        <v>1.889517436</v>
      </c>
      <c r="AT1216" s="5">
        <f t="shared" si="1218"/>
        <v>1.675499824</v>
      </c>
      <c r="AU1216" s="5">
        <f t="shared" si="1218"/>
        <v>1.673494008</v>
      </c>
    </row>
    <row r="1217" ht="15.75" customHeight="1">
      <c r="A1217" s="3">
        <v>45595.0</v>
      </c>
      <c r="B1217" s="4">
        <v>-0.006242</v>
      </c>
      <c r="C1217" s="4">
        <v>-0.00121</v>
      </c>
      <c r="D1217" s="4">
        <v>0.014876</v>
      </c>
      <c r="E1217" s="4">
        <v>-0.007701</v>
      </c>
      <c r="F1217" s="4">
        <v>0.005491</v>
      </c>
      <c r="G1217" s="4">
        <v>0.003248</v>
      </c>
      <c r="H1217" s="4">
        <v>-0.006042</v>
      </c>
      <c r="I1217" s="4">
        <v>0.004703</v>
      </c>
      <c r="J1217" s="4">
        <v>-9.24E-4</v>
      </c>
      <c r="K1217" s="4">
        <v>0.003064</v>
      </c>
      <c r="L1217" s="4">
        <v>8.91E-4</v>
      </c>
      <c r="M1217" s="4">
        <v>-0.003658</v>
      </c>
      <c r="N1217" s="4">
        <v>-0.004577</v>
      </c>
      <c r="O1217" s="4">
        <v>-0.005646</v>
      </c>
      <c r="P1217" s="4">
        <v>-0.017992</v>
      </c>
      <c r="Q1217" s="4">
        <v>-0.002917</v>
      </c>
      <c r="R1217" s="4">
        <v>-0.012884</v>
      </c>
      <c r="S1217" s="4">
        <v>-0.004421</v>
      </c>
      <c r="T1217" s="4">
        <v>-0.030571</v>
      </c>
      <c r="U1217" s="4">
        <v>-0.01502</v>
      </c>
      <c r="V1217" s="4">
        <v>-0.00188856933667547</v>
      </c>
      <c r="W1217" s="4">
        <v>-0.0133988364294632</v>
      </c>
      <c r="X1217" s="4">
        <v>0.0</v>
      </c>
      <c r="Y1217" s="4">
        <v>0.0064013440353267</v>
      </c>
      <c r="Z1217" s="4">
        <v>0.0080194190080895</v>
      </c>
      <c r="AA1217" s="4">
        <v>0.005547971963401</v>
      </c>
      <c r="AB1217" s="4">
        <v>0.0115310774742485</v>
      </c>
      <c r="AC1217" s="4">
        <v>0.0</v>
      </c>
      <c r="AD1217" s="4">
        <v>0.0</v>
      </c>
      <c r="AE1217" s="4">
        <v>0.0160719120376877</v>
      </c>
      <c r="AF1217" s="4">
        <v>0.0040040309766613</v>
      </c>
      <c r="AG1217" s="4">
        <v>0.004739310171189</v>
      </c>
      <c r="AH1217" s="4">
        <v>0.0113783059691452</v>
      </c>
      <c r="AI1217" s="4">
        <v>0.0015060679593796</v>
      </c>
      <c r="AJ1217" s="4">
        <v>-0.0033</v>
      </c>
      <c r="AK1217" s="4">
        <f>Weights!E1273</f>
        <v>0.0003682774252</v>
      </c>
      <c r="AL1217" s="5">
        <v>0.0</v>
      </c>
      <c r="AM1217" s="5">
        <v>0.00132538388766989</v>
      </c>
      <c r="AN1217" s="5">
        <v>-0.00134077629544915</v>
      </c>
      <c r="AO1217" s="5">
        <v>-1.99505929433629E-4</v>
      </c>
      <c r="AP1217" s="6">
        <f t="shared" si="3"/>
        <v>1.827506263</v>
      </c>
      <c r="AQ1217" s="4">
        <f t="shared" si="4"/>
        <v>1.799429645</v>
      </c>
      <c r="AR1217" s="7">
        <f t="shared" si="5"/>
        <v>1.718871159</v>
      </c>
      <c r="AS1217" s="7">
        <f t="shared" ref="AS1217:AU1217" si="1219">AS1216*(1+AM1217)</f>
        <v>1.892021772</v>
      </c>
      <c r="AT1217" s="5">
        <f t="shared" si="1219"/>
        <v>1.673253354</v>
      </c>
      <c r="AU1217" s="5">
        <f t="shared" si="1219"/>
        <v>1.673160136</v>
      </c>
    </row>
    <row r="1218" ht="15.75" customHeight="1">
      <c r="A1218" s="3">
        <v>45596.0</v>
      </c>
      <c r="B1218" s="4">
        <v>-0.00691</v>
      </c>
      <c r="C1218" s="4">
        <v>0.020591</v>
      </c>
      <c r="D1218" s="4">
        <v>-0.014115</v>
      </c>
      <c r="E1218" s="4">
        <v>-7.82E-4</v>
      </c>
      <c r="F1218" s="4">
        <v>-0.009254</v>
      </c>
      <c r="G1218" s="4">
        <v>-0.00467</v>
      </c>
      <c r="H1218" s="4">
        <v>-0.005898</v>
      </c>
      <c r="I1218" s="4">
        <v>-0.004681</v>
      </c>
      <c r="J1218" s="4">
        <v>0.0</v>
      </c>
      <c r="K1218" s="4">
        <v>-0.006828</v>
      </c>
      <c r="L1218" s="4">
        <v>-0.021767</v>
      </c>
      <c r="M1218" s="4">
        <v>-0.025033</v>
      </c>
      <c r="N1218" s="4">
        <v>-0.019982</v>
      </c>
      <c r="O1218" s="4">
        <v>-0.002263</v>
      </c>
      <c r="P1218" s="4">
        <v>-0.031956</v>
      </c>
      <c r="Q1218" s="4">
        <v>-0.035693</v>
      </c>
      <c r="R1218" s="4">
        <v>-0.020666</v>
      </c>
      <c r="S1218" s="4">
        <v>-0.022798</v>
      </c>
      <c r="T1218" s="4">
        <v>-0.006027</v>
      </c>
      <c r="U1218" s="4">
        <v>-0.005458</v>
      </c>
      <c r="V1218" s="4">
        <v>0.017029285015585</v>
      </c>
      <c r="W1218" s="4">
        <v>0.0027160943595474</v>
      </c>
      <c r="X1218" s="4">
        <v>-0.0146396735031653</v>
      </c>
      <c r="Y1218" s="4">
        <v>0.0</v>
      </c>
      <c r="Z1218" s="4">
        <v>0.0</v>
      </c>
      <c r="AA1218" s="4">
        <v>0.0</v>
      </c>
      <c r="AB1218" s="4">
        <v>0.0</v>
      </c>
      <c r="AC1218" s="4">
        <v>0.0060313629770429</v>
      </c>
      <c r="AD1218" s="4">
        <v>0.0</v>
      </c>
      <c r="AE1218" s="4">
        <v>0.0</v>
      </c>
      <c r="AF1218" s="4">
        <v>-0.0119641270931684</v>
      </c>
      <c r="AG1218" s="4">
        <v>0.0</v>
      </c>
      <c r="AH1218" s="4">
        <v>0.0</v>
      </c>
      <c r="AI1218" s="4">
        <v>0.0</v>
      </c>
      <c r="AJ1218" s="4">
        <v>-0.018615</v>
      </c>
      <c r="AK1218" s="4">
        <f>Weights!E1274</f>
        <v>-0.006096255497</v>
      </c>
      <c r="AL1218" s="5">
        <v>-0.00363420786806978</v>
      </c>
      <c r="AM1218" s="5">
        <v>-0.00247313678375993</v>
      </c>
      <c r="AN1218" s="5">
        <v>-0.0016111957034226</v>
      </c>
      <c r="AO1218" s="5">
        <v>-0.00239323607898178</v>
      </c>
      <c r="AP1218" s="6">
        <f t="shared" si="3"/>
        <v>1.816365318</v>
      </c>
      <c r="AQ1218" s="4">
        <f t="shared" si="4"/>
        <v>1.765933262</v>
      </c>
      <c r="AR1218" s="7">
        <f t="shared" si="5"/>
        <v>1.712624424</v>
      </c>
      <c r="AS1218" s="7">
        <f t="shared" ref="AS1218:AU1218" si="1220">AS1217*(1+AM1218)</f>
        <v>1.887342544</v>
      </c>
      <c r="AT1218" s="5">
        <f t="shared" si="1220"/>
        <v>1.670557415</v>
      </c>
      <c r="AU1218" s="5">
        <f t="shared" si="1220"/>
        <v>1.669155869</v>
      </c>
    </row>
    <row r="1219" ht="15.75" customHeight="1">
      <c r="A1219" s="3">
        <v>45597.0</v>
      </c>
      <c r="B1219" s="4">
        <v>-0.00759</v>
      </c>
      <c r="C1219" s="4">
        <v>-0.018277</v>
      </c>
      <c r="D1219" s="4">
        <v>-0.006608</v>
      </c>
      <c r="E1219" s="4">
        <v>-0.00295</v>
      </c>
      <c r="F1219" s="4">
        <v>-0.004593</v>
      </c>
      <c r="G1219" s="4">
        <v>0.001689</v>
      </c>
      <c r="H1219" s="4">
        <v>-4.84E-4</v>
      </c>
      <c r="I1219" s="4">
        <v>4.95E-4</v>
      </c>
      <c r="J1219" s="4">
        <v>-0.010178</v>
      </c>
      <c r="K1219" s="4">
        <v>-0.005066</v>
      </c>
      <c r="L1219" s="4">
        <v>0.007445</v>
      </c>
      <c r="M1219" s="4">
        <v>0.008901</v>
      </c>
      <c r="N1219" s="4">
        <v>0.003248</v>
      </c>
      <c r="O1219" s="4">
        <v>0.007465</v>
      </c>
      <c r="P1219" s="4">
        <v>-0.003961</v>
      </c>
      <c r="Q1219" s="4">
        <v>-0.01517</v>
      </c>
      <c r="R1219" s="4">
        <v>0.012661</v>
      </c>
      <c r="S1219" s="4">
        <v>-0.013331</v>
      </c>
      <c r="T1219" s="4">
        <v>0.012126</v>
      </c>
      <c r="U1219" s="4">
        <v>0.001188</v>
      </c>
      <c r="V1219" s="4">
        <v>-0.0148836837435253</v>
      </c>
      <c r="W1219" s="4">
        <v>-0.0480812147153445</v>
      </c>
      <c r="X1219" s="4">
        <v>0.0114285714285713</v>
      </c>
      <c r="Y1219" s="4">
        <v>0.0061717763345676</v>
      </c>
      <c r="Z1219" s="4">
        <v>0.0099222833172878</v>
      </c>
      <c r="AA1219" s="4">
        <v>0.0094579765758564</v>
      </c>
      <c r="AB1219" s="4">
        <v>0.0051918328150923</v>
      </c>
      <c r="AC1219" s="4">
        <v>-0.0035971588281652</v>
      </c>
      <c r="AD1219" s="4">
        <v>-0.0011546597714769</v>
      </c>
      <c r="AE1219" s="4">
        <v>-0.0069783880417528</v>
      </c>
      <c r="AF1219" s="4">
        <v>-0.0105953756271252</v>
      </c>
      <c r="AG1219" s="4">
        <v>0.0024458967916309</v>
      </c>
      <c r="AH1219" s="4">
        <v>-0.0171311460069641</v>
      </c>
      <c r="AI1219" s="4">
        <v>0.0</v>
      </c>
      <c r="AJ1219" s="4">
        <v>0.004093</v>
      </c>
      <c r="AK1219" s="4">
        <f>Weights!E1275</f>
        <v>-0.002163006337</v>
      </c>
      <c r="AL1219" s="5">
        <v>-0.0162539232353453</v>
      </c>
      <c r="AM1219" s="5">
        <v>-0.0186472436391569</v>
      </c>
      <c r="AN1219" s="5">
        <v>-0.0137171083721169</v>
      </c>
      <c r="AO1219" s="5">
        <v>-0.013394671066998</v>
      </c>
      <c r="AP1219" s="6">
        <f t="shared" si="3"/>
        <v>1.812436508</v>
      </c>
      <c r="AQ1219" s="4">
        <f t="shared" si="4"/>
        <v>1.773161227</v>
      </c>
      <c r="AR1219" s="7">
        <f t="shared" si="5"/>
        <v>1.684787558</v>
      </c>
      <c r="AS1219" s="7">
        <f t="shared" ref="AS1219:AU1219" si="1221">AS1218*(1+AM1219)</f>
        <v>1.852148808</v>
      </c>
      <c r="AT1219" s="5">
        <f t="shared" si="1221"/>
        <v>1.647642198</v>
      </c>
      <c r="AU1219" s="5">
        <f t="shared" si="1221"/>
        <v>1.646798075</v>
      </c>
    </row>
    <row r="1220" ht="15.75" customHeight="1">
      <c r="A1220" s="3">
        <v>45600.0</v>
      </c>
      <c r="B1220" s="4">
        <v>0.001275</v>
      </c>
      <c r="C1220" s="4">
        <v>-0.007253</v>
      </c>
      <c r="D1220" s="4">
        <v>0.016075</v>
      </c>
      <c r="E1220" s="4">
        <v>0.004529</v>
      </c>
      <c r="F1220" s="4">
        <v>0.001538</v>
      </c>
      <c r="G1220" s="4">
        <v>-0.011803</v>
      </c>
      <c r="H1220" s="4">
        <v>-1.21E-4</v>
      </c>
      <c r="I1220" s="4">
        <v>0.010144</v>
      </c>
      <c r="J1220" s="4">
        <v>-0.005141</v>
      </c>
      <c r="K1220" s="4">
        <v>7.27E-4</v>
      </c>
      <c r="L1220" s="4">
        <v>0.003941</v>
      </c>
      <c r="M1220" s="4">
        <v>0.007805</v>
      </c>
      <c r="N1220" s="4">
        <v>0.001439</v>
      </c>
      <c r="O1220" s="4">
        <v>-0.002743</v>
      </c>
      <c r="P1220" s="4">
        <v>0.011047</v>
      </c>
      <c r="Q1220" s="4">
        <v>-0.003697</v>
      </c>
      <c r="R1220" s="4">
        <v>0.014916</v>
      </c>
      <c r="S1220" s="4">
        <v>-0.003992</v>
      </c>
      <c r="T1220" s="4">
        <v>-0.006687</v>
      </c>
      <c r="U1220" s="4">
        <v>0.003843</v>
      </c>
      <c r="V1220" s="4">
        <v>9.44284668337624E-4</v>
      </c>
      <c r="W1220" s="4">
        <v>-0.0052170243691965</v>
      </c>
      <c r="X1220" s="4">
        <v>0.0056497175141243</v>
      </c>
      <c r="Y1220" s="4">
        <v>0.002440879944749</v>
      </c>
      <c r="Z1220" s="4">
        <v>0.0100017252181492</v>
      </c>
      <c r="AA1220" s="4">
        <v>0.0042944586846733</v>
      </c>
      <c r="AB1220" s="4">
        <v>0.0114529816731792</v>
      </c>
      <c r="AC1220" s="4">
        <v>-0.0108303434705742</v>
      </c>
      <c r="AD1220" s="4">
        <v>-0.0057803332754106</v>
      </c>
      <c r="AE1220" s="4">
        <v>0.0037478956100016</v>
      </c>
      <c r="AF1220" s="4">
        <v>-0.0025496822608825</v>
      </c>
      <c r="AG1220" s="4">
        <v>0.0334610856482398</v>
      </c>
      <c r="AH1220" s="4">
        <v>-0.0197711268533802</v>
      </c>
      <c r="AI1220" s="4">
        <v>0.0040099784847857</v>
      </c>
      <c r="AJ1220" s="4">
        <v>-0.002812</v>
      </c>
      <c r="AK1220" s="4">
        <f>Weights!E1276</f>
        <v>0.002774597712</v>
      </c>
      <c r="AL1220" s="5">
        <v>0.00403312930498778</v>
      </c>
      <c r="AM1220" s="5">
        <v>0.00427010306888986</v>
      </c>
      <c r="AN1220" s="5">
        <v>0.0027271024346458</v>
      </c>
      <c r="AO1220" s="5">
        <v>0.00425534485703571</v>
      </c>
      <c r="AP1220" s="6">
        <f t="shared" si="3"/>
        <v>1.81746529</v>
      </c>
      <c r="AQ1220" s="4">
        <f t="shared" si="4"/>
        <v>1.768175098</v>
      </c>
      <c r="AR1220" s="7">
        <f t="shared" si="5"/>
        <v>1.691582524</v>
      </c>
      <c r="AS1220" s="7">
        <f t="shared" ref="AS1220:AU1220" si="1222">AS1219*(1+AM1220)</f>
        <v>1.860057674</v>
      </c>
      <c r="AT1220" s="5">
        <f t="shared" si="1222"/>
        <v>1.652135487</v>
      </c>
      <c r="AU1220" s="5">
        <f t="shared" si="1222"/>
        <v>1.653805769</v>
      </c>
    </row>
    <row r="1221" ht="15.75" customHeight="1">
      <c r="A1221" s="3">
        <v>45601.0</v>
      </c>
      <c r="B1221" s="4">
        <v>-0.005092</v>
      </c>
      <c r="C1221" s="4">
        <v>0.004871</v>
      </c>
      <c r="D1221" s="4">
        <v>0.017185</v>
      </c>
      <c r="E1221" s="4">
        <v>0.009078</v>
      </c>
      <c r="F1221" s="4">
        <v>0.003993</v>
      </c>
      <c r="G1221" s="4">
        <v>6.95E-4</v>
      </c>
      <c r="H1221" s="4">
        <v>0.004119</v>
      </c>
      <c r="I1221" s="4">
        <v>0.005388</v>
      </c>
      <c r="J1221" s="4">
        <v>0.035471</v>
      </c>
      <c r="K1221" s="4">
        <v>0.011812</v>
      </c>
      <c r="L1221" s="4">
        <v>0.007197</v>
      </c>
      <c r="M1221" s="4">
        <v>0.009764</v>
      </c>
      <c r="N1221" s="4">
        <v>0.037536</v>
      </c>
      <c r="O1221" s="4">
        <v>0.008744</v>
      </c>
      <c r="P1221" s="4">
        <v>0.005245</v>
      </c>
      <c r="Q1221" s="4">
        <v>0.017934</v>
      </c>
      <c r="R1221" s="4">
        <v>0.015561</v>
      </c>
      <c r="S1221" s="4">
        <v>0.010791</v>
      </c>
      <c r="T1221" s="4">
        <v>0.014095</v>
      </c>
      <c r="U1221" s="4">
        <v>0.006417</v>
      </c>
      <c r="V1221" s="4">
        <v>-0.0273585364185033</v>
      </c>
      <c r="W1221" s="4">
        <v>0.0021453876726</v>
      </c>
      <c r="X1221" s="4">
        <v>-0.0033708208062676</v>
      </c>
      <c r="Y1221" s="4">
        <v>-0.0101147991422045</v>
      </c>
      <c r="Z1221" s="4">
        <v>-0.0113925685442385</v>
      </c>
      <c r="AA1221" s="4">
        <v>-0.0015549858248685</v>
      </c>
      <c r="AB1221" s="4">
        <v>-0.0117673198243655</v>
      </c>
      <c r="AC1221" s="4">
        <v>0.0</v>
      </c>
      <c r="AD1221" s="4">
        <v>-0.0081394613072126</v>
      </c>
      <c r="AE1221" s="4">
        <v>-9.334080083674E-4</v>
      </c>
      <c r="AF1221" s="4">
        <v>0.0035787171092749</v>
      </c>
      <c r="AG1221" s="4">
        <v>-0.0207420068554637</v>
      </c>
      <c r="AH1221" s="4">
        <v>-0.0098195175098774</v>
      </c>
      <c r="AI1221" s="4">
        <v>4.995257333773E-4</v>
      </c>
      <c r="AJ1221" s="4">
        <v>0.012266</v>
      </c>
      <c r="AK1221" s="4">
        <f>Weights!E1277</f>
        <v>0.002783296778</v>
      </c>
      <c r="AL1221" s="5">
        <v>-0.00136067530902861</v>
      </c>
      <c r="AM1221" s="5">
        <v>-0.00180706923306783</v>
      </c>
      <c r="AN1221" s="5">
        <v>2.71842119154763E-4</v>
      </c>
      <c r="AO1221" s="5">
        <v>-6.05330518041236E-4</v>
      </c>
      <c r="AP1221" s="6">
        <f t="shared" si="3"/>
        <v>1.822523836</v>
      </c>
      <c r="AQ1221" s="4">
        <f t="shared" si="4"/>
        <v>1.789863533</v>
      </c>
      <c r="AR1221" s="7">
        <f t="shared" si="5"/>
        <v>1.68928083</v>
      </c>
      <c r="AS1221" s="7">
        <f t="shared" ref="AS1221:AU1221" si="1223">AS1220*(1+AM1221)</f>
        <v>1.856696421</v>
      </c>
      <c r="AT1221" s="5">
        <f t="shared" si="1223"/>
        <v>1.652584607</v>
      </c>
      <c r="AU1221" s="5">
        <f t="shared" si="1223"/>
        <v>1.65280467</v>
      </c>
    </row>
    <row r="1222" ht="15.75" customHeight="1">
      <c r="A1222" s="3">
        <v>45602.0</v>
      </c>
      <c r="B1222" s="4">
        <v>-0.033269</v>
      </c>
      <c r="C1222" s="4">
        <v>-0.002424</v>
      </c>
      <c r="D1222" s="4">
        <v>-0.01904</v>
      </c>
      <c r="E1222" s="4">
        <v>-0.018707</v>
      </c>
      <c r="F1222" s="4">
        <v>-0.025547</v>
      </c>
      <c r="G1222" s="4">
        <v>-0.002968</v>
      </c>
      <c r="H1222" s="4">
        <v>-0.028415</v>
      </c>
      <c r="I1222" s="4">
        <v>0.011693</v>
      </c>
      <c r="J1222" s="4">
        <v>-0.011343</v>
      </c>
      <c r="K1222" s="4">
        <v>0.015445</v>
      </c>
      <c r="L1222" s="4">
        <v>-0.003492</v>
      </c>
      <c r="M1222" s="4">
        <v>0.043681</v>
      </c>
      <c r="N1222" s="4">
        <v>0.019387</v>
      </c>
      <c r="O1222" s="4">
        <v>-4.48E-4</v>
      </c>
      <c r="P1222" s="4">
        <v>-0.033043</v>
      </c>
      <c r="Q1222" s="4">
        <v>-0.037667</v>
      </c>
      <c r="R1222" s="4">
        <v>-0.002554</v>
      </c>
      <c r="S1222" s="4">
        <v>-0.043007</v>
      </c>
      <c r="T1222" s="4">
        <v>0.159947</v>
      </c>
      <c r="U1222" s="4">
        <v>0.003468</v>
      </c>
      <c r="V1222" s="4">
        <v>0.0329777279701861</v>
      </c>
      <c r="W1222" s="4">
        <v>-0.0371074783550889</v>
      </c>
      <c r="X1222" s="4">
        <v>0.0</v>
      </c>
      <c r="Y1222" s="4">
        <v>-0.0078315681718365</v>
      </c>
      <c r="Z1222" s="4">
        <v>-0.0037230205708762</v>
      </c>
      <c r="AA1222" s="4">
        <v>-0.0046719133062196</v>
      </c>
      <c r="AB1222" s="4">
        <v>2.24743072825E-4</v>
      </c>
      <c r="AC1222" s="4">
        <v>0.0</v>
      </c>
      <c r="AD1222" s="4">
        <v>0.0</v>
      </c>
      <c r="AE1222" s="4">
        <v>-0.0014015998131081</v>
      </c>
      <c r="AF1222" s="4">
        <v>-0.0127356088888247</v>
      </c>
      <c r="AG1222" s="4">
        <v>-0.0055105602703403</v>
      </c>
      <c r="AH1222" s="4">
        <v>-0.005628493365816</v>
      </c>
      <c r="AI1222" s="4">
        <v>0.0014968542276871</v>
      </c>
      <c r="AJ1222" s="4">
        <v>0.025296</v>
      </c>
      <c r="AK1222" s="4">
        <f>Weights!E1278</f>
        <v>0.0004476752836</v>
      </c>
      <c r="AL1222" s="5">
        <v>0.0118075570438278</v>
      </c>
      <c r="AM1222" s="5">
        <v>0.0127076098105194</v>
      </c>
      <c r="AN1222" s="5">
        <v>0.00570976647629195</v>
      </c>
      <c r="AO1222" s="5">
        <v>0.0060569716501988</v>
      </c>
      <c r="AP1222" s="6">
        <f t="shared" si="3"/>
        <v>1.823339734</v>
      </c>
      <c r="AQ1222" s="4">
        <f t="shared" si="4"/>
        <v>1.835139921</v>
      </c>
      <c r="AR1222" s="7">
        <f t="shared" si="5"/>
        <v>1.70922711</v>
      </c>
      <c r="AS1222" s="7">
        <f t="shared" ref="AS1222:AU1222" si="1224">AS1221*(1+AM1222)</f>
        <v>1.880290594</v>
      </c>
      <c r="AT1222" s="5">
        <f t="shared" si="1224"/>
        <v>1.66202048</v>
      </c>
      <c r="AU1222" s="5">
        <f t="shared" si="1224"/>
        <v>1.662815661</v>
      </c>
    </row>
    <row r="1223" ht="15.75" customHeight="1">
      <c r="A1223" s="3">
        <v>45603.0</v>
      </c>
      <c r="B1223" s="4">
        <v>0.003971</v>
      </c>
      <c r="C1223" s="4">
        <v>-0.014334</v>
      </c>
      <c r="D1223" s="4">
        <v>0.004921</v>
      </c>
      <c r="E1223" s="4">
        <v>-0.004311</v>
      </c>
      <c r="F1223" s="4">
        <v>-6.28E-4</v>
      </c>
      <c r="G1223" s="4">
        <v>-0.007284</v>
      </c>
      <c r="H1223" s="4">
        <v>0.014654</v>
      </c>
      <c r="I1223" s="4">
        <v>0.02143</v>
      </c>
      <c r="J1223" s="4">
        <v>0.005966</v>
      </c>
      <c r="K1223" s="4">
        <v>0.004422</v>
      </c>
      <c r="L1223" s="4">
        <v>0.014912</v>
      </c>
      <c r="M1223" s="4">
        <v>0.031629</v>
      </c>
      <c r="N1223" s="4">
        <v>0.012056</v>
      </c>
      <c r="O1223" s="4">
        <v>0.014005</v>
      </c>
      <c r="P1223" s="4">
        <v>0.015288</v>
      </c>
      <c r="Q1223" s="4">
        <v>0.025253</v>
      </c>
      <c r="R1223" s="4">
        <v>0.036484</v>
      </c>
      <c r="S1223" s="4">
        <v>0.026454</v>
      </c>
      <c r="T1223" s="4">
        <v>-0.039168</v>
      </c>
      <c r="U1223" s="4">
        <v>0.015691</v>
      </c>
      <c r="V1223" s="4">
        <v>-0.0140844715219471</v>
      </c>
      <c r="W1223" s="4">
        <v>0.0027174150706756</v>
      </c>
      <c r="X1223" s="4">
        <v>0.0103448451250449</v>
      </c>
      <c r="Y1223" s="4">
        <v>0.016106284267076</v>
      </c>
      <c r="Z1223" s="4">
        <v>0.0212651664757443</v>
      </c>
      <c r="AA1223" s="4">
        <v>0.0066497009208317</v>
      </c>
      <c r="AB1223" s="4">
        <v>0.0040430642073052</v>
      </c>
      <c r="AC1223" s="4">
        <v>0.0</v>
      </c>
      <c r="AD1223" s="4">
        <v>0.0071089139000235</v>
      </c>
      <c r="AE1223" s="4">
        <v>0.0121637679049499</v>
      </c>
      <c r="AF1223" s="4">
        <v>0.0118678824988922</v>
      </c>
      <c r="AG1223" s="4">
        <v>-0.0221645145095921</v>
      </c>
      <c r="AH1223" s="4">
        <v>-0.0035040461753161</v>
      </c>
      <c r="AI1223" s="4">
        <v>0.0034878614440592</v>
      </c>
      <c r="AJ1223" s="4">
        <v>0.007431</v>
      </c>
      <c r="AK1223" s="4">
        <f>Weights!E1279</f>
        <v>0.006556431825</v>
      </c>
      <c r="AL1223" s="5">
        <v>0.0153885103102813</v>
      </c>
      <c r="AM1223" s="5">
        <v>0.027970611457939</v>
      </c>
      <c r="AN1223" s="5">
        <v>0.0110840559940375</v>
      </c>
      <c r="AO1223" s="5">
        <v>0.0104354912691402</v>
      </c>
      <c r="AP1223" s="6">
        <f t="shared" si="3"/>
        <v>1.835294337</v>
      </c>
      <c r="AQ1223" s="4">
        <f t="shared" si="4"/>
        <v>1.848776846</v>
      </c>
      <c r="AR1223" s="7">
        <f t="shared" si="5"/>
        <v>1.735529569</v>
      </c>
      <c r="AS1223" s="7">
        <f t="shared" ref="AS1223:AU1223" si="1225">AS1222*(1+AM1223)</f>
        <v>1.932883472</v>
      </c>
      <c r="AT1223" s="5">
        <f t="shared" si="1225"/>
        <v>1.680442408</v>
      </c>
      <c r="AU1223" s="5">
        <f t="shared" si="1225"/>
        <v>1.680167959</v>
      </c>
    </row>
    <row r="1224" ht="15.75" customHeight="1">
      <c r="A1224" s="3">
        <v>45604.0</v>
      </c>
      <c r="B1224" s="4">
        <v>0.032301</v>
      </c>
      <c r="C1224" s="4">
        <v>-0.002218</v>
      </c>
      <c r="D1224" s="4">
        <v>-0.011969</v>
      </c>
      <c r="E1224" s="4">
        <v>0.006768</v>
      </c>
      <c r="F1224" s="4">
        <v>0.004084</v>
      </c>
      <c r="G1224" s="4">
        <v>-0.008039</v>
      </c>
      <c r="H1224" s="4">
        <v>0.026314</v>
      </c>
      <c r="I1224" s="4">
        <v>-0.002122</v>
      </c>
      <c r="J1224" s="4">
        <v>0.007755</v>
      </c>
      <c r="K1224" s="4">
        <v>-0.002289</v>
      </c>
      <c r="L1224" s="4">
        <v>-0.007387</v>
      </c>
      <c r="M1224" s="4">
        <v>-0.015485</v>
      </c>
      <c r="N1224" s="4">
        <v>-0.006208</v>
      </c>
      <c r="O1224" s="4">
        <v>0.01545</v>
      </c>
      <c r="P1224" s="4">
        <v>-0.002657</v>
      </c>
      <c r="Q1224" s="4">
        <v>-0.027094</v>
      </c>
      <c r="R1224" s="4">
        <v>-0.045698</v>
      </c>
      <c r="S1224" s="4">
        <v>0.006365</v>
      </c>
      <c r="T1224" s="4">
        <v>-0.014457</v>
      </c>
      <c r="U1224" s="4">
        <v>0.011765</v>
      </c>
      <c r="V1224" s="4">
        <v>0.0057142710973177</v>
      </c>
      <c r="W1224" s="4">
        <v>-0.0101010325827477</v>
      </c>
      <c r="X1224" s="4">
        <v>0.0034129171462524</v>
      </c>
      <c r="Y1224" s="4">
        <v>-0.0083657970139078</v>
      </c>
      <c r="Z1224" s="4">
        <v>-0.0039205158253999</v>
      </c>
      <c r="AA1224" s="4">
        <v>-0.0044685962646203</v>
      </c>
      <c r="AB1224" s="4">
        <v>0.0071588525831123</v>
      </c>
      <c r="AC1224" s="4">
        <v>0.0012240649602348</v>
      </c>
      <c r="AD1224" s="4">
        <v>0.0035295504230332</v>
      </c>
      <c r="AE1224" s="4">
        <v>0.0027732213282374</v>
      </c>
      <c r="AF1224" s="4">
        <v>0.0025497445150641</v>
      </c>
      <c r="AG1224" s="4">
        <v>0.0083229573061065</v>
      </c>
      <c r="AH1224" s="4">
        <v>-0.0137950007809707</v>
      </c>
      <c r="AI1224" s="4">
        <v>-4.967003519581E-4</v>
      </c>
      <c r="AJ1224" s="4">
        <v>0.003757</v>
      </c>
      <c r="AK1224" s="4">
        <f>Weights!E1280</f>
        <v>-0.001532221838</v>
      </c>
      <c r="AL1224" s="5">
        <v>0.00978783579471542</v>
      </c>
      <c r="AM1224" s="5">
        <v>0.00698987670500295</v>
      </c>
      <c r="AN1224" s="5">
        <v>0.00748657417987042</v>
      </c>
      <c r="AO1224" s="5">
        <v>0.00893741441344664</v>
      </c>
      <c r="AP1224" s="6">
        <f t="shared" si="3"/>
        <v>1.832482259</v>
      </c>
      <c r="AQ1224" s="4">
        <f t="shared" si="4"/>
        <v>1.855722701</v>
      </c>
      <c r="AR1224" s="7">
        <f t="shared" si="5"/>
        <v>1.752516647</v>
      </c>
      <c r="AS1224" s="7">
        <f t="shared" ref="AS1224:AU1224" si="1226">AS1223*(1+AM1224)</f>
        <v>1.946394089</v>
      </c>
      <c r="AT1224" s="5">
        <f t="shared" si="1226"/>
        <v>1.693023164</v>
      </c>
      <c r="AU1224" s="5">
        <f t="shared" si="1226"/>
        <v>1.695184317</v>
      </c>
    </row>
    <row r="1225" ht="15.75" customHeight="1">
      <c r="A1225" s="3">
        <v>45607.0</v>
      </c>
      <c r="B1225" s="4">
        <v>0.005109</v>
      </c>
      <c r="C1225" s="4">
        <v>-9.88E-4</v>
      </c>
      <c r="D1225" s="4">
        <v>-0.013216</v>
      </c>
      <c r="E1225" s="4">
        <v>-0.005148</v>
      </c>
      <c r="F1225" s="4">
        <v>-0.008761</v>
      </c>
      <c r="G1225" s="4">
        <v>-0.002766</v>
      </c>
      <c r="H1225" s="4">
        <v>-0.010017</v>
      </c>
      <c r="I1225" s="4">
        <v>0.010631</v>
      </c>
      <c r="J1225" s="4">
        <v>0.002716</v>
      </c>
      <c r="K1225" s="4">
        <v>0.004765</v>
      </c>
      <c r="L1225" s="4">
        <v>0.003316</v>
      </c>
      <c r="M1225" s="4">
        <v>0.019188</v>
      </c>
      <c r="N1225" s="4">
        <v>0.00574</v>
      </c>
      <c r="O1225" s="4">
        <v>-0.014621</v>
      </c>
      <c r="P1225" s="4">
        <v>-0.060169</v>
      </c>
      <c r="Q1225" s="4">
        <v>-0.084177</v>
      </c>
      <c r="R1225" s="4">
        <v>-0.031493</v>
      </c>
      <c r="S1225" s="4">
        <v>-0.059395</v>
      </c>
      <c r="T1225" s="4">
        <v>0.001385</v>
      </c>
      <c r="U1225" s="4">
        <v>0.007172</v>
      </c>
      <c r="V1225" s="4">
        <v>0.0151514766146132</v>
      </c>
      <c r="W1225" s="4">
        <v>-0.003235452238659</v>
      </c>
      <c r="X1225" s="4">
        <v>-0.013605408047195</v>
      </c>
      <c r="Y1225" s="4">
        <v>0.0027275774711033</v>
      </c>
      <c r="Z1225" s="4">
        <v>0.0215166964858655</v>
      </c>
      <c r="AA1225" s="4">
        <v>0.0027322614133544</v>
      </c>
      <c r="AB1225" s="4">
        <v>-0.0037761376249382</v>
      </c>
      <c r="AC1225" s="4">
        <v>-0.0061124692096115</v>
      </c>
      <c r="AD1225" s="4">
        <v>-0.0070341816278103</v>
      </c>
      <c r="AE1225" s="4">
        <v>0.0025352369388935</v>
      </c>
      <c r="AF1225" s="4">
        <v>0.0086469717249637</v>
      </c>
      <c r="AG1225" s="4">
        <v>-0.0145766674533091</v>
      </c>
      <c r="AH1225" s="4">
        <v>0.0019199693024627</v>
      </c>
      <c r="AI1225" s="4">
        <v>0.0</v>
      </c>
      <c r="AJ1225" s="4">
        <v>9.69E-4</v>
      </c>
      <c r="AK1225" s="4">
        <f>Weights!E1281</f>
        <v>-0.003911732251</v>
      </c>
      <c r="AL1225" s="5">
        <v>-1.87637341310553E-4</v>
      </c>
      <c r="AM1225" s="5">
        <v>0.00467275573368874</v>
      </c>
      <c r="AN1225" s="5">
        <v>-0.00185776117569091</v>
      </c>
      <c r="AO1225" s="5">
        <v>-0.00314965059099681</v>
      </c>
      <c r="AP1225" s="6">
        <f t="shared" si="3"/>
        <v>1.825314079</v>
      </c>
      <c r="AQ1225" s="4">
        <f t="shared" si="4"/>
        <v>1.857520896</v>
      </c>
      <c r="AR1225" s="7">
        <f t="shared" si="5"/>
        <v>1.75218781</v>
      </c>
      <c r="AS1225" s="7">
        <f t="shared" ref="AS1225:AU1225" si="1227">AS1224*(1+AM1225)</f>
        <v>1.955489113</v>
      </c>
      <c r="AT1225" s="5">
        <f t="shared" si="1227"/>
        <v>1.689877932</v>
      </c>
      <c r="AU1225" s="5">
        <f t="shared" si="1227"/>
        <v>1.689845078</v>
      </c>
    </row>
    <row r="1226" ht="15.75" customHeight="1">
      <c r="A1226" s="3">
        <v>45608.0</v>
      </c>
      <c r="B1226" s="4">
        <v>-0.004447</v>
      </c>
      <c r="C1226" s="4">
        <v>-9.89E-4</v>
      </c>
      <c r="D1226" s="4">
        <v>-0.001395</v>
      </c>
      <c r="E1226" s="4">
        <v>4.87E-4</v>
      </c>
      <c r="F1226" s="4">
        <v>-0.002525</v>
      </c>
      <c r="G1226" s="4">
        <v>-0.01548</v>
      </c>
      <c r="H1226" s="4">
        <v>-0.001144</v>
      </c>
      <c r="I1226" s="4">
        <v>-0.014025</v>
      </c>
      <c r="J1226" s="4">
        <v>-0.001129</v>
      </c>
      <c r="K1226" s="4">
        <v>-0.013877</v>
      </c>
      <c r="L1226" s="4">
        <v>-0.001209</v>
      </c>
      <c r="M1226" s="4">
        <v>0.003704</v>
      </c>
      <c r="N1226" s="4">
        <v>0.0047</v>
      </c>
      <c r="O1226" s="4">
        <v>-0.005951</v>
      </c>
      <c r="P1226" s="4">
        <v>-0.017718</v>
      </c>
      <c r="Q1226" s="4">
        <v>-0.031099</v>
      </c>
      <c r="R1226" s="4">
        <v>-0.028953</v>
      </c>
      <c r="S1226" s="4">
        <v>-0.020994</v>
      </c>
      <c r="T1226" s="4">
        <v>-0.032503</v>
      </c>
      <c r="U1226" s="4">
        <v>0.012085</v>
      </c>
      <c r="V1226" s="4">
        <v>0.0233208370924931</v>
      </c>
      <c r="W1226" s="4">
        <v>0.0297128309174974</v>
      </c>
      <c r="X1226" s="4">
        <v>0.0103448451250449</v>
      </c>
      <c r="Y1226" s="4">
        <v>0.0260627118897334</v>
      </c>
      <c r="Z1226" s="4">
        <v>0.0089048869111614</v>
      </c>
      <c r="AA1226" s="4">
        <v>0.0295835121108283</v>
      </c>
      <c r="AB1226" s="4">
        <v>0.0127089797690098</v>
      </c>
      <c r="AC1226" s="4">
        <v>0.0049199739418177</v>
      </c>
      <c r="AD1226" s="4">
        <v>-0.0011805612571935</v>
      </c>
      <c r="AE1226" s="4">
        <v>6.896395605333E-4</v>
      </c>
      <c r="AF1226" s="4">
        <v>0.0267271844228056</v>
      </c>
      <c r="AG1226" s="4">
        <v>0.0253073605007994</v>
      </c>
      <c r="AH1226" s="4">
        <v>0.0073911715162839</v>
      </c>
      <c r="AI1226" s="4">
        <v>4.969471858002E-4</v>
      </c>
      <c r="AJ1226" s="4">
        <v>-0.002893</v>
      </c>
      <c r="AK1226" s="4">
        <f>Weights!E1282</f>
        <v>0.003071379355</v>
      </c>
      <c r="AL1226" s="5">
        <v>0.0023142438088477</v>
      </c>
      <c r="AM1226" s="5">
        <v>0.0027974269801767</v>
      </c>
      <c r="AN1226" s="5">
        <v>0.00239306927745497</v>
      </c>
      <c r="AO1226" s="5">
        <v>0.00217218352653136</v>
      </c>
      <c r="AP1226" s="6">
        <f t="shared" si="3"/>
        <v>1.830920311</v>
      </c>
      <c r="AQ1226" s="4">
        <f t="shared" si="4"/>
        <v>1.852147088</v>
      </c>
      <c r="AR1226" s="7">
        <f t="shared" si="5"/>
        <v>1.756242799</v>
      </c>
      <c r="AS1226" s="7">
        <f t="shared" ref="AS1226:AU1226" si="1228">AS1225*(1+AM1226)</f>
        <v>1.960959451</v>
      </c>
      <c r="AT1226" s="5">
        <f t="shared" si="1228"/>
        <v>1.693921927</v>
      </c>
      <c r="AU1226" s="5">
        <f t="shared" si="1228"/>
        <v>1.693515732</v>
      </c>
    </row>
    <row r="1227" ht="15.75" customHeight="1">
      <c r="A1227" s="3">
        <v>45609.0</v>
      </c>
      <c r="B1227" s="4">
        <v>-0.005743</v>
      </c>
      <c r="C1227" s="4">
        <v>0.018317</v>
      </c>
      <c r="D1227" s="4">
        <v>0.005309</v>
      </c>
      <c r="E1227" s="4">
        <v>0.002434</v>
      </c>
      <c r="F1227" s="4">
        <v>-0.003165</v>
      </c>
      <c r="G1227" s="4">
        <v>0.003931</v>
      </c>
      <c r="H1227" s="4">
        <v>0.004462</v>
      </c>
      <c r="I1227" s="4">
        <v>0.007349</v>
      </c>
      <c r="J1227" s="4">
        <v>-0.005876</v>
      </c>
      <c r="K1227" s="4">
        <v>-0.001069</v>
      </c>
      <c r="L1227" s="4">
        <v>-0.005973</v>
      </c>
      <c r="M1227" s="4">
        <v>-0.00246</v>
      </c>
      <c r="N1227" s="4">
        <v>0.006182</v>
      </c>
      <c r="O1227" s="4">
        <v>-0.047611</v>
      </c>
      <c r="P1227" s="4">
        <v>-0.008418</v>
      </c>
      <c r="Q1227" s="4">
        <v>-0.024251</v>
      </c>
      <c r="R1227" s="4">
        <v>-0.011009</v>
      </c>
      <c r="S1227" s="4">
        <v>-0.01089</v>
      </c>
      <c r="T1227" s="4">
        <v>-0.010982</v>
      </c>
      <c r="U1227" s="4">
        <v>-5.33E-4</v>
      </c>
      <c r="V1227" s="4">
        <v>-0.00182314959275164</v>
      </c>
      <c r="W1227" s="4">
        <v>0.0206110552735256</v>
      </c>
      <c r="X1227" s="4">
        <v>0.0</v>
      </c>
      <c r="Y1227" s="4">
        <v>-0.0046855264197404</v>
      </c>
      <c r="Z1227" s="4">
        <v>-0.004073727191718</v>
      </c>
      <c r="AA1227" s="4">
        <v>0.0088845896462081</v>
      </c>
      <c r="AB1227" s="4">
        <v>-0.0079259023646541</v>
      </c>
      <c r="AC1227" s="4">
        <v>0.0</v>
      </c>
      <c r="AD1227" s="4">
        <v>0.0</v>
      </c>
      <c r="AE1227" s="4">
        <v>0.0087295615602029</v>
      </c>
      <c r="AF1227" s="4">
        <v>0.0147347385496663</v>
      </c>
      <c r="AG1227" s="4">
        <v>0.007822030789337</v>
      </c>
      <c r="AH1227" s="4">
        <v>-0.0081521659906397</v>
      </c>
      <c r="AI1227" s="4">
        <v>0.0019859284722394</v>
      </c>
      <c r="AJ1227" s="4">
        <v>2.32E-4</v>
      </c>
      <c r="AK1227" s="4">
        <f>Weights!E1283</f>
        <v>-0.0004745064924</v>
      </c>
      <c r="AL1227" s="5">
        <v>-0.00667714490552995</v>
      </c>
      <c r="AM1227" s="5">
        <v>-0.00393227832377263</v>
      </c>
      <c r="AN1227" s="5">
        <v>0.00716176020836001</v>
      </c>
      <c r="AO1227" s="5">
        <v>0.00492616362276088</v>
      </c>
      <c r="AP1227" s="6">
        <f t="shared" si="3"/>
        <v>1.830051528</v>
      </c>
      <c r="AQ1227" s="4">
        <f t="shared" si="4"/>
        <v>1.852576786</v>
      </c>
      <c r="AR1227" s="7">
        <f t="shared" si="5"/>
        <v>1.744516112</v>
      </c>
      <c r="AS1227" s="7">
        <f t="shared" ref="AS1227:AU1227" si="1229">AS1226*(1+AM1227)</f>
        <v>1.953248413</v>
      </c>
      <c r="AT1227" s="5">
        <f t="shared" si="1229"/>
        <v>1.706053389</v>
      </c>
      <c r="AU1227" s="5">
        <f t="shared" si="1229"/>
        <v>1.701858268</v>
      </c>
    </row>
    <row r="1228" ht="15.75" customHeight="1">
      <c r="A1228" s="3">
        <v>45610.0</v>
      </c>
      <c r="B1228" s="4">
        <v>-0.025674</v>
      </c>
      <c r="C1228" s="4">
        <v>-0.006563</v>
      </c>
      <c r="D1228" s="4">
        <v>0.004169</v>
      </c>
      <c r="E1228" s="4">
        <v>0.002489</v>
      </c>
      <c r="F1228" s="4">
        <v>-0.007143</v>
      </c>
      <c r="G1228" s="4">
        <v>-0.00894</v>
      </c>
      <c r="H1228" s="4">
        <v>0.003002</v>
      </c>
      <c r="I1228" s="4">
        <v>0.014121</v>
      </c>
      <c r="J1228" s="4">
        <v>0.006592</v>
      </c>
      <c r="K1228" s="4">
        <v>0.009629</v>
      </c>
      <c r="L1228" s="4">
        <v>-0.006171</v>
      </c>
      <c r="M1228" s="4">
        <v>0.013255</v>
      </c>
      <c r="N1228" s="4">
        <v>0.013949</v>
      </c>
      <c r="O1228" s="4">
        <v>-0.017032</v>
      </c>
      <c r="P1228" s="4">
        <v>-0.01334</v>
      </c>
      <c r="Q1228" s="4">
        <v>0.002924</v>
      </c>
      <c r="R1228" s="4">
        <v>0.003479</v>
      </c>
      <c r="S1228" s="4">
        <v>0.004912</v>
      </c>
      <c r="T1228" s="4">
        <v>-0.038239</v>
      </c>
      <c r="U1228" s="4">
        <v>-0.020107</v>
      </c>
      <c r="V1228" s="4">
        <v>0.0273973045657416</v>
      </c>
      <c r="W1228" s="4">
        <v>-0.0023758610291847</v>
      </c>
      <c r="X1228" s="4">
        <v>-0.0022497702385133</v>
      </c>
      <c r="Y1228" s="4">
        <v>0.0150520085410907</v>
      </c>
      <c r="Z1228" s="4">
        <v>0.0107371522835506</v>
      </c>
      <c r="AA1228" s="4">
        <v>-1.872503158499E-4</v>
      </c>
      <c r="AB1228" s="4">
        <v>0.0102086166594963</v>
      </c>
      <c r="AC1228" s="4">
        <v>-0.0036675188333182</v>
      </c>
      <c r="AD1228" s="4">
        <v>0.0023640975651471</v>
      </c>
      <c r="AE1228" s="4">
        <v>-0.0047824893297594</v>
      </c>
      <c r="AF1228" s="4">
        <v>-0.0048402004672147</v>
      </c>
      <c r="AG1228" s="4">
        <v>0.0067264202387635</v>
      </c>
      <c r="AH1228" s="4">
        <v>-0.0079452172907682</v>
      </c>
      <c r="AI1228" s="4">
        <v>0.0029733273678347</v>
      </c>
      <c r="AJ1228" s="4">
        <v>-0.00605</v>
      </c>
      <c r="AK1228" s="4">
        <f>Weights!E1284</f>
        <v>0.001441688178</v>
      </c>
      <c r="AL1228" s="5">
        <v>-0.00131919551079739</v>
      </c>
      <c r="AM1228" s="5">
        <v>-4.72405192414093E-4</v>
      </c>
      <c r="AN1228" s="5">
        <v>0.00421385030087129</v>
      </c>
      <c r="AO1228" s="5">
        <v>0.00352943293337193</v>
      </c>
      <c r="AP1228" s="6">
        <f t="shared" si="3"/>
        <v>1.832689891</v>
      </c>
      <c r="AQ1228" s="4">
        <f t="shared" si="4"/>
        <v>1.841368697</v>
      </c>
      <c r="AR1228" s="7">
        <f t="shared" si="5"/>
        <v>1.742214754</v>
      </c>
      <c r="AS1228" s="7">
        <f t="shared" ref="AS1228:AU1228" si="1230">AS1227*(1+AM1228)</f>
        <v>1.952325688</v>
      </c>
      <c r="AT1228" s="5">
        <f t="shared" si="1230"/>
        <v>1.713242443</v>
      </c>
      <c r="AU1228" s="5">
        <f t="shared" si="1230"/>
        <v>1.707864862</v>
      </c>
    </row>
    <row r="1229" ht="15.75" customHeight="1">
      <c r="A1229" s="3">
        <v>45611.0</v>
      </c>
      <c r="B1229" s="4">
        <v>-6.59E-4</v>
      </c>
      <c r="C1229" s="4">
        <v>0.019085</v>
      </c>
      <c r="D1229" s="4">
        <v>-0.010518</v>
      </c>
      <c r="E1229" s="4">
        <v>-0.03954</v>
      </c>
      <c r="F1229" s="4">
        <v>-0.01295</v>
      </c>
      <c r="G1229" s="4">
        <v>0.014025</v>
      </c>
      <c r="H1229" s="4">
        <v>0.014723</v>
      </c>
      <c r="I1229" s="4">
        <v>-0.005974</v>
      </c>
      <c r="J1229" s="4">
        <v>-0.002484</v>
      </c>
      <c r="K1229" s="4">
        <v>-0.012186</v>
      </c>
      <c r="L1229" s="4">
        <v>-0.007517</v>
      </c>
      <c r="M1229" s="4">
        <v>-0.006389</v>
      </c>
      <c r="N1229" s="4">
        <v>-0.013429</v>
      </c>
      <c r="O1229" s="4">
        <v>0.014302</v>
      </c>
      <c r="P1229" s="4">
        <v>0.006146</v>
      </c>
      <c r="Q1229" s="4">
        <v>-0.004373</v>
      </c>
      <c r="R1229" s="4">
        <v>-0.013173</v>
      </c>
      <c r="S1229" s="4">
        <v>-0.011124</v>
      </c>
      <c r="T1229" s="4">
        <v>0.004782</v>
      </c>
      <c r="U1229" s="4">
        <v>-0.001252</v>
      </c>
      <c r="V1229" s="4">
        <v>-0.00444443335129696</v>
      </c>
      <c r="W1229" s="4">
        <v>0.0178613939086</v>
      </c>
      <c r="X1229" s="4">
        <v>-0.0101464929813868</v>
      </c>
      <c r="Y1229" s="4">
        <v>-0.012448772340366</v>
      </c>
      <c r="Z1229" s="4">
        <v>-0.0069134029938393</v>
      </c>
      <c r="AA1229" s="4">
        <v>-0.0046852622561343</v>
      </c>
      <c r="AB1229" s="4">
        <v>0.0083480023333264</v>
      </c>
      <c r="AC1229" s="4">
        <v>0.0049079941825631</v>
      </c>
      <c r="AD1229" s="4">
        <v>0.0</v>
      </c>
      <c r="AE1229" s="4">
        <v>-0.005720811914654</v>
      </c>
      <c r="AF1229" s="4">
        <v>0.0155641880100614</v>
      </c>
      <c r="AG1229" s="4">
        <v>-0.0092512100474864</v>
      </c>
      <c r="AH1229" s="4">
        <v>0.0057994775334444</v>
      </c>
      <c r="AI1229" s="4">
        <v>-0.0024702665610164</v>
      </c>
      <c r="AJ1229" s="4">
        <v>-0.013204</v>
      </c>
      <c r="AK1229" s="4">
        <f>Weights!E1285</f>
        <v>-0.002988213719</v>
      </c>
      <c r="AL1229" s="5">
        <v>-0.0041517544083458</v>
      </c>
      <c r="AM1229" s="5">
        <v>-0.00739289655078712</v>
      </c>
      <c r="AN1229" s="5">
        <v>0.00183583632159689</v>
      </c>
      <c r="AO1229" s="5">
        <v>0.00214926468880438</v>
      </c>
      <c r="AP1229" s="6">
        <f t="shared" si="3"/>
        <v>1.827213422</v>
      </c>
      <c r="AQ1229" s="4">
        <f t="shared" si="4"/>
        <v>1.817055264</v>
      </c>
      <c r="AR1229" s="7">
        <f t="shared" si="5"/>
        <v>1.734981506</v>
      </c>
      <c r="AS1229" s="7">
        <f t="shared" ref="AS1229:AU1229" si="1231">AS1228*(1+AM1229)</f>
        <v>1.937892347</v>
      </c>
      <c r="AT1229" s="5">
        <f t="shared" si="1231"/>
        <v>1.716387676</v>
      </c>
      <c r="AU1229" s="5">
        <f t="shared" si="1231"/>
        <v>1.711535516</v>
      </c>
    </row>
    <row r="1230" ht="15.75" customHeight="1">
      <c r="A1230" s="3">
        <v>45614.0</v>
      </c>
      <c r="B1230" s="4">
        <v>0.017798</v>
      </c>
      <c r="C1230" s="4">
        <v>0.014406</v>
      </c>
      <c r="D1230" s="4">
        <v>-0.001119</v>
      </c>
      <c r="E1230" s="4">
        <v>-0.001828</v>
      </c>
      <c r="F1230" s="4">
        <v>0.001944</v>
      </c>
      <c r="G1230" s="4">
        <v>0.005</v>
      </c>
      <c r="H1230" s="4">
        <v>0.007137</v>
      </c>
      <c r="I1230" s="4">
        <v>0.009009</v>
      </c>
      <c r="J1230" s="4">
        <v>0.011013</v>
      </c>
      <c r="K1230" s="4">
        <v>0.006079</v>
      </c>
      <c r="L1230" s="4">
        <v>0.007903</v>
      </c>
      <c r="M1230" s="4">
        <v>-0.010104</v>
      </c>
      <c r="N1230" s="4">
        <v>0.006474</v>
      </c>
      <c r="O1230" s="4">
        <v>0.019937</v>
      </c>
      <c r="P1230" s="4">
        <v>0.034938</v>
      </c>
      <c r="Q1230" s="4">
        <v>0.064422</v>
      </c>
      <c r="R1230" s="4">
        <v>0.019906</v>
      </c>
      <c r="S1230" s="4">
        <v>0.038009</v>
      </c>
      <c r="T1230" s="4">
        <v>0.001156</v>
      </c>
      <c r="U1230" s="4">
        <v>0.013678</v>
      </c>
      <c r="V1230" s="4">
        <v>-0.0723214652630825</v>
      </c>
      <c r="W1230" s="4">
        <v>-0.0063171980661536</v>
      </c>
      <c r="X1230" s="4">
        <v>0.0034168042361732</v>
      </c>
      <c r="Y1230" s="4">
        <v>-0.0153866540431287</v>
      </c>
      <c r="Z1230" s="4">
        <v>-0.0057729704715505</v>
      </c>
      <c r="AA1230" s="4">
        <v>-0.0090378516431542</v>
      </c>
      <c r="AB1230" s="4">
        <v>-0.005010938504846</v>
      </c>
      <c r="AC1230" s="4">
        <v>0.0036629477017589</v>
      </c>
      <c r="AD1230" s="4">
        <v>0.0082547343275152</v>
      </c>
      <c r="AE1230" s="4">
        <v>-0.0011506924649118</v>
      </c>
      <c r="AF1230" s="4">
        <v>-9.578169957966E-4</v>
      </c>
      <c r="AG1230" s="4">
        <v>0.0102021923916295</v>
      </c>
      <c r="AH1230" s="4">
        <v>0.0118066950320623</v>
      </c>
      <c r="AI1230" s="4">
        <v>-9.905535557321E-4</v>
      </c>
      <c r="AJ1230" s="4">
        <v>0.003918</v>
      </c>
      <c r="AK1230" s="4">
        <f>Weights!E1286</f>
        <v>0.003409165501</v>
      </c>
      <c r="AL1230" s="5">
        <v>-0.0104225127673258</v>
      </c>
      <c r="AM1230" s="5">
        <v>-0.0126853839625801</v>
      </c>
      <c r="AN1230" s="5">
        <v>-0.00602095111676548</v>
      </c>
      <c r="AO1230" s="5">
        <v>-0.00526421557888323</v>
      </c>
      <c r="AP1230" s="6">
        <f t="shared" si="3"/>
        <v>1.833442695</v>
      </c>
      <c r="AQ1230" s="4">
        <f t="shared" si="4"/>
        <v>1.824174487</v>
      </c>
      <c r="AR1230" s="7">
        <f t="shared" si="5"/>
        <v>1.716898639</v>
      </c>
      <c r="AS1230" s="7">
        <f t="shared" ref="AS1230:AU1230" si="1232">AS1229*(1+AM1230)</f>
        <v>1.913309438</v>
      </c>
      <c r="AT1230" s="5">
        <f t="shared" si="1232"/>
        <v>1.706053389</v>
      </c>
      <c r="AU1230" s="5">
        <f t="shared" si="1232"/>
        <v>1.702525624</v>
      </c>
    </row>
    <row r="1231" ht="15.75" customHeight="1">
      <c r="A1231" s="3">
        <v>45615.0</v>
      </c>
      <c r="B1231" s="4">
        <v>0.003886</v>
      </c>
      <c r="C1231" s="4">
        <v>-0.007574</v>
      </c>
      <c r="D1231" s="4">
        <v>0.00224</v>
      </c>
      <c r="E1231" s="4">
        <v>-0.010169</v>
      </c>
      <c r="F1231" s="4">
        <v>0.011801</v>
      </c>
      <c r="G1231" s="4">
        <v>-0.011436</v>
      </c>
      <c r="H1231" s="4">
        <v>5.9E-5</v>
      </c>
      <c r="I1231" s="4">
        <v>0.009868</v>
      </c>
      <c r="J1231" s="4">
        <v>0.011985</v>
      </c>
      <c r="K1231" s="4">
        <v>-0.007819</v>
      </c>
      <c r="L1231" s="4">
        <v>0.003839</v>
      </c>
      <c r="M1231" s="4">
        <v>0.007423</v>
      </c>
      <c r="N1231" s="4">
        <v>-0.004948</v>
      </c>
      <c r="O1231" s="4">
        <v>-0.00543</v>
      </c>
      <c r="P1231" s="4">
        <v>0.019358</v>
      </c>
      <c r="Q1231" s="4">
        <v>0.030949</v>
      </c>
      <c r="R1231" s="4">
        <v>0.013088</v>
      </c>
      <c r="S1231" s="4">
        <v>0.02775</v>
      </c>
      <c r="T1231" s="4">
        <v>-0.017453</v>
      </c>
      <c r="U1231" s="4">
        <v>0.00801</v>
      </c>
      <c r="V1231" s="4">
        <v>-0.0173243075881825</v>
      </c>
      <c r="W1231" s="4">
        <v>0.036496344489967</v>
      </c>
      <c r="X1231" s="4">
        <v>0.0204313630298933</v>
      </c>
      <c r="Y1231" s="4">
        <v>0.0127400958246819</v>
      </c>
      <c r="Z1231" s="4">
        <v>0.0063188132484384</v>
      </c>
      <c r="AA1231" s="4">
        <v>-0.0134904604299784</v>
      </c>
      <c r="AB1231" s="4">
        <v>0.0065689046446542</v>
      </c>
      <c r="AC1231" s="4">
        <v>0.0</v>
      </c>
      <c r="AD1231" s="4">
        <v>0.0210526363780598</v>
      </c>
      <c r="AE1231" s="4">
        <v>-0.0076037802288418</v>
      </c>
      <c r="AF1231" s="4">
        <v>0.0373920808301282</v>
      </c>
      <c r="AG1231" s="4">
        <v>-3.42279769146E-4</v>
      </c>
      <c r="AH1231" s="4">
        <v>0.0149253914820188</v>
      </c>
      <c r="AI1231" s="4">
        <v>0.0024787424638488</v>
      </c>
      <c r="AJ1231" s="4">
        <v>0.003964</v>
      </c>
      <c r="AK1231" s="4">
        <f>Weights!E1287</f>
        <v>0.005395336732</v>
      </c>
      <c r="AL1231" s="5">
        <v>0.00465977832145392</v>
      </c>
      <c r="AM1231" s="5">
        <v>0.00406460442520884</v>
      </c>
      <c r="AN1231" s="5">
        <v>0.00184347022581832</v>
      </c>
      <c r="AO1231" s="5">
        <v>0.00313606926658183</v>
      </c>
      <c r="AP1231" s="6">
        <f t="shared" si="3"/>
        <v>1.843334736</v>
      </c>
      <c r="AQ1231" s="4">
        <f t="shared" si="4"/>
        <v>1.831405514</v>
      </c>
      <c r="AR1231" s="7">
        <f t="shared" si="5"/>
        <v>1.724899006</v>
      </c>
      <c r="AS1231" s="7">
        <f t="shared" ref="AS1231:AU1231" si="1233">AS1230*(1+AM1231)</f>
        <v>1.921086284</v>
      </c>
      <c r="AT1231" s="5">
        <f t="shared" si="1233"/>
        <v>1.709198448</v>
      </c>
      <c r="AU1231" s="5">
        <f t="shared" si="1233"/>
        <v>1.707864862</v>
      </c>
    </row>
    <row r="1232" ht="15.75" customHeight="1">
      <c r="A1232" s="3">
        <v>45616.0</v>
      </c>
      <c r="B1232" s="4">
        <v>6.45E-4</v>
      </c>
      <c r="C1232" s="4">
        <v>0.006916</v>
      </c>
      <c r="D1232" s="4">
        <v>-0.01397</v>
      </c>
      <c r="E1232" s="4">
        <v>0.012889</v>
      </c>
      <c r="F1232" s="4">
        <v>0.006391</v>
      </c>
      <c r="G1232" s="4">
        <v>7.19E-4</v>
      </c>
      <c r="H1232" s="4">
        <v>7.61E-4</v>
      </c>
      <c r="I1232" s="4">
        <v>-0.004421</v>
      </c>
      <c r="J1232" s="4">
        <v>-0.001117</v>
      </c>
      <c r="K1232" s="4">
        <v>0.00197</v>
      </c>
      <c r="L1232" s="4">
        <v>-0.009032</v>
      </c>
      <c r="M1232" s="4">
        <v>-0.003509</v>
      </c>
      <c r="N1232" s="4">
        <v>0.007956</v>
      </c>
      <c r="O1232" s="4">
        <v>0.014405</v>
      </c>
      <c r="P1232" s="4">
        <v>-0.0044</v>
      </c>
      <c r="Q1232" s="4">
        <v>-0.003336</v>
      </c>
      <c r="R1232" s="4">
        <v>-0.009519</v>
      </c>
      <c r="S1232" s="4">
        <v>0.005911</v>
      </c>
      <c r="T1232" s="4">
        <v>0.024122</v>
      </c>
      <c r="U1232" s="4">
        <v>-0.005173</v>
      </c>
      <c r="V1232" s="4">
        <v>-0.0215475081286309</v>
      </c>
      <c r="W1232" s="4">
        <v>-0.0327123761858365</v>
      </c>
      <c r="X1232" s="4">
        <v>0.0</v>
      </c>
      <c r="Y1232" s="4">
        <v>-0.015492417393068</v>
      </c>
      <c r="Z1232" s="4">
        <v>-0.0117946478934175</v>
      </c>
      <c r="AA1232" s="4">
        <v>0.0107859083070749</v>
      </c>
      <c r="AB1232" s="4">
        <v>-0.0034804958140693</v>
      </c>
      <c r="AC1232" s="4">
        <v>0.0</v>
      </c>
      <c r="AD1232" s="4">
        <v>0.0</v>
      </c>
      <c r="AE1232" s="4">
        <v>0.008358565500079</v>
      </c>
      <c r="AF1232" s="4">
        <v>-0.0277264784145517</v>
      </c>
      <c r="AG1232" s="4">
        <v>-0.0152397751965603</v>
      </c>
      <c r="AH1232" s="4">
        <v>-0.0032085785809466</v>
      </c>
      <c r="AI1232" s="4">
        <v>4.945420201796E-4</v>
      </c>
      <c r="AJ1232" s="4">
        <v>2.2E-5</v>
      </c>
      <c r="AK1232" s="4">
        <f>Weights!E1288</f>
        <v>-0.002943834462</v>
      </c>
      <c r="AL1232" s="5">
        <v>0.0029226836407028</v>
      </c>
      <c r="AM1232" s="5">
        <v>0.00459708061402208</v>
      </c>
      <c r="AN1232" s="5">
        <v>7.88706746019496E-4</v>
      </c>
      <c r="AO1232" s="5">
        <v>0.00117226429487216</v>
      </c>
      <c r="AP1232" s="6">
        <f t="shared" si="3"/>
        <v>1.837908263</v>
      </c>
      <c r="AQ1232" s="4">
        <f t="shared" si="4"/>
        <v>1.831445805</v>
      </c>
      <c r="AR1232" s="7">
        <f t="shared" si="5"/>
        <v>1.72994034</v>
      </c>
      <c r="AS1232" s="7">
        <f t="shared" ref="AS1232:AU1232" si="1234">AS1231*(1+AM1232)</f>
        <v>1.929917673</v>
      </c>
      <c r="AT1232" s="5">
        <f t="shared" si="1234"/>
        <v>1.710546504</v>
      </c>
      <c r="AU1232" s="5">
        <f t="shared" si="1234"/>
        <v>1.709866931</v>
      </c>
    </row>
    <row r="1233" ht="15.75" customHeight="1">
      <c r="A1233" s="3">
        <v>45617.0</v>
      </c>
      <c r="B1233" s="4">
        <v>-0.01225</v>
      </c>
      <c r="C1233" s="4">
        <v>0.006632</v>
      </c>
      <c r="D1233" s="4">
        <v>-0.002267</v>
      </c>
      <c r="E1233" s="4">
        <v>0.010079</v>
      </c>
      <c r="F1233" s="4">
        <v>0.012224</v>
      </c>
      <c r="G1233" s="4">
        <v>0.01561</v>
      </c>
      <c r="H1233" s="4">
        <v>0.010884</v>
      </c>
      <c r="I1233" s="4">
        <v>0.016359</v>
      </c>
      <c r="J1233" s="4">
        <v>0.002685</v>
      </c>
      <c r="K1233" s="4">
        <v>-7.15E-4</v>
      </c>
      <c r="L1233" s="4">
        <v>0.027096</v>
      </c>
      <c r="M1233" s="4">
        <v>0.015853</v>
      </c>
      <c r="N1233" s="4">
        <v>0.009209</v>
      </c>
      <c r="O1233" s="4">
        <v>0.008487</v>
      </c>
      <c r="P1233" s="4">
        <v>0.007676</v>
      </c>
      <c r="Q1233" s="4">
        <v>0.008701</v>
      </c>
      <c r="R1233" s="4">
        <v>0.001373</v>
      </c>
      <c r="S1233" s="4">
        <v>0.008259</v>
      </c>
      <c r="T1233" s="4">
        <v>0.012283</v>
      </c>
      <c r="U1233" s="4">
        <v>0.013295</v>
      </c>
      <c r="V1233" s="4">
        <v>0.0220220279550003</v>
      </c>
      <c r="W1233" s="4">
        <v>-0.0030531448125553</v>
      </c>
      <c r="X1233" s="4">
        <v>0.0</v>
      </c>
      <c r="Y1233" s="4">
        <v>-0.004406099736839</v>
      </c>
      <c r="Z1233" s="4">
        <v>-0.0073845094771179</v>
      </c>
      <c r="AA1233" s="4">
        <v>0.0026676277556854</v>
      </c>
      <c r="AB1233" s="4">
        <v>0.0039292121800127</v>
      </c>
      <c r="AC1233" s="4">
        <v>0.0</v>
      </c>
      <c r="AD1233" s="4">
        <v>0.0</v>
      </c>
      <c r="AE1233" s="4">
        <v>0.0029933728989617</v>
      </c>
      <c r="AF1233" s="4">
        <v>0.0038023652043779</v>
      </c>
      <c r="AG1233" s="4">
        <v>0.0010433590006031</v>
      </c>
      <c r="AH1233" s="4">
        <v>0.0029506857891843</v>
      </c>
      <c r="AI1233" s="4">
        <v>0.0</v>
      </c>
      <c r="AJ1233" s="4">
        <v>0.00534</v>
      </c>
      <c r="AK1233" s="4">
        <f>Weights!E1289</f>
        <v>0.005979647538</v>
      </c>
      <c r="AL1233" s="5">
        <v>-5.70258216307406E-4</v>
      </c>
      <c r="AM1233" s="5">
        <v>5.80517078827114E-4</v>
      </c>
      <c r="AN1233" s="5">
        <v>0.0</v>
      </c>
      <c r="AO1233" s="5">
        <v>0.00117096726611487</v>
      </c>
      <c r="AP1233" s="6">
        <f t="shared" si="3"/>
        <v>1.848898307</v>
      </c>
      <c r="AQ1233" s="4">
        <f t="shared" si="4"/>
        <v>1.841225726</v>
      </c>
      <c r="AR1233" s="7">
        <f t="shared" si="5"/>
        <v>1.728953828</v>
      </c>
      <c r="AS1233" s="7">
        <f t="shared" ref="AS1233:AU1233" si="1235">AS1232*(1+AM1233)</f>
        <v>1.931038023</v>
      </c>
      <c r="AT1233" s="5">
        <f t="shared" si="1235"/>
        <v>1.710546504</v>
      </c>
      <c r="AU1233" s="5">
        <f t="shared" si="1235"/>
        <v>1.711869129</v>
      </c>
    </row>
    <row r="1234" ht="15.75" customHeight="1">
      <c r="A1234" s="3">
        <v>45618.0</v>
      </c>
      <c r="B1234" s="4">
        <v>-0.007833</v>
      </c>
      <c r="C1234" s="4">
        <v>0.015294</v>
      </c>
      <c r="D1234" s="4">
        <v>0.004828</v>
      </c>
      <c r="E1234" s="4">
        <v>0.010353</v>
      </c>
      <c r="F1234" s="4">
        <v>0.002509</v>
      </c>
      <c r="G1234" s="4">
        <v>-0.002122</v>
      </c>
      <c r="H1234" s="4">
        <v>0.020434</v>
      </c>
      <c r="I1234" s="4">
        <v>-0.005289</v>
      </c>
      <c r="J1234" s="4">
        <v>0.007586</v>
      </c>
      <c r="K1234" s="4">
        <v>0.004651</v>
      </c>
      <c r="L1234" s="4">
        <v>-8.0E-5</v>
      </c>
      <c r="M1234" s="4">
        <v>-0.006426</v>
      </c>
      <c r="N1234" s="4">
        <v>-0.003096</v>
      </c>
      <c r="O1234" s="4">
        <v>7.39E-4</v>
      </c>
      <c r="P1234" s="4">
        <v>0.001385</v>
      </c>
      <c r="Q1234" s="4">
        <v>0.011281</v>
      </c>
      <c r="R1234" s="4">
        <v>-9.14E-4</v>
      </c>
      <c r="S1234" s="4">
        <v>0.005199</v>
      </c>
      <c r="T1234" s="4">
        <v>0.012867</v>
      </c>
      <c r="U1234" s="4">
        <v>0.00455</v>
      </c>
      <c r="V1234" s="4">
        <v>0.00587657682046405</v>
      </c>
      <c r="W1234" s="4">
        <v>0.0664311337788763</v>
      </c>
      <c r="X1234" s="4">
        <v>0.0055928410678522</v>
      </c>
      <c r="Y1234" s="4">
        <v>0.001959991957005</v>
      </c>
      <c r="Z1234" s="4">
        <v>0.0042387372531254</v>
      </c>
      <c r="AA1234" s="4">
        <v>-0.0015202599635475</v>
      </c>
      <c r="AB1234" s="4">
        <v>0.0054359840955959</v>
      </c>
      <c r="AC1234" s="4">
        <v>0.0048780673887671</v>
      </c>
      <c r="AD1234" s="4">
        <v>-0.0068415068543079</v>
      </c>
      <c r="AE1234" s="4">
        <v>-0.0027550233323518</v>
      </c>
      <c r="AF1234" s="4">
        <v>0.0104166064549573</v>
      </c>
      <c r="AG1234" s="4">
        <v>0.0088587313259964</v>
      </c>
      <c r="AH1234" s="4">
        <v>-8.023591642227E-4</v>
      </c>
      <c r="AI1234" s="4">
        <v>8.928062757154E-4</v>
      </c>
      <c r="AJ1234" s="4">
        <v>0.003468</v>
      </c>
      <c r="AK1234" s="4">
        <f>Weights!E1290</f>
        <v>0.004309691964</v>
      </c>
      <c r="AL1234" s="5">
        <v>0.00513447327995675</v>
      </c>
      <c r="AM1234" s="5">
        <v>0.00699655677215504</v>
      </c>
      <c r="AN1234" s="5">
        <v>0.0144351681382373</v>
      </c>
      <c r="AO1234" s="5">
        <v>0.0144250132085439</v>
      </c>
      <c r="AP1234" s="6">
        <f t="shared" si="3"/>
        <v>1.856866489</v>
      </c>
      <c r="AQ1234" s="4">
        <f t="shared" si="4"/>
        <v>1.847611097</v>
      </c>
      <c r="AR1234" s="7">
        <f t="shared" si="5"/>
        <v>1.737831095</v>
      </c>
      <c r="AS1234" s="7">
        <f t="shared" ref="AS1234:AU1234" si="1236">AS1233*(1+AM1234)</f>
        <v>1.94454864</v>
      </c>
      <c r="AT1234" s="5">
        <f t="shared" si="1236"/>
        <v>1.735238531</v>
      </c>
      <c r="AU1234" s="5">
        <f t="shared" si="1236"/>
        <v>1.736562864</v>
      </c>
    </row>
    <row r="1235" ht="15.75" customHeight="1">
      <c r="A1235" s="3">
        <v>45621.0</v>
      </c>
      <c r="B1235" s="4">
        <v>0.018421</v>
      </c>
      <c r="C1235" s="4">
        <v>0.019235</v>
      </c>
      <c r="D1235" s="4">
        <v>0.014132</v>
      </c>
      <c r="E1235" s="4">
        <v>0.006482</v>
      </c>
      <c r="F1235" s="4">
        <v>0.007196</v>
      </c>
      <c r="G1235" s="4">
        <v>0.003931</v>
      </c>
      <c r="H1235" s="4">
        <v>0.006297</v>
      </c>
      <c r="I1235" s="4">
        <v>-0.007166</v>
      </c>
      <c r="J1235" s="4">
        <v>-0.0031</v>
      </c>
      <c r="K1235" s="4">
        <v>-0.005698</v>
      </c>
      <c r="L1235" s="4">
        <v>-0.006076</v>
      </c>
      <c r="M1235" s="4">
        <v>-0.015707</v>
      </c>
      <c r="N1235" s="4">
        <v>0.006538</v>
      </c>
      <c r="O1235" s="4">
        <v>0.02371</v>
      </c>
      <c r="P1235" s="4">
        <v>-0.021208</v>
      </c>
      <c r="Q1235" s="4">
        <v>-0.033465</v>
      </c>
      <c r="R1235" s="4">
        <v>0.015096</v>
      </c>
      <c r="S1235" s="4">
        <v>-0.044977</v>
      </c>
      <c r="T1235" s="4">
        <v>0.010005</v>
      </c>
      <c r="U1235" s="4">
        <v>0.015484</v>
      </c>
      <c r="V1235" s="4">
        <v>-0.00292112221115625</v>
      </c>
      <c r="W1235" s="4">
        <v>0.0152418581652211</v>
      </c>
      <c r="X1235" s="4">
        <v>0.0088987253479968</v>
      </c>
      <c r="Y1235" s="4">
        <v>-0.0151438574888309</v>
      </c>
      <c r="Z1235" s="4">
        <v>-0.0112843865357089</v>
      </c>
      <c r="AA1235" s="4">
        <v>0.0137037770924057</v>
      </c>
      <c r="AB1235" s="4">
        <v>-0.00994818684326</v>
      </c>
      <c r="AC1235" s="4">
        <v>0.0048543873600934</v>
      </c>
      <c r="AD1235" s="4">
        <v>0.0103329084978933</v>
      </c>
      <c r="AE1235" s="4">
        <v>-4.603652851101E-4</v>
      </c>
      <c r="AF1235" s="4">
        <v>-0.0028116260864531</v>
      </c>
      <c r="AG1235" s="4">
        <v>0.0096418201033832</v>
      </c>
      <c r="AH1235" s="4">
        <v>0.0120449242880629</v>
      </c>
      <c r="AI1235" s="4">
        <v>-0.0039642632631238</v>
      </c>
      <c r="AJ1235" s="4">
        <v>0.00302</v>
      </c>
      <c r="AK1235" s="4">
        <f>Weights!E1291</f>
        <v>0.0003645266009</v>
      </c>
      <c r="AL1235" s="5">
        <v>0.00435135324460223</v>
      </c>
      <c r="AM1235" s="5">
        <v>0.00494844802604066</v>
      </c>
      <c r="AN1235" s="5">
        <v>0.00287213511294015</v>
      </c>
      <c r="AO1235" s="5">
        <v>0.00230593230698805</v>
      </c>
      <c r="AP1235" s="6">
        <f t="shared" si="3"/>
        <v>1.857543367</v>
      </c>
      <c r="AQ1235" s="4">
        <f t="shared" si="4"/>
        <v>1.853190882</v>
      </c>
      <c r="AR1235" s="7">
        <f t="shared" si="5"/>
        <v>1.745393012</v>
      </c>
      <c r="AS1235" s="7">
        <f t="shared" ref="AS1235:AU1235" si="1237">AS1234*(1+AM1235)</f>
        <v>1.954171138</v>
      </c>
      <c r="AT1235" s="5">
        <f t="shared" si="1237"/>
        <v>1.74022237</v>
      </c>
      <c r="AU1235" s="5">
        <f t="shared" si="1237"/>
        <v>1.740567261</v>
      </c>
    </row>
    <row r="1236" ht="15.75" customHeight="1">
      <c r="A1236" s="3">
        <v>45622.0</v>
      </c>
      <c r="B1236" s="4">
        <v>-0.01615</v>
      </c>
      <c r="C1236" s="4">
        <v>0.008868</v>
      </c>
      <c r="D1236" s="4">
        <v>-0.013657</v>
      </c>
      <c r="E1236" s="4">
        <v>-0.005458</v>
      </c>
      <c r="F1236" s="4">
        <v>0.002641</v>
      </c>
      <c r="G1236" s="4">
        <v>-1.28E-4</v>
      </c>
      <c r="H1236" s="4">
        <v>0.010824</v>
      </c>
      <c r="I1236" s="4">
        <v>-0.005821</v>
      </c>
      <c r="J1236" s="4">
        <v>-0.009773</v>
      </c>
      <c r="K1236" s="4">
        <v>7.16E-4</v>
      </c>
      <c r="L1236" s="4">
        <v>-0.001367</v>
      </c>
      <c r="M1236" s="4">
        <v>-0.003442</v>
      </c>
      <c r="N1236" s="4">
        <v>-0.001137</v>
      </c>
      <c r="O1236" s="4">
        <v>0.001723</v>
      </c>
      <c r="P1236" s="4">
        <v>-0.004946</v>
      </c>
      <c r="Q1236" s="4">
        <v>-0.001358</v>
      </c>
      <c r="R1236" s="4">
        <v>-0.020279</v>
      </c>
      <c r="S1236" s="4">
        <v>0.018543</v>
      </c>
      <c r="T1236" s="4">
        <v>0.00365</v>
      </c>
      <c r="U1236" s="4">
        <v>0.002282</v>
      </c>
      <c r="V1236" s="4">
        <v>0.0136718407698026</v>
      </c>
      <c r="W1236" s="4">
        <v>0.0615753387542512</v>
      </c>
      <c r="X1236" s="4">
        <v>-0.0121278777412618</v>
      </c>
      <c r="Y1236" s="4">
        <v>0.0078165555639964</v>
      </c>
      <c r="Z1236" s="4">
        <v>0.0059244284040134</v>
      </c>
      <c r="AA1236" s="4">
        <v>0.0052573440322016</v>
      </c>
      <c r="AB1236" s="4">
        <v>0.0058977665357122</v>
      </c>
      <c r="AC1236" s="4">
        <v>0.0036231329867917</v>
      </c>
      <c r="AD1236" s="4">
        <v>0.0022726688820748</v>
      </c>
      <c r="AE1236" s="4">
        <v>-0.0064485254128563</v>
      </c>
      <c r="AF1236" s="4">
        <v>0.0328947157062928</v>
      </c>
      <c r="AG1236" s="4">
        <v>0.0063097183691736</v>
      </c>
      <c r="AH1236" s="4">
        <v>0.0026448005106105</v>
      </c>
      <c r="AI1236" s="4">
        <v>0.0014924064812362</v>
      </c>
      <c r="AJ1236" s="4">
        <v>0.005722</v>
      </c>
      <c r="AK1236" s="4">
        <f>Weights!E1292</f>
        <v>0.002362347692</v>
      </c>
      <c r="AL1236" s="5">
        <v>0.00313947390659596</v>
      </c>
      <c r="AM1236" s="5">
        <v>0.00489009512755078</v>
      </c>
      <c r="AN1236" s="5">
        <v>-0.0010414307584089</v>
      </c>
      <c r="AO1236" s="5">
        <v>-3.83561590957315E-4</v>
      </c>
      <c r="AP1236" s="6">
        <f t="shared" si="3"/>
        <v>1.86193153</v>
      </c>
      <c r="AQ1236" s="4">
        <f t="shared" si="4"/>
        <v>1.863794841</v>
      </c>
      <c r="AR1236" s="7">
        <f t="shared" si="5"/>
        <v>1.750872628</v>
      </c>
      <c r="AS1236" s="7">
        <f t="shared" ref="AS1236:AU1236" si="1238">AS1235*(1+AM1236)</f>
        <v>1.963727221</v>
      </c>
      <c r="AT1236" s="5">
        <f t="shared" si="1238"/>
        <v>1.738410049</v>
      </c>
      <c r="AU1236" s="5">
        <f t="shared" si="1238"/>
        <v>1.739899646</v>
      </c>
    </row>
    <row r="1237" ht="15.75" customHeight="1">
      <c r="A1237" s="3">
        <v>45623.0</v>
      </c>
      <c r="B1237" s="4">
        <v>0.015758</v>
      </c>
      <c r="C1237" s="4">
        <v>2.25E-4</v>
      </c>
      <c r="D1237" s="4">
        <v>0.003391</v>
      </c>
      <c r="E1237" s="4">
        <v>0.003453</v>
      </c>
      <c r="F1237" s="4">
        <v>-0.001859</v>
      </c>
      <c r="G1237" s="4">
        <v>0.005695</v>
      </c>
      <c r="H1237" s="4">
        <v>2.79E-4</v>
      </c>
      <c r="I1237" s="4">
        <v>0.004684</v>
      </c>
      <c r="J1237" s="4">
        <v>0.005608</v>
      </c>
      <c r="K1237" s="4">
        <v>0.009127</v>
      </c>
      <c r="L1237" s="4">
        <v>0.009021</v>
      </c>
      <c r="M1237" s="4">
        <v>0.001256</v>
      </c>
      <c r="N1237" s="4">
        <v>9.7E-5</v>
      </c>
      <c r="O1237" s="4">
        <v>-0.00264</v>
      </c>
      <c r="P1237" s="4">
        <v>9.47E-4</v>
      </c>
      <c r="Q1237" s="4">
        <v>-0.010197</v>
      </c>
      <c r="R1237" s="4">
        <v>0.00644</v>
      </c>
      <c r="S1237" s="4">
        <v>-0.005317</v>
      </c>
      <c r="T1237" s="4">
        <v>0.005</v>
      </c>
      <c r="U1237" s="4">
        <v>-3.62E-4</v>
      </c>
      <c r="V1237" s="4">
        <v>0.0086704988156705</v>
      </c>
      <c r="W1237" s="4">
        <v>-6.149400403434E-4</v>
      </c>
      <c r="X1237" s="4">
        <v>0.0</v>
      </c>
      <c r="Y1237" s="4">
        <v>2.542059303594E-4</v>
      </c>
      <c r="Z1237" s="4">
        <v>0.0023423410401079</v>
      </c>
      <c r="AA1237" s="4">
        <v>0.0018676706543705</v>
      </c>
      <c r="AB1237" s="4">
        <v>-0.0043431044924016</v>
      </c>
      <c r="AC1237" s="4">
        <v>0.0</v>
      </c>
      <c r="AD1237" s="4">
        <v>0.0</v>
      </c>
      <c r="AE1237" s="4">
        <v>-0.0201668875570475</v>
      </c>
      <c r="AF1237" s="4">
        <v>0.0</v>
      </c>
      <c r="AG1237" s="4">
        <v>0.0401627284102761</v>
      </c>
      <c r="AH1237" s="4">
        <v>-0.0110788230335372</v>
      </c>
      <c r="AI1237" s="4">
        <v>0.0044710311438282</v>
      </c>
      <c r="AJ1237" s="4">
        <v>-0.003801</v>
      </c>
      <c r="AK1237" s="4">
        <f>Weights!E1293</f>
        <v>0.002783783985</v>
      </c>
      <c r="AL1237" s="5">
        <v>0.00181524226502527</v>
      </c>
      <c r="AM1237" s="5">
        <v>0.00365823064258474</v>
      </c>
      <c r="AN1237" s="5">
        <v>7.81862316329151E-4</v>
      </c>
      <c r="AO1237" s="5">
        <v>0.0</v>
      </c>
      <c r="AP1237" s="6">
        <f t="shared" si="3"/>
        <v>1.867114745</v>
      </c>
      <c r="AQ1237" s="4">
        <f t="shared" si="4"/>
        <v>1.856710556</v>
      </c>
      <c r="AR1237" s="7">
        <f t="shared" si="5"/>
        <v>1.754050886</v>
      </c>
      <c r="AS1237" s="7">
        <f t="shared" ref="AS1237:AU1237" si="1239">AS1236*(1+AM1237)</f>
        <v>1.970910988</v>
      </c>
      <c r="AT1237" s="5">
        <f t="shared" si="1239"/>
        <v>1.739769246</v>
      </c>
      <c r="AU1237" s="5">
        <f t="shared" si="1239"/>
        <v>1.739899646</v>
      </c>
    </row>
    <row r="1238" ht="15.75" customHeight="1">
      <c r="A1238" s="3">
        <v>45625.0</v>
      </c>
      <c r="B1238" s="4">
        <v>0.004525</v>
      </c>
      <c r="C1238" s="4">
        <v>-9.01E-4</v>
      </c>
      <c r="D1238" s="4">
        <v>0.006477</v>
      </c>
      <c r="E1238" s="4">
        <v>0.004486</v>
      </c>
      <c r="F1238" s="4">
        <v>0.002095</v>
      </c>
      <c r="G1238" s="4">
        <v>-0.00251</v>
      </c>
      <c r="H1238" s="4">
        <v>-5.58E-4</v>
      </c>
      <c r="I1238" s="4">
        <v>0.011189</v>
      </c>
      <c r="J1238" s="4">
        <v>-0.003346</v>
      </c>
      <c r="K1238" s="4">
        <v>0.002483</v>
      </c>
      <c r="L1238" s="4">
        <v>0.003193</v>
      </c>
      <c r="M1238" s="4">
        <v>0.007526</v>
      </c>
      <c r="N1238" s="4">
        <v>0.007715</v>
      </c>
      <c r="O1238" s="4">
        <v>-0.001243</v>
      </c>
      <c r="P1238" s="4">
        <v>-0.002379</v>
      </c>
      <c r="Q1238" s="4">
        <v>-0.004808</v>
      </c>
      <c r="R1238" s="4">
        <v>0.010055</v>
      </c>
      <c r="S1238" s="4">
        <v>0.009556</v>
      </c>
      <c r="T1238" s="4">
        <v>-5.17E-4</v>
      </c>
      <c r="U1238" s="4">
        <v>-0.003675</v>
      </c>
      <c r="V1238" s="4">
        <v>0.0162369440851082</v>
      </c>
      <c r="W1238" s="4">
        <v>-0.003691509947748</v>
      </c>
      <c r="X1238" s="4">
        <v>-0.0102156815149466</v>
      </c>
      <c r="Y1238" s="4">
        <v>0.0065462488151519</v>
      </c>
      <c r="Z1238" s="4">
        <v>0.0011251044283853</v>
      </c>
      <c r="AA1238" s="4">
        <v>-0.0065249206469615</v>
      </c>
      <c r="AB1238" s="4">
        <v>0.0058887623388099</v>
      </c>
      <c r="AC1238" s="4">
        <v>0.0024154219911944</v>
      </c>
      <c r="AD1238" s="4">
        <v>-0.005688268617829</v>
      </c>
      <c r="AE1238" s="4">
        <v>0.0028388285054927</v>
      </c>
      <c r="AF1238" s="4">
        <v>-0.014558677487653</v>
      </c>
      <c r="AG1238" s="4">
        <v>0.024437919638738</v>
      </c>
      <c r="AH1238" s="4">
        <v>0.0141370958315478</v>
      </c>
      <c r="AI1238" s="4">
        <v>4.945165090137E-4</v>
      </c>
      <c r="AJ1238" s="4">
        <v>0.005608</v>
      </c>
      <c r="AK1238" s="4">
        <f>Weights!E1294</f>
        <v>0.003447420664</v>
      </c>
      <c r="AL1238" s="5">
        <v>-0.00124953347678447</v>
      </c>
      <c r="AM1238" s="5">
        <v>-0.00284231676041224</v>
      </c>
      <c r="AN1238" s="5">
        <v>0.00364590696963773</v>
      </c>
      <c r="AO1238" s="5">
        <v>0.00287696174541673</v>
      </c>
      <c r="AP1238" s="6">
        <f t="shared" si="3"/>
        <v>1.873551475</v>
      </c>
      <c r="AQ1238" s="4">
        <f t="shared" si="4"/>
        <v>1.867122989</v>
      </c>
      <c r="AR1238" s="7">
        <f t="shared" si="5"/>
        <v>1.75185914</v>
      </c>
      <c r="AS1238" s="7">
        <f t="shared" ref="AS1238:AU1238" si="1240">AS1237*(1+AM1238)</f>
        <v>1.965309034</v>
      </c>
      <c r="AT1238" s="5">
        <f t="shared" si="1240"/>
        <v>1.746112283</v>
      </c>
      <c r="AU1238" s="5">
        <f t="shared" si="1240"/>
        <v>1.744905271</v>
      </c>
    </row>
    <row r="1239" ht="15.75" customHeight="1">
      <c r="A1239" s="3">
        <v>45628.0</v>
      </c>
      <c r="B1239" s="4">
        <v>0.003218</v>
      </c>
      <c r="C1239" s="4">
        <v>-0.011051</v>
      </c>
      <c r="D1239" s="4">
        <v>0.003078</v>
      </c>
      <c r="E1239" s="4">
        <v>-0.002447</v>
      </c>
      <c r="F1239" s="4">
        <v>-0.00671</v>
      </c>
      <c r="G1239" s="4">
        <v>-0.001355</v>
      </c>
      <c r="H1239" s="4">
        <v>0.002455</v>
      </c>
      <c r="I1239" s="4">
        <v>-4.61E-4</v>
      </c>
      <c r="J1239" s="4">
        <v>0.004252</v>
      </c>
      <c r="K1239" s="4">
        <v>-0.005838</v>
      </c>
      <c r="L1239" s="4">
        <v>-0.004377</v>
      </c>
      <c r="M1239" s="4">
        <v>0.005913</v>
      </c>
      <c r="N1239" s="4">
        <v>0.00505</v>
      </c>
      <c r="O1239" s="4">
        <v>-0.016465</v>
      </c>
      <c r="P1239" s="4">
        <v>-0.024559</v>
      </c>
      <c r="Q1239" s="4">
        <v>-0.024845</v>
      </c>
      <c r="R1239" s="4">
        <v>-0.01267</v>
      </c>
      <c r="S1239" s="4">
        <v>-0.013637</v>
      </c>
      <c r="T1239" s="4">
        <v>0.01086</v>
      </c>
      <c r="U1239" s="4">
        <v>-0.008521</v>
      </c>
      <c r="V1239" s="4">
        <v>-0.0347744630501537</v>
      </c>
      <c r="W1239" s="4">
        <v>0.005763647625594</v>
      </c>
      <c r="X1239" s="4">
        <v>0.0022936305577561</v>
      </c>
      <c r="Y1239" s="4">
        <v>-0.0021467369423002</v>
      </c>
      <c r="Z1239" s="4">
        <v>-0.018155090579534</v>
      </c>
      <c r="AA1239" s="4">
        <v>-1.877551014319E-4</v>
      </c>
      <c r="AB1239" s="4">
        <v>-0.0026019245003701</v>
      </c>
      <c r="AC1239" s="4">
        <v>0.0036144945994918</v>
      </c>
      <c r="AD1239" s="4">
        <v>0.003432450393153</v>
      </c>
      <c r="AE1239" s="4">
        <v>0.0132106971211869</v>
      </c>
      <c r="AF1239" s="4">
        <v>-0.0110802384209846</v>
      </c>
      <c r="AG1239" s="4">
        <v>-0.0213104389916141</v>
      </c>
      <c r="AH1239" s="4">
        <v>-0.0155181521694961</v>
      </c>
      <c r="AI1239" s="4">
        <v>-4.942720833085E-4</v>
      </c>
      <c r="AJ1239" s="4">
        <v>0.002448</v>
      </c>
      <c r="AK1239" s="4">
        <f>Weights!E1295</f>
        <v>-0.005080397588</v>
      </c>
      <c r="AL1239" s="5">
        <v>0.00806999221776871</v>
      </c>
      <c r="AM1239" s="5">
        <v>0.00556669248933361</v>
      </c>
      <c r="AN1239" s="5">
        <v>0.00285414946316087</v>
      </c>
      <c r="AO1239" s="5">
        <v>0.00267736754724268</v>
      </c>
      <c r="AP1239" s="6">
        <f t="shared" si="3"/>
        <v>1.864033089</v>
      </c>
      <c r="AQ1239" s="4">
        <f t="shared" si="4"/>
        <v>1.871693706</v>
      </c>
      <c r="AR1239" s="7">
        <f t="shared" si="5"/>
        <v>1.76599663</v>
      </c>
      <c r="AS1239" s="7">
        <f t="shared" ref="AS1239:AU1239" si="1241">AS1238*(1+AM1239)</f>
        <v>1.976249305</v>
      </c>
      <c r="AT1239" s="5">
        <f t="shared" si="1241"/>
        <v>1.751095949</v>
      </c>
      <c r="AU1239" s="5">
        <f t="shared" si="1241"/>
        <v>1.749577023</v>
      </c>
    </row>
    <row r="1240" ht="15.75" customHeight="1">
      <c r="A1240" s="3">
        <v>45629.0</v>
      </c>
      <c r="B1240" s="4">
        <v>0.005131</v>
      </c>
      <c r="C1240" s="4">
        <v>-4.56E-4</v>
      </c>
      <c r="D1240" s="4">
        <v>-2.79E-4</v>
      </c>
      <c r="E1240" s="4">
        <v>-0.00828</v>
      </c>
      <c r="F1240" s="4">
        <v>-0.002042</v>
      </c>
      <c r="G1240" s="4">
        <v>-0.015762</v>
      </c>
      <c r="H1240" s="4">
        <v>-0.023817</v>
      </c>
      <c r="I1240" s="4">
        <v>0.002998</v>
      </c>
      <c r="J1240" s="4">
        <v>-0.013372</v>
      </c>
      <c r="K1240" s="4">
        <v>8.9E-4</v>
      </c>
      <c r="L1240" s="4">
        <v>-0.003037</v>
      </c>
      <c r="M1240" s="4">
        <v>-0.007735</v>
      </c>
      <c r="N1240" s="4">
        <v>-0.006645</v>
      </c>
      <c r="O1240" s="4">
        <v>0.008125</v>
      </c>
      <c r="P1240" s="4">
        <v>0.016133</v>
      </c>
      <c r="Q1240" s="4">
        <v>0.026185</v>
      </c>
      <c r="R1240" s="4">
        <v>0.004354</v>
      </c>
      <c r="S1240" s="4">
        <v>0.02635</v>
      </c>
      <c r="T1240" s="4">
        <v>-0.008889</v>
      </c>
      <c r="U1240" s="4">
        <v>0.003721</v>
      </c>
      <c r="V1240" s="4">
        <v>0.0194741480743749</v>
      </c>
      <c r="W1240" s="4">
        <v>0.0143266458462261</v>
      </c>
      <c r="X1240" s="4">
        <v>0.0</v>
      </c>
      <c r="Y1240" s="4">
        <v>-0.0093652979086394</v>
      </c>
      <c r="Z1240" s="4">
        <v>-0.0081007083148065</v>
      </c>
      <c r="AA1240" s="4">
        <v>1.8779036003E-4</v>
      </c>
      <c r="AB1240" s="4">
        <v>0.0076086731579987</v>
      </c>
      <c r="AC1240" s="4">
        <v>0.0</v>
      </c>
      <c r="AD1240" s="4">
        <v>0.0</v>
      </c>
      <c r="AE1240" s="4">
        <v>0.0011640881579599</v>
      </c>
      <c r="AF1240" s="4">
        <v>0.0065359201468522</v>
      </c>
      <c r="AG1240" s="4">
        <v>0.0113747797668539</v>
      </c>
      <c r="AH1240" s="4">
        <v>0.0112209604516895</v>
      </c>
      <c r="AI1240" s="4">
        <v>-0.0039565172095786</v>
      </c>
      <c r="AJ1240" s="4">
        <v>4.51E-4</v>
      </c>
      <c r="AK1240" s="4">
        <f>Weights!E1296</f>
        <v>0.001602962987</v>
      </c>
      <c r="AL1240" s="5">
        <v>0.00254442154620782</v>
      </c>
      <c r="AM1240" s="5">
        <v>0.00190092738986069</v>
      </c>
      <c r="AN1240" s="5">
        <v>0.00336345872590593</v>
      </c>
      <c r="AO1240" s="5">
        <v>0.00381460825177759</v>
      </c>
      <c r="AP1240" s="6">
        <f t="shared" si="3"/>
        <v>1.867021065</v>
      </c>
      <c r="AQ1240" s="4">
        <f t="shared" si="4"/>
        <v>1.87253784</v>
      </c>
      <c r="AR1240" s="7">
        <f t="shared" si="5"/>
        <v>1.77049007</v>
      </c>
      <c r="AS1240" s="7">
        <f t="shared" ref="AS1240:AU1240" si="1242">AS1239*(1+AM1240)</f>
        <v>1.980006012</v>
      </c>
      <c r="AT1240" s="5">
        <f t="shared" si="1242"/>
        <v>1.756985688</v>
      </c>
      <c r="AU1240" s="5">
        <f t="shared" si="1242"/>
        <v>1.756250974</v>
      </c>
    </row>
    <row r="1241" ht="15.75" customHeight="1">
      <c r="A1241" s="3">
        <v>45630.0</v>
      </c>
      <c r="B1241" s="4">
        <v>0.001276</v>
      </c>
      <c r="C1241" s="4">
        <v>-0.029888</v>
      </c>
      <c r="D1241" s="4">
        <v>0.005301</v>
      </c>
      <c r="E1241" s="4">
        <v>-0.0094</v>
      </c>
      <c r="F1241" s="4">
        <v>-0.020623</v>
      </c>
      <c r="G1241" s="4">
        <v>-0.012405</v>
      </c>
      <c r="H1241" s="4">
        <v>-0.001767</v>
      </c>
      <c r="I1241" s="4">
        <v>0.003449</v>
      </c>
      <c r="J1241" s="4">
        <v>0.009713</v>
      </c>
      <c r="K1241" s="4">
        <v>0.006222</v>
      </c>
      <c r="L1241" s="4">
        <v>0.00497</v>
      </c>
      <c r="M1241" s="4">
        <v>0.00686</v>
      </c>
      <c r="N1241" s="4">
        <v>0.009626</v>
      </c>
      <c r="O1241" s="4">
        <v>-0.004334</v>
      </c>
      <c r="P1241" s="4">
        <v>-0.003849</v>
      </c>
      <c r="Q1241" s="4">
        <v>-0.018621</v>
      </c>
      <c r="R1241" s="4">
        <v>-0.018024</v>
      </c>
      <c r="S1241" s="4">
        <v>-0.002219</v>
      </c>
      <c r="T1241" s="4">
        <v>-0.036585</v>
      </c>
      <c r="U1241" s="4">
        <v>-0.002767</v>
      </c>
      <c r="V1241" s="4">
        <v>0.0076409765953771</v>
      </c>
      <c r="W1241" s="4">
        <v>-0.0221953161811262</v>
      </c>
      <c r="X1241" s="4">
        <v>-0.0377574713288842</v>
      </c>
      <c r="Y1241" s="4">
        <v>-0.0105398307753314</v>
      </c>
      <c r="Z1241" s="4">
        <v>-0.0146471514248675</v>
      </c>
      <c r="AA1241" s="4">
        <v>9.50705934577023E-5</v>
      </c>
      <c r="AB1241" s="4">
        <v>-0.0086298195939765</v>
      </c>
      <c r="AC1241" s="4">
        <v>-0.0132053549005533</v>
      </c>
      <c r="AD1241" s="4">
        <v>-0.0307868252922671</v>
      </c>
      <c r="AE1241" s="4">
        <v>-0.0153488485679927</v>
      </c>
      <c r="AF1241" s="4">
        <v>-0.0129050808681029</v>
      </c>
      <c r="AG1241" s="4">
        <v>0.0109253260843846</v>
      </c>
      <c r="AH1241" s="4">
        <v>0.0171730032570431</v>
      </c>
      <c r="AI1241" s="4">
        <v>-0.0029791750645977</v>
      </c>
      <c r="AJ1241" s="4">
        <v>0.006051</v>
      </c>
      <c r="AK1241" s="4">
        <f>Weights!E1297</f>
        <v>-0.004633105477</v>
      </c>
      <c r="AL1241" s="5">
        <v>0.00105229401998374</v>
      </c>
      <c r="AM1241" s="5">
        <v>0.0</v>
      </c>
      <c r="AN1241" s="5">
        <v>-0.00128929383792253</v>
      </c>
      <c r="AO1241" s="5">
        <v>-0.0020900507360938</v>
      </c>
      <c r="AP1241" s="6">
        <f t="shared" si="3"/>
        <v>1.858370959</v>
      </c>
      <c r="AQ1241" s="4">
        <f t="shared" si="4"/>
        <v>1.883868567</v>
      </c>
      <c r="AR1241" s="7">
        <f t="shared" si="5"/>
        <v>1.772353146</v>
      </c>
      <c r="AS1241" s="7">
        <f t="shared" ref="AS1241:AU1241" si="1243">AS1240*(1+AM1241)</f>
        <v>1.980006012</v>
      </c>
      <c r="AT1241" s="5">
        <f t="shared" si="1243"/>
        <v>1.754720417</v>
      </c>
      <c r="AU1241" s="5">
        <f t="shared" si="1243"/>
        <v>1.752580321</v>
      </c>
    </row>
    <row r="1242" ht="15.75" customHeight="1">
      <c r="A1242" s="3">
        <v>45631.0</v>
      </c>
      <c r="B1242" s="4">
        <v>0.004461</v>
      </c>
      <c r="C1242" s="4">
        <v>7.06E-4</v>
      </c>
      <c r="D1242" s="4">
        <v>0.00222</v>
      </c>
      <c r="E1242" s="4">
        <v>0.001935</v>
      </c>
      <c r="F1242" s="4">
        <v>0.011413</v>
      </c>
      <c r="G1242" s="4">
        <v>-0.006314</v>
      </c>
      <c r="H1242" s="4">
        <v>0.005254</v>
      </c>
      <c r="I1242" s="4">
        <v>0.006416</v>
      </c>
      <c r="J1242" s="4">
        <v>0.004251</v>
      </c>
      <c r="K1242" s="4">
        <v>-0.067138</v>
      </c>
      <c r="L1242" s="4">
        <v>0.021219</v>
      </c>
      <c r="M1242" s="4">
        <v>0.008052</v>
      </c>
      <c r="N1242" s="4">
        <v>0.01309</v>
      </c>
      <c r="O1242" s="4">
        <v>-0.026155</v>
      </c>
      <c r="P1242" s="4">
        <v>-0.008211</v>
      </c>
      <c r="Q1242" s="4">
        <v>-0.007027</v>
      </c>
      <c r="R1242" s="4">
        <v>-0.005809</v>
      </c>
      <c r="S1242" s="4">
        <v>-4.76E-4</v>
      </c>
      <c r="T1242" s="4">
        <v>-0.025048</v>
      </c>
      <c r="U1242" s="4">
        <v>-0.003717</v>
      </c>
      <c r="V1242" s="4">
        <v>0.0037914595418147</v>
      </c>
      <c r="W1242" s="4">
        <v>0.0028889600993184</v>
      </c>
      <c r="X1242" s="4">
        <v>0.0</v>
      </c>
      <c r="Y1242" s="4">
        <v>-0.0056164886415883</v>
      </c>
      <c r="Z1242" s="4">
        <v>0.0069368749406966</v>
      </c>
      <c r="AA1242" s="4">
        <v>-0.0081796181761273</v>
      </c>
      <c r="AB1242" s="4">
        <v>0.0065287911590043</v>
      </c>
      <c r="AC1242" s="4">
        <v>0.0</v>
      </c>
      <c r="AD1242" s="4">
        <v>0.0</v>
      </c>
      <c r="AE1242" s="4">
        <v>0.0089750952032738</v>
      </c>
      <c r="AF1242" s="4">
        <v>0.012218045112782</v>
      </c>
      <c r="AG1242" s="4">
        <v>0.0265416193391347</v>
      </c>
      <c r="AH1242" s="4">
        <v>0.0340259857679587</v>
      </c>
      <c r="AI1242" s="4">
        <v>-0.0049800314931436</v>
      </c>
      <c r="AJ1242" s="4">
        <v>-0.00187</v>
      </c>
      <c r="AK1242" s="4">
        <f>Weights!E1298</f>
        <v>0.00210396864</v>
      </c>
      <c r="AL1242" s="5">
        <v>0.00581255111656298</v>
      </c>
      <c r="AM1242" s="5">
        <v>0.00672371275588989</v>
      </c>
      <c r="AN1242" s="5">
        <v>2.58231334601566E-4</v>
      </c>
      <c r="AO1242" s="5">
        <v>0.00190399882513259</v>
      </c>
      <c r="AP1242" s="6">
        <f t="shared" si="3"/>
        <v>1.862280913</v>
      </c>
      <c r="AQ1242" s="4">
        <f t="shared" si="4"/>
        <v>1.880345732</v>
      </c>
      <c r="AR1242" s="7">
        <f t="shared" si="5"/>
        <v>1.782655039</v>
      </c>
      <c r="AS1242" s="7">
        <f t="shared" ref="AS1242:AU1242" si="1244">AS1241*(1+AM1242)</f>
        <v>1.993319003</v>
      </c>
      <c r="AT1242" s="5">
        <f t="shared" si="1244"/>
        <v>1.75517354</v>
      </c>
      <c r="AU1242" s="5">
        <f t="shared" si="1244"/>
        <v>1.755917232</v>
      </c>
    </row>
    <row r="1243" ht="15.75" customHeight="1">
      <c r="A1243" s="3">
        <v>45632.0</v>
      </c>
      <c r="B1243" s="4">
        <v>-0.003173</v>
      </c>
      <c r="C1243" s="4">
        <v>-0.00423</v>
      </c>
      <c r="D1243" s="4">
        <v>-0.026585</v>
      </c>
      <c r="E1243" s="4">
        <v>-0.008381</v>
      </c>
      <c r="F1243" s="4">
        <v>-0.006198</v>
      </c>
      <c r="G1243" s="4">
        <v>-0.001405</v>
      </c>
      <c r="H1243" s="4">
        <v>-0.012555</v>
      </c>
      <c r="I1243" s="4">
        <v>-0.01776</v>
      </c>
      <c r="J1243" s="4">
        <v>-0.009133</v>
      </c>
      <c r="K1243" s="4">
        <v>-0.015909</v>
      </c>
      <c r="L1243" s="4">
        <v>-0.015388</v>
      </c>
      <c r="M1243" s="4">
        <v>-0.004608</v>
      </c>
      <c r="N1243" s="4">
        <v>-0.008773</v>
      </c>
      <c r="O1243" s="4">
        <v>0.008354</v>
      </c>
      <c r="P1243" s="4">
        <v>9.74E-4</v>
      </c>
      <c r="Q1243" s="4">
        <v>-0.016985</v>
      </c>
      <c r="R1243" s="4">
        <v>-0.016826</v>
      </c>
      <c r="S1243" s="4">
        <v>-0.025425</v>
      </c>
      <c r="T1243" s="4">
        <v>-0.020609</v>
      </c>
      <c r="U1243" s="4">
        <v>2.63E-4</v>
      </c>
      <c r="V1243" s="4">
        <v>0.00188856933667547</v>
      </c>
      <c r="W1243" s="4">
        <v>0.0061728388859307</v>
      </c>
      <c r="X1243" s="4">
        <v>0.0511859994035546</v>
      </c>
      <c r="Y1243" s="4">
        <v>7.141578460236E-4</v>
      </c>
      <c r="Z1243" s="4">
        <v>-0.0108257459791779</v>
      </c>
      <c r="AA1243" s="4">
        <v>-0.0496738470383428</v>
      </c>
      <c r="AB1243" s="4">
        <v>-0.0084325271296171</v>
      </c>
      <c r="AC1243" s="4">
        <v>-0.009828047134661</v>
      </c>
      <c r="AD1243" s="4">
        <v>0.0047562129172611</v>
      </c>
      <c r="AE1243" s="4">
        <v>-0.0105337389749062</v>
      </c>
      <c r="AF1243" s="4">
        <v>9.285051067779E-4</v>
      </c>
      <c r="AG1243" s="4">
        <v>0.0102183653832776</v>
      </c>
      <c r="AH1243" s="4">
        <v>0.0113037118557217</v>
      </c>
      <c r="AI1243" s="4">
        <v>-0.0020019240687592</v>
      </c>
      <c r="AJ1243" s="4">
        <v>0.002495</v>
      </c>
      <c r="AK1243" s="4">
        <f>Weights!E1299</f>
        <v>-0.005792752108</v>
      </c>
      <c r="AL1243" s="7">
        <v>6.13939003364372E-5</v>
      </c>
      <c r="AM1243" s="5">
        <v>-0.00277735056947825</v>
      </c>
      <c r="AN1243" s="5">
        <v>0.0</v>
      </c>
      <c r="AO1243" s="5">
        <v>0.0</v>
      </c>
      <c r="AP1243" s="6">
        <f t="shared" si="3"/>
        <v>1.851493182</v>
      </c>
      <c r="AQ1243" s="4">
        <f t="shared" si="4"/>
        <v>1.885037195</v>
      </c>
      <c r="AR1243" s="7">
        <f t="shared" si="5"/>
        <v>1.782764483</v>
      </c>
      <c r="AS1243" s="7">
        <f t="shared" ref="AS1243:AU1243" si="1245">AS1242*(1+AM1243)</f>
        <v>1.987782858</v>
      </c>
      <c r="AT1243" s="5">
        <f t="shared" si="1245"/>
        <v>1.75517354</v>
      </c>
      <c r="AU1243" s="5">
        <f t="shared" si="1245"/>
        <v>1.755917232</v>
      </c>
    </row>
    <row r="1244" ht="15.75" customHeight="1">
      <c r="A1244" s="3">
        <v>45635.0</v>
      </c>
      <c r="B1244" s="4">
        <v>0.002546</v>
      </c>
      <c r="C1244" s="4">
        <v>-2.36E-4</v>
      </c>
      <c r="D1244" s="4">
        <v>-0.016216</v>
      </c>
      <c r="E1244" s="4">
        <v>0.010647</v>
      </c>
      <c r="F1244" s="4">
        <v>0.001119</v>
      </c>
      <c r="G1244" s="4">
        <v>0.001942</v>
      </c>
      <c r="H1244" s="4">
        <v>-0.017432</v>
      </c>
      <c r="I1244" s="4">
        <v>-0.018312</v>
      </c>
      <c r="J1244" s="4">
        <v>-0.013714</v>
      </c>
      <c r="K1244" s="4">
        <v>0.013279</v>
      </c>
      <c r="L1244" s="4">
        <v>-7.14E-4</v>
      </c>
      <c r="M1244" s="4">
        <v>-0.014506</v>
      </c>
      <c r="N1244" s="4">
        <v>-0.007724</v>
      </c>
      <c r="O1244" s="4">
        <v>0.013877</v>
      </c>
      <c r="P1244" s="4">
        <v>0.015081</v>
      </c>
      <c r="Q1244" s="4">
        <v>0.035997</v>
      </c>
      <c r="R1244" s="4">
        <v>0.039458</v>
      </c>
      <c r="S1244" s="4">
        <v>0.013859</v>
      </c>
      <c r="T1244" s="4">
        <v>0.014098</v>
      </c>
      <c r="U1244" s="4">
        <v>-0.021434</v>
      </c>
      <c r="V1244" s="4">
        <v>0.0179075889749851</v>
      </c>
      <c r="W1244" s="4">
        <v>-0.0668710990485775</v>
      </c>
      <c r="X1244" s="4">
        <v>0.0178147274865347</v>
      </c>
      <c r="Y1244" s="4">
        <v>0.0053198591213403</v>
      </c>
      <c r="Z1244" s="4">
        <v>-0.0049746793246769</v>
      </c>
      <c r="AA1244" s="4">
        <v>-8.073970127813E-4</v>
      </c>
      <c r="AB1244" s="4">
        <v>0.0037069717680078</v>
      </c>
      <c r="AC1244" s="4">
        <v>-0.0037220276432089</v>
      </c>
      <c r="AD1244" s="4">
        <v>0.0023668030886814</v>
      </c>
      <c r="AE1244" s="4">
        <v>0.0111189876458726</v>
      </c>
      <c r="AF1244" s="4">
        <v>-0.0157699443413729</v>
      </c>
      <c r="AG1244" s="4">
        <v>0.0099616309584502</v>
      </c>
      <c r="AH1244" s="4">
        <v>0.0017386908700016</v>
      </c>
      <c r="AI1244" s="4">
        <v>5.014605428854E-4</v>
      </c>
      <c r="AJ1244" s="4">
        <v>-0.006144</v>
      </c>
      <c r="AK1244" s="4">
        <f>Weights!E1300</f>
        <v>0.000648473391</v>
      </c>
      <c r="AL1244" s="5">
        <v>0.0017212848368926</v>
      </c>
      <c r="AM1244" s="5">
        <v>0.00278508572891356</v>
      </c>
      <c r="AN1244" s="5">
        <v>0.00154869047137307</v>
      </c>
      <c r="AO1244" s="5">
        <v>0.00171038660300171</v>
      </c>
      <c r="AP1244" s="6">
        <f t="shared" si="3"/>
        <v>1.852693826</v>
      </c>
      <c r="AQ1244" s="4">
        <f t="shared" si="4"/>
        <v>1.873455526</v>
      </c>
      <c r="AR1244" s="7">
        <f t="shared" si="5"/>
        <v>1.785833129</v>
      </c>
      <c r="AS1244" s="7">
        <f t="shared" ref="AS1244:AU1244" si="1246">AS1243*(1+AM1244)</f>
        <v>1.993319003</v>
      </c>
      <c r="AT1244" s="5">
        <f t="shared" si="1246"/>
        <v>1.757891761</v>
      </c>
      <c r="AU1244" s="5">
        <f t="shared" si="1246"/>
        <v>1.758920529</v>
      </c>
    </row>
    <row r="1245" ht="15.75" customHeight="1">
      <c r="A1245" s="3">
        <v>45636.0</v>
      </c>
      <c r="B1245" s="4">
        <v>6.35E-4</v>
      </c>
      <c r="C1245" s="4">
        <v>-0.001416</v>
      </c>
      <c r="D1245" s="4">
        <v>-0.001446</v>
      </c>
      <c r="E1245" s="4">
        <v>0.00232</v>
      </c>
      <c r="F1245" s="4">
        <v>0.004952</v>
      </c>
      <c r="G1245" s="4">
        <v>-0.002473</v>
      </c>
      <c r="H1245" s="4">
        <v>0.008724</v>
      </c>
      <c r="I1245" s="4">
        <v>-9.44E-4</v>
      </c>
      <c r="J1245" s="4">
        <v>-0.006382</v>
      </c>
      <c r="K1245" s="4">
        <v>0.008737</v>
      </c>
      <c r="L1245" s="4">
        <v>-3.18E-4</v>
      </c>
      <c r="M1245" s="4">
        <v>-0.015346</v>
      </c>
      <c r="N1245" s="4">
        <v>-0.009569</v>
      </c>
      <c r="O1245" s="4">
        <v>0.001879</v>
      </c>
      <c r="P1245" s="4">
        <v>-0.005751</v>
      </c>
      <c r="Q1245" s="4">
        <v>0.012509</v>
      </c>
      <c r="R1245" s="4">
        <v>-0.02424</v>
      </c>
      <c r="S1245" s="4">
        <v>-0.006433</v>
      </c>
      <c r="T1245" s="4">
        <v>-0.027805</v>
      </c>
      <c r="U1245" s="4">
        <v>-0.002577</v>
      </c>
      <c r="V1245" s="4">
        <v>0.0185185855061245</v>
      </c>
      <c r="W1245" s="4">
        <v>0.0122726469596419</v>
      </c>
      <c r="X1245" s="4">
        <v>-0.0198366045365075</v>
      </c>
      <c r="Y1245" s="4">
        <v>0.0087118452640941</v>
      </c>
      <c r="Z1245" s="4">
        <v>0.0026361581997838</v>
      </c>
      <c r="AA1245" s="4">
        <v>0.0131286855330809</v>
      </c>
      <c r="AB1245" s="4">
        <v>4.344737180694E-4</v>
      </c>
      <c r="AC1245" s="4">
        <v>0.0037359328886938</v>
      </c>
      <c r="AD1245" s="4">
        <v>-0.0070837357206946</v>
      </c>
      <c r="AE1245" s="4">
        <v>0.0035095133957752</v>
      </c>
      <c r="AF1245" s="4">
        <v>0.006597549481621</v>
      </c>
      <c r="AG1245" s="4">
        <v>0.001062209685408</v>
      </c>
      <c r="AH1245" s="4">
        <v>0.0084304289500809</v>
      </c>
      <c r="AI1245" s="4">
        <v>0.0010023208250276</v>
      </c>
      <c r="AJ1245" s="4">
        <v>-0.002964</v>
      </c>
      <c r="AK1245" s="6">
        <f>Weights!E1301</f>
        <v>0.00002390539064</v>
      </c>
      <c r="AL1245" s="5">
        <v>-0.00570720309523276</v>
      </c>
      <c r="AM1245" s="5">
        <v>-0.00638127301210833</v>
      </c>
      <c r="AN1245" s="5">
        <v>0.00103096285156945</v>
      </c>
      <c r="AO1245" s="5">
        <v>0.00113838424218215</v>
      </c>
      <c r="AP1245" s="6">
        <f t="shared" si="3"/>
        <v>1.852738115</v>
      </c>
      <c r="AQ1245" s="4">
        <f t="shared" si="4"/>
        <v>1.867902604</v>
      </c>
      <c r="AR1245" s="7">
        <f t="shared" si="5"/>
        <v>1.775641016</v>
      </c>
      <c r="AS1245" s="7">
        <f t="shared" ref="AS1245:AU1245" si="1247">AS1244*(1+AM1245)</f>
        <v>1.980599091</v>
      </c>
      <c r="AT1245" s="5">
        <f t="shared" si="1247"/>
        <v>1.759704082</v>
      </c>
      <c r="AU1245" s="5">
        <f t="shared" si="1247"/>
        <v>1.760922856</v>
      </c>
    </row>
    <row r="1246" ht="15.75" customHeight="1">
      <c r="A1246" s="3">
        <v>45637.0</v>
      </c>
      <c r="B1246" s="4">
        <v>-0.017757</v>
      </c>
      <c r="C1246" s="4">
        <v>-0.007329</v>
      </c>
      <c r="D1246" s="4">
        <v>-0.009557</v>
      </c>
      <c r="E1246" s="4">
        <v>-0.019207</v>
      </c>
      <c r="F1246" s="4">
        <v>-0.004292</v>
      </c>
      <c r="G1246" s="4">
        <v>-0.017356</v>
      </c>
      <c r="H1246" s="4">
        <v>-0.009577</v>
      </c>
      <c r="I1246" s="4">
        <v>7.09E-4</v>
      </c>
      <c r="J1246" s="4">
        <v>-0.012159</v>
      </c>
      <c r="K1246" s="4">
        <v>0.007155</v>
      </c>
      <c r="L1246" s="4">
        <v>9.53E-4</v>
      </c>
      <c r="M1246" s="4">
        <v>0.001908</v>
      </c>
      <c r="N1246" s="4">
        <v>-0.005567</v>
      </c>
      <c r="O1246" s="4">
        <v>0.002284</v>
      </c>
      <c r="P1246" s="4">
        <v>0.019041</v>
      </c>
      <c r="Q1246" s="4">
        <v>0.021963</v>
      </c>
      <c r="R1246" s="4">
        <v>0.007734</v>
      </c>
      <c r="S1246" s="4">
        <v>0.036743</v>
      </c>
      <c r="T1246" s="4">
        <v>-0.015082</v>
      </c>
      <c r="U1246" s="4">
        <v>-0.005113</v>
      </c>
      <c r="V1246" s="4">
        <v>-0.0135184614016923</v>
      </c>
      <c r="W1246" s="4">
        <v>-0.0045464589022485</v>
      </c>
      <c r="X1246" s="4">
        <v>0.0166666848318917</v>
      </c>
      <c r="Y1246" s="4">
        <v>0.0125392304679803</v>
      </c>
      <c r="Z1246" s="4">
        <v>0.0116953245241553</v>
      </c>
      <c r="AA1246" s="4">
        <v>0.0139553928153097</v>
      </c>
      <c r="AB1246" s="4">
        <v>0.0043431892144134</v>
      </c>
      <c r="AC1246" s="4">
        <v>0.0074441499439199</v>
      </c>
      <c r="AD1246" s="4">
        <v>0.0023781528091573</v>
      </c>
      <c r="AE1246" s="4">
        <v>-0.0086266443842999</v>
      </c>
      <c r="AF1246" s="4">
        <v>-0.0056179775280899</v>
      </c>
      <c r="AG1246" s="4">
        <v>0.013339442453204</v>
      </c>
      <c r="AH1246" s="4">
        <v>0.0071306326317248</v>
      </c>
      <c r="AI1246" s="4">
        <v>0.0010017071429471</v>
      </c>
      <c r="AJ1246" s="4">
        <v>0.008166</v>
      </c>
      <c r="AK1246" s="4">
        <f>Weights!E1302</f>
        <v>0.001729360405</v>
      </c>
      <c r="AL1246" s="5">
        <v>-0.00425879177076105</v>
      </c>
      <c r="AM1246" s="5">
        <v>-0.00376007454923632</v>
      </c>
      <c r="AN1246" s="5">
        <v>-0.0025746042681094</v>
      </c>
      <c r="AO1246" s="5">
        <v>-0.00246356003980141</v>
      </c>
      <c r="AP1246" s="6">
        <f t="shared" si="3"/>
        <v>1.855942167</v>
      </c>
      <c r="AQ1246" s="4">
        <f t="shared" si="4"/>
        <v>1.883155897</v>
      </c>
      <c r="AR1246" s="7">
        <f t="shared" si="5"/>
        <v>1.768078931</v>
      </c>
      <c r="AS1246" s="7">
        <f t="shared" ref="AS1246:AU1246" si="1248">AS1245*(1+AM1246)</f>
        <v>1.97315189</v>
      </c>
      <c r="AT1246" s="5">
        <f t="shared" si="1248"/>
        <v>1.75517354</v>
      </c>
      <c r="AU1246" s="5">
        <f t="shared" si="1248"/>
        <v>1.756584717</v>
      </c>
    </row>
    <row r="1247" ht="15.75" customHeight="1">
      <c r="A1247" s="3">
        <v>45638.0</v>
      </c>
      <c r="B1247" s="4">
        <v>-0.028966</v>
      </c>
      <c r="C1247" s="4">
        <v>0.002143</v>
      </c>
      <c r="D1247" s="4">
        <v>-0.014328</v>
      </c>
      <c r="E1247" s="4">
        <v>0.013587</v>
      </c>
      <c r="F1247" s="4">
        <v>0.019157</v>
      </c>
      <c r="G1247" s="4">
        <v>-0.002728</v>
      </c>
      <c r="H1247" s="4">
        <v>0.001289</v>
      </c>
      <c r="I1247" s="4">
        <v>-0.006849</v>
      </c>
      <c r="J1247" s="4">
        <v>-0.017185</v>
      </c>
      <c r="K1247" s="4">
        <v>-5.61E-4</v>
      </c>
      <c r="L1247" s="4">
        <v>-0.01079</v>
      </c>
      <c r="M1247" s="4">
        <v>-0.021587</v>
      </c>
      <c r="N1247" s="4">
        <v>-0.004446</v>
      </c>
      <c r="O1247" s="4">
        <v>-0.013305</v>
      </c>
      <c r="P1247" s="4">
        <v>-0.017029</v>
      </c>
      <c r="Q1247" s="4">
        <v>-0.013432</v>
      </c>
      <c r="R1247" s="4">
        <v>-0.021395</v>
      </c>
      <c r="S1247" s="4">
        <v>-0.041374</v>
      </c>
      <c r="T1247" s="4">
        <v>-0.05078</v>
      </c>
      <c r="U1247" s="4">
        <v>-0.003246</v>
      </c>
      <c r="V1247" s="4">
        <v>0.0165898617511521</v>
      </c>
      <c r="W1247" s="4">
        <v>-0.0017399503344701</v>
      </c>
      <c r="X1247" s="4">
        <v>0.0</v>
      </c>
      <c r="Y1247" s="4">
        <v>0.0073292299660399</v>
      </c>
      <c r="Z1247" s="4">
        <v>0.0120979327760966</v>
      </c>
      <c r="AA1247" s="4">
        <v>-0.0045221655470171</v>
      </c>
      <c r="AB1247" s="4">
        <v>0.0077837479075584</v>
      </c>
      <c r="AC1247" s="4">
        <v>0.0</v>
      </c>
      <c r="AD1247" s="4">
        <v>0.0</v>
      </c>
      <c r="AE1247" s="4">
        <v>-0.0014111591669756</v>
      </c>
      <c r="AF1247" s="4">
        <v>0.0065913370998116</v>
      </c>
      <c r="AG1247" s="4">
        <v>-0.0032909318116824</v>
      </c>
      <c r="AH1247" s="4">
        <v>-0.0056152927816101</v>
      </c>
      <c r="AI1247" s="4">
        <v>0.0030014324442986</v>
      </c>
      <c r="AJ1247" s="4">
        <v>-0.005414</v>
      </c>
      <c r="AK1247" s="4">
        <f>Weights!E1303</f>
        <v>-0.004864266214</v>
      </c>
      <c r="AL1247" s="5">
        <v>0.00781007012607237</v>
      </c>
      <c r="AM1247" s="5">
        <v>0.00804962627797989</v>
      </c>
      <c r="AN1247" s="5">
        <v>-0.00387197412759587</v>
      </c>
      <c r="AO1247" s="5">
        <v>-0.00455929779281849</v>
      </c>
      <c r="AP1247" s="6">
        <f t="shared" si="3"/>
        <v>1.84691437</v>
      </c>
      <c r="AQ1247" s="4">
        <f t="shared" si="4"/>
        <v>1.872960491</v>
      </c>
      <c r="AR1247" s="7">
        <f t="shared" si="5"/>
        <v>1.781887752</v>
      </c>
      <c r="AS1247" s="7">
        <f t="shared" ref="AS1247:AU1247" si="1249">AS1246*(1+AM1247)</f>
        <v>1.989035026</v>
      </c>
      <c r="AT1247" s="5">
        <f t="shared" si="1249"/>
        <v>1.748377554</v>
      </c>
      <c r="AU1247" s="5">
        <f t="shared" si="1249"/>
        <v>1.748575924</v>
      </c>
    </row>
    <row r="1248" ht="15.75" customHeight="1">
      <c r="A1248" s="3">
        <v>45639.0</v>
      </c>
      <c r="B1248" s="4">
        <v>-0.013559</v>
      </c>
      <c r="C1248" s="4">
        <v>0.004753</v>
      </c>
      <c r="D1248" s="4">
        <v>-0.009493</v>
      </c>
      <c r="E1248" s="4">
        <v>-0.005853</v>
      </c>
      <c r="F1248" s="4">
        <v>-0.011278</v>
      </c>
      <c r="G1248" s="4">
        <v>0.002598</v>
      </c>
      <c r="H1248" s="4">
        <v>0.001229</v>
      </c>
      <c r="I1248" s="4">
        <v>-0.003329</v>
      </c>
      <c r="J1248" s="4">
        <v>2.36E-4</v>
      </c>
      <c r="K1248" s="4">
        <v>-0.003928</v>
      </c>
      <c r="L1248" s="4">
        <v>-0.001444</v>
      </c>
      <c r="M1248" s="4">
        <v>0.003569</v>
      </c>
      <c r="N1248" s="4">
        <v>-0.005458</v>
      </c>
      <c r="O1248" s="4">
        <v>-0.016453</v>
      </c>
      <c r="P1248" s="4">
        <v>-0.032243</v>
      </c>
      <c r="Q1248" s="4">
        <v>-0.020422</v>
      </c>
      <c r="R1248" s="4">
        <v>-0.011645</v>
      </c>
      <c r="S1248" s="4">
        <v>-0.013681</v>
      </c>
      <c r="T1248" s="4">
        <v>-0.046876</v>
      </c>
      <c r="U1248" s="4">
        <v>-0.023285</v>
      </c>
      <c r="V1248" s="4">
        <v>0.00725294650951946</v>
      </c>
      <c r="W1248" s="4">
        <v>0.0037037458655619</v>
      </c>
      <c r="X1248" s="4">
        <v>-0.0162037210781711</v>
      </c>
      <c r="Y1248" s="4">
        <v>0.0</v>
      </c>
      <c r="Z1248" s="4">
        <v>0.0</v>
      </c>
      <c r="AA1248" s="4">
        <v>0.0</v>
      </c>
      <c r="AB1248" s="4">
        <v>0.0</v>
      </c>
      <c r="AC1248" s="4">
        <v>-0.0036900742988511</v>
      </c>
      <c r="AD1248" s="4">
        <v>0.0094452264126143</v>
      </c>
      <c r="AE1248" s="4">
        <v>0.0</v>
      </c>
      <c r="AF1248" s="4">
        <v>-0.0065481758652946</v>
      </c>
      <c r="AG1248" s="4">
        <v>0.0124568998721608</v>
      </c>
      <c r="AH1248" s="4">
        <v>0.0061380053151012</v>
      </c>
      <c r="AI1248" s="4">
        <v>0.0</v>
      </c>
      <c r="AJ1248" s="4">
        <v>-2.6E-5</v>
      </c>
      <c r="AK1248" s="4">
        <f>Weights!E1304</f>
        <v>-0.003899278618</v>
      </c>
      <c r="AL1248" s="5">
        <v>-0.00645801768792309</v>
      </c>
      <c r="AM1248" s="5">
        <v>-0.00569910752360991</v>
      </c>
      <c r="AN1248" s="5">
        <v>0.0062192393379632</v>
      </c>
      <c r="AO1248" s="5">
        <v>0.00572522524785901</v>
      </c>
      <c r="AP1248" s="6">
        <f t="shared" si="3"/>
        <v>1.839712736</v>
      </c>
      <c r="AQ1248" s="4">
        <f t="shared" si="4"/>
        <v>1.872911794</v>
      </c>
      <c r="AR1248" s="7">
        <f t="shared" si="5"/>
        <v>1.770380289</v>
      </c>
      <c r="AS1248" s="7">
        <f t="shared" ref="AS1248:AU1248" si="1250">AS1247*(1+AM1248)</f>
        <v>1.977699301</v>
      </c>
      <c r="AT1248" s="5">
        <f t="shared" si="1250"/>
        <v>1.759251132</v>
      </c>
      <c r="AU1248" s="5">
        <f t="shared" si="1250"/>
        <v>1.758586915</v>
      </c>
    </row>
    <row r="1249" ht="15.75" customHeight="1">
      <c r="A1249" s="3">
        <v>45642.0</v>
      </c>
      <c r="B1249" s="4">
        <v>-0.011684</v>
      </c>
      <c r="C1249" s="4">
        <v>-0.033113</v>
      </c>
      <c r="D1249" s="4">
        <v>-0.044924</v>
      </c>
      <c r="E1249" s="4">
        <v>-0.012344</v>
      </c>
      <c r="F1249" s="4">
        <v>-0.00903</v>
      </c>
      <c r="G1249" s="4">
        <v>-0.018892</v>
      </c>
      <c r="H1249" s="4">
        <v>4.68E-4</v>
      </c>
      <c r="I1249" s="4">
        <v>-0.009067</v>
      </c>
      <c r="J1249" s="4">
        <v>-0.007796</v>
      </c>
      <c r="K1249" s="4">
        <v>-0.002817</v>
      </c>
      <c r="L1249" s="4">
        <v>-7.23E-4</v>
      </c>
      <c r="M1249" s="4">
        <v>0.003556</v>
      </c>
      <c r="N1249" s="4">
        <v>-0.00133</v>
      </c>
      <c r="O1249" s="4">
        <v>0.010481</v>
      </c>
      <c r="P1249" s="4">
        <v>-0.003481</v>
      </c>
      <c r="Q1249" s="4">
        <v>-0.010424</v>
      </c>
      <c r="R1249" s="4">
        <v>-0.020438</v>
      </c>
      <c r="S1249" s="4">
        <v>-0.008917</v>
      </c>
      <c r="T1249" s="4">
        <v>-0.008703</v>
      </c>
      <c r="U1249" s="4">
        <v>-0.010392</v>
      </c>
      <c r="V1249" s="4">
        <v>-0.00720072007200722</v>
      </c>
      <c r="W1249" s="4">
        <v>-0.0345126717471806</v>
      </c>
      <c r="X1249" s="4">
        <v>0.0</v>
      </c>
      <c r="Y1249" s="4">
        <v>8.153737263538E-4</v>
      </c>
      <c r="Z1249" s="4">
        <v>-0.0061980239763491</v>
      </c>
      <c r="AA1249" s="4">
        <v>0.0408847629136628</v>
      </c>
      <c r="AB1249" s="4">
        <v>0.0047200746305824</v>
      </c>
      <c r="AC1249" s="4">
        <v>-0.0074073885693962</v>
      </c>
      <c r="AD1249" s="4">
        <v>0.0093567576735169</v>
      </c>
      <c r="AE1249" s="4">
        <v>0.016721574817587</v>
      </c>
      <c r="AF1249" s="4">
        <v>-0.007532956685499</v>
      </c>
      <c r="AG1249" s="4">
        <v>-0.0364661407715269</v>
      </c>
      <c r="AH1249" s="4">
        <v>-0.0146412742931831</v>
      </c>
      <c r="AI1249" s="4">
        <v>0.0039899667740663</v>
      </c>
      <c r="AJ1249" s="4">
        <v>0.003799</v>
      </c>
      <c r="AK1249" s="4">
        <f>Weights!E1305</f>
        <v>-0.005597130862</v>
      </c>
      <c r="AL1249" s="5">
        <v>-0.00117609351683922</v>
      </c>
      <c r="AM1249" s="5">
        <v>-4.99941948170268E-4</v>
      </c>
      <c r="AN1249" s="5">
        <v>-0.010043898083303</v>
      </c>
      <c r="AO1249" s="5">
        <v>-0.00910814034854667</v>
      </c>
      <c r="AP1249" s="6">
        <f t="shared" si="3"/>
        <v>1.829415624</v>
      </c>
      <c r="AQ1249" s="4">
        <f t="shared" si="4"/>
        <v>1.880026986</v>
      </c>
      <c r="AR1249" s="7">
        <f t="shared" si="5"/>
        <v>1.768298156</v>
      </c>
      <c r="AS1249" s="7">
        <f t="shared" ref="AS1249:AU1249" si="1251">AS1248*(1+AM1249)</f>
        <v>1.976710566</v>
      </c>
      <c r="AT1249" s="5">
        <f t="shared" si="1251"/>
        <v>1.741581393</v>
      </c>
      <c r="AU1249" s="5">
        <f t="shared" si="1251"/>
        <v>1.742569459</v>
      </c>
    </row>
    <row r="1250" ht="15.75" customHeight="1">
      <c r="A1250" s="3">
        <v>45643.0</v>
      </c>
      <c r="B1250" s="4">
        <v>-0.022949</v>
      </c>
      <c r="C1250" s="4">
        <v>-0.002446</v>
      </c>
      <c r="D1250" s="4">
        <v>-0.006899</v>
      </c>
      <c r="E1250" s="4">
        <v>7.69E-4</v>
      </c>
      <c r="F1250" s="4">
        <v>0.013589</v>
      </c>
      <c r="G1250" s="4">
        <v>0.017796</v>
      </c>
      <c r="H1250" s="4">
        <v>-0.004733</v>
      </c>
      <c r="I1250" s="4">
        <v>-0.00313</v>
      </c>
      <c r="J1250" s="4">
        <v>-0.002381</v>
      </c>
      <c r="K1250" s="4">
        <v>-0.010358</v>
      </c>
      <c r="L1250" s="4">
        <v>-0.005707</v>
      </c>
      <c r="M1250" s="4">
        <v>-0.009987</v>
      </c>
      <c r="N1250" s="4">
        <v>-0.008993</v>
      </c>
      <c r="O1250" s="4">
        <v>0.006638</v>
      </c>
      <c r="P1250" s="4">
        <v>-0.006986</v>
      </c>
      <c r="Q1250" s="4">
        <v>-0.023876</v>
      </c>
      <c r="R1250" s="4">
        <v>-0.002946</v>
      </c>
      <c r="S1250" s="4">
        <v>-0.004332</v>
      </c>
      <c r="T1250" s="4">
        <v>-0.025612</v>
      </c>
      <c r="U1250" s="4">
        <v>-0.01022</v>
      </c>
      <c r="V1250" s="4">
        <v>9.06618313689877E-4</v>
      </c>
      <c r="W1250" s="4">
        <v>0.0164118237062578</v>
      </c>
      <c r="X1250" s="4">
        <v>-0.0011764526367187</v>
      </c>
      <c r="Y1250" s="4">
        <v>-0.0015668158978258</v>
      </c>
      <c r="Z1250" s="4">
        <v>0.004276523505966</v>
      </c>
      <c r="AA1250" s="4">
        <v>0.005882327128966</v>
      </c>
      <c r="AB1250" s="4">
        <v>0.0068331578945175</v>
      </c>
      <c r="AC1250" s="4">
        <v>-0.0049751432622815</v>
      </c>
      <c r="AD1250" s="4">
        <v>0.0</v>
      </c>
      <c r="AE1250" s="4">
        <v>0.0074126255210946</v>
      </c>
      <c r="AF1250" s="4">
        <v>0.0142314990512333</v>
      </c>
      <c r="AG1250" s="4">
        <v>3.077507208344E-4</v>
      </c>
      <c r="AH1250" s="4">
        <v>-0.0054483190250699</v>
      </c>
      <c r="AI1250" s="4">
        <v>0.0019872968903369</v>
      </c>
      <c r="AJ1250" s="4">
        <v>-0.003864</v>
      </c>
      <c r="AK1250" s="4">
        <f>Weights!E1306</f>
        <v>-0.001862202175</v>
      </c>
      <c r="AL1250" s="5">
        <v>0.00216918438438629</v>
      </c>
      <c r="AM1250" s="5">
        <v>0.00406770938382972</v>
      </c>
      <c r="AN1250" s="5">
        <v>-0.00442235200878471</v>
      </c>
      <c r="AO1250" s="5">
        <v>-0.00488328975305496</v>
      </c>
      <c r="AP1250" s="6">
        <f t="shared" si="3"/>
        <v>1.826008882</v>
      </c>
      <c r="AQ1250" s="4">
        <f t="shared" si="4"/>
        <v>1.872762562</v>
      </c>
      <c r="AR1250" s="7">
        <f t="shared" si="5"/>
        <v>1.772133921</v>
      </c>
      <c r="AS1250" s="7">
        <f t="shared" ref="AS1250:AU1250" si="1252">AS1249*(1+AM1250)</f>
        <v>1.984751251</v>
      </c>
      <c r="AT1250" s="5">
        <f t="shared" si="1252"/>
        <v>1.733879507</v>
      </c>
      <c r="AU1250" s="5">
        <f t="shared" si="1252"/>
        <v>1.734059987</v>
      </c>
    </row>
    <row r="1251" ht="15.75" customHeight="1">
      <c r="A1251" s="3">
        <v>45644.0</v>
      </c>
      <c r="B1251" s="4">
        <v>-0.012811</v>
      </c>
      <c r="C1251" s="4">
        <v>-0.013242</v>
      </c>
      <c r="D1251" s="4">
        <v>-0.028734</v>
      </c>
      <c r="E1251" s="4">
        <v>-0.010952</v>
      </c>
      <c r="F1251" s="4">
        <v>-0.008675</v>
      </c>
      <c r="G1251" s="4">
        <v>-0.011338</v>
      </c>
      <c r="H1251" s="4">
        <v>-0.007339</v>
      </c>
      <c r="I1251" s="4">
        <v>-0.021739</v>
      </c>
      <c r="J1251" s="4">
        <v>-0.020525</v>
      </c>
      <c r="K1251" s="4">
        <v>-0.014082</v>
      </c>
      <c r="L1251" s="4">
        <v>-0.031205</v>
      </c>
      <c r="M1251" s="4">
        <v>-0.033518</v>
      </c>
      <c r="N1251" s="4">
        <v>-0.022685</v>
      </c>
      <c r="O1251" s="4">
        <v>-0.05115</v>
      </c>
      <c r="P1251" s="4">
        <v>-0.054271</v>
      </c>
      <c r="Q1251" s="4">
        <v>-0.017986</v>
      </c>
      <c r="R1251" s="4">
        <v>-0.047021</v>
      </c>
      <c r="S1251" s="4">
        <v>-0.042503</v>
      </c>
      <c r="T1251" s="4">
        <v>-0.024963</v>
      </c>
      <c r="U1251" s="4">
        <v>-0.009077</v>
      </c>
      <c r="V1251" s="4">
        <v>-0.0244565217391304</v>
      </c>
      <c r="W1251" s="4">
        <v>0.0340632343227906</v>
      </c>
      <c r="X1251" s="4">
        <v>-0.0294464070090499</v>
      </c>
      <c r="Y1251" s="4">
        <v>-0.008662361248132</v>
      </c>
      <c r="Z1251" s="4">
        <v>-0.0059439132185958</v>
      </c>
      <c r="AA1251" s="4">
        <v>0.0090550418422106</v>
      </c>
      <c r="AB1251" s="4">
        <v>6.363125974588E-4</v>
      </c>
      <c r="AC1251" s="4">
        <v>0.0</v>
      </c>
      <c r="AD1251" s="4">
        <v>-0.0208575683485019</v>
      </c>
      <c r="AE1251" s="4">
        <v>0.0036790414043403</v>
      </c>
      <c r="AF1251" s="4">
        <v>0.0046772684752105</v>
      </c>
      <c r="AG1251" s="4">
        <v>-0.0207629076757929</v>
      </c>
      <c r="AH1251" s="4">
        <v>0.0199204194837383</v>
      </c>
      <c r="AI1251" s="4">
        <v>-0.0034705823360331</v>
      </c>
      <c r="AJ1251" s="4">
        <v>-0.029493</v>
      </c>
      <c r="AK1251" s="4">
        <f>Weights!E1307</f>
        <v>-0.01373619201</v>
      </c>
      <c r="AL1251" s="5">
        <v>-0.00371738028491519</v>
      </c>
      <c r="AM1251" s="5">
        <v>-0.00494768342783658</v>
      </c>
      <c r="AN1251" s="5">
        <v>-0.00444219687447888</v>
      </c>
      <c r="AO1251" s="5">
        <v>-0.00375247396828759</v>
      </c>
      <c r="AP1251" s="6">
        <f t="shared" si="3"/>
        <v>1.800926473</v>
      </c>
      <c r="AQ1251" s="4">
        <f t="shared" si="4"/>
        <v>1.817529175</v>
      </c>
      <c r="AR1251" s="7">
        <f t="shared" si="5"/>
        <v>1.765546225</v>
      </c>
      <c r="AS1251" s="7">
        <f t="shared" ref="AS1251:AU1251" si="1253">AS1250*(1+AM1251)</f>
        <v>1.97493133</v>
      </c>
      <c r="AT1251" s="5">
        <f t="shared" si="1253"/>
        <v>1.726177273</v>
      </c>
      <c r="AU1251" s="5">
        <f t="shared" si="1253"/>
        <v>1.727552972</v>
      </c>
    </row>
    <row r="1252" ht="15.75" customHeight="1">
      <c r="A1252" s="3">
        <v>45645.0</v>
      </c>
      <c r="B1252" s="4">
        <v>-0.008652</v>
      </c>
      <c r="C1252" s="4">
        <v>-0.00671</v>
      </c>
      <c r="D1252" s="4">
        <v>-0.012029</v>
      </c>
      <c r="E1252" s="4">
        <v>-0.019167</v>
      </c>
      <c r="F1252" s="4">
        <v>-0.006364</v>
      </c>
      <c r="G1252" s="4">
        <v>-0.008083</v>
      </c>
      <c r="H1252" s="4">
        <v>6.51E-4</v>
      </c>
      <c r="I1252" s="4">
        <v>0.005185</v>
      </c>
      <c r="J1252" s="4">
        <v>0.002924</v>
      </c>
      <c r="K1252" s="4">
        <v>-0.004825</v>
      </c>
      <c r="L1252" s="4">
        <v>-0.001001</v>
      </c>
      <c r="M1252" s="4">
        <v>0.012795</v>
      </c>
      <c r="N1252" s="4">
        <v>0.009457</v>
      </c>
      <c r="O1252" s="4">
        <v>0.005951</v>
      </c>
      <c r="P1252" s="4">
        <v>-0.016472</v>
      </c>
      <c r="Q1252" s="4">
        <v>-0.005128</v>
      </c>
      <c r="R1252" s="4">
        <v>-0.012141</v>
      </c>
      <c r="S1252" s="4">
        <v>-0.005592</v>
      </c>
      <c r="T1252" s="4">
        <v>-0.018481</v>
      </c>
      <c r="U1252" s="4">
        <v>-0.003034</v>
      </c>
      <c r="V1252" s="4">
        <v>-0.00278551532033421</v>
      </c>
      <c r="W1252" s="4">
        <v>0.0179679961259588</v>
      </c>
      <c r="X1252" s="4">
        <v>0.0</v>
      </c>
      <c r="Y1252" s="4">
        <v>-0.0069017766935385</v>
      </c>
      <c r="Z1252" s="4">
        <v>-0.0132084146191728</v>
      </c>
      <c r="AA1252" s="4">
        <v>0.0020563364222956</v>
      </c>
      <c r="AB1252" s="4">
        <v>0.0095379578754388</v>
      </c>
      <c r="AC1252" s="4">
        <v>0.0</v>
      </c>
      <c r="AD1252" s="4">
        <v>0.0</v>
      </c>
      <c r="AE1252" s="4">
        <v>9.163007955197E-4</v>
      </c>
      <c r="AF1252" s="4">
        <v>0.0055865921787709</v>
      </c>
      <c r="AG1252" s="4">
        <v>-0.0523008864813874</v>
      </c>
      <c r="AH1252" s="4">
        <v>-0.0056152927816101</v>
      </c>
      <c r="AI1252" s="4">
        <v>9.950345133526E-4</v>
      </c>
      <c r="AJ1252" s="4">
        <v>-8.65E-4</v>
      </c>
      <c r="AK1252" s="4">
        <f>Weights!E1308</f>
        <v>-0.003904905456</v>
      </c>
      <c r="AL1252" s="5">
        <v>-0.0288749694824218</v>
      </c>
      <c r="AM1252" s="5">
        <v>-0.0309350606102611</v>
      </c>
      <c r="AN1252" s="5">
        <v>-2.62400464051459E-4</v>
      </c>
      <c r="AO1252" s="5">
        <v>-0.00154535564981861</v>
      </c>
      <c r="AP1252" s="6">
        <f t="shared" si="3"/>
        <v>1.793894026</v>
      </c>
      <c r="AQ1252" s="4">
        <f t="shared" si="4"/>
        <v>1.815957013</v>
      </c>
      <c r="AR1252" s="7">
        <f t="shared" si="5"/>
        <v>1.714566132</v>
      </c>
      <c r="AS1252" s="7">
        <f t="shared" ref="AS1252:AU1252" si="1254">AS1251*(1+AM1252)</f>
        <v>1.913836709</v>
      </c>
      <c r="AT1252" s="5">
        <f t="shared" si="1254"/>
        <v>1.725724324</v>
      </c>
      <c r="AU1252" s="5">
        <f t="shared" si="1254"/>
        <v>1.724883289</v>
      </c>
    </row>
    <row r="1253" ht="15.75" customHeight="1">
      <c r="A1253" s="3">
        <v>45646.0</v>
      </c>
      <c r="B1253" s="4">
        <v>0.008</v>
      </c>
      <c r="C1253" s="4">
        <v>-0.001001</v>
      </c>
      <c r="D1253" s="4">
        <v>0.011846</v>
      </c>
      <c r="E1253" s="4">
        <v>0.008715</v>
      </c>
      <c r="F1253" s="4">
        <v>0.001601</v>
      </c>
      <c r="G1253" s="4">
        <v>0.006199</v>
      </c>
      <c r="H1253" s="4">
        <v>-0.006679</v>
      </c>
      <c r="I1253" s="4">
        <v>0.016212</v>
      </c>
      <c r="J1253" s="4">
        <v>0.013605</v>
      </c>
      <c r="K1253" s="4">
        <v>0.013382</v>
      </c>
      <c r="L1253" s="4">
        <v>0.008353</v>
      </c>
      <c r="M1253" s="4">
        <v>0.008311</v>
      </c>
      <c r="N1253" s="4">
        <v>0.003577</v>
      </c>
      <c r="O1253" s="4">
        <v>0.02457</v>
      </c>
      <c r="P1253" s="4">
        <v>0.034036</v>
      </c>
      <c r="Q1253" s="4">
        <v>0.015464</v>
      </c>
      <c r="R1253" s="4">
        <v>0.016213</v>
      </c>
      <c r="S1253" s="4">
        <v>0.003691</v>
      </c>
      <c r="T1253" s="4">
        <v>0.00691</v>
      </c>
      <c r="U1253" s="4">
        <v>8.61E-4</v>
      </c>
      <c r="V1253" s="4">
        <v>0.00744878957169459</v>
      </c>
      <c r="W1253" s="4">
        <v>-0.0071444388281667</v>
      </c>
      <c r="X1253" s="4">
        <v>0.0278114043123516</v>
      </c>
      <c r="Y1253" s="4">
        <v>-0.0095000449856548</v>
      </c>
      <c r="Z1253" s="4">
        <v>-0.0143799888321772</v>
      </c>
      <c r="AA1253" s="4">
        <v>-7.461710289226E-4</v>
      </c>
      <c r="AB1253" s="4">
        <v>0.0020993936331936</v>
      </c>
      <c r="AC1253" s="4">
        <v>0.0037546360029305</v>
      </c>
      <c r="AD1253" s="4">
        <v>0.0059240641261721</v>
      </c>
      <c r="AE1253" s="4">
        <v>-0.0034332904861686</v>
      </c>
      <c r="AF1253" s="4">
        <v>-0.0166666666666667</v>
      </c>
      <c r="AG1253" s="4">
        <v>-0.0252199681170444</v>
      </c>
      <c r="AH1253" s="4">
        <v>0.0267616516618471</v>
      </c>
      <c r="AI1253" s="4">
        <v>-0.0044731559359501</v>
      </c>
      <c r="AJ1253" s="4">
        <v>0.010869</v>
      </c>
      <c r="AK1253" s="4">
        <f>Weights!E1309</f>
        <v>0.005096000281</v>
      </c>
      <c r="AL1253" s="5">
        <v>-0.00141589145185738</v>
      </c>
      <c r="AM1253" s="5">
        <v>-0.00141190934156043</v>
      </c>
      <c r="AN1253" s="5">
        <v>-0.0225782134916703</v>
      </c>
      <c r="AO1253" s="5">
        <v>-0.0220545400080586</v>
      </c>
      <c r="AP1253" s="6">
        <f t="shared" si="3"/>
        <v>1.80303571</v>
      </c>
      <c r="AQ1253" s="4">
        <f t="shared" si="4"/>
        <v>1.835694649</v>
      </c>
      <c r="AR1253" s="7">
        <f t="shared" si="5"/>
        <v>1.712138492</v>
      </c>
      <c r="AS1253" s="7">
        <f t="shared" ref="AS1253:AU1253" si="1255">AS1252*(1+AM1253)</f>
        <v>1.911134545</v>
      </c>
      <c r="AT1253" s="5">
        <f t="shared" si="1255"/>
        <v>1.686760551</v>
      </c>
      <c r="AU1253" s="5">
        <f t="shared" si="1255"/>
        <v>1.686841781</v>
      </c>
    </row>
    <row r="1254" ht="15.75" customHeight="1">
      <c r="A1254" s="3">
        <v>45649.0</v>
      </c>
      <c r="B1254" s="4">
        <v>-0.007936</v>
      </c>
      <c r="C1254" s="4">
        <v>2.5E-4</v>
      </c>
      <c r="D1254" s="4">
        <v>-0.006504</v>
      </c>
      <c r="E1254" s="4">
        <v>-0.009817</v>
      </c>
      <c r="F1254" s="4">
        <v>-0.002718</v>
      </c>
      <c r="G1254" s="4">
        <v>0.005538</v>
      </c>
      <c r="H1254" s="4">
        <v>2.98E-4</v>
      </c>
      <c r="I1254" s="4">
        <v>0.010394</v>
      </c>
      <c r="J1254" s="4">
        <v>0.005753</v>
      </c>
      <c r="K1254" s="4">
        <v>0.00689</v>
      </c>
      <c r="L1254" s="4">
        <v>0.0</v>
      </c>
      <c r="M1254" s="4">
        <v>0.009891</v>
      </c>
      <c r="N1254" s="4">
        <v>0.005771</v>
      </c>
      <c r="O1254" s="4">
        <v>-0.025709</v>
      </c>
      <c r="P1254" s="4">
        <v>-0.003135</v>
      </c>
      <c r="Q1254" s="4">
        <v>-0.029006</v>
      </c>
      <c r="R1254" s="4">
        <v>0.010036</v>
      </c>
      <c r="S1254" s="4">
        <v>0.003502</v>
      </c>
      <c r="T1254" s="4">
        <v>2.57E-4</v>
      </c>
      <c r="U1254" s="4">
        <v>-0.018476</v>
      </c>
      <c r="V1254" s="4">
        <v>-0.0203327171903882</v>
      </c>
      <c r="W1254" s="4">
        <v>0.0071958491321078</v>
      </c>
      <c r="X1254" s="4">
        <v>0.0094118006089154</v>
      </c>
      <c r="Y1254" s="4">
        <v>-0.0015449771100699</v>
      </c>
      <c r="Z1254" s="4">
        <v>0.0097265265648296</v>
      </c>
      <c r="AA1254" s="4">
        <v>0.0065346768684397</v>
      </c>
      <c r="AB1254" s="4">
        <v>-0.0073328926459121</v>
      </c>
      <c r="AC1254" s="4">
        <v>0.0</v>
      </c>
      <c r="AD1254" s="4">
        <v>-0.0094227922223534</v>
      </c>
      <c r="AE1254" s="4">
        <v>-0.0018373200094282</v>
      </c>
      <c r="AF1254" s="4">
        <v>0.0065913370998116</v>
      </c>
      <c r="AG1254" s="4">
        <v>-0.022692072926344</v>
      </c>
      <c r="AH1254" s="4">
        <v>0.0052606014168288</v>
      </c>
      <c r="AI1254" s="4">
        <v>4.994017481976E-4</v>
      </c>
      <c r="AJ1254" s="4">
        <v>0.007287</v>
      </c>
      <c r="AK1254" s="4">
        <f>Weights!E1310</f>
        <v>-0.0009143009983</v>
      </c>
      <c r="AL1254" s="5">
        <v>0.00773393219850282</v>
      </c>
      <c r="AM1254" s="5">
        <v>0.0113801128263861</v>
      </c>
      <c r="AN1254" s="5">
        <v>-0.00617779130415574</v>
      </c>
      <c r="AO1254" s="5">
        <v>-0.0061324514846498</v>
      </c>
      <c r="AP1254" s="6">
        <f t="shared" si="3"/>
        <v>1.801387193</v>
      </c>
      <c r="AQ1254" s="4">
        <f t="shared" si="4"/>
        <v>1.849071356</v>
      </c>
      <c r="AR1254" s="7">
        <f t="shared" si="5"/>
        <v>1.725380055</v>
      </c>
      <c r="AS1254" s="7">
        <f t="shared" ref="AS1254:AU1254" si="1256">AS1253*(1+AM1254)</f>
        <v>1.932883472</v>
      </c>
      <c r="AT1254" s="5">
        <f t="shared" si="1256"/>
        <v>1.676340097</v>
      </c>
      <c r="AU1254" s="5">
        <f t="shared" si="1256"/>
        <v>1.676497306</v>
      </c>
    </row>
    <row r="1255" ht="15.75" customHeight="1">
      <c r="A1255" s="3">
        <v>45650.0</v>
      </c>
      <c r="B1255" s="4">
        <v>-0.013091</v>
      </c>
      <c r="C1255" s="4">
        <v>-0.003505</v>
      </c>
      <c r="D1255" s="4">
        <v>-0.001964</v>
      </c>
      <c r="E1255" s="4">
        <v>0.010047</v>
      </c>
      <c r="F1255" s="4">
        <v>0.007374</v>
      </c>
      <c r="G1255" s="4">
        <v>0.003993</v>
      </c>
      <c r="H1255" s="4">
        <v>0.004937</v>
      </c>
      <c r="I1255" s="4">
        <v>0.001675</v>
      </c>
      <c r="J1255" s="4">
        <v>-0.003098</v>
      </c>
      <c r="K1255" s="4">
        <v>0.008554</v>
      </c>
      <c r="L1255" s="4">
        <v>1.66E-4</v>
      </c>
      <c r="M1255" s="4">
        <v>0.001306</v>
      </c>
      <c r="N1255" s="4">
        <v>0.001519</v>
      </c>
      <c r="O1255" s="4">
        <v>0.006099</v>
      </c>
      <c r="P1255" s="4">
        <v>0.003931</v>
      </c>
      <c r="Q1255" s="4">
        <v>0.009709</v>
      </c>
      <c r="R1255" s="4">
        <v>-7.64E-4</v>
      </c>
      <c r="S1255" s="4">
        <v>0.001047</v>
      </c>
      <c r="T1255" s="4">
        <v>0.007032</v>
      </c>
      <c r="U1255" s="4">
        <v>0.009587</v>
      </c>
      <c r="V1255" s="4">
        <v>0.0066037735849056</v>
      </c>
      <c r="W1255" s="4">
        <v>-0.0235343926549759</v>
      </c>
      <c r="X1255" s="4">
        <v>-0.009324044560642</v>
      </c>
      <c r="Y1255" s="4">
        <v>-2.577950915216E-4</v>
      </c>
      <c r="Z1255" s="4">
        <v>-0.0088149662792516</v>
      </c>
      <c r="AA1255" s="4">
        <v>-5.564829058907E-4</v>
      </c>
      <c r="AB1255" s="4">
        <v>8.442708527613E-4</v>
      </c>
      <c r="AC1255" s="4">
        <v>-0.003740591443624</v>
      </c>
      <c r="AD1255" s="4">
        <v>0.0</v>
      </c>
      <c r="AE1255" s="4">
        <v>-0.0071330409676337</v>
      </c>
      <c r="AF1255" s="4">
        <v>-0.0177736202057998</v>
      </c>
      <c r="AG1255" s="4">
        <v>-0.0012313244035586</v>
      </c>
      <c r="AH1255" s="4">
        <v>0.0090390358815424</v>
      </c>
      <c r="AI1255" s="4">
        <v>-9.980134936319E-4</v>
      </c>
      <c r="AJ1255" s="4">
        <v>0.011043</v>
      </c>
      <c r="AK1255" s="6">
        <f>Weights!E1311</f>
        <v>0.00001263016862</v>
      </c>
      <c r="AL1255" s="5">
        <v>0.00665127450801472</v>
      </c>
      <c r="AM1255" s="5">
        <v>0.00568176282670762</v>
      </c>
      <c r="AN1255" s="5">
        <v>0.00702700603374006</v>
      </c>
      <c r="AO1255" s="5">
        <v>0.00776270805010148</v>
      </c>
      <c r="AP1255" s="6">
        <f t="shared" si="3"/>
        <v>1.801409944</v>
      </c>
      <c r="AQ1255" s="4">
        <f t="shared" si="4"/>
        <v>1.869490651</v>
      </c>
      <c r="AR1255" s="7">
        <f t="shared" si="5"/>
        <v>1.736856032</v>
      </c>
      <c r="AS1255" s="7">
        <f t="shared" ref="AS1255:AU1255" si="1257">AS1254*(1+AM1255)</f>
        <v>1.943865658</v>
      </c>
      <c r="AT1255" s="5">
        <f t="shared" si="1257"/>
        <v>1.688119749</v>
      </c>
      <c r="AU1255" s="5">
        <f t="shared" si="1257"/>
        <v>1.689511465</v>
      </c>
    </row>
    <row r="1256" ht="15.75" customHeight="1">
      <c r="A1256" s="3">
        <v>45652.0</v>
      </c>
      <c r="B1256" s="4">
        <v>0.005158</v>
      </c>
      <c r="C1256" s="4">
        <v>0.00402</v>
      </c>
      <c r="D1256" s="4">
        <v>0.005248</v>
      </c>
      <c r="E1256" s="4">
        <v>-0.002421</v>
      </c>
      <c r="F1256" s="4">
        <v>-0.004297</v>
      </c>
      <c r="G1256" s="4">
        <v>-0.001851</v>
      </c>
      <c r="H1256" s="4">
        <v>0.007222</v>
      </c>
      <c r="I1256" s="4">
        <v>-0.001672</v>
      </c>
      <c r="J1256" s="4">
        <v>7.17E-4</v>
      </c>
      <c r="K1256" s="4">
        <v>-0.003015</v>
      </c>
      <c r="L1256" s="4">
        <v>0.002816</v>
      </c>
      <c r="M1256" s="4">
        <v>0.005543</v>
      </c>
      <c r="N1256" s="4">
        <v>0.003033</v>
      </c>
      <c r="O1256" s="4">
        <v>0.005589</v>
      </c>
      <c r="P1256" s="4">
        <v>-0.005743</v>
      </c>
      <c r="Q1256" s="4">
        <v>-0.002959</v>
      </c>
      <c r="R1256" s="4">
        <v>-7.65E-4</v>
      </c>
      <c r="S1256" s="4">
        <v>5.23E-4</v>
      </c>
      <c r="T1256" s="4">
        <v>0.010304</v>
      </c>
      <c r="U1256" s="4">
        <v>-0.005095</v>
      </c>
      <c r="V1256" s="4">
        <v>-0.0271790065604499</v>
      </c>
      <c r="W1256" s="4">
        <v>0.0288357827889662</v>
      </c>
      <c r="X1256" s="4">
        <v>-0.0011764526367187</v>
      </c>
      <c r="Y1256" s="4">
        <v>-0.0099954709951036</v>
      </c>
      <c r="Z1256" s="4">
        <v>-0.0028421951369234</v>
      </c>
      <c r="AA1256" s="4">
        <v>-0.0048255614284477</v>
      </c>
      <c r="AB1256" s="4">
        <v>-0.0021087732404401</v>
      </c>
      <c r="AC1256" s="4">
        <v>-0.0062578221583394</v>
      </c>
      <c r="AD1256" s="4">
        <v>0.0011889837035257</v>
      </c>
      <c r="AE1256" s="4">
        <v>0.0020857894340386</v>
      </c>
      <c r="AF1256" s="4">
        <v>-9.523809523809E-4</v>
      </c>
      <c r="AG1256" s="4">
        <v>-0.011623826299305</v>
      </c>
      <c r="AH1256" s="4">
        <v>-0.0099010591022894</v>
      </c>
      <c r="AI1256" s="4">
        <v>0.0</v>
      </c>
      <c r="AJ1256" s="4">
        <v>-4.06E-4</v>
      </c>
      <c r="AK1256" s="4">
        <f>Weights!E1312</f>
        <v>-0.00177809567</v>
      </c>
      <c r="AL1256" s="5">
        <v>0.0087040052674816</v>
      </c>
      <c r="AM1256" s="5">
        <v>0.0106122452380936</v>
      </c>
      <c r="AN1256" s="5">
        <v>0.00644123645258876</v>
      </c>
      <c r="AO1256" s="5">
        <v>0.00612276128343292</v>
      </c>
      <c r="AP1256" s="6">
        <f t="shared" si="3"/>
        <v>1.798206865</v>
      </c>
      <c r="AQ1256" s="4">
        <f t="shared" si="4"/>
        <v>1.868731638</v>
      </c>
      <c r="AR1256" s="7">
        <f t="shared" si="5"/>
        <v>1.751973636</v>
      </c>
      <c r="AS1256" s="7">
        <f t="shared" ref="AS1256:AU1256" si="1258">AS1255*(1+AM1256)</f>
        <v>1.964494437</v>
      </c>
      <c r="AT1256" s="5">
        <f t="shared" si="1258"/>
        <v>1.698993327</v>
      </c>
      <c r="AU1256" s="5">
        <f t="shared" si="1258"/>
        <v>1.69985594</v>
      </c>
    </row>
    <row r="1257" ht="15.75" customHeight="1">
      <c r="A1257" s="3">
        <v>45653.0</v>
      </c>
      <c r="B1257" s="4">
        <v>-0.010997</v>
      </c>
      <c r="C1257" s="4">
        <v>-0.001001</v>
      </c>
      <c r="D1257" s="4">
        <v>-0.009462</v>
      </c>
      <c r="E1257" s="4">
        <v>0.002952</v>
      </c>
      <c r="F1257" s="4">
        <v>-0.001918</v>
      </c>
      <c r="G1257" s="4">
        <v>-0.003641</v>
      </c>
      <c r="H1257" s="4">
        <v>-0.003702</v>
      </c>
      <c r="I1257" s="4">
        <v>4.78E-4</v>
      </c>
      <c r="J1257" s="4">
        <v>4.78E-4</v>
      </c>
      <c r="K1257" s="4">
        <v>0.00189</v>
      </c>
      <c r="L1257" s="4">
        <v>-0.001652</v>
      </c>
      <c r="M1257" s="4">
        <v>-0.004864</v>
      </c>
      <c r="N1257" s="4">
        <v>-8.4E-4</v>
      </c>
      <c r="O1257" s="4">
        <v>-0.002993</v>
      </c>
      <c r="P1257" s="4">
        <v>-0.006563</v>
      </c>
      <c r="Q1257" s="4">
        <v>-0.006676</v>
      </c>
      <c r="R1257" s="4">
        <v>-0.00842</v>
      </c>
      <c r="S1257" s="4">
        <v>-0.005923</v>
      </c>
      <c r="T1257" s="4">
        <v>-0.011463</v>
      </c>
      <c r="U1257" s="4">
        <v>-0.003201</v>
      </c>
      <c r="V1257" s="4">
        <v>-0.01252408477842</v>
      </c>
      <c r="W1257" s="4">
        <v>0.0184062502010871</v>
      </c>
      <c r="X1257" s="4">
        <v>0.0</v>
      </c>
      <c r="Y1257" s="4">
        <v>0.0047550457055802</v>
      </c>
      <c r="Z1257" s="4">
        <v>-0.0145273820360429</v>
      </c>
      <c r="AA1257" s="4">
        <v>-0.0091383550536934</v>
      </c>
      <c r="AB1257" s="4">
        <v>-0.0065512507431672</v>
      </c>
      <c r="AC1257" s="4">
        <v>0.0</v>
      </c>
      <c r="AD1257" s="4">
        <v>0.0</v>
      </c>
      <c r="AE1257" s="4">
        <v>-0.0090194892668613</v>
      </c>
      <c r="AF1257" s="4">
        <v>0.003813155386082</v>
      </c>
      <c r="AG1257" s="4">
        <v>0.0065930799541649</v>
      </c>
      <c r="AH1257" s="4">
        <v>0.007619063405494</v>
      </c>
      <c r="AI1257" s="4">
        <v>0.0</v>
      </c>
      <c r="AJ1257" s="4">
        <v>-0.011056</v>
      </c>
      <c r="AK1257" s="4">
        <f>Weights!E1313</f>
        <v>-0.002120418836</v>
      </c>
      <c r="AL1257" s="5">
        <v>0.00182649920217392</v>
      </c>
      <c r="AM1257" s="5">
        <v>5.72154789979739E-4</v>
      </c>
      <c r="AN1257" s="5">
        <v>0.00320000622952032</v>
      </c>
      <c r="AO1257" s="5">
        <v>0.00314099457404459</v>
      </c>
      <c r="AP1257" s="6">
        <f t="shared" si="3"/>
        <v>1.794393914</v>
      </c>
      <c r="AQ1257" s="4">
        <f t="shared" si="4"/>
        <v>1.848070941</v>
      </c>
      <c r="AR1257" s="7">
        <f t="shared" si="5"/>
        <v>1.755173614</v>
      </c>
      <c r="AS1257" s="7">
        <f t="shared" ref="AS1257:AU1257" si="1259">AS1256*(1+AM1257)</f>
        <v>1.965618432</v>
      </c>
      <c r="AT1257" s="5">
        <f t="shared" si="1259"/>
        <v>1.704430116</v>
      </c>
      <c r="AU1257" s="5">
        <f t="shared" si="1259"/>
        <v>1.705195178</v>
      </c>
    </row>
    <row r="1258" ht="15.75" customHeight="1">
      <c r="A1258" s="3">
        <v>45656.0</v>
      </c>
      <c r="B1258" s="4">
        <v>-0.002965</v>
      </c>
      <c r="C1258" s="4">
        <v>-0.008016</v>
      </c>
      <c r="D1258" s="4">
        <v>0.003294</v>
      </c>
      <c r="E1258" s="4">
        <v>-0.007653</v>
      </c>
      <c r="F1258" s="4">
        <v>-0.006725</v>
      </c>
      <c r="G1258" s="4">
        <v>-0.011789</v>
      </c>
      <c r="H1258" s="4">
        <v>-0.014393</v>
      </c>
      <c r="I1258" s="4">
        <v>0.007174</v>
      </c>
      <c r="J1258" s="4">
        <v>-0.004537</v>
      </c>
      <c r="K1258" s="4">
        <v>0.001509</v>
      </c>
      <c r="L1258" s="4">
        <v>-0.002813</v>
      </c>
      <c r="M1258" s="4">
        <v>-0.001955</v>
      </c>
      <c r="N1258" s="4">
        <v>-0.003026</v>
      </c>
      <c r="O1258" s="4">
        <v>-0.015782</v>
      </c>
      <c r="P1258" s="4">
        <v>-0.022199</v>
      </c>
      <c r="Q1258" s="4">
        <v>-0.017177</v>
      </c>
      <c r="R1258" s="4">
        <v>-0.018013</v>
      </c>
      <c r="S1258" s="4">
        <v>-0.017175</v>
      </c>
      <c r="T1258" s="4">
        <v>-0.012108</v>
      </c>
      <c r="U1258" s="4">
        <v>-5.84E-4</v>
      </c>
      <c r="V1258" s="4">
        <v>0.0</v>
      </c>
      <c r="W1258" s="4">
        <v>0.0117066536686343</v>
      </c>
      <c r="X1258" s="4">
        <v>0.0057803468208093</v>
      </c>
      <c r="Y1258" s="4">
        <v>0.0016206527531279</v>
      </c>
      <c r="Z1258" s="4">
        <v>0.0096099786722239</v>
      </c>
      <c r="AA1258" s="4">
        <v>0.0016939578407961</v>
      </c>
      <c r="AB1258" s="4">
        <v>0.0063816614478597</v>
      </c>
      <c r="AC1258" s="4">
        <v>0.0087499618530271</v>
      </c>
      <c r="AD1258" s="4">
        <v>0.0011778719846817</v>
      </c>
      <c r="AE1258" s="4">
        <v>0.0107351795445944</v>
      </c>
      <c r="AF1258" s="4">
        <v>0.0094966761633428</v>
      </c>
      <c r="AG1258" s="4">
        <v>0.0154009440817088</v>
      </c>
      <c r="AH1258" s="4">
        <v>0.010869566442111</v>
      </c>
      <c r="AI1258" s="4">
        <v>-5.02763008505269E-5</v>
      </c>
      <c r="AJ1258" s="4">
        <v>-0.010702</v>
      </c>
      <c r="AK1258" s="4">
        <f>Weights!E1314</f>
        <v>0.0001612097131</v>
      </c>
      <c r="AL1258" s="5">
        <v>-0.00917887261088568</v>
      </c>
      <c r="AM1258" s="5">
        <v>-0.0108311423232683</v>
      </c>
      <c r="AN1258" s="5">
        <v>-0.00132904881141893</v>
      </c>
      <c r="AO1258" s="5">
        <v>-9.78454230232794E-4</v>
      </c>
      <c r="AP1258" s="6">
        <f t="shared" si="3"/>
        <v>1.794683187</v>
      </c>
      <c r="AQ1258" s="4">
        <f t="shared" si="4"/>
        <v>1.828292886</v>
      </c>
      <c r="AR1258" s="7">
        <f t="shared" si="5"/>
        <v>1.739063099</v>
      </c>
      <c r="AS1258" s="7">
        <f t="shared" ref="AS1258:AU1258" si="1260">AS1257*(1+AM1258)</f>
        <v>1.944328539</v>
      </c>
      <c r="AT1258" s="5">
        <f t="shared" si="1260"/>
        <v>1.702164845</v>
      </c>
      <c r="AU1258" s="5">
        <f t="shared" si="1260"/>
        <v>1.703526723</v>
      </c>
    </row>
    <row r="1259" ht="15.75" customHeight="1">
      <c r="A1259" s="3">
        <v>45657.0</v>
      </c>
      <c r="B1259" s="4">
        <v>0.008178</v>
      </c>
      <c r="C1259" s="4">
        <v>0.009849</v>
      </c>
      <c r="D1259" s="4">
        <v>0.008864</v>
      </c>
      <c r="E1259" s="4">
        <v>0.002241</v>
      </c>
      <c r="F1259" s="4">
        <v>0.003708</v>
      </c>
      <c r="G1259" s="4">
        <v>0.00893</v>
      </c>
      <c r="H1259" s="4">
        <v>0.003351</v>
      </c>
      <c r="I1259" s="4">
        <v>0.00736</v>
      </c>
      <c r="J1259" s="4">
        <v>-0.002878</v>
      </c>
      <c r="K1259" s="4">
        <v>0.003014</v>
      </c>
      <c r="L1259" s="4">
        <v>-2.49E-4</v>
      </c>
      <c r="M1259" s="4">
        <v>0.002612</v>
      </c>
      <c r="N1259" s="4">
        <v>6.75E-4</v>
      </c>
      <c r="O1259" s="4">
        <v>-0.003529</v>
      </c>
      <c r="P1259" s="4">
        <v>0.005946</v>
      </c>
      <c r="Q1259" s="4">
        <v>0.00304</v>
      </c>
      <c r="R1259" s="4">
        <v>-0.002096</v>
      </c>
      <c r="S1259" s="4">
        <v>0.002853</v>
      </c>
      <c r="T1259" s="4">
        <v>0.012084</v>
      </c>
      <c r="U1259" s="4">
        <v>0.002395</v>
      </c>
      <c r="V1259" s="4">
        <v>0.0146341463414634</v>
      </c>
      <c r="W1259" s="4">
        <v>0.0081201776779575</v>
      </c>
      <c r="X1259" s="4">
        <v>0.0137930683705997</v>
      </c>
      <c r="Y1259" s="4">
        <v>-0.0060841024107775</v>
      </c>
      <c r="Z1259" s="4">
        <v>0.0041586295713262</v>
      </c>
      <c r="AA1259" s="4">
        <v>-0.0266816681652699</v>
      </c>
      <c r="AB1259" s="4">
        <v>0.0033819976719955</v>
      </c>
      <c r="AC1259" s="4">
        <v>0.0086741586630503</v>
      </c>
      <c r="AD1259" s="4">
        <v>-0.0070587339680018</v>
      </c>
      <c r="AE1259" s="4">
        <v>0.0122373186306103</v>
      </c>
      <c r="AF1259" s="4">
        <v>-0.0028222013170272</v>
      </c>
      <c r="AG1259" s="4">
        <v>-0.0193514521064896</v>
      </c>
      <c r="AH1259" s="4">
        <v>-9.349486201819E-4</v>
      </c>
      <c r="AI1259" s="4">
        <v>5.012322689326E-4</v>
      </c>
      <c r="AJ1259" s="4">
        <v>-0.004285</v>
      </c>
      <c r="AK1259" s="4">
        <f>Weights!E1315</f>
        <v>0.001417873749</v>
      </c>
      <c r="AL1259" s="5">
        <v>-0.00939093229067522</v>
      </c>
      <c r="AM1259" s="5">
        <v>-0.0110517991053835</v>
      </c>
      <c r="AN1259" s="5">
        <v>-0.00718659876050808</v>
      </c>
      <c r="AO1259" s="5">
        <v>-0.00748147398667242</v>
      </c>
      <c r="AP1259" s="6">
        <f t="shared" si="3"/>
        <v>1.797227821</v>
      </c>
      <c r="AQ1259" s="4">
        <f t="shared" si="4"/>
        <v>1.820458651</v>
      </c>
      <c r="AR1259" s="7">
        <f t="shared" si="5"/>
        <v>1.722731675</v>
      </c>
      <c r="AS1259" s="7">
        <f t="shared" ref="AS1259:AU1259" si="1261">AS1258*(1+AM1259)</f>
        <v>1.92284021</v>
      </c>
      <c r="AT1259" s="5">
        <f t="shared" si="1261"/>
        <v>1.68993207</v>
      </c>
      <c r="AU1259" s="5">
        <f t="shared" si="1261"/>
        <v>1.690781832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9.0"/>
    <col customWidth="1" min="3" max="5" width="28.43"/>
    <col customWidth="1" min="6" max="7" width="13.29"/>
    <col customWidth="1" min="8" max="8" width="20.86"/>
    <col customWidth="1" min="9" max="9" width="17.0"/>
    <col customWidth="1" min="10" max="10" width="13.29"/>
    <col customWidth="1" min="11" max="11" width="14.14"/>
    <col customWidth="1" min="12" max="12" width="23.71"/>
    <col customWidth="1" min="13" max="13" width="12.86"/>
    <col customWidth="1" min="14" max="22" width="8.71"/>
  </cols>
  <sheetData>
    <row r="1">
      <c r="A1" s="1" t="s">
        <v>0</v>
      </c>
      <c r="B1" s="1" t="s">
        <v>41</v>
      </c>
      <c r="C1" s="2" t="s">
        <v>47</v>
      </c>
      <c r="D1" s="2" t="s">
        <v>35</v>
      </c>
      <c r="E1" s="2" t="s">
        <v>48</v>
      </c>
      <c r="F1" s="2" t="s">
        <v>43</v>
      </c>
      <c r="G1" s="8" t="s">
        <v>49</v>
      </c>
      <c r="H1" s="2" t="s">
        <v>44</v>
      </c>
      <c r="I1" s="8" t="s">
        <v>50</v>
      </c>
      <c r="J1" s="2" t="s">
        <v>45</v>
      </c>
      <c r="K1" s="8" t="s">
        <v>51</v>
      </c>
      <c r="L1" s="2" t="s">
        <v>46</v>
      </c>
      <c r="M1" s="8" t="s">
        <v>52</v>
      </c>
    </row>
    <row r="2">
      <c r="A2" s="9">
        <v>43832.0</v>
      </c>
      <c r="B2" s="5">
        <f>1*(1+'Daily Returns'!AK2)</f>
        <v>0.9971143392</v>
      </c>
      <c r="C2" s="4">
        <f>1*(1+'Daily Returns'!AK2)</f>
        <v>0.9971143392</v>
      </c>
      <c r="D2" s="4">
        <f>1 * (1+'Daily Returns'!AJ2)</f>
        <v>1.008379</v>
      </c>
      <c r="E2" s="4">
        <f>1 * (1+'Daily Returns'!AJ2)</f>
        <v>1.008379</v>
      </c>
      <c r="F2" s="5">
        <f>1 * (1+'Daily Returns'!AL2)</f>
        <v>1.004576365</v>
      </c>
      <c r="G2" s="5">
        <f>1 * (1+'Daily Returns'!AL2)</f>
        <v>1.004576365</v>
      </c>
      <c r="H2" s="5">
        <f> 1*(1+'Daily Returns'!AM2)</f>
        <v>1.002634635</v>
      </c>
      <c r="I2" s="5">
        <f> 1*(1+'Daily Returns'!AM2)</f>
        <v>1.002634635</v>
      </c>
      <c r="J2" s="5">
        <f>1*(1+'Daily Returns'!AN2)</f>
        <v>1.002727011</v>
      </c>
      <c r="K2" s="5">
        <f>1*(1+'Daily Returns'!AN2)</f>
        <v>1.002727011</v>
      </c>
      <c r="L2" s="4">
        <f>1*(1+'Daily Returns'!AO2)</f>
        <v>1.003167391</v>
      </c>
      <c r="M2" s="5">
        <f>1*(1+'Daily Returns'!AO2)</f>
        <v>1.003167391</v>
      </c>
    </row>
    <row r="3">
      <c r="A3" s="9">
        <v>43833.0</v>
      </c>
      <c r="B3" s="4">
        <f>'Daily Returns'!AP2*(1+'Daily Returns'!AK3)</f>
        <v>0.9939004318</v>
      </c>
      <c r="D3" s="4">
        <f>'Daily Returns'!AQ2 * (1 + 'Daily Returns'!AJ3)</f>
        <v>1.001259844</v>
      </c>
      <c r="F3" s="5">
        <f>'Daily Returns'!AR2 * (1 +'Daily Returns'!AL3)</f>
        <v>1.012203864</v>
      </c>
      <c r="H3" s="5">
        <f>'Daily Returns'!AS2*(1+'Daily Returns'!AM3)</f>
        <v>1.010968619</v>
      </c>
      <c r="J3" s="5">
        <f>'Daily Returns'!AT2*(1+'Daily Returns'!AN3)</f>
        <v>1.001558429</v>
      </c>
      <c r="L3" s="5">
        <f>'Daily Returns'!AU2*(1+'Daily Returns'!AO3)</f>
        <v>1.002591255</v>
      </c>
    </row>
    <row r="4">
      <c r="A4" s="9">
        <v>43836.0</v>
      </c>
      <c r="B4" s="4">
        <f>'Daily Returns'!AP3*(1+'Daily Returns'!AK4)</f>
        <v>0.9957664885</v>
      </c>
      <c r="D4" s="4">
        <f>'Daily Returns'!AQ3 * (1 + 'Daily Returns'!AJ4)</f>
        <v>1.004797295</v>
      </c>
      <c r="F4" s="5">
        <f>'Daily Returns'!AR3 * (1 +'Daily Returns'!AL4)</f>
        <v>1.003661159</v>
      </c>
      <c r="H4" s="5">
        <f>'Daily Returns'!AS3*(1+'Daily Returns'!AM4)</f>
        <v>1.004534249</v>
      </c>
      <c r="J4" s="5">
        <f>'Daily Returns'!AT3*(1+'Daily Returns'!AN4)</f>
        <v>0.9980523336</v>
      </c>
      <c r="L4" s="5">
        <f>'Daily Returns'!AU3*(1+'Daily Returns'!AO4)</f>
        <v>0.9996623164</v>
      </c>
    </row>
    <row r="5">
      <c r="A5" s="9">
        <v>43837.0</v>
      </c>
      <c r="B5" s="4">
        <f>'Daily Returns'!AP4*(1+'Daily Returns'!AK5)</f>
        <v>0.995268086</v>
      </c>
      <c r="D5" s="4">
        <f>'Daily Returns'!AQ4 * (1 + 'Daily Returns'!AJ5)</f>
        <v>1.001980848</v>
      </c>
      <c r="F5" s="5">
        <f>'Daily Returns'!AR4 * (1 +'Daily Returns'!AL5)</f>
        <v>1.009356043</v>
      </c>
      <c r="H5" s="5">
        <f>'Daily Returns'!AS4*(1+'Daily Returns'!AM5)</f>
        <v>1.007965663</v>
      </c>
      <c r="J5" s="5">
        <f>'Daily Returns'!AT4*(1+'Daily Returns'!AN5)</f>
        <v>0.9957147336</v>
      </c>
      <c r="L5" s="5">
        <f>'Daily Returns'!AU4*(1+'Daily Returns'!AO5)</f>
        <v>0.9976322094</v>
      </c>
    </row>
    <row r="6">
      <c r="A6" s="9">
        <v>43838.0</v>
      </c>
      <c r="B6" s="4">
        <f>'Daily Returns'!AP5*(1+'Daily Returns'!AK6)</f>
        <v>0.9972610485</v>
      </c>
      <c r="D6" s="4">
        <f>'Daily Returns'!AQ5 * (1 + 'Daily Returns'!AJ6)</f>
        <v>1.006892559</v>
      </c>
      <c r="F6" s="5">
        <f>'Daily Returns'!AR5 * (1 +'Daily Returns'!AL6)</f>
        <v>1.006711957</v>
      </c>
      <c r="H6" s="5">
        <f>'Daily Returns'!AS5*(1+'Daily Returns'!AM6)</f>
        <v>1.005576238</v>
      </c>
      <c r="J6" s="5">
        <f>'Daily Returns'!AT5*(1+'Daily Returns'!AN6)</f>
        <v>0.998441571</v>
      </c>
      <c r="L6" s="5">
        <f>'Daily Returns'!AU5*(1+'Daily Returns'!AO6)</f>
        <v>0.9999521933</v>
      </c>
    </row>
    <row r="7">
      <c r="A7" s="9">
        <v>43839.0</v>
      </c>
      <c r="B7" s="4">
        <f>'Daily Returns'!AP6*(1+'Daily Returns'!AK7)</f>
        <v>0.996281832</v>
      </c>
      <c r="D7" s="4">
        <f>'Daily Returns'!AQ6 * (1 + 'Daily Returns'!AJ7)</f>
        <v>1.013593429</v>
      </c>
      <c r="F7" s="5">
        <f>'Daily Returns'!AR6 * (1 +'Daily Returns'!AL7)</f>
        <v>1.009559525</v>
      </c>
      <c r="H7" s="5">
        <f>'Daily Returns'!AS6*(1+'Daily Returns'!AM7)</f>
        <v>1.010539553</v>
      </c>
      <c r="J7" s="5">
        <f>'Daily Returns'!AT6*(1+'Daily Returns'!AN7)</f>
        <v>0.9957147336</v>
      </c>
      <c r="L7" s="5">
        <f>'Daily Returns'!AU6*(1+'Daily Returns'!AO7)</f>
        <v>0.9979224093</v>
      </c>
    </row>
    <row r="8">
      <c r="A8" s="9">
        <v>43840.0</v>
      </c>
      <c r="B8" s="4">
        <f>'Daily Returns'!AP7*(1+'Daily Returns'!AK8)</f>
        <v>1.00228947</v>
      </c>
      <c r="D8" s="4">
        <f>'Daily Returns'!AQ7 * (1 + 'Daily Returns'!AJ8)</f>
        <v>1.010699619</v>
      </c>
      <c r="F8" s="5">
        <f>'Daily Returns'!AR7 * (1 +'Daily Returns'!AL8)</f>
        <v>1.015356361</v>
      </c>
      <c r="H8" s="5">
        <f>'Daily Returns'!AS7*(1+'Daily Returns'!AM8)</f>
        <v>1.016851318</v>
      </c>
      <c r="J8" s="5">
        <f>'Daily Returns'!AT7*(1+'Daily Returns'!AN8)</f>
        <v>0.9996105015</v>
      </c>
      <c r="L8" s="5">
        <f>'Daily Returns'!AU7*(1+'Daily Returns'!AO8)</f>
        <v>1.000387558</v>
      </c>
    </row>
    <row r="9">
      <c r="A9" s="9">
        <v>43843.0</v>
      </c>
      <c r="B9" s="4">
        <f>'Daily Returns'!AP8*(1+'Daily Returns'!AK9)</f>
        <v>1.005276479</v>
      </c>
      <c r="D9" s="4">
        <f>'Daily Returns'!AQ8 * (1 + 'Daily Returns'!AJ9)</f>
        <v>1.01775026</v>
      </c>
      <c r="F9" s="5">
        <f>'Daily Returns'!AR8 * (1 +'Daily Returns'!AL9)</f>
        <v>1.011288406</v>
      </c>
      <c r="H9" s="5">
        <f>'Daily Returns'!AS8*(1+'Daily Returns'!AM9)</f>
        <v>1.013909918</v>
      </c>
      <c r="J9" s="5">
        <f>'Daily Returns'!AT8*(1+'Daily Returns'!AN9)</f>
        <v>1.001558429</v>
      </c>
      <c r="L9" s="5">
        <f>'Daily Returns'!AU8*(1+'Daily Returns'!AO9)</f>
        <v>1.004592419</v>
      </c>
    </row>
    <row r="10">
      <c r="A10" s="9">
        <v>43844.0</v>
      </c>
      <c r="B10" s="4">
        <f>'Daily Returns'!AP9*(1+'Daily Returns'!AK10)</f>
        <v>1.005391177</v>
      </c>
      <c r="D10" s="4">
        <f>'Daily Returns'!AQ9 * (1 + 'Daily Returns'!AJ10)</f>
        <v>1.016208368</v>
      </c>
      <c r="F10" s="5">
        <f>'Daily Returns'!AR9 * (1 +'Daily Returns'!AL10)</f>
        <v>1.017797049</v>
      </c>
      <c r="H10" s="5">
        <f>'Daily Returns'!AS9*(1+'Daily Returns'!AM10)</f>
        <v>1.020834605</v>
      </c>
      <c r="J10" s="5">
        <f>'Daily Returns'!AT9*(1+'Daily Returns'!AN10)</f>
        <v>1.003505921</v>
      </c>
      <c r="L10" s="5">
        <f>'Daily Returns'!AU9*(1+'Daily Returns'!AO10)</f>
        <v>1.004302478</v>
      </c>
    </row>
    <row r="11">
      <c r="A11" s="9">
        <v>43845.0</v>
      </c>
      <c r="B11" s="4">
        <f>'Daily Returns'!AP10*(1+'Daily Returns'!AK11)</f>
        <v>1.008892624</v>
      </c>
      <c r="D11" s="4">
        <f>'Daily Returns'!AQ10 * (1 + 'Daily Returns'!AJ11)</f>
        <v>1.018108678</v>
      </c>
      <c r="F11" s="5">
        <f>'Daily Returns'!AR10 * (1 +'Daily Returns'!AL11)</f>
        <v>1.015763156</v>
      </c>
      <c r="H11" s="5">
        <f>'Daily Returns'!AS10*(1+'Daily Returns'!AM11)</f>
        <v>1.020282833</v>
      </c>
      <c r="J11" s="5">
        <f>'Daily Returns'!AT10*(1+'Daily Returns'!AN11)</f>
        <v>1.007791362</v>
      </c>
      <c r="L11" s="5">
        <f>'Daily Returns'!AU10*(1+'Daily Returns'!AO11)</f>
        <v>1.008942381</v>
      </c>
    </row>
    <row r="12">
      <c r="A12" s="9">
        <v>43846.0</v>
      </c>
      <c r="B12" s="4">
        <f>'Daily Returns'!AP11*(1+'Daily Returns'!AK12)</f>
        <v>1.01460894</v>
      </c>
      <c r="D12" s="4">
        <f>'Daily Returns'!AQ11 * (1 + 'Daily Returns'!AJ12)</f>
        <v>1.026627193</v>
      </c>
      <c r="F12" s="5">
        <f>'Daily Returns'!AR11 * (1 +'Daily Returns'!AL12)</f>
        <v>1.017187024</v>
      </c>
      <c r="H12" s="5">
        <f>'Daily Returns'!AS11*(1+'Daily Returns'!AM12)</f>
        <v>1.022795269</v>
      </c>
      <c r="J12" s="5">
        <f>'Daily Returns'!AT11*(1+'Daily Returns'!AN12)</f>
        <v>1.007012365</v>
      </c>
      <c r="L12" s="5">
        <f>'Daily Returns'!AU11*(1+'Daily Returns'!AO12)</f>
        <v>1.008942381</v>
      </c>
    </row>
    <row r="13">
      <c r="A13" s="9">
        <v>43847.0</v>
      </c>
      <c r="B13" s="4">
        <f>'Daily Returns'!AP12*(1+'Daily Returns'!AK13)</f>
        <v>1.018344803</v>
      </c>
      <c r="D13" s="4">
        <f>'Daily Returns'!AQ12 * (1 + 'Daily Returns'!AJ13)</f>
        <v>1.030592027</v>
      </c>
      <c r="F13" s="5">
        <f>'Daily Returns'!AR12 * (1 +'Daily Returns'!AL13)</f>
        <v>1.025322934</v>
      </c>
      <c r="H13" s="5">
        <f>'Daily Returns'!AS12*(1+'Daily Returns'!AM13)</f>
        <v>1.031558116</v>
      </c>
      <c r="J13" s="5">
        <f>'Daily Returns'!AT12*(1+'Daily Returns'!AN13)</f>
        <v>1.012076367</v>
      </c>
      <c r="L13" s="5">
        <f>'Daily Returns'!AU12*(1+'Daily Returns'!AO13)</f>
        <v>1.012422971</v>
      </c>
    </row>
    <row r="14">
      <c r="A14" s="9">
        <v>43851.0</v>
      </c>
      <c r="B14" s="4">
        <f>'Daily Returns'!AP13*(1+'Daily Returns'!AK14)</f>
        <v>1.014948172</v>
      </c>
      <c r="D14" s="4">
        <f>'Daily Returns'!AQ13 * (1 + 'Daily Returns'!AJ14)</f>
        <v>1.027858897</v>
      </c>
      <c r="F14" s="5">
        <f>'Daily Returns'!AR13 * (1 +'Daily Returns'!AL14)</f>
        <v>1.028780527</v>
      </c>
      <c r="H14" s="5">
        <f>'Daily Returns'!AS13*(1+'Daily Returns'!AM14)</f>
        <v>1.034131702</v>
      </c>
      <c r="J14" s="5">
        <f>'Daily Returns'!AT13*(1+'Daily Returns'!AN14)</f>
        <v>1.014413793</v>
      </c>
      <c r="L14" s="5">
        <f>'Daily Returns'!AU13*(1+'Daily Returns'!AO14)</f>
        <v>1.015322902</v>
      </c>
    </row>
    <row r="15">
      <c r="A15" s="9">
        <v>43852.0</v>
      </c>
      <c r="B15" s="4">
        <f>'Daily Returns'!AP14*(1+'Daily Returns'!AK15)</f>
        <v>1.016146513</v>
      </c>
      <c r="D15" s="4">
        <f>'Daily Returns'!AQ14 * (1 + 'Daily Returns'!AJ15)</f>
        <v>1.028155949</v>
      </c>
      <c r="F15" s="5">
        <f>'Daily Returns'!AR14 * (1 +'Daily Returns'!AL15)</f>
        <v>1.023390571</v>
      </c>
      <c r="H15" s="5">
        <f>'Daily Returns'!AS14*(1+'Daily Returns'!AM15)</f>
        <v>1.031925626</v>
      </c>
      <c r="J15" s="5">
        <f>'Daily Returns'!AT14*(1+'Daily Returns'!AN15)</f>
        <v>1.01753039</v>
      </c>
      <c r="L15" s="5">
        <f>'Daily Returns'!AU14*(1+'Daily Returns'!AO15)</f>
        <v>1.018513033</v>
      </c>
    </row>
    <row r="16">
      <c r="A16" s="9">
        <v>43853.0</v>
      </c>
      <c r="B16" s="4">
        <f>'Daily Returns'!AP15*(1+'Daily Returns'!AK16)</f>
        <v>1.013123523</v>
      </c>
      <c r="D16" s="4">
        <f>'Daily Returns'!AQ15 * (1 + 'Daily Returns'!AJ16)</f>
        <v>1.029329075</v>
      </c>
      <c r="F16" s="5">
        <f>'Daily Returns'!AR15 * (1 +'Daily Returns'!AL16)</f>
        <v>1.025221067</v>
      </c>
      <c r="H16" s="5">
        <f>'Daily Returns'!AS15*(1+'Daily Returns'!AM16)</f>
        <v>1.03253865</v>
      </c>
      <c r="J16" s="5">
        <f>'Daily Returns'!AT15*(1+'Daily Returns'!AN16)</f>
        <v>1.022594566</v>
      </c>
      <c r="L16" s="5">
        <f>'Daily Returns'!AU15*(1+'Daily Returns'!AO16)</f>
        <v>1.022862866</v>
      </c>
    </row>
    <row r="17">
      <c r="A17" s="9">
        <v>43854.0</v>
      </c>
      <c r="B17" s="4">
        <f>'Daily Returns'!AP16*(1+'Daily Returns'!AK17)</f>
        <v>1.011350503</v>
      </c>
      <c r="D17" s="4">
        <f>'Daily Returns'!AQ16 * (1 + 'Daily Returns'!AJ17)</f>
        <v>1.020021881</v>
      </c>
      <c r="F17" s="5">
        <f>'Daily Returns'!AR16 * (1 +'Daily Returns'!AL17)</f>
        <v>1.024407644</v>
      </c>
      <c r="H17" s="5">
        <f>'Daily Returns'!AS16*(1+'Daily Returns'!AM17)</f>
        <v>1.033702838</v>
      </c>
      <c r="J17" s="5">
        <f>'Daily Returns'!AT16*(1+'Daily Returns'!AN17)</f>
        <v>1.027269418</v>
      </c>
      <c r="L17" s="5">
        <f>'Daily Returns'!AU16*(1+'Daily Returns'!AO17)</f>
        <v>1.026923273</v>
      </c>
    </row>
    <row r="18">
      <c r="A18" s="9">
        <v>43857.0</v>
      </c>
      <c r="B18" s="4">
        <f>'Daily Returns'!AP17*(1+'Daily Returns'!AK18)</f>
        <v>1.000112533</v>
      </c>
      <c r="D18" s="4">
        <f>'Daily Returns'!AQ17 * (1 + 'Daily Returns'!AJ18)</f>
        <v>1.003975917</v>
      </c>
      <c r="F18" s="5">
        <f>'Daily Returns'!AR17 * (1 +'Daily Returns'!AL18)</f>
        <v>1.017593904</v>
      </c>
      <c r="H18" s="5">
        <f>'Daily Returns'!AS17*(1+'Daily Returns'!AM18)</f>
        <v>1.023898205</v>
      </c>
      <c r="J18" s="5">
        <f>'Daily Returns'!AT17*(1+'Daily Returns'!AN18)</f>
        <v>1.029996169</v>
      </c>
      <c r="L18" s="5">
        <f>'Daily Returns'!AU17*(1+'Daily Returns'!AO18)</f>
        <v>1.029823269</v>
      </c>
    </row>
    <row r="19">
      <c r="A19" s="9">
        <v>43858.0</v>
      </c>
      <c r="B19" s="4">
        <f>'Daily Returns'!AP18*(1+'Daily Returns'!AK19)</f>
        <v>1.005000205</v>
      </c>
      <c r="D19" s="4">
        <f>'Daily Returns'!AQ18 * (1 + 'Daily Returns'!AJ19)</f>
        <v>1.014069891</v>
      </c>
      <c r="F19" s="5">
        <f>'Daily Returns'!AR18 * (1 +'Daily Returns'!AL19)</f>
        <v>1.000203229</v>
      </c>
      <c r="H19" s="5">
        <f>'Daily Returns'!AS18*(1+'Daily Returns'!AM19)</f>
        <v>1.008517638</v>
      </c>
      <c r="J19" s="5">
        <f>'Daily Returns'!AT18*(1+'Daily Returns'!AN19)</f>
        <v>1.028437827</v>
      </c>
      <c r="L19" s="5">
        <f>'Daily Returns'!AU18*(1+'Daily Returns'!AO19)</f>
        <v>1.028083362</v>
      </c>
    </row>
    <row r="20">
      <c r="A20" s="9">
        <v>43859.0</v>
      </c>
      <c r="B20" s="4">
        <f>'Daily Returns'!AP19*(1+'Daily Returns'!AK20)</f>
        <v>1.002893919</v>
      </c>
      <c r="D20" s="4">
        <f>'Daily Returns'!AQ19 * (1 + 'Daily Returns'!AJ20)</f>
        <v>1.013190692</v>
      </c>
      <c r="F20" s="5">
        <f>'Daily Returns'!AR19 * (1 +'Daily Returns'!AL20)</f>
        <v>1.009457911</v>
      </c>
      <c r="H20" s="5">
        <f>'Daily Returns'!AS19*(1+'Daily Returns'!AM20)</f>
        <v>1.018260817</v>
      </c>
      <c r="J20" s="5">
        <f>'Daily Returns'!AT19*(1+'Daily Returns'!AN20)</f>
        <v>1.029996169</v>
      </c>
      <c r="L20" s="5">
        <f>'Daily Returns'!AU19*(1+'Daily Returns'!AO20)</f>
        <v>1.029533134</v>
      </c>
    </row>
    <row r="21" ht="15.75" customHeight="1">
      <c r="A21" s="9">
        <v>43860.0</v>
      </c>
      <c r="B21" s="4">
        <f>'Daily Returns'!AP20*(1+'Daily Returns'!AK21)</f>
        <v>1.004079282</v>
      </c>
      <c r="D21" s="4">
        <f>'Daily Returns'!AQ20 * (1 + 'Daily Returns'!AJ21)</f>
        <v>1.016366032</v>
      </c>
      <c r="F21" s="5">
        <f>'Daily Returns'!AR20 * (1 +'Daily Returns'!AL21)</f>
        <v>1.009763007</v>
      </c>
      <c r="H21" s="5">
        <f>'Daily Returns'!AS20*(1+'Daily Returns'!AM21)</f>
        <v>1.017586845</v>
      </c>
      <c r="J21" s="5">
        <f>'Daily Returns'!AT20*(1+'Daily Returns'!AN21)</f>
        <v>1.032333682</v>
      </c>
      <c r="L21" s="5">
        <f>'Daily Returns'!AU20*(1+'Daily Returns'!AO21)</f>
        <v>1.031853376</v>
      </c>
    </row>
    <row r="22" ht="15.75" customHeight="1">
      <c r="A22" s="9">
        <v>43861.0</v>
      </c>
      <c r="B22" s="4">
        <f>'Daily Returns'!AP21*(1+'Daily Returns'!AK22)</f>
        <v>0.9940582753</v>
      </c>
      <c r="D22" s="4">
        <f>'Daily Returns'!AQ21 * (1 + 'Daily Returns'!AJ22)</f>
        <v>0.9983702548</v>
      </c>
      <c r="F22" s="5">
        <f>'Daily Returns'!AR21 * (1 +'Daily Returns'!AL22)</f>
        <v>1.011288406</v>
      </c>
      <c r="H22" s="5">
        <f>'Daily Returns'!AS21*(1+'Daily Returns'!AM22)</f>
        <v>1.020038029</v>
      </c>
      <c r="J22" s="5">
        <f>'Daily Returns'!AT21*(1+'Daily Returns'!AN22)</f>
        <v>1.030385841</v>
      </c>
      <c r="L22" s="5">
        <f>'Daily Returns'!AU21*(1+'Daily Returns'!AO22)</f>
        <v>1.027793421</v>
      </c>
    </row>
    <row r="23" ht="15.75" customHeight="1">
      <c r="A23" s="9">
        <v>43864.0</v>
      </c>
      <c r="B23" s="4">
        <f>'Daily Returns'!AP22*(1+'Daily Returns'!AK23)</f>
        <v>0.9952534657</v>
      </c>
      <c r="D23" s="4">
        <f>'Daily Returns'!AQ22 * (1 + 'Daily Returns'!AJ23)</f>
        <v>1.005613431</v>
      </c>
      <c r="F23" s="5">
        <f>'Daily Returns'!AR22 * (1 +'Daily Returns'!AL23)</f>
        <v>0.9938981521</v>
      </c>
      <c r="H23" s="5">
        <f>'Daily Returns'!AS22*(1+'Daily Returns'!AM23)</f>
        <v>1.002022016</v>
      </c>
      <c r="J23" s="5">
        <f>'Daily Returns'!AT22*(1+'Daily Returns'!AN23)</f>
        <v>1.022983978</v>
      </c>
      <c r="L23" s="5">
        <f>'Daily Returns'!AU22*(1+'Daily Returns'!AO23)</f>
        <v>1.020252811</v>
      </c>
    </row>
    <row r="24" ht="15.75" customHeight="1">
      <c r="A24" s="9">
        <v>43865.0</v>
      </c>
      <c r="B24" s="4">
        <f>'Daily Returns'!AP23*(1+'Daily Returns'!AK24)</f>
        <v>1.003354086</v>
      </c>
      <c r="D24" s="4">
        <f>'Daily Returns'!AQ23 * (1 + 'Daily Returns'!AJ24)</f>
        <v>1.02067752</v>
      </c>
      <c r="F24" s="5">
        <f>'Daily Returns'!AR23 * (1 +'Daily Returns'!AL24)</f>
        <v>0.9992881921</v>
      </c>
      <c r="H24" s="5">
        <f>'Daily Returns'!AS23*(1+'Daily Returns'!AM24)</f>
        <v>1.010846115</v>
      </c>
      <c r="J24" s="5">
        <f>'Daily Returns'!AT23*(1+'Daily Returns'!AN24)</f>
        <v>1.028048502</v>
      </c>
      <c r="L24" s="5">
        <f>'Daily Returns'!AU23*(1+'Daily Returns'!AO24)</f>
        <v>1.024023019</v>
      </c>
    </row>
    <row r="25" ht="15.75" customHeight="1">
      <c r="A25" s="9">
        <v>43866.0</v>
      </c>
      <c r="B25" s="4">
        <f>'Daily Returns'!AP24*(1+'Daily Returns'!AK25)</f>
        <v>1.011883773</v>
      </c>
      <c r="D25" s="4">
        <f>'Daily Returns'!AQ24 * (1 + 'Daily Returns'!AJ25)</f>
        <v>1.032161163</v>
      </c>
      <c r="F25" s="5">
        <f>'Daily Returns'!AR24 * (1 +'Daily Returns'!AL25)</f>
        <v>1.017085241</v>
      </c>
      <c r="H25" s="5">
        <f>'Daily Returns'!AS24*(1+'Daily Returns'!AM25)</f>
        <v>1.026778556</v>
      </c>
      <c r="J25" s="5">
        <f>'Daily Returns'!AT24*(1+'Daily Returns'!AN25)</f>
        <v>1.02649016</v>
      </c>
      <c r="L25" s="5">
        <f>'Daily Returns'!AU24*(1+'Daily Returns'!AO25)</f>
        <v>1.024023019</v>
      </c>
    </row>
    <row r="26" ht="15.75" customHeight="1">
      <c r="A26" s="9">
        <v>43867.0</v>
      </c>
      <c r="B26" s="4">
        <f>'Daily Returns'!AP25*(1+'Daily Returns'!AK26)</f>
        <v>1.015549969</v>
      </c>
      <c r="D26" s="4">
        <f>'Daily Returns'!AQ25 * (1 + 'Daily Returns'!AJ26)</f>
        <v>1.035594131</v>
      </c>
      <c r="F26" s="5">
        <f>'Daily Returns'!AR25 * (1 +'Daily Returns'!AL26)</f>
        <v>1.02654332</v>
      </c>
      <c r="H26" s="5">
        <f>'Daily Returns'!AS25*(1+'Daily Returns'!AM26)</f>
        <v>1.036889549</v>
      </c>
      <c r="J26" s="5">
        <f>'Daily Returns'!AT25*(1+'Daily Returns'!AN26)</f>
        <v>1.02649016</v>
      </c>
      <c r="L26" s="5">
        <f>'Daily Returns'!AU25*(1+'Daily Returns'!AO26)</f>
        <v>1.023443007</v>
      </c>
    </row>
    <row r="27" ht="15.75" customHeight="1">
      <c r="A27" s="9">
        <v>43868.0</v>
      </c>
      <c r="B27" s="4">
        <f>'Daily Returns'!AP26*(1+'Daily Returns'!AK27)</f>
        <v>1.010363779</v>
      </c>
      <c r="D27" s="4">
        <f>'Daily Returns'!AQ26 * (1 + 'Daily Returns'!AJ27)</f>
        <v>1.030000887</v>
      </c>
      <c r="F27" s="5">
        <f>'Daily Returns'!AR26 * (1 +'Daily Returns'!AL27)</f>
        <v>1.030204395</v>
      </c>
      <c r="H27" s="5">
        <f>'Daily Returns'!AS26*(1+'Daily Returns'!AM27)</f>
        <v>1.039769495</v>
      </c>
      <c r="J27" s="5">
        <f>'Daily Returns'!AT26*(1+'Daily Returns'!AN27)</f>
        <v>1.015971961</v>
      </c>
      <c r="L27" s="5">
        <f>'Daily Returns'!AU26*(1+'Daily Returns'!AO27)</f>
        <v>1.013292666</v>
      </c>
    </row>
    <row r="28" ht="15.75" customHeight="1">
      <c r="A28" s="9">
        <v>43871.0</v>
      </c>
      <c r="B28" s="4">
        <f>'Daily Returns'!AP27*(1+'Daily Returns'!AK28)</f>
        <v>1.013549777</v>
      </c>
      <c r="D28" s="4">
        <f>'Daily Returns'!AQ27 * (1 + 'Daily Returns'!AJ28)</f>
        <v>1.037546674</v>
      </c>
      <c r="F28" s="5">
        <f>'Daily Returns'!AR27 * (1 +'Daily Returns'!AL28)</f>
        <v>1.023390571</v>
      </c>
      <c r="H28" s="5">
        <f>'Daily Returns'!AS27*(1+'Daily Returns'!AM28)</f>
        <v>1.033825544</v>
      </c>
      <c r="J28" s="5">
        <f>'Daily Returns'!AT27*(1+'Daily Returns'!AN28)</f>
        <v>1.018309387</v>
      </c>
      <c r="L28" s="5">
        <f>'Daily Returns'!AU27*(1+'Daily Returns'!AO28)</f>
        <v>1.016192985</v>
      </c>
    </row>
    <row r="29" ht="15.75" customHeight="1">
      <c r="A29" s="9">
        <v>43872.0</v>
      </c>
      <c r="B29" s="4">
        <f>'Daily Returns'!AP28*(1+'Daily Returns'!AK29)</f>
        <v>1.014745741</v>
      </c>
      <c r="D29" s="4">
        <f>'Daily Returns'!AQ28 * (1 + 'Daily Returns'!AJ29)</f>
        <v>1.039298052</v>
      </c>
      <c r="F29" s="5">
        <f>'Daily Returns'!AR28 * (1 +'Daily Returns'!AL29)</f>
        <v>1.028577045</v>
      </c>
      <c r="H29" s="5">
        <f>'Daily Returns'!AS28*(1+'Daily Returns'!AM29)</f>
        <v>1.041424203</v>
      </c>
      <c r="J29" s="5">
        <f>'Daily Returns'!AT28*(1+'Daily Returns'!AN29)</f>
        <v>1.027269418</v>
      </c>
      <c r="L29" s="5">
        <f>'Daily Returns'!AU28*(1+'Daily Returns'!AO29)</f>
        <v>1.024023019</v>
      </c>
    </row>
    <row r="30" ht="15.75" customHeight="1">
      <c r="A30" s="9">
        <v>43873.0</v>
      </c>
      <c r="B30" s="4">
        <f>'Daily Returns'!AP29*(1+'Daily Returns'!AK30)</f>
        <v>1.017289334</v>
      </c>
      <c r="D30" s="4">
        <f>'Daily Returns'!AQ29 * (1 + 'Daily Returns'!AJ30)</f>
        <v>1.046015036</v>
      </c>
      <c r="F30" s="5">
        <f>'Daily Returns'!AR29 * (1 +'Daily Returns'!AL30)</f>
        <v>1.033357144</v>
      </c>
      <c r="H30" s="5">
        <f>'Daily Returns'!AS29*(1+'Daily Returns'!AM30)</f>
        <v>1.044304149</v>
      </c>
      <c r="J30" s="5">
        <f>'Daily Returns'!AT29*(1+'Daily Returns'!AN30)</f>
        <v>1.035450017</v>
      </c>
      <c r="L30" s="5">
        <f>'Daily Returns'!AU29*(1+'Daily Returns'!AO30)</f>
        <v>1.032433259</v>
      </c>
    </row>
    <row r="31" ht="15.75" customHeight="1">
      <c r="A31" s="9">
        <v>43874.0</v>
      </c>
      <c r="B31" s="4">
        <f>'Daily Returns'!AP30*(1+'Daily Returns'!AK31)</f>
        <v>1.014564534</v>
      </c>
      <c r="D31" s="4">
        <f>'Daily Returns'!AQ30 * (1 + 'Daily Returns'!AJ31)</f>
        <v>1.044310031</v>
      </c>
      <c r="F31" s="5">
        <f>'Daily Returns'!AR30 * (1 +'Daily Returns'!AL31)</f>
        <v>1.038543703</v>
      </c>
      <c r="H31" s="5">
        <f>'Daily Returns'!AS30*(1+'Daily Returns'!AM31)</f>
        <v>1.050860921</v>
      </c>
      <c r="J31" s="5">
        <f>'Daily Returns'!AT30*(1+'Daily Returns'!AN31)</f>
        <v>1.040514107</v>
      </c>
      <c r="L31" s="5">
        <f>'Daily Returns'!AU30*(1+'Daily Returns'!AO31)</f>
        <v>1.038523451</v>
      </c>
    </row>
    <row r="32" ht="15.75" customHeight="1">
      <c r="A32" s="9">
        <v>43875.0</v>
      </c>
      <c r="B32" s="4">
        <f>'Daily Returns'!AP31*(1+'Daily Returns'!AK32)</f>
        <v>1.013687734</v>
      </c>
      <c r="D32" s="4">
        <f>'Daily Returns'!AQ31 * (1 + 'Daily Returns'!AJ32)</f>
        <v>1.046235739</v>
      </c>
      <c r="F32" s="5">
        <f>'Daily Returns'!AR31 * (1 +'Daily Returns'!AL32)</f>
        <v>1.03518764</v>
      </c>
      <c r="H32" s="5">
        <f>'Daily Returns'!AS31*(1+'Daily Returns'!AM32)</f>
        <v>1.050431855</v>
      </c>
      <c r="J32" s="5">
        <f>'Daily Returns'!AT31*(1+'Daily Returns'!AN32)</f>
        <v>1.035060519</v>
      </c>
      <c r="L32" s="5">
        <f>'Daily Returns'!AU31*(1+'Daily Returns'!AO32)</f>
        <v>1.033013142</v>
      </c>
    </row>
    <row r="33" ht="15.75" customHeight="1">
      <c r="A33" s="9">
        <v>43879.0</v>
      </c>
      <c r="B33" s="4">
        <f>'Daily Returns'!AP32*(1+'Daily Returns'!AK33)</f>
        <v>1.017278681</v>
      </c>
      <c r="D33" s="4">
        <f>'Daily Returns'!AQ32 * (1 + 'Daily Returns'!AJ33)</f>
        <v>1.04318073</v>
      </c>
      <c r="F33" s="5">
        <f>'Daily Returns'!AR32 * (1 +'Daily Returns'!AL33)</f>
        <v>1.036509641</v>
      </c>
      <c r="H33" s="5">
        <f>'Daily Returns'!AS32*(1+'Daily Returns'!AM33)</f>
        <v>1.052147613</v>
      </c>
      <c r="J33" s="5">
        <f>'Daily Returns'!AT32*(1+'Daily Returns'!AN33)</f>
        <v>1.040903953</v>
      </c>
      <c r="L33" s="5">
        <f>'Daily Returns'!AU32*(1+'Daily Returns'!AO33)</f>
        <v>1.037073421</v>
      </c>
    </row>
    <row r="34" ht="15.75" customHeight="1">
      <c r="A34" s="9">
        <v>43880.0</v>
      </c>
      <c r="B34" s="4">
        <f>'Daily Returns'!AP33*(1+'Daily Returns'!AK34)</f>
        <v>1.018276918</v>
      </c>
      <c r="D34" s="4">
        <f>'Daily Returns'!AQ33 * (1 + 'Daily Returns'!AJ34)</f>
        <v>1.048089939</v>
      </c>
      <c r="F34" s="5">
        <f>'Daily Returns'!AR33 * (1 +'Daily Returns'!AL34)</f>
        <v>1.033560458</v>
      </c>
      <c r="H34" s="5">
        <f>'Daily Returns'!AS33*(1+'Daily Returns'!AM34)</f>
        <v>1.049696126</v>
      </c>
      <c r="J34" s="5">
        <f>'Daily Returns'!AT33*(1+'Daily Returns'!AN34)</f>
        <v>1.042462034</v>
      </c>
      <c r="L34" s="5">
        <f>'Daily Returns'!AU33*(1+'Daily Returns'!AO34)</f>
        <v>1.039683346</v>
      </c>
    </row>
    <row r="35" ht="15.75" customHeight="1">
      <c r="A35" s="9">
        <v>43881.0</v>
      </c>
      <c r="B35" s="4">
        <f>'Daily Returns'!AP34*(1+'Daily Returns'!AK35)</f>
        <v>1.019732479</v>
      </c>
      <c r="D35" s="4">
        <f>'Daily Returns'!AQ34 * (1 + 'Daily Returns'!AJ35)</f>
        <v>1.044090428</v>
      </c>
      <c r="F35" s="5">
        <f>'Daily Returns'!AR34 * (1 +'Daily Returns'!AL35)</f>
        <v>1.037628329</v>
      </c>
      <c r="H35" s="5">
        <f>'Daily Returns'!AS34*(1+'Daily Returns'!AM35)</f>
        <v>1.05502766</v>
      </c>
      <c r="J35" s="5">
        <f>'Daily Returns'!AT34*(1+'Daily Returns'!AN35)</f>
        <v>1.046747301</v>
      </c>
      <c r="L35" s="5">
        <f>'Daily Returns'!AU34*(1+'Daily Returns'!AO35)</f>
        <v>1.042873477</v>
      </c>
    </row>
    <row r="36" ht="15.75" customHeight="1">
      <c r="A36" s="9">
        <v>43882.0</v>
      </c>
      <c r="B36" s="4">
        <f>'Daily Returns'!AP35*(1+'Daily Returns'!AK36)</f>
        <v>1.02182447</v>
      </c>
      <c r="D36" s="4">
        <f>'Daily Returns'!AQ35 * (1 + 'Daily Returns'!AJ36)</f>
        <v>1.033108685</v>
      </c>
      <c r="F36" s="5">
        <f>'Daily Returns'!AR35 * (1 +'Daily Returns'!AL36)</f>
        <v>1.033255277</v>
      </c>
      <c r="H36" s="5">
        <f>'Daily Returns'!AS35*(1+'Daily Returns'!AM36)</f>
        <v>1.051841152</v>
      </c>
      <c r="J36" s="5">
        <f>'Daily Returns'!AT35*(1+'Daily Returns'!AN36)</f>
        <v>1.046747301</v>
      </c>
      <c r="L36" s="5">
        <f>'Daily Returns'!AU35*(1+'Daily Returns'!AO36)</f>
        <v>1.041713776</v>
      </c>
    </row>
    <row r="37" ht="15.75" customHeight="1">
      <c r="A37" s="9">
        <v>43885.0</v>
      </c>
      <c r="B37" s="4">
        <f>'Daily Returns'!AP36*(1+'Daily Returns'!AK37)</f>
        <v>1.00925437</v>
      </c>
      <c r="D37" s="4">
        <f>'Daily Returns'!AQ36 * (1 + 'Daily Returns'!AJ37)</f>
        <v>0.9984850802</v>
      </c>
      <c r="F37" s="5">
        <f>'Daily Returns'!AR36 * (1 +'Daily Returns'!AL37)</f>
        <v>1.026034742</v>
      </c>
      <c r="H37" s="5">
        <f>'Daily Returns'!AS36*(1+'Daily Returns'!AM37)</f>
        <v>1.041056085</v>
      </c>
      <c r="J37" s="5">
        <f>'Daily Returns'!AT36*(1+'Daily Returns'!AN37)</f>
        <v>1.048305381</v>
      </c>
      <c r="L37" s="5">
        <f>'Daily Returns'!AU36*(1+'Daily Returns'!AO37)</f>
        <v>1.044033695</v>
      </c>
    </row>
    <row r="38" ht="15.75" customHeight="1">
      <c r="A38" s="9">
        <v>43886.0</v>
      </c>
      <c r="B38" s="4">
        <f>'Daily Returns'!AP37*(1+'Daily Returns'!AK38)</f>
        <v>0.9840479352</v>
      </c>
      <c r="D38" s="4">
        <f>'Daily Returns'!AQ37 * (1 + 'Daily Returns'!AJ38)</f>
        <v>0.968250952</v>
      </c>
      <c r="F38" s="5">
        <f>'Daily Returns'!AR37 * (1 +'Daily Returns'!AL38)</f>
        <v>0.9904403064</v>
      </c>
      <c r="H38" s="5">
        <f>'Daily Returns'!AS37*(1+'Daily Returns'!AM38)</f>
        <v>1.006801678</v>
      </c>
      <c r="J38" s="5">
        <f>'Daily Returns'!AT37*(1+'Daily Returns'!AN38)</f>
        <v>1.047915883</v>
      </c>
      <c r="L38" s="5">
        <f>'Daily Returns'!AU37*(1+'Daily Returns'!AO38)</f>
        <v>1.044323637</v>
      </c>
    </row>
    <row r="39" ht="15.75" customHeight="1">
      <c r="A39" s="9">
        <v>43887.0</v>
      </c>
      <c r="B39" s="4">
        <f>'Daily Returns'!AP38*(1+'Daily Returns'!AK39)</f>
        <v>0.971114962</v>
      </c>
      <c r="D39" s="4">
        <f>'Daily Returns'!AQ38 * (1 + 'Daily Returns'!AJ39)</f>
        <v>0.9645919316</v>
      </c>
      <c r="F39" s="5">
        <f>'Daily Returns'!AR38 * (1 +'Daily Returns'!AL39)</f>
        <v>0.9638969861</v>
      </c>
      <c r="H39" s="5">
        <f>'Daily Returns'!AS38*(1+'Daily Returns'!AM39)</f>
        <v>0.9760401382</v>
      </c>
      <c r="J39" s="5">
        <f>'Daily Returns'!AT38*(1+'Daily Returns'!AN39)</f>
        <v>1.051811651</v>
      </c>
      <c r="L39" s="5">
        <f>'Daily Returns'!AU38*(1+'Daily Returns'!AO39)</f>
        <v>1.048093716</v>
      </c>
    </row>
    <row r="40" ht="15.75" customHeight="1">
      <c r="A40" s="9">
        <v>43888.0</v>
      </c>
      <c r="B40" s="4">
        <f>'Daily Returns'!AP39*(1+'Daily Returns'!AK40)</f>
        <v>0.9503186117</v>
      </c>
      <c r="D40" s="4">
        <f>'Daily Returns'!AQ39 * (1 + 'Daily Returns'!AJ40)</f>
        <v>0.9219926582</v>
      </c>
      <c r="F40" s="5">
        <f>'Daily Returns'!AR39 * (1 +'Daily Returns'!AL40)</f>
        <v>0.9610494178</v>
      </c>
      <c r="H40" s="5">
        <f>'Daily Returns'!AS39*(1+'Daily Returns'!AM40)</f>
        <v>0.9706474533</v>
      </c>
      <c r="J40" s="5">
        <f>'Daily Returns'!AT39*(1+'Daily Returns'!AN40)</f>
        <v>1.051811651</v>
      </c>
      <c r="L40" s="5">
        <f>'Daily Returns'!AU39*(1+'Daily Returns'!AO40)</f>
        <v>1.049833881</v>
      </c>
    </row>
    <row r="41" ht="15.75" customHeight="1">
      <c r="A41" s="9">
        <v>43889.0</v>
      </c>
      <c r="B41" s="4">
        <f>'Daily Returns'!AP40*(1+'Daily Returns'!AK41)</f>
        <v>0.9312972727</v>
      </c>
      <c r="D41" s="4">
        <f>'Daily Returns'!AQ40 * (1 + 'Daily Returns'!AJ41)</f>
        <v>0.9143972826</v>
      </c>
      <c r="F41" s="5">
        <f>'Daily Returns'!AR40 * (1 +'Daily Returns'!AL41)</f>
        <v>0.9251498859</v>
      </c>
      <c r="H41" s="5">
        <f>'Daily Returns'!AS40*(1+'Daily Returns'!AM41)</f>
        <v>0.9281205159</v>
      </c>
      <c r="J41" s="5">
        <f>'Daily Returns'!AT40*(1+'Daily Returns'!AN41)</f>
        <v>1.045968217</v>
      </c>
      <c r="L41" s="5">
        <f>'Daily Returns'!AU40*(1+'Daily Returns'!AO41)</f>
        <v>1.044033695</v>
      </c>
    </row>
    <row r="42" ht="15.75" customHeight="1">
      <c r="A42" s="9">
        <v>43892.0</v>
      </c>
      <c r="B42" s="4">
        <f>'Daily Returns'!AP41*(1+'Daily Returns'!AK42)</f>
        <v>0.9352727497</v>
      </c>
      <c r="D42" s="4">
        <f>'Daily Returns'!AQ41 * (1 + 'Daily Returns'!AJ42)</f>
        <v>0.9564952191</v>
      </c>
      <c r="F42" s="5">
        <f>'Daily Returns'!AR41 * (1 +'Daily Returns'!AL42)</f>
        <v>0.911929033</v>
      </c>
      <c r="H42" s="5">
        <f>'Daily Returns'!AS41*(1+'Daily Returns'!AM42)</f>
        <v>0.921870104</v>
      </c>
      <c r="J42" s="5">
        <f>'Daily Returns'!AT41*(1+'Daily Returns'!AN42)</f>
        <v>1.029252161</v>
      </c>
      <c r="L42" s="5">
        <f>'Daily Returns'!AU41*(1+'Daily Returns'!AO42)</f>
        <v>1.027503221</v>
      </c>
    </row>
    <row r="43" ht="15.75" customHeight="1">
      <c r="A43" s="9">
        <v>43893.0</v>
      </c>
      <c r="B43" s="4">
        <f>'Daily Returns'!AP42*(1+'Daily Returns'!AK43)</f>
        <v>0.934800257</v>
      </c>
      <c r="D43" s="4">
        <f>'Daily Returns'!AQ42 * (1 + 'Daily Returns'!AJ43)</f>
        <v>0.9296100515</v>
      </c>
      <c r="F43" s="5">
        <f>'Daily Returns'!AR42 * (1 +'Daily Returns'!AL43)</f>
        <v>0.9481339142</v>
      </c>
      <c r="H43" s="5">
        <f>'Daily Returns'!AS42*(1+'Daily Returns'!AM43)</f>
        <v>0.9600461423</v>
      </c>
      <c r="J43" s="5">
        <f>'Daily Returns'!AT42*(1+'Daily Returns'!AN43)</f>
        <v>1.006885549</v>
      </c>
      <c r="L43" s="5">
        <f>'Daily Returns'!AU42*(1+'Daily Returns'!AO43)</f>
        <v>1.004882619</v>
      </c>
    </row>
    <row r="44" ht="15.75" customHeight="1">
      <c r="A44" s="9">
        <v>43894.0</v>
      </c>
      <c r="B44" s="4">
        <f>'Daily Returns'!AP43*(1+'Daily Returns'!AK44)</f>
        <v>0.9476303545</v>
      </c>
      <c r="D44" s="4">
        <f>'Daily Returns'!AQ43 * (1 + 'Daily Returns'!AJ44)</f>
        <v>0.9688423845</v>
      </c>
      <c r="F44" s="5">
        <f>'Daily Returns'!AR43 * (1 +'Daily Returns'!AL44)</f>
        <v>0.9267770677</v>
      </c>
      <c r="H44" s="5">
        <f>'Daily Returns'!AS43*(1+'Daily Returns'!AM44)</f>
        <v>0.9352899066</v>
      </c>
      <c r="J44" s="5">
        <f>'Daily Returns'!AT43*(1+'Daily Returns'!AN44)</f>
        <v>1.000607444</v>
      </c>
      <c r="L44" s="5">
        <f>'Daily Returns'!AU43*(1+'Daily Returns'!AO44)</f>
        <v>0.9967623204</v>
      </c>
    </row>
    <row r="45" ht="15.75" customHeight="1">
      <c r="A45" s="9">
        <v>43895.0</v>
      </c>
      <c r="B45" s="4">
        <f>'Daily Returns'!AP44*(1+'Daily Returns'!AK45)</f>
        <v>0.9482236117</v>
      </c>
      <c r="D45" s="4">
        <f>'Daily Returns'!AQ44 * (1 + 'Daily Returns'!AJ45)</f>
        <v>0.9359773132</v>
      </c>
      <c r="F45" s="5">
        <f>'Daily Returns'!AR44 * (1 +'Daily Returns'!AL45)</f>
        <v>0.9620664065</v>
      </c>
      <c r="H45" s="5">
        <f>'Daily Returns'!AS44*(1+'Daily Returns'!AM45)</f>
        <v>0.9726697734</v>
      </c>
      <c r="J45" s="5">
        <f>'Daily Returns'!AT44*(1+'Daily Returns'!AN45)</f>
        <v>0.9845190247</v>
      </c>
      <c r="L45" s="5">
        <f>'Daily Returns'!AU44*(1+'Daily Returns'!AO45)</f>
        <v>0.9796515754</v>
      </c>
    </row>
    <row r="46" ht="15.75" customHeight="1">
      <c r="A46" s="9">
        <v>43896.0</v>
      </c>
      <c r="B46" s="4">
        <f>'Daily Returns'!AP45*(1+'Daily Returns'!AK46)</f>
        <v>0.9328004304</v>
      </c>
      <c r="D46" s="4">
        <f>'Daily Returns'!AQ45 * (1 + 'Daily Returns'!AJ46)</f>
        <v>0.9200151561</v>
      </c>
      <c r="F46" s="5">
        <f>'Daily Returns'!AR45 * (1 +'Daily Returns'!AL46)</f>
        <v>0.9328789998</v>
      </c>
      <c r="H46" s="5">
        <f>'Daily Returns'!AS45*(1+'Daily Returns'!AM46)</f>
        <v>0.9402535255</v>
      </c>
      <c r="J46" s="5">
        <f>'Daily Returns'!AT45*(1+'Daily Returns'!AN46)</f>
        <v>0.960583104</v>
      </c>
      <c r="L46" s="5">
        <f>'Daily Returns'!AU45*(1+'Daily Returns'!AO46)</f>
        <v>0.9541308485</v>
      </c>
    </row>
    <row r="47" ht="15.75" customHeight="1">
      <c r="A47" s="9">
        <v>43899.0</v>
      </c>
      <c r="B47" s="4">
        <f>'Daily Returns'!AP46*(1+'Daily Returns'!AK47)</f>
        <v>0.8726760178</v>
      </c>
      <c r="D47" s="4">
        <f>'Daily Returns'!AQ46 * (1 + 'Daily Returns'!AJ47)</f>
        <v>0.8501216046</v>
      </c>
      <c r="F47" s="5">
        <f>'Daily Returns'!AR46 * (1 +'Daily Returns'!AL47)</f>
        <v>0.9183362301</v>
      </c>
      <c r="H47" s="5">
        <f>'Daily Returns'!AS46*(1+'Daily Returns'!AM47)</f>
        <v>0.9227891839</v>
      </c>
      <c r="J47" s="5">
        <f>'Daily Returns'!AT46*(1+'Daily Returns'!AN47)</f>
        <v>0.974709321</v>
      </c>
      <c r="L47" s="5">
        <f>'Daily Returns'!AU46*(1+'Daily Returns'!AO47)</f>
        <v>0.9677612624</v>
      </c>
    </row>
    <row r="48" ht="15.75" customHeight="1">
      <c r="A48" s="9">
        <v>43900.0</v>
      </c>
      <c r="B48" s="4">
        <f>'Daily Returns'!AP47*(1+'Daily Returns'!AK48)</f>
        <v>0.8454711902</v>
      </c>
      <c r="D48" s="4">
        <f>'Daily Returns'!AQ47 * (1 + 'Daily Returns'!AJ48)</f>
        <v>0.8921142114</v>
      </c>
      <c r="F48" s="5">
        <f>'Daily Returns'!AR47 * (1 +'Daily Returns'!AL48)</f>
        <v>0.8422658137</v>
      </c>
      <c r="H48" s="5">
        <f>'Daily Returns'!AS47*(1+'Daily Returns'!AM48)</f>
        <v>0.8487036245</v>
      </c>
      <c r="J48" s="5">
        <f>'Daily Returns'!AT47*(1+'Daily Returns'!AN48)</f>
        <v>0.9645071595</v>
      </c>
      <c r="L48" s="5">
        <f>'Daily Returns'!AU47*(1+'Daily Returns'!AO48)</f>
        <v>0.9602210403</v>
      </c>
    </row>
    <row r="49" ht="15.75" customHeight="1">
      <c r="A49" s="9">
        <v>43901.0</v>
      </c>
      <c r="B49" s="4">
        <f>'Daily Returns'!AP48*(1+'Daily Returns'!AK49)</f>
        <v>0.8570365409</v>
      </c>
      <c r="D49" s="4">
        <f>'Daily Returns'!AQ48 * (1 + 'Daily Returns'!AJ49)</f>
        <v>0.8485183741</v>
      </c>
      <c r="F49" s="5">
        <f>'Daily Returns'!AR48 * (1 +'Daily Returns'!AL49)</f>
        <v>0.880199323</v>
      </c>
      <c r="H49" s="5">
        <f>'Daily Returns'!AS48*(1+'Daily Returns'!AM49)</f>
        <v>0.8908017996</v>
      </c>
      <c r="J49" s="5">
        <f>'Daily Returns'!AT48*(1+'Daily Returns'!AN49)</f>
        <v>0.9868734232</v>
      </c>
      <c r="L49" s="5">
        <f>'Daily Returns'!AU48*(1+'Daily Returns'!AO49)</f>
        <v>0.9796515754</v>
      </c>
    </row>
    <row r="50" ht="15.75" customHeight="1">
      <c r="A50" s="9">
        <v>43902.0</v>
      </c>
      <c r="B50" s="4">
        <f>'Daily Returns'!AP49*(1+'Daily Returns'!AK50)</f>
        <v>0.7974819714</v>
      </c>
      <c r="D50" s="4">
        <f>'Daily Returns'!AQ49 * (1 + 'Daily Returns'!AJ50)</f>
        <v>0.767813246</v>
      </c>
      <c r="F50" s="5">
        <f>'Daily Returns'!AR49 * (1 +'Daily Returns'!AL50)</f>
        <v>0.8363673636</v>
      </c>
      <c r="H50" s="5">
        <f>'Daily Returns'!AS49*(1+'Daily Returns'!AM50)</f>
        <v>0.8457011245</v>
      </c>
      <c r="J50" s="5">
        <f>'Daily Returns'!AT49*(1+'Daily Returns'!AN50)</f>
        <v>0.9735321217</v>
      </c>
      <c r="L50" s="5">
        <f>'Daily Returns'!AU49*(1+'Daily Returns'!AO50)</f>
        <v>0.9666014966</v>
      </c>
    </row>
    <row r="51" ht="15.75" customHeight="1">
      <c r="A51" s="9">
        <v>43903.0</v>
      </c>
      <c r="B51" s="4">
        <f>'Daily Returns'!AP50*(1+'Daily Returns'!AK51)</f>
        <v>0.8012625774</v>
      </c>
      <c r="D51" s="4">
        <f>'Daily Returns'!AQ50 * (1 + 'Daily Returns'!AJ51)</f>
        <v>0.83912083</v>
      </c>
      <c r="F51" s="5">
        <f>'Daily Returns'!AR50 * (1 +'Daily Returns'!AL51)</f>
        <v>0.7491100718</v>
      </c>
      <c r="H51" s="5">
        <f>'Daily Returns'!AS50*(1+'Daily Returns'!AM51)</f>
        <v>0.7634656908</v>
      </c>
      <c r="J51" s="5">
        <f>'Daily Returns'!AT50*(1+'Daily Returns'!AN51)</f>
        <v>0.9523426222</v>
      </c>
      <c r="L51" s="5">
        <f>'Daily Returns'!AU50*(1+'Daily Returns'!AO51)</f>
        <v>0.9445604548</v>
      </c>
    </row>
    <row r="52" ht="15.75" customHeight="1">
      <c r="A52" s="9">
        <v>43906.0</v>
      </c>
      <c r="B52" s="4">
        <f>'Daily Returns'!AP51*(1+'Daily Returns'!AK52)</f>
        <v>0.7907962712</v>
      </c>
      <c r="D52" s="4">
        <f>'Daily Returns'!AQ51 * (1 + 'Daily Returns'!AJ52)</f>
        <v>0.7385597506</v>
      </c>
      <c r="F52" s="5">
        <f>'Daily Returns'!AR51 * (1 +'Daily Returns'!AL52)</f>
        <v>0.8098239591</v>
      </c>
      <c r="H52" s="5">
        <f>'Daily Returns'!AS51*(1+'Daily Returns'!AM52)</f>
        <v>0.8329551924</v>
      </c>
      <c r="J52" s="5">
        <f>'Daily Returns'!AT51*(1+'Daily Returns'!AN52)</f>
        <v>0.850712508</v>
      </c>
      <c r="L52" s="5">
        <f>'Daily Returns'!AU51*(1+'Daily Returns'!AO52)</f>
        <v>0.8450873432</v>
      </c>
    </row>
    <row r="53" ht="15.75" customHeight="1">
      <c r="A53" s="9">
        <v>43907.0</v>
      </c>
      <c r="B53" s="4">
        <f>'Daily Returns'!AP52*(1+'Daily Returns'!AK53)</f>
        <v>0.7682746547</v>
      </c>
      <c r="D53" s="4">
        <f>'Daily Returns'!AQ52 * (1 + 'Daily Returns'!AJ53)</f>
        <v>0.7828401005</v>
      </c>
      <c r="F53" s="5">
        <f>'Daily Returns'!AR52 * (1 +'Daily Returns'!AL53)</f>
        <v>0.7176853742</v>
      </c>
      <c r="H53" s="5">
        <f>'Daily Returns'!AS52*(1+'Daily Returns'!AM53)</f>
        <v>0.7381578349</v>
      </c>
      <c r="J53" s="5">
        <f>'Daily Returns'!AT52*(1+'Daily Returns'!AN53)</f>
        <v>0.8813190794</v>
      </c>
      <c r="L53" s="5">
        <f>'Daily Returns'!AU52*(1+'Daily Returns'!AO53)</f>
        <v>0.8714782175</v>
      </c>
    </row>
    <row r="54" ht="15.75" customHeight="1">
      <c r="A54" s="9">
        <v>43908.0</v>
      </c>
      <c r="B54" s="4">
        <f>'Daily Returns'!AP53*(1+'Daily Returns'!AK54)</f>
        <v>0.7616265862</v>
      </c>
      <c r="D54" s="4">
        <f>'Daily Returns'!AQ53 * (1 + 'Daily Returns'!AJ54)</f>
        <v>0.7422647152</v>
      </c>
      <c r="F54" s="5">
        <f>'Daily Returns'!AR53 * (1 +'Daily Returns'!AL54)</f>
        <v>0.7583646687</v>
      </c>
      <c r="H54" s="5">
        <f>'Daily Returns'!AS53*(1+'Daily Returns'!AM54)</f>
        <v>0.7751698369</v>
      </c>
      <c r="J54" s="5">
        <f>'Daily Returns'!AT53*(1+'Daily Returns'!AN54)</f>
        <v>0.8420796554</v>
      </c>
      <c r="L54" s="5">
        <f>'Daily Returns'!AU53*(1+'Daily Returns'!AO54)</f>
        <v>0.8308769172</v>
      </c>
    </row>
    <row r="55" ht="15.75" customHeight="1">
      <c r="A55" s="9">
        <v>43909.0</v>
      </c>
      <c r="B55" s="4">
        <f>'Daily Returns'!AP54*(1+'Daily Returns'!AK55)</f>
        <v>0.7525769953</v>
      </c>
      <c r="D55" s="4">
        <f>'Daily Returns'!AQ54 * (1 + 'Daily Returns'!AJ55)</f>
        <v>0.7457592975</v>
      </c>
      <c r="F55" s="5">
        <f>'Daily Returns'!AR54 * (1 +'Daily Returns'!AL55)</f>
        <v>0.7161598912</v>
      </c>
      <c r="H55" s="5">
        <f>'Daily Returns'!AS54*(1+'Daily Returns'!AM55)</f>
        <v>0.7304980759</v>
      </c>
      <c r="J55" s="5">
        <f>'Daily Returns'!AT54*(1+'Daily Returns'!AN55)</f>
        <v>0.7388797972</v>
      </c>
      <c r="L55" s="5">
        <f>'Daily Returns'!AU54*(1+'Daily Returns'!AO55)</f>
        <v>0.7316936179</v>
      </c>
    </row>
    <row r="56" ht="15.75" customHeight="1">
      <c r="A56" s="9">
        <v>43910.0</v>
      </c>
      <c r="B56" s="4">
        <f>'Daily Returns'!AP55*(1+'Daily Returns'!AK56)</f>
        <v>0.7406340637</v>
      </c>
      <c r="D56" s="4">
        <f>'Daily Returns'!AQ55 * (1 + 'Daily Returns'!AJ56)</f>
        <v>0.7134231744</v>
      </c>
      <c r="F56" s="5">
        <f>'Daily Returns'!AR55 * (1 +'Daily Returns'!AL56)</f>
        <v>0.721549847</v>
      </c>
      <c r="H56" s="5">
        <f>'Daily Returns'!AS55*(1+'Daily Returns'!AM56)</f>
        <v>0.7358905078</v>
      </c>
      <c r="J56" s="5">
        <f>'Daily Returns'!AT55*(1+'Daily Returns'!AN56)</f>
        <v>0.8169662744</v>
      </c>
      <c r="L56" s="5">
        <f>'Daily Returns'!AU55*(1+'Daily Returns'!AO56)</f>
        <v>0.8001358228</v>
      </c>
    </row>
    <row r="57" ht="15.75" customHeight="1">
      <c r="A57" s="9">
        <v>43913.0</v>
      </c>
      <c r="B57" s="4">
        <f>'Daily Returns'!AP56*(1+'Daily Returns'!AK57)</f>
        <v>0.7158589352</v>
      </c>
      <c r="D57" s="4">
        <f>'Daily Returns'!AQ56 * (1 + 'Daily Returns'!AJ57)</f>
        <v>0.6925241559</v>
      </c>
      <c r="F57" s="5">
        <f>'Daily Returns'!AR56 * (1 +'Daily Returns'!AL57)</f>
        <v>0.6979558359</v>
      </c>
      <c r="H57" s="5">
        <f>'Daily Returns'!AS56*(1+'Daily Returns'!AM57)</f>
        <v>0.7058642424</v>
      </c>
      <c r="J57" s="5">
        <f>'Daily Returns'!AT56*(1+'Daily Returns'!AN57)</f>
        <v>0.736133202</v>
      </c>
      <c r="L57" s="5">
        <f>'Daily Returns'!AU56*(1+'Daily Returns'!AO57)</f>
        <v>0.7224132949</v>
      </c>
    </row>
    <row r="58" ht="15.75" customHeight="1">
      <c r="A58" s="9">
        <v>43914.0</v>
      </c>
      <c r="B58" s="4">
        <f>'Daily Returns'!AP57*(1+'Daily Returns'!AK58)</f>
        <v>0.7364158251</v>
      </c>
      <c r="D58" s="4">
        <f>'Daily Returns'!AQ57 * (1 + 'Daily Returns'!AJ58)</f>
        <v>0.7575023124</v>
      </c>
      <c r="F58" s="5">
        <f>'Daily Returns'!AR57 * (1 +'Daily Returns'!AL58)</f>
        <v>0.6853454289</v>
      </c>
      <c r="H58" s="5">
        <f>'Daily Returns'!AS57*(1+'Daily Returns'!AM58)</f>
        <v>0.6857648607</v>
      </c>
      <c r="J58" s="5">
        <f>'Daily Returns'!AT57*(1+'Daily Returns'!AN58)</f>
        <v>0.7596766649</v>
      </c>
      <c r="L58" s="5">
        <f>'Daily Returns'!AU57*(1+'Daily Returns'!AO58)</f>
        <v>0.7424240359</v>
      </c>
    </row>
    <row r="59" ht="15.75" customHeight="1">
      <c r="A59" s="9">
        <v>43915.0</v>
      </c>
      <c r="B59" s="4">
        <f>'Daily Returns'!AP58*(1+'Daily Returns'!AK59)</f>
        <v>0.784046416</v>
      </c>
      <c r="D59" s="4">
        <f>'Daily Returns'!AQ58 * (1 + 'Daily Returns'!AJ59)</f>
        <v>0.7662401016</v>
      </c>
      <c r="F59" s="5">
        <f>'Daily Returns'!AR58 * (1 +'Daily Returns'!AL59)</f>
        <v>0.7476862034</v>
      </c>
      <c r="H59" s="5">
        <f>'Daily Returns'!AS58*(1+'Daily Returns'!AM59)</f>
        <v>0.7508423634</v>
      </c>
      <c r="J59" s="5">
        <f>'Daily Returns'!AT58*(1+'Daily Returns'!AN59)</f>
        <v>0.7118046495</v>
      </c>
      <c r="L59" s="5">
        <f>'Daily Returns'!AU58*(1+'Daily Returns'!AO59)</f>
        <v>0.6899322288</v>
      </c>
    </row>
    <row r="60" ht="15.75" customHeight="1">
      <c r="A60" s="9">
        <v>43916.0</v>
      </c>
      <c r="B60" s="4">
        <f>'Daily Returns'!AP59*(1+'Daily Returns'!AK60)</f>
        <v>0.8148719047</v>
      </c>
      <c r="D60" s="4">
        <f>'Daily Returns'!AQ59 * (1 + 'Daily Returns'!AJ60)</f>
        <v>0.8140642113</v>
      </c>
      <c r="F60" s="5">
        <f>'Daily Returns'!AR59 * (1 +'Daily Returns'!AL60)</f>
        <v>0.761110454</v>
      </c>
      <c r="H60" s="5">
        <f>'Daily Returns'!AS59*(1+'Daily Returns'!AM60)</f>
        <v>0.7611984649</v>
      </c>
      <c r="J60" s="5">
        <f>'Daily Returns'!AT59*(1+'Daily Returns'!AN60)</f>
        <v>0.7341710872</v>
      </c>
      <c r="L60" s="5">
        <f>'Daily Returns'!AU59*(1+'Daily Returns'!AO60)</f>
        <v>0.7102330404</v>
      </c>
    </row>
    <row r="61" ht="15.75" customHeight="1">
      <c r="A61" s="9">
        <v>43917.0</v>
      </c>
      <c r="B61" s="4">
        <f>'Daily Returns'!AP60*(1+'Daily Returns'!AK61)</f>
        <v>0.805617546</v>
      </c>
      <c r="D61" s="4">
        <f>'Daily Returns'!AQ60 * (1 + 'Daily Returns'!AJ61)</f>
        <v>0.7866408302</v>
      </c>
      <c r="F61" s="5">
        <f>'Daily Returns'!AR60 * (1 +'Daily Returns'!AL61)</f>
        <v>0.8036203282</v>
      </c>
      <c r="H61" s="5">
        <f>'Daily Returns'!AS60*(1+'Daily Returns'!AM61)</f>
        <v>0.8074100746</v>
      </c>
      <c r="J61" s="5">
        <f>'Daily Returns'!AT60*(1+'Daily Returns'!AN61)</f>
        <v>0.7137665467</v>
      </c>
      <c r="L61" s="5">
        <f>'Daily Returns'!AU60*(1+'Daily Returns'!AO61)</f>
        <v>0.6939925074</v>
      </c>
    </row>
    <row r="62" ht="15.75" customHeight="1">
      <c r="A62" s="9">
        <v>43920.0</v>
      </c>
      <c r="B62" s="4">
        <f>'Daily Returns'!AP61*(1+'Daily Returns'!AK62)</f>
        <v>0.8066998187</v>
      </c>
      <c r="D62" s="4">
        <f>'Daily Returns'!AQ61 * (1 + 'Daily Returns'!AJ62)</f>
        <v>0.8130058842</v>
      </c>
      <c r="F62" s="5">
        <f>'Daily Returns'!AR61 * (1 +'Daily Returns'!AL62)</f>
        <v>0.7792127683</v>
      </c>
      <c r="H62" s="5">
        <f>'Daily Returns'!AS61*(1+'Daily Returns'!AM62)</f>
        <v>0.7816683944</v>
      </c>
      <c r="J62" s="5">
        <f>'Daily Returns'!AT61*(1+'Daily Returns'!AN62)</f>
        <v>0.6788433314</v>
      </c>
      <c r="L62" s="5">
        <f>'Daily Returns'!AU61*(1+'Daily Returns'!AO62)</f>
        <v>0.6580312394</v>
      </c>
    </row>
    <row r="63" ht="15.75" customHeight="1">
      <c r="A63" s="9">
        <v>43921.0</v>
      </c>
      <c r="B63" s="4">
        <f>'Daily Returns'!AP62*(1+'Daily Returns'!AK63)</f>
        <v>0.8154245795</v>
      </c>
      <c r="D63" s="4">
        <f>'Daily Returns'!AQ62 * (1 + 'Daily Returns'!AJ63)</f>
        <v>0.799987221</v>
      </c>
      <c r="F63" s="5">
        <f>'Daily Returns'!AR62 * (1 +'Daily Returns'!AL63)</f>
        <v>0.7996540723</v>
      </c>
      <c r="H63" s="5">
        <f>'Daily Returns'!AS62*(1+'Daily Returns'!AM63)</f>
        <v>0.8053778327</v>
      </c>
      <c r="J63" s="5">
        <f>'Daily Returns'!AT62*(1+'Daily Returns'!AN63)</f>
        <v>0.7620309764</v>
      </c>
      <c r="L63" s="5">
        <f>'Daily Returns'!AU62*(1+'Daily Returns'!AO63)</f>
        <v>0.7383638219</v>
      </c>
    </row>
    <row r="64" ht="15.75" customHeight="1">
      <c r="A64" s="9">
        <v>43922.0</v>
      </c>
      <c r="B64" s="4">
        <f>'Daily Returns'!AP63*(1+'Daily Returns'!AK64)</f>
        <v>0.8096588759</v>
      </c>
      <c r="D64" s="4">
        <f>'Daily Returns'!AQ63 * (1 + 'Daily Returns'!AJ64)</f>
        <v>0.7646741851</v>
      </c>
      <c r="F64" s="5">
        <f>'Daily Returns'!AR63 * (1 +'Daily Returns'!AL64)</f>
        <v>0.7925352358</v>
      </c>
      <c r="H64" s="5">
        <f>'Daily Returns'!AS63*(1+'Daily Returns'!AM64)</f>
        <v>0.7938618964</v>
      </c>
      <c r="J64" s="5">
        <f>'Daily Returns'!AT63*(1+'Daily Returns'!AN64)</f>
        <v>0.7887141015</v>
      </c>
      <c r="L64" s="5">
        <f>'Daily Returns'!AU63*(1+'Daily Returns'!AO64)</f>
        <v>0.7662048557</v>
      </c>
    </row>
    <row r="65" ht="15.75" customHeight="1">
      <c r="A65" s="9">
        <v>43923.0</v>
      </c>
      <c r="B65" s="4">
        <f>'Daily Returns'!AP64*(1+'Daily Returns'!AK65)</f>
        <v>0.8064586849</v>
      </c>
      <c r="D65" s="4">
        <f>'Daily Returns'!AQ64 * (1 + 'Daily Returns'!AJ65)</f>
        <v>0.7821309321</v>
      </c>
      <c r="F65" s="5">
        <f>'Daily Returns'!AR64 * (1 +'Daily Returns'!AL65)</f>
        <v>0.7566358722</v>
      </c>
      <c r="H65" s="5">
        <f>'Daily Returns'!AS64*(1+'Daily Returns'!AM65)</f>
        <v>0.7572201385</v>
      </c>
      <c r="J65" s="5">
        <f>'Daily Returns'!AT64*(1+'Daily Returns'!AN65)</f>
        <v>0.8051945429</v>
      </c>
      <c r="L65" s="5">
        <f>'Daily Returns'!AU64*(1+'Daily Returns'!AO65)</f>
        <v>0.7836054129</v>
      </c>
    </row>
    <row r="66" ht="15.75" customHeight="1">
      <c r="A66" s="9">
        <v>43924.0</v>
      </c>
      <c r="B66" s="4">
        <f>'Daily Returns'!AP65*(1+'Daily Returns'!AK66)</f>
        <v>0.8038082546</v>
      </c>
      <c r="D66" s="4">
        <f>'Daily Returns'!AQ65 * (1 + 'Daily Returns'!AJ66)</f>
        <v>0.7702918162</v>
      </c>
      <c r="F66" s="5">
        <f>'Daily Returns'!AR65 * (1 +'Daily Returns'!AL66)</f>
        <v>0.7721955464</v>
      </c>
      <c r="H66" s="5">
        <f>'Daily Returns'!AS65*(1+'Daily Returns'!AM66)</f>
        <v>0.7729853768</v>
      </c>
      <c r="J66" s="5">
        <f>'Daily Returns'!AT65*(1+'Daily Returns'!AN66)</f>
        <v>0.7628157179</v>
      </c>
      <c r="L66" s="5">
        <f>'Daily Returns'!AU65*(1+'Daily Returns'!AO66)</f>
        <v>0.7432939895</v>
      </c>
    </row>
    <row r="67" ht="15.75" customHeight="1">
      <c r="A67" s="9">
        <v>43927.0</v>
      </c>
      <c r="B67" s="4">
        <f>'Daily Returns'!AP66*(1+'Daily Returns'!AK67)</f>
        <v>0.8201162146</v>
      </c>
      <c r="D67" s="4">
        <f>'Daily Returns'!AQ66 * (1 + 'Daily Returns'!AJ67)</f>
        <v>0.8244672099</v>
      </c>
      <c r="F67" s="5">
        <f>'Daily Returns'!AR66 * (1 +'Daily Returns'!AL67)</f>
        <v>0.7603986461</v>
      </c>
      <c r="H67" s="5">
        <f>'Daily Returns'!AS66*(1+'Daily Returns'!AM67)</f>
        <v>0.7598066328</v>
      </c>
      <c r="J67" s="5">
        <f>'Daily Returns'!AT66*(1+'Daily Returns'!AN67)</f>
        <v>0.7906761293</v>
      </c>
      <c r="L67" s="5">
        <f>'Daily Returns'!AU66*(1+'Daily Returns'!AO67)</f>
        <v>0.7650446376</v>
      </c>
    </row>
    <row r="68" ht="15.75" customHeight="1">
      <c r="A68" s="9">
        <v>43928.0</v>
      </c>
      <c r="B68" s="4">
        <f>'Daily Returns'!AP67*(1+'Daily Returns'!AK68)</f>
        <v>0.8430380962</v>
      </c>
      <c r="D68" s="4">
        <f>'Daily Returns'!AQ67 * (1 + 'Daily Returns'!AJ68)</f>
        <v>0.8231455889</v>
      </c>
      <c r="F68" s="5">
        <f>'Daily Returns'!AR67 * (1 +'Daily Returns'!AL68)</f>
        <v>0.8084003433</v>
      </c>
      <c r="H68" s="5">
        <f>'Daily Returns'!AS67*(1+'Daily Returns'!AM68)</f>
        <v>0.8129525479</v>
      </c>
      <c r="J68" s="5">
        <f>'Daily Returns'!AT67*(1+'Daily Returns'!AN68)</f>
        <v>0.8102956237</v>
      </c>
      <c r="L68" s="5">
        <f>'Daily Returns'!AU67*(1+'Daily Returns'!AO68)</f>
        <v>0.7845340267</v>
      </c>
    </row>
    <row r="69" ht="15.75" customHeight="1">
      <c r="A69" s="9">
        <v>43929.0</v>
      </c>
      <c r="B69" s="4">
        <f>'Daily Returns'!AP68*(1+'Daily Returns'!AK69)</f>
        <v>0.8614902858</v>
      </c>
      <c r="D69" s="4">
        <f>'Daily Returns'!AQ68 * (1 + 'Daily Returns'!AJ69)</f>
        <v>0.8511786351</v>
      </c>
      <c r="F69" s="5">
        <f>'Daily Returns'!AR68 * (1 +'Daily Returns'!AL69)</f>
        <v>0.8098239591</v>
      </c>
      <c r="H69" s="5">
        <f>'Daily Returns'!AS68*(1+'Daily Returns'!AM69)</f>
        <v>0.8138759813</v>
      </c>
      <c r="J69" s="5">
        <f>'Daily Returns'!AT68*(1+'Daily Returns'!AN69)</f>
        <v>0.7796887912</v>
      </c>
      <c r="L69" s="5">
        <f>'Daily Returns'!AU68*(1+'Daily Returns'!AO69)</f>
        <v>0.7565255401</v>
      </c>
    </row>
    <row r="70" ht="15.75" customHeight="1">
      <c r="A70" s="9">
        <v>43930.0</v>
      </c>
      <c r="B70" s="4">
        <f>'Daily Returns'!AP69*(1+'Daily Returns'!AK70)</f>
        <v>0.8814085472</v>
      </c>
      <c r="D70" s="4">
        <f>'Daily Returns'!AQ69 * (1 + 'Daily Returns'!AJ70)</f>
        <v>0.86350966</v>
      </c>
      <c r="F70" s="5">
        <f>'Daily Returns'!AR69 * (1 +'Daily Returns'!AL70)</f>
        <v>0.829146744</v>
      </c>
      <c r="H70" s="5">
        <f>'Daily Returns'!AS69*(1+'Daily Returns'!AM70)</f>
        <v>0.8424506308</v>
      </c>
      <c r="J70" s="5">
        <f>'Daily Returns'!AT69*(1+'Daily Returns'!AN70)</f>
        <v>0.7918534156</v>
      </c>
      <c r="L70" s="5">
        <f>'Daily Returns'!AU69*(1+'Daily Returns'!AO70)</f>
        <v>0.7676121183</v>
      </c>
    </row>
    <row r="71" ht="15.75" customHeight="1">
      <c r="A71" s="9">
        <v>43934.0</v>
      </c>
      <c r="B71" s="4">
        <f>'Daily Returns'!AP70*(1+'Daily Returns'!AK71)</f>
        <v>0.8827180284</v>
      </c>
      <c r="D71" s="4">
        <f>'Daily Returns'!AQ70 * (1 + 'Daily Returns'!AJ71)</f>
        <v>0.8547838949</v>
      </c>
      <c r="F71" s="5">
        <f>'Daily Returns'!AR70 * (1 +'Daily Returns'!AL71)</f>
        <v>0.8442997911</v>
      </c>
      <c r="H71" s="5">
        <f>'Daily Returns'!AS70*(1+'Daily Returns'!AM71)</f>
        <v>0.8582155655</v>
      </c>
      <c r="J71" s="5">
        <f>'Daily Returns'!AT70*(1+'Daily Returns'!AN71)</f>
        <v>0.7851823297</v>
      </c>
      <c r="L71" s="5">
        <f>'Daily Returns'!AU70*(1+'Daily Returns'!AO71)</f>
        <v>0.7594429791</v>
      </c>
    </row>
    <row r="72" ht="15.75" customHeight="1">
      <c r="A72" s="9">
        <v>43935.0</v>
      </c>
      <c r="B72" s="4">
        <f>'Daily Returns'!AP71*(1+'Daily Returns'!AK72)</f>
        <v>0.8873237219</v>
      </c>
      <c r="D72" s="4">
        <f>'Daily Returns'!AQ71 * (1 + 'Daily Returns'!AJ72)</f>
        <v>0.8809172029</v>
      </c>
      <c r="F72" s="5">
        <f>'Daily Returns'!AR71 * (1 +'Daily Returns'!AL72)</f>
        <v>0.8371809545</v>
      </c>
      <c r="H72" s="5">
        <f>'Daily Returns'!AS71*(1+'Daily Returns'!AM72)</f>
        <v>0.8479928511</v>
      </c>
      <c r="J72" s="5">
        <f>'Daily Returns'!AT71*(1+'Daily Returns'!AN72)</f>
        <v>0.8228525318</v>
      </c>
      <c r="L72" s="5">
        <f>'Daily Returns'!AU71*(1+'Daily Returns'!AO72)</f>
        <v>0.7991218676</v>
      </c>
    </row>
    <row r="73" ht="15.75" customHeight="1">
      <c r="A73" s="9">
        <v>43936.0</v>
      </c>
      <c r="B73" s="4">
        <f>'Daily Returns'!AP72*(1+'Daily Returns'!AK73)</f>
        <v>0.8650271498</v>
      </c>
      <c r="D73" s="4">
        <f>'Daily Returns'!AQ72 * (1 + 'Daily Returns'!AJ73)</f>
        <v>0.8615105969</v>
      </c>
      <c r="F73" s="5">
        <f>'Daily Returns'!AR72 * (1 +'Daily Returns'!AL73)</f>
        <v>0.858232536</v>
      </c>
      <c r="H73" s="5">
        <f>'Daily Returns'!AS72*(1+'Daily Returns'!AM73)</f>
        <v>0.8737345313</v>
      </c>
      <c r="J73" s="5">
        <f>'Daily Returns'!AT72*(1+'Daily Returns'!AN73)</f>
        <v>0.8224598999</v>
      </c>
      <c r="L73" s="5">
        <f>'Daily Returns'!AU72*(1+'Daily Returns'!AO73)</f>
        <v>0.7999973125</v>
      </c>
    </row>
    <row r="74" ht="15.75" customHeight="1">
      <c r="A74" s="9">
        <v>43937.0</v>
      </c>
      <c r="B74" s="4">
        <f>'Daily Returns'!AP73*(1+'Daily Returns'!AK74)</f>
        <v>0.8668001727</v>
      </c>
      <c r="D74" s="4">
        <f>'Daily Returns'!AQ73 * (1 + 'Daily Returns'!AJ74)</f>
        <v>0.8665220041</v>
      </c>
      <c r="F74" s="5">
        <f>'Daily Returns'!AR73 * (1 +'Daily Returns'!AL74)</f>
        <v>0.8388082206</v>
      </c>
      <c r="H74" s="5">
        <f>'Daily Returns'!AS73*(1+'Daily Returns'!AM74)</f>
        <v>0.8532276482</v>
      </c>
      <c r="J74" s="5">
        <f>'Daily Returns'!AT73*(1+'Daily Returns'!AN74)</f>
        <v>0.8389405154</v>
      </c>
      <c r="L74" s="5">
        <f>'Daily Returns'!AU73*(1+'Daily Returns'!AO74)</f>
        <v>0.8192531591</v>
      </c>
    </row>
    <row r="75" ht="15.75" customHeight="1">
      <c r="A75" s="9">
        <v>43938.0</v>
      </c>
      <c r="B75" s="4">
        <f>'Daily Returns'!AP74*(1+'Daily Returns'!AK75)</f>
        <v>0.8684036439</v>
      </c>
      <c r="D75" s="4">
        <f>'Daily Returns'!AQ74 * (1 + 'Daily Returns'!AJ75)</f>
        <v>0.8897395946</v>
      </c>
      <c r="F75" s="5">
        <f>'Daily Returns'!AR74 * (1 +'Daily Returns'!AL75)</f>
        <v>0.8410453431</v>
      </c>
      <c r="H75" s="5">
        <f>'Daily Returns'!AS74*(1+'Daily Returns'!AM75)</f>
        <v>0.8572303741</v>
      </c>
      <c r="J75" s="5">
        <f>'Daily Returns'!AT74*(1+'Daily Returns'!AN75)</f>
        <v>0.8518895332</v>
      </c>
      <c r="L75" s="5">
        <f>'Daily Returns'!AU74*(1+'Daily Returns'!AO75)</f>
        <v>0.8329656844</v>
      </c>
    </row>
    <row r="76" ht="15.75" customHeight="1">
      <c r="A76" s="9">
        <v>43941.0</v>
      </c>
      <c r="B76" s="4">
        <f>'Daily Returns'!AP75*(1+'Daily Returns'!AK76)</f>
        <v>0.8630915922</v>
      </c>
      <c r="D76" s="4">
        <f>'Daily Returns'!AQ75 * (1 + 'Daily Returns'!AJ76)</f>
        <v>0.8738301609</v>
      </c>
      <c r="F76" s="5">
        <f>'Daily Returns'!AR75 * (1 +'Daily Returns'!AL76)</f>
        <v>0.8631139974</v>
      </c>
      <c r="H76" s="5">
        <f>'Daily Returns'!AS75*(1+'Daily Returns'!AM76)</f>
        <v>0.8814938623</v>
      </c>
      <c r="J76" s="5">
        <f>'Daily Returns'!AT75*(1+'Daily Returns'!AN76)</f>
        <v>0.8452188825</v>
      </c>
      <c r="L76" s="5">
        <f>'Daily Returns'!AU75*(1+'Daily Returns'!AO76)</f>
        <v>0.8277141779</v>
      </c>
    </row>
    <row r="77" ht="15.75" customHeight="1">
      <c r="A77" s="9">
        <v>43942.0</v>
      </c>
      <c r="B77" s="4">
        <f>'Daily Returns'!AP76*(1+'Daily Returns'!AK77)</f>
        <v>0.856137197</v>
      </c>
      <c r="D77" s="4">
        <f>'Daily Returns'!AQ76 * (1 + 'Daily Returns'!AJ77)</f>
        <v>0.8470254208</v>
      </c>
      <c r="F77" s="5">
        <f>'Daily Returns'!AR76 * (1 +'Daily Returns'!AL77)</f>
        <v>0.8508086028</v>
      </c>
      <c r="H77" s="5">
        <f>'Daily Returns'!AS76*(1+'Daily Returns'!AM77)</f>
        <v>0.8672067147</v>
      </c>
      <c r="J77" s="5">
        <f>'Daily Returns'!AT76*(1+'Daily Returns'!AN77)</f>
        <v>0.8565983302</v>
      </c>
      <c r="L77" s="5">
        <f>'Daily Returns'!AU76*(1+'Daily Returns'!AO77)</f>
        <v>0.8379253759</v>
      </c>
    </row>
    <row r="78" ht="15.75" customHeight="1">
      <c r="A78" s="9">
        <v>43943.0</v>
      </c>
      <c r="B78" s="4">
        <f>'Daily Returns'!AP77*(1+'Daily Returns'!AK78)</f>
        <v>0.8623582463</v>
      </c>
      <c r="D78" s="4">
        <f>'Daily Returns'!AQ77 * (1 + 'Daily Returns'!AJ78)</f>
        <v>0.8664477137</v>
      </c>
      <c r="F78" s="5">
        <f>'Daily Returns'!AR77 * (1 +'Daily Returns'!AL78)</f>
        <v>0.8274178632</v>
      </c>
      <c r="H78" s="5">
        <f>'Daily Returns'!AS77*(1+'Daily Returns'!AM78)</f>
        <v>0.8402952274</v>
      </c>
      <c r="J78" s="5">
        <f>'Daily Returns'!AT77*(1+'Daily Returns'!AN78)</f>
        <v>0.8397252569</v>
      </c>
      <c r="L78" s="5">
        <f>'Daily Returns'!AU77*(1+'Daily Returns'!AO78)</f>
        <v>0.8207118463</v>
      </c>
    </row>
    <row r="79" ht="15.75" customHeight="1">
      <c r="A79" s="9">
        <v>43944.0</v>
      </c>
      <c r="B79" s="4">
        <f>'Daily Returns'!AP78*(1+'Daily Returns'!AK79)</f>
        <v>0.8524435287</v>
      </c>
      <c r="D79" s="4">
        <f>'Daily Returns'!AQ78 * (1 + 'Daily Returns'!AJ79)</f>
        <v>0.8659806983</v>
      </c>
      <c r="F79" s="5">
        <f>'Daily Returns'!AR78 * (1 +'Daily Returns'!AL79)</f>
        <v>0.8437912967</v>
      </c>
      <c r="H79" s="5">
        <f>'Daily Returns'!AS78*(1+'Daily Returns'!AM79)</f>
        <v>0.8592628185</v>
      </c>
      <c r="J79" s="5">
        <f>'Daily Returns'!AT78*(1+'Daily Returns'!AN79)</f>
        <v>0.8342317184</v>
      </c>
      <c r="L79" s="5">
        <f>'Daily Returns'!AU78*(1+'Daily Returns'!AO79)</f>
        <v>0.8166272767</v>
      </c>
    </row>
    <row r="80" ht="15.75" customHeight="1">
      <c r="A80" s="9">
        <v>43945.0</v>
      </c>
      <c r="B80" s="4">
        <f>'Daily Returns'!AP79*(1+'Daily Returns'!AK80)</f>
        <v>0.8665382973</v>
      </c>
      <c r="D80" s="4">
        <f>'Daily Returns'!AQ79 * (1 + 'Daily Returns'!AJ80)</f>
        <v>0.8780334177</v>
      </c>
      <c r="F80" s="5">
        <f>'Daily Returns'!AR79 * (1 +'Daily Returns'!AL80)</f>
        <v>0.8433845013</v>
      </c>
      <c r="H80" s="5">
        <f>'Daily Returns'!AS79*(1+'Daily Returns'!AM80)</f>
        <v>0.8593859295</v>
      </c>
      <c r="J80" s="5">
        <f>'Daily Returns'!AT79*(1+'Daily Returns'!AN80)</f>
        <v>0.8636612646</v>
      </c>
      <c r="L80" s="5">
        <f>'Daily Returns'!AU79*(1+'Daily Returns'!AO80)</f>
        <v>0.8431770761</v>
      </c>
    </row>
    <row r="81" ht="15.75" customHeight="1">
      <c r="A81" s="9">
        <v>43948.0</v>
      </c>
      <c r="B81" s="4">
        <f>'Daily Returns'!AP80*(1+'Daily Returns'!AK81)</f>
        <v>0.8783065201</v>
      </c>
      <c r="D81" s="4">
        <f>'Daily Returns'!AQ80 * (1 + 'Daily Returns'!AJ81)</f>
        <v>0.8909528014</v>
      </c>
      <c r="F81" s="5">
        <f>'Daily Returns'!AR80 * (1 +'Daily Returns'!AL81)</f>
        <v>0.8527406287</v>
      </c>
      <c r="H81" s="5">
        <f>'Daily Returns'!AS80*(1+'Daily Returns'!AM81)</f>
        <v>0.8721950369</v>
      </c>
      <c r="J81" s="5">
        <f>'Daily Returns'!AT80*(1+'Daily Returns'!AN81)</f>
        <v>0.8644463543</v>
      </c>
      <c r="L81" s="5">
        <f>'Daily Returns'!AU80*(1+'Daily Returns'!AO81)</f>
        <v>0.8458029586</v>
      </c>
    </row>
    <row r="82" ht="15.75" customHeight="1">
      <c r="A82" s="9">
        <v>43949.0</v>
      </c>
      <c r="B82" s="4">
        <f>'Daily Returns'!AP81*(1+'Daily Returns'!AK82)</f>
        <v>0.883965752</v>
      </c>
      <c r="D82" s="4">
        <f>'Daily Returns'!AQ81 * (1 + 'Daily Returns'!AJ82)</f>
        <v>0.8862824268</v>
      </c>
      <c r="F82" s="5">
        <f>'Daily Returns'!AR81 * (1 +'Daily Returns'!AL82)</f>
        <v>0.8655547703</v>
      </c>
      <c r="H82" s="5">
        <f>'Daily Returns'!AS81*(1+'Daily Returns'!AM82)</f>
        <v>0.887652346</v>
      </c>
      <c r="J82" s="5">
        <f>'Daily Returns'!AT81*(1+'Daily Returns'!AN82)</f>
        <v>0.8373710325</v>
      </c>
      <c r="L82" s="5">
        <f>'Daily Returns'!AU81*(1+'Daily Returns'!AO82)</f>
        <v>0.8204202252</v>
      </c>
    </row>
    <row r="83" ht="15.75" customHeight="1">
      <c r="A83" s="9">
        <v>43950.0</v>
      </c>
      <c r="B83" s="4">
        <f>'Daily Returns'!AP82*(1+'Daily Returns'!AK83)</f>
        <v>0.9086861501</v>
      </c>
      <c r="D83" s="4">
        <f>'Daily Returns'!AQ82 * (1 + 'Daily Returns'!AJ83)</f>
        <v>0.9098433589</v>
      </c>
      <c r="F83" s="5">
        <f>'Daily Returns'!AR82 * (1 +'Daily Returns'!AL83)</f>
        <v>0.8660632646</v>
      </c>
      <c r="H83" s="5">
        <f>'Daily Returns'!AS82*(1+'Daily Returns'!AM83)</f>
        <v>0.8848811347</v>
      </c>
      <c r="J83" s="5">
        <f>'Daily Returns'!AT82*(1+'Daily Returns'!AN83)</f>
        <v>0.858560358</v>
      </c>
      <c r="L83" s="5">
        <f>'Daily Returns'!AU82*(1+'Daily Returns'!AO83)</f>
        <v>0.8408430733</v>
      </c>
    </row>
    <row r="84" ht="15.75" customHeight="1">
      <c r="A84" s="9">
        <v>43951.0</v>
      </c>
      <c r="B84" s="4">
        <f>'Daily Returns'!AP83*(1+'Daily Returns'!AK84)</f>
        <v>0.8940405342</v>
      </c>
      <c r="D84" s="4">
        <f>'Daily Returns'!AQ83 * (1 + 'Daily Returns'!AJ84)</f>
        <v>0.9014618818</v>
      </c>
      <c r="F84" s="5">
        <f>'Daily Returns'!AR83 * (1 +'Daily Returns'!AL84)</f>
        <v>0.8889453415</v>
      </c>
      <c r="H84" s="5">
        <f>'Daily Returns'!AS83*(1+'Daily Returns'!AM84)</f>
        <v>0.9099449453</v>
      </c>
      <c r="J84" s="5">
        <f>'Daily Returns'!AT83*(1+'Daily Returns'!AN84)</f>
        <v>0.8554209569</v>
      </c>
      <c r="L84" s="5">
        <f>'Daily Returns'!AU83*(1+'Daily Returns'!AO84)</f>
        <v>0.8382171262</v>
      </c>
    </row>
    <row r="85" ht="15.75" customHeight="1">
      <c r="A85" s="9">
        <v>43952.0</v>
      </c>
      <c r="B85" s="6">
        <f>'Daily Returns'!AP84*(1+'Daily Returns'!AK85)</f>
        <v>0.8939903237</v>
      </c>
      <c r="D85" s="4">
        <f>'Daily Returns'!AQ84 * (1 + 'Daily Returns'!AJ85)</f>
        <v>0.8761677629</v>
      </c>
      <c r="F85" s="5">
        <f>'Daily Returns'!AR84 * (1 +'Daily Returns'!AL85)</f>
        <v>0.8782670446</v>
      </c>
      <c r="H85" s="5">
        <f>'Daily Returns'!AS84*(1+'Daily Returns'!AM85)</f>
        <v>0.8981210292</v>
      </c>
      <c r="J85" s="5">
        <f>'Daily Returns'!AT84*(1+'Daily Returns'!AN85)</f>
        <v>0.8671929494</v>
      </c>
      <c r="L85" s="5">
        <f>'Daily Returns'!AU84*(1+'Daily Returns'!AO85)</f>
        <v>0.8501794077</v>
      </c>
    </row>
    <row r="86" ht="15.75" customHeight="1">
      <c r="A86" s="9">
        <v>43955.0</v>
      </c>
      <c r="B86" s="6">
        <f>'Daily Returns'!AP85*(1+'Daily Returns'!AK86)</f>
        <v>0.8918603923</v>
      </c>
      <c r="D86" s="4">
        <f>'Daily Returns'!AQ85 * (1 + 'Daily Returns'!AJ86)</f>
        <v>0.8798914759</v>
      </c>
      <c r="F86" s="5">
        <f>'Daily Returns'!AR85 * (1 +'Daily Returns'!AL86)</f>
        <v>0.8555883654</v>
      </c>
      <c r="H86" s="5">
        <f>'Daily Returns'!AS85*(1+'Daily Returns'!AM86)</f>
        <v>0.8733034405</v>
      </c>
      <c r="J86" s="5">
        <f>'Daily Returns'!AT85*(1+'Daily Returns'!AN86)</f>
        <v>0.8770027402</v>
      </c>
      <c r="L86" s="5">
        <f>'Daily Returns'!AU85*(1+'Daily Returns'!AO86)</f>
        <v>0.8618496159</v>
      </c>
    </row>
    <row r="87" ht="15.75" customHeight="1">
      <c r="A87" s="9">
        <v>43956.0</v>
      </c>
      <c r="B87" s="6">
        <f>'Daily Returns'!AP86*(1+'Daily Returns'!AK87)</f>
        <v>0.891320661</v>
      </c>
      <c r="D87" s="4">
        <f>'Daily Returns'!AQ86 * (1 + 'Daily Returns'!AJ87)</f>
        <v>0.8878465747</v>
      </c>
      <c r="F87" s="5">
        <f>'Daily Returns'!AR86 * (1 +'Daily Returns'!AL87)</f>
        <v>0.8573172462</v>
      </c>
      <c r="H87" s="5">
        <f>'Daily Returns'!AS86*(1+'Daily Returns'!AM87)</f>
        <v>0.8766290561</v>
      </c>
      <c r="J87" s="5">
        <f>'Daily Returns'!AT86*(1+'Daily Returns'!AN87)</f>
        <v>0.8860280505</v>
      </c>
      <c r="L87" s="5">
        <f>'Daily Returns'!AU86*(1+'Daily Returns'!AO87)</f>
        <v>0.8711859503</v>
      </c>
    </row>
    <row r="88" ht="15.75" customHeight="1">
      <c r="A88" s="9">
        <v>43957.0</v>
      </c>
      <c r="B88" s="6">
        <f>'Daily Returns'!AP87*(1+'Daily Returns'!AK88)</f>
        <v>0.8868406449</v>
      </c>
      <c r="D88" s="4">
        <f>'Daily Returns'!AQ87 * (1 + 'Daily Returns'!AJ88)</f>
        <v>0.8816502935</v>
      </c>
      <c r="F88" s="5">
        <f>'Daily Returns'!AR87 * (1 +'Daily Returns'!AL88)</f>
        <v>0.8619952257</v>
      </c>
      <c r="H88" s="5">
        <f>'Daily Returns'!AS87*(1+'Daily Returns'!AM88)</f>
        <v>0.8847579225</v>
      </c>
      <c r="J88" s="5">
        <f>'Daily Returns'!AT87*(1+'Daily Returns'!AN88)</f>
        <v>0.9127109145</v>
      </c>
      <c r="L88" s="5">
        <f>'Daily Returns'!AU87*(1+'Daily Returns'!AO88)</f>
        <v>0.897152249</v>
      </c>
    </row>
    <row r="89" ht="15.75" customHeight="1">
      <c r="A89" s="9">
        <v>43958.0</v>
      </c>
      <c r="B89" s="6">
        <f>'Daily Returns'!AP88*(1+'Daily Returns'!AK89)</f>
        <v>0.900259783</v>
      </c>
      <c r="D89" s="4">
        <f>'Daily Returns'!AQ88 * (1 + 'Daily Returns'!AJ89)</f>
        <v>0.8917936801</v>
      </c>
      <c r="F89" s="5">
        <f>'Daily Returns'!AR88 * (1 +'Daily Returns'!AL89)</f>
        <v>0.8563000891</v>
      </c>
      <c r="H89" s="5">
        <f>'Daily Returns'!AS88*(1+'Daily Returns'!AM89)</f>
        <v>0.879893015</v>
      </c>
      <c r="J89" s="5">
        <f>'Daily Returns'!AT88*(1+'Daily Returns'!AN89)</f>
        <v>0.8856356798</v>
      </c>
      <c r="L89" s="5">
        <f>'Daily Returns'!AU88*(1+'Daily Returns'!AO89)</f>
        <v>0.8723526934</v>
      </c>
    </row>
    <row r="90" ht="15.75" customHeight="1">
      <c r="A90" s="9">
        <v>43959.0</v>
      </c>
      <c r="B90" s="6">
        <f>'Daily Returns'!AP89*(1+'Daily Returns'!AK90)</f>
        <v>0.9110768446</v>
      </c>
      <c r="D90" s="4">
        <f>'Daily Returns'!AQ89 * (1 + 'Daily Returns'!AJ90)</f>
        <v>0.9068400231</v>
      </c>
      <c r="F90" s="5">
        <f>'Daily Returns'!AR89 * (1 +'Daily Returns'!AL90)</f>
        <v>0.8675887476</v>
      </c>
      <c r="H90" s="5">
        <f>'Daily Returns'!AS89*(1+'Daily Returns'!AM90)</f>
        <v>0.8914089512</v>
      </c>
      <c r="J90" s="5">
        <f>'Daily Returns'!AT89*(1+'Daily Returns'!AN90)</f>
        <v>0.8766106305</v>
      </c>
      <c r="L90" s="5">
        <f>'Daily Returns'!AU89*(1+'Daily Returns'!AO90)</f>
        <v>0.8609743648</v>
      </c>
    </row>
    <row r="91" ht="15.75" customHeight="1">
      <c r="A91" s="9">
        <v>43962.0</v>
      </c>
      <c r="B91" s="6">
        <f>'Daily Returns'!AP90*(1+'Daily Returns'!AK91)</f>
        <v>0.9056622363</v>
      </c>
      <c r="D91" s="4">
        <f>'Daily Returns'!AQ90 * (1 + 'Daily Returns'!AJ91)</f>
        <v>0.9070005338</v>
      </c>
      <c r="F91" s="5">
        <f>'Daily Returns'!AR90 * (1 +'Daily Returns'!AL91)</f>
        <v>0.8848773026</v>
      </c>
      <c r="H91" s="5">
        <f>'Daily Returns'!AS90*(1+'Daily Returns'!AM91)</f>
        <v>0.9081595328</v>
      </c>
      <c r="J91" s="5">
        <f>'Daily Returns'!AT90*(1+'Daily Returns'!AN91)</f>
        <v>0.8860280505</v>
      </c>
      <c r="L91" s="5">
        <f>'Daily Returns'!AU90*(1+'Daily Returns'!AO91)</f>
        <v>0.8679765026</v>
      </c>
    </row>
    <row r="92" ht="15.75" customHeight="1">
      <c r="A92" s="9">
        <v>43963.0</v>
      </c>
      <c r="B92" s="6">
        <f>'Daily Returns'!AP91*(1+'Daily Returns'!AK92)</f>
        <v>0.9034589861</v>
      </c>
      <c r="D92" s="4">
        <f>'Daily Returns'!AQ91 * (1 + 'Daily Returns'!AJ92)</f>
        <v>0.8883671148</v>
      </c>
      <c r="F92" s="5">
        <f>'Daily Returns'!AR91 * (1 +'Daily Returns'!AL92)</f>
        <v>0.8853859653</v>
      </c>
      <c r="H92" s="5">
        <f>'Daily Returns'!AS91*(1+'Daily Returns'!AM92)</f>
        <v>0.9082825425</v>
      </c>
      <c r="J92" s="5">
        <f>'Daily Returns'!AT91*(1+'Daily Returns'!AN92)</f>
        <v>0.889951932</v>
      </c>
      <c r="L92" s="5">
        <f>'Daily Returns'!AU91*(1+'Daily Returns'!AO92)</f>
        <v>0.8729363879</v>
      </c>
    </row>
    <row r="93" ht="15.75" customHeight="1">
      <c r="A93" s="9">
        <v>43964.0</v>
      </c>
      <c r="B93" s="6">
        <f>'Daily Returns'!AP92*(1+'Daily Returns'!AK93)</f>
        <v>0.8964764473</v>
      </c>
      <c r="D93" s="4">
        <f>'Daily Returns'!AQ92 * (1 + 'Daily Returns'!AJ93)</f>
        <v>0.8728535599</v>
      </c>
      <c r="F93" s="5">
        <f>'Daily Returns'!AR92 * (1 +'Daily Returns'!AL93)</f>
        <v>0.868809134</v>
      </c>
      <c r="H93" s="5">
        <f>'Daily Returns'!AS92*(1+'Daily Returns'!AM93)</f>
        <v>0.8889455172</v>
      </c>
      <c r="J93" s="5">
        <f>'Daily Returns'!AT92*(1+'Daily Returns'!AN93)</f>
        <v>0.8919136986</v>
      </c>
      <c r="L93" s="5">
        <f>'Daily Returns'!AU92*(1+'Daily Returns'!AO93)</f>
        <v>0.87468689</v>
      </c>
    </row>
    <row r="94" ht="15.75" customHeight="1">
      <c r="A94" s="9">
        <v>43965.0</v>
      </c>
      <c r="B94" s="6">
        <f>'Daily Returns'!AP93*(1+'Daily Returns'!AK94)</f>
        <v>0.8948261382</v>
      </c>
      <c r="D94" s="4">
        <f>'Daily Returns'!AQ93 * (1 + 'Daily Returns'!AJ94)</f>
        <v>0.8829131971</v>
      </c>
      <c r="F94" s="5">
        <f>'Daily Returns'!AR93 * (1 +'Daily Returns'!AL94)</f>
        <v>0.8552831004</v>
      </c>
      <c r="H94" s="5">
        <f>'Daily Returns'!AS93*(1+'Daily Returns'!AM94)</f>
        <v>0.8710864309</v>
      </c>
      <c r="J94" s="5">
        <f>'Daily Returns'!AT93*(1+'Daily Returns'!AN94)</f>
        <v>0.8911290442</v>
      </c>
      <c r="L94" s="5">
        <f>'Daily Returns'!AU93*(1+'Daily Returns'!AO94)</f>
        <v>0.8743952043</v>
      </c>
    </row>
    <row r="95" ht="15.75" customHeight="1">
      <c r="A95" s="9">
        <v>43966.0</v>
      </c>
      <c r="B95" s="6">
        <f>'Daily Returns'!AP94*(1+'Daily Returns'!AK95)</f>
        <v>0.8885077278</v>
      </c>
      <c r="D95" s="4">
        <f>'Daily Returns'!AQ94 * (1 + 'Daily Returns'!AJ95)</f>
        <v>0.8863795144</v>
      </c>
      <c r="F95" s="5">
        <f>'Daily Returns'!AR94 * (1 +'Daily Returns'!AL95)</f>
        <v>0.8593510551</v>
      </c>
      <c r="H95" s="5">
        <f>'Daily Returns'!AS94*(1+'Daily Returns'!AM95)</f>
        <v>0.8804468118</v>
      </c>
      <c r="J95" s="5">
        <f>'Daily Returns'!AT94*(1+'Daily Returns'!AN95)</f>
        <v>0.8989769812</v>
      </c>
      <c r="L95" s="5">
        <f>'Daily Returns'!AU94*(1+'Daily Returns'!AO95)</f>
        <v>0.8819808428</v>
      </c>
    </row>
    <row r="96" ht="15.75" customHeight="1">
      <c r="A96" s="9">
        <v>43969.0</v>
      </c>
      <c r="B96" s="6">
        <f>'Daily Returns'!AP95*(1+'Daily Returns'!AK96)</f>
        <v>0.899669767</v>
      </c>
      <c r="D96" s="4">
        <f>'Daily Returns'!AQ95 * (1 + 'Daily Returns'!AJ96)</f>
        <v>0.9143013554</v>
      </c>
      <c r="F96" s="5">
        <f>'Daily Returns'!AR95 * (1 +'Daily Returns'!AL96)</f>
        <v>0.8631139974</v>
      </c>
      <c r="H96" s="5">
        <f>'Daily Returns'!AS95*(1+'Daily Returns'!AM96)</f>
        <v>0.8857434175</v>
      </c>
      <c r="J96" s="5">
        <f>'Daily Returns'!AT95*(1+'Daily Returns'!AN96)</f>
        <v>0.9099640582</v>
      </c>
      <c r="L96" s="5">
        <f>'Daily Returns'!AU95*(1+'Daily Returns'!AO96)</f>
        <v>0.890441797</v>
      </c>
    </row>
    <row r="97" ht="15.75" customHeight="1">
      <c r="A97" s="9">
        <v>43970.0</v>
      </c>
      <c r="B97" s="6">
        <f>'Daily Returns'!AP96*(1+'Daily Returns'!AK97)</f>
        <v>0.8985602405</v>
      </c>
      <c r="D97" s="4">
        <f>'Daily Returns'!AQ96 * (1 + 'Daily Returns'!AJ97)</f>
        <v>0.90471582</v>
      </c>
      <c r="F97" s="5">
        <f>'Daily Returns'!AR96 * (1 +'Daily Returns'!AL97)</f>
        <v>0.8909792347</v>
      </c>
      <c r="H97" s="5">
        <f>'Daily Returns'!AS96*(1+'Daily Returns'!AM97)</f>
        <v>0.9151179339</v>
      </c>
      <c r="J97" s="5">
        <f>'Daily Returns'!AT96*(1+'Daily Returns'!AN97)</f>
        <v>0.896230299</v>
      </c>
      <c r="L97" s="5">
        <f>'Daily Returns'!AU96*(1+'Daily Returns'!AO97)</f>
        <v>0.8767292718</v>
      </c>
    </row>
    <row r="98" ht="15.75" customHeight="1">
      <c r="A98" s="9">
        <v>43971.0</v>
      </c>
      <c r="B98" s="6">
        <f>'Daily Returns'!AP97*(1+'Daily Returns'!AK98)</f>
        <v>0.9138848382</v>
      </c>
      <c r="D98" s="4">
        <f>'Daily Returns'!AQ97 * (1 + 'Daily Returns'!AJ98)</f>
        <v>0.9197802431</v>
      </c>
      <c r="F98" s="5">
        <f>'Daily Returns'!AR97 * (1 +'Daily Returns'!AL98)</f>
        <v>0.8814196253</v>
      </c>
      <c r="H98" s="5">
        <f>'Daily Returns'!AS97*(1+'Daily Returns'!AM98)</f>
        <v>0.9053882202</v>
      </c>
      <c r="J98" s="5">
        <f>'Daily Returns'!AT97*(1+'Daily Returns'!AN98)</f>
        <v>0.8750408865</v>
      </c>
      <c r="L98" s="5">
        <f>'Daily Returns'!AU97*(1+'Daily Returns'!AO98)</f>
        <v>0.855139293</v>
      </c>
    </row>
    <row r="99" ht="15.75" customHeight="1">
      <c r="A99" s="9">
        <v>43972.0</v>
      </c>
      <c r="B99" s="6">
        <f>'Daily Returns'!AP98*(1+'Daily Returns'!AK99)</f>
        <v>0.9107232738</v>
      </c>
      <c r="D99" s="4">
        <f>'Daily Returns'!AQ98 * (1 + 'Daily Returns'!AJ99)</f>
        <v>0.9126298715</v>
      </c>
      <c r="F99" s="5">
        <f>'Daily Returns'!AR98 * (1 +'Daily Returns'!AL99)</f>
        <v>0.8975897453</v>
      </c>
      <c r="H99" s="5">
        <f>'Daily Returns'!AS98*(1+'Daily Returns'!AM99)</f>
        <v>0.922138498</v>
      </c>
      <c r="J99" s="5">
        <f>'Daily Returns'!AT98*(1+'Daily Returns'!AN99)</f>
        <v>0.8766106305</v>
      </c>
      <c r="L99" s="5">
        <f>'Daily Returns'!AU98*(1+'Daily Returns'!AO99)</f>
        <v>0.855139293</v>
      </c>
    </row>
    <row r="100" ht="15.75" customHeight="1">
      <c r="A100" s="9">
        <v>43973.0</v>
      </c>
      <c r="B100" s="6">
        <f>'Daily Returns'!AP99*(1+'Daily Returns'!AK100)</f>
        <v>0.9110493407</v>
      </c>
      <c r="D100" s="4">
        <f>'Daily Returns'!AQ99 * (1 + 'Daily Returns'!AJ100)</f>
        <v>0.9147782023</v>
      </c>
      <c r="F100" s="5">
        <f>'Daily Returns'!AR99 * (1 +'Daily Returns'!AL100)</f>
        <v>0.8892505223</v>
      </c>
      <c r="H100" s="5">
        <f>'Daily Returns'!AS99*(1+'Daily Returns'!AM100)</f>
        <v>0.9165960753</v>
      </c>
      <c r="J100" s="5">
        <f>'Daily Returns'!AT99*(1+'Daily Returns'!AN100)</f>
        <v>0.8824961916</v>
      </c>
      <c r="L100" s="5">
        <f>'Daily Returns'!AU99*(1+'Daily Returns'!AO100)</f>
        <v>0.8647671841</v>
      </c>
    </row>
    <row r="101" ht="15.75" customHeight="1">
      <c r="A101" s="9">
        <v>43977.0</v>
      </c>
      <c r="B101" s="6">
        <f>'Daily Returns'!AP100*(1+'Daily Returns'!AK101)</f>
        <v>0.9233650421</v>
      </c>
      <c r="D101" s="4">
        <f>'Daily Returns'!AQ100 * (1 + 'Daily Returns'!AJ101)</f>
        <v>0.9260199116</v>
      </c>
      <c r="F101" s="5">
        <f>'Daily Returns'!AR100 * (1 +'Daily Returns'!AL101)</f>
        <v>0.88945392</v>
      </c>
      <c r="H101" s="5">
        <f>'Daily Returns'!AS100*(1+'Daily Returns'!AM101)</f>
        <v>0.9191824177</v>
      </c>
      <c r="J101" s="5">
        <f>'Daily Returns'!AT100*(1+'Daily Returns'!AN101)</f>
        <v>0.8934835297</v>
      </c>
      <c r="L101" s="5">
        <f>'Daily Returns'!AU100*(1+'Daily Returns'!AO101)</f>
        <v>0.8784797739</v>
      </c>
    </row>
    <row r="102" ht="15.75" customHeight="1">
      <c r="A102" s="9">
        <v>43978.0</v>
      </c>
      <c r="B102" s="6">
        <f>'Daily Returns'!AP101*(1+'Daily Returns'!AK102)</f>
        <v>0.9300079459</v>
      </c>
      <c r="D102" s="4">
        <f>'Daily Returns'!AQ101 * (1 + 'Daily Returns'!AJ102)</f>
        <v>0.9397500088</v>
      </c>
      <c r="F102" s="5">
        <f>'Daily Returns'!AR101 * (1 +'Daily Returns'!AL102)</f>
        <v>0.9060306671</v>
      </c>
      <c r="H102" s="5">
        <f>'Daily Returns'!AS101*(1+'Daily Returns'!AM102)</f>
        <v>0.9319915252</v>
      </c>
      <c r="J102" s="5">
        <f>'Daily Returns'!AT101*(1+'Daily Returns'!AN102)</f>
        <v>0.9005466382</v>
      </c>
      <c r="L102" s="5">
        <f>'Daily Returns'!AU101*(1+'Daily Returns'!AO102)</f>
        <v>0.8863570982</v>
      </c>
    </row>
    <row r="103" ht="15.75" customHeight="1">
      <c r="A103" s="9">
        <v>43979.0</v>
      </c>
      <c r="B103" s="6">
        <f>'Daily Returns'!AP102*(1+'Daily Returns'!AK103)</f>
        <v>0.9327809214</v>
      </c>
      <c r="D103" s="4">
        <f>'Daily Returns'!AQ102 * (1 + 'Daily Returns'!AJ103)</f>
        <v>0.9377690158</v>
      </c>
      <c r="F103" s="5">
        <f>'Daily Returns'!AR102 * (1 +'Daily Returns'!AL103)</f>
        <v>0.919149821</v>
      </c>
      <c r="H103" s="5">
        <f>'Daily Returns'!AS102*(1+'Daily Returns'!AM103)</f>
        <v>0.9467098648</v>
      </c>
      <c r="J103" s="5">
        <f>'Daily Returns'!AT102*(1+'Daily Returns'!AN103)</f>
        <v>0.8930908979</v>
      </c>
      <c r="L103" s="5">
        <f>'Daily Returns'!AU102*(1+'Daily Returns'!AO103)</f>
        <v>0.879355025</v>
      </c>
    </row>
    <row r="104" ht="15.75" customHeight="1">
      <c r="A104" s="9">
        <v>43980.0</v>
      </c>
      <c r="B104" s="6">
        <f>'Daily Returns'!AP103*(1+'Daily Returns'!AK104)</f>
        <v>0.9390732521</v>
      </c>
      <c r="D104" s="4">
        <f>'Daily Returns'!AQ103 * (1 + 'Daily Returns'!AJ104)</f>
        <v>0.9422815603</v>
      </c>
      <c r="F104" s="5">
        <f>'Daily Returns'!AR103 * (1 +'Daily Returns'!AL104)</f>
        <v>0.920878786</v>
      </c>
      <c r="H104" s="5">
        <f>'Daily Returns'!AS103*(1+'Daily Returns'!AM104)</f>
        <v>0.9434460072</v>
      </c>
      <c r="J104" s="5">
        <f>'Daily Returns'!AT103*(1+'Daily Returns'!AN104)</f>
        <v>0.8957441875</v>
      </c>
      <c r="L104" s="5">
        <f>'Daily Returns'!AU103*(1+'Daily Returns'!AO104)</f>
        <v>0.8805219618</v>
      </c>
    </row>
    <row r="105" ht="15.75" customHeight="1">
      <c r="A105" s="9">
        <v>43983.0</v>
      </c>
      <c r="B105" s="6">
        <f>'Daily Returns'!AP104*(1+'Daily Returns'!AK105)</f>
        <v>0.9515180726</v>
      </c>
      <c r="D105" s="4">
        <f>'Daily Returns'!AQ104 * (1 + 'Daily Returns'!AJ105)</f>
        <v>0.9458160584</v>
      </c>
      <c r="F105" s="5">
        <f>'Daily Returns'!AR104 * (1 +'Daily Returns'!AL105)</f>
        <v>0.9224041006</v>
      </c>
      <c r="H105" s="5">
        <f>'Daily Returns'!AS104*(1+'Daily Returns'!AM105)</f>
        <v>0.9465867539</v>
      </c>
      <c r="J105" s="5">
        <f>'Daily Returns'!AT104*(1+'Daily Returns'!AN105)</f>
        <v>0.9056442374</v>
      </c>
      <c r="L105" s="5">
        <f>'Daily Returns'!AU104*(1+'Daily Returns'!AO105)</f>
        <v>0.8907337412</v>
      </c>
    </row>
    <row r="106" ht="15.75" customHeight="1">
      <c r="A106" s="9">
        <v>43984.0</v>
      </c>
      <c r="B106" s="6">
        <f>'Daily Returns'!AP105*(1+'Daily Returns'!AK106)</f>
        <v>0.9616585613</v>
      </c>
      <c r="D106" s="4">
        <f>'Daily Returns'!AQ105 * (1 + 'Daily Returns'!AJ106)</f>
        <v>0.9535821541</v>
      </c>
      <c r="F106" s="5">
        <f>'Daily Returns'!AR105 * (1 +'Daily Returns'!AL106)</f>
        <v>0.9321671077</v>
      </c>
      <c r="H106" s="5">
        <f>'Daily Returns'!AS105*(1+'Daily Returns'!AM106)</f>
        <v>0.9529915607</v>
      </c>
      <c r="J106" s="5">
        <f>'Daily Returns'!AT105*(1+'Daily Returns'!AN106)</f>
        <v>0.9111882584</v>
      </c>
      <c r="L106" s="5">
        <f>'Daily Returns'!AU105*(1+'Daily Returns'!AO106)</f>
        <v>0.8942345517</v>
      </c>
    </row>
    <row r="107" ht="15.75" customHeight="1">
      <c r="A107" s="9">
        <v>43985.0</v>
      </c>
      <c r="B107" s="6">
        <f>'Daily Returns'!AP106*(1+'Daily Returns'!AK107)</f>
        <v>0.9581124164</v>
      </c>
      <c r="D107" s="4">
        <f>'Daily Returns'!AQ106 * (1 + 'Daily Returns'!AJ107)</f>
        <v>0.9665975969</v>
      </c>
      <c r="F107" s="5">
        <f>'Daily Returns'!AR106 * (1 +'Daily Returns'!AL107)</f>
        <v>0.9405064991</v>
      </c>
      <c r="H107" s="5">
        <f>'Daily Returns'!AS106*(1+'Daily Returns'!AM107)</f>
        <v>0.9601965888</v>
      </c>
      <c r="J107" s="5">
        <f>'Daily Returns'!AT106*(1+'Daily Returns'!AN107)</f>
        <v>0.9191082635</v>
      </c>
      <c r="L107" s="5">
        <f>'Daily Returns'!AU106*(1+'Daily Returns'!AO107)</f>
        <v>0.9021120051</v>
      </c>
    </row>
    <row r="108" ht="15.75" customHeight="1">
      <c r="A108" s="9">
        <v>43986.0</v>
      </c>
      <c r="B108" s="6">
        <f>'Daily Returns'!AP107*(1+'Daily Returns'!AK108)</f>
        <v>0.961411802</v>
      </c>
      <c r="D108" s="4">
        <f>'Daily Returns'!AQ107 * (1 + 'Daily Returns'!AJ108)</f>
        <v>0.9633411296</v>
      </c>
      <c r="F108" s="5">
        <f>'Daily Returns'!AR107 * (1 +'Daily Returns'!AL108)</f>
        <v>0.9554561485</v>
      </c>
      <c r="H108" s="5">
        <f>'Daily Returns'!AS107*(1+'Daily Returns'!AM108)</f>
        <v>0.9751611503</v>
      </c>
      <c r="J108" s="5">
        <f>'Daily Returns'!AT107*(1+'Daily Returns'!AN108)</f>
        <v>0.9183162108</v>
      </c>
      <c r="L108" s="5">
        <f>'Daily Returns'!AU107*(1+'Daily Returns'!AO108)</f>
        <v>0.9018203194</v>
      </c>
    </row>
    <row r="109" ht="15.75" customHeight="1">
      <c r="A109" s="9">
        <v>43987.0</v>
      </c>
      <c r="B109" s="6">
        <f>'Daily Returns'!AP108*(1+'Daily Returns'!AK109)</f>
        <v>0.9747111139</v>
      </c>
      <c r="D109" s="4">
        <f>'Daily Returns'!AQ108 * (1 + 'Daily Returns'!AJ109)</f>
        <v>0.9885922273</v>
      </c>
      <c r="F109" s="5">
        <f>'Daily Returns'!AR108 * (1 +'Daily Returns'!AL109)</f>
        <v>0.9517948209</v>
      </c>
      <c r="H109" s="5">
        <f>'Daily Returns'!AS108*(1+'Daily Returns'!AM109)</f>
        <v>0.9720820603</v>
      </c>
      <c r="J109" s="5">
        <f>'Daily Returns'!AT108*(1+'Daily Returns'!AN109)</f>
        <v>0.910792145</v>
      </c>
      <c r="L109" s="5">
        <f>'Daily Returns'!AU108*(1+'Daily Returns'!AO109)</f>
        <v>0.896276998</v>
      </c>
    </row>
    <row r="110" ht="15.75" customHeight="1">
      <c r="A110" s="9">
        <v>43990.0</v>
      </c>
      <c r="B110" s="6">
        <f>'Daily Returns'!AP109*(1+'Daily Returns'!AK110)</f>
        <v>0.9876311176</v>
      </c>
      <c r="D110" s="4">
        <f>'Daily Returns'!AQ109 * (1 + 'Daily Returns'!AJ110)</f>
        <v>1.000496855</v>
      </c>
      <c r="F110" s="5">
        <f>'Daily Returns'!AR109 * (1 +'Daily Returns'!AL110)</f>
        <v>0.9735584627</v>
      </c>
      <c r="H110" s="5">
        <f>'Daily Returns'!AS109*(1+'Daily Returns'!AM110)</f>
        <v>0.997023165</v>
      </c>
      <c r="J110" s="5">
        <f>'Daily Returns'!AT109*(1+'Daily Returns'!AN110)</f>
        <v>0.9155442003</v>
      </c>
      <c r="L110" s="5">
        <f>'Daily Returns'!AU109*(1+'Daily Returns'!AO110)</f>
        <v>0.9003615676</v>
      </c>
    </row>
    <row r="111" ht="15.75" customHeight="1">
      <c r="A111" s="9">
        <v>43991.0</v>
      </c>
      <c r="B111" s="6">
        <f>'Daily Returns'!AP110*(1+'Daily Returns'!AK111)</f>
        <v>0.9846995879</v>
      </c>
      <c r="D111" s="4">
        <f>'Daily Returns'!AQ110 * (1 + 'Daily Returns'!AJ111)</f>
        <v>0.9926939799</v>
      </c>
      <c r="F111" s="5">
        <f>'Daily Returns'!AR110 * (1 +'Daily Returns'!AL111)</f>
        <v>0.9854571461</v>
      </c>
      <c r="H111" s="5">
        <f>'Daily Returns'!AS110*(1+'Daily Returns'!AM111)</f>
        <v>1.010571343</v>
      </c>
      <c r="J111" s="5">
        <f>'Daily Returns'!AT110*(1+'Daily Returns'!AN111)</f>
        <v>0.9270279205</v>
      </c>
      <c r="L111" s="5">
        <f>'Daily Returns'!AU110*(1+'Daily Returns'!AO111)</f>
        <v>0.9091142721</v>
      </c>
    </row>
    <row r="112" ht="15.75" customHeight="1">
      <c r="A112" s="9">
        <v>43992.0</v>
      </c>
      <c r="B112" s="6">
        <f>'Daily Returns'!AP111*(1+'Daily Returns'!AK112)</f>
        <v>0.9948733701</v>
      </c>
      <c r="D112" s="4">
        <f>'Daily Returns'!AQ111 * (1 + 'Daily Returns'!AJ112)</f>
        <v>0.9874197968</v>
      </c>
      <c r="F112" s="5">
        <f>'Daily Returns'!AR111 * (1 +'Daily Returns'!AL112)</f>
        <v>0.9763043322</v>
      </c>
      <c r="H112" s="5">
        <f>'Daily Returns'!AS111*(1+'Daily Returns'!AM112)</f>
        <v>1.001333769</v>
      </c>
      <c r="J112" s="5">
        <f>'Daily Returns'!AT111*(1+'Daily Returns'!AN112)</f>
        <v>0.9369277963</v>
      </c>
      <c r="L112" s="5">
        <f>'Daily Returns'!AU111*(1+'Daily Returns'!AO112)</f>
        <v>0.9202011088</v>
      </c>
    </row>
    <row r="113" ht="15.75" customHeight="1">
      <c r="A113" s="9">
        <v>43993.0</v>
      </c>
      <c r="B113" s="6">
        <f>'Daily Returns'!AP112*(1+'Daily Returns'!AK113)</f>
        <v>0.9682135795</v>
      </c>
      <c r="D113" s="4">
        <f>'Daily Returns'!AQ112 * (1 + 'Daily Returns'!AJ113)</f>
        <v>0.9292173243</v>
      </c>
      <c r="F113" s="5">
        <f>'Daily Returns'!AR112 * (1 +'Daily Returns'!AL113)</f>
        <v>0.972744956</v>
      </c>
      <c r="H113" s="5">
        <f>'Daily Returns'!AS112*(1+'Daily Returns'!AM113)</f>
        <v>0.9938823171</v>
      </c>
      <c r="J113" s="5">
        <f>'Daily Returns'!AT112*(1+'Daily Returns'!AN113)</f>
        <v>0.9325720285</v>
      </c>
      <c r="L113" s="5">
        <f>'Daily Returns'!AU112*(1+'Daily Returns'!AO113)</f>
        <v>0.9172834114</v>
      </c>
    </row>
    <row r="114" ht="15.75" customHeight="1">
      <c r="A114" s="9">
        <v>43994.0</v>
      </c>
      <c r="B114" s="6">
        <f>'Daily Returns'!AP113*(1+'Daily Returns'!AK114)</f>
        <v>0.9707852728</v>
      </c>
      <c r="D114" s="4">
        <f>'Daily Returns'!AQ113 * (1 + 'Daily Returns'!AJ114)</f>
        <v>0.9413538318</v>
      </c>
      <c r="F114" s="5">
        <f>'Daily Returns'!AR113 * (1 +'Daily Returns'!AL114)</f>
        <v>0.917522555</v>
      </c>
      <c r="H114" s="5">
        <f>'Daily Returns'!AS113*(1+'Daily Returns'!AM114)</f>
        <v>0.9352553828</v>
      </c>
      <c r="J114" s="5">
        <f>'Daily Returns'!AT113*(1+'Daily Returns'!AN114)</f>
        <v>0.9527677195</v>
      </c>
      <c r="L114" s="5">
        <f>'Daily Returns'!AU113*(1+'Daily Returns'!AO114)</f>
        <v>0.9359559511</v>
      </c>
    </row>
    <row r="115" ht="15.75" customHeight="1">
      <c r="A115" s="9">
        <v>43997.0</v>
      </c>
      <c r="B115" s="6">
        <f>'Daily Returns'!AP114*(1+'Daily Returns'!AK115)</f>
        <v>0.9671023941</v>
      </c>
      <c r="D115" s="4">
        <f>'Daily Returns'!AQ114 * (1 + 'Daily Returns'!AJ115)</f>
        <v>0.9491783648</v>
      </c>
      <c r="F115" s="5">
        <f>'Daily Returns'!AR114 * (1 +'Daily Returns'!AL115)</f>
        <v>0.9308451066</v>
      </c>
      <c r="H115" s="5">
        <f>'Daily Returns'!AS114*(1+'Daily Returns'!AM115)</f>
        <v>0.9481878037</v>
      </c>
      <c r="J115" s="5">
        <f>'Daily Returns'!AT114*(1+'Daily Returns'!AN115)</f>
        <v>0.9571237484</v>
      </c>
      <c r="L115" s="5">
        <f>'Daily Returns'!AU114*(1+'Daily Returns'!AO115)</f>
        <v>0.9423745236</v>
      </c>
    </row>
    <row r="116" ht="15.75" customHeight="1">
      <c r="A116" s="9">
        <v>43998.0</v>
      </c>
      <c r="B116" s="6">
        <f>'Daily Returns'!AP115*(1+'Daily Returns'!AK116)</f>
        <v>0.9583572845</v>
      </c>
      <c r="D116" s="4">
        <f>'Daily Returns'!AQ115 * (1 + 'Daily Returns'!AJ116)</f>
        <v>0.967176685</v>
      </c>
      <c r="F116" s="5">
        <f>'Daily Returns'!AR115 * (1 +'Daily Returns'!AL116)</f>
        <v>0.9383340328</v>
      </c>
      <c r="H116" s="5">
        <f>'Daily Returns'!AS115*(1+'Daily Returns'!AM116)</f>
        <v>0.9583491145</v>
      </c>
      <c r="J116" s="5">
        <f>'Daily Returns'!AT115*(1+'Daily Returns'!AN116)</f>
        <v>0.9495997697</v>
      </c>
      <c r="L116" s="5">
        <f>'Daily Returns'!AU115*(1+'Daily Returns'!AO116)</f>
        <v>0.9350805062</v>
      </c>
    </row>
    <row r="117" ht="15.75" customHeight="1">
      <c r="A117" s="9">
        <v>43999.0</v>
      </c>
      <c r="B117" s="6">
        <f>'Daily Returns'!AP116*(1+'Daily Returns'!AK117)</f>
        <v>0.9598852168</v>
      </c>
      <c r="D117" s="4">
        <f>'Daily Returns'!AQ116 * (1 + 'Daily Returns'!AJ117)</f>
        <v>0.9636948489</v>
      </c>
      <c r="F117" s="5">
        <f>'Daily Returns'!AR116 * (1 +'Daily Returns'!AL117)</f>
        <v>0.9539490184</v>
      </c>
      <c r="H117" s="5">
        <f>'Daily Returns'!AS116*(1+'Daily Returns'!AM117)</f>
        <v>0.9767624026</v>
      </c>
      <c r="J117" s="5">
        <f>'Daily Returns'!AT116*(1+'Daily Returns'!AN117)</f>
        <v>0.9424719043</v>
      </c>
      <c r="L117" s="5">
        <f>'Daily Returns'!AU116*(1+'Daily Returns'!AO117)</f>
        <v>0.9286618045</v>
      </c>
    </row>
    <row r="118" ht="15.75" customHeight="1">
      <c r="A118" s="9">
        <v>44000.0</v>
      </c>
      <c r="B118" s="6">
        <f>'Daily Returns'!AP117*(1+'Daily Returns'!AK118)</f>
        <v>0.9606796867</v>
      </c>
      <c r="D118" s="4">
        <f>'Daily Returns'!AQ117 * (1 + 'Daily Returns'!AJ118)</f>
        <v>0.9642672837</v>
      </c>
      <c r="F118" s="5">
        <f>'Daily Returns'!AR117 * (1 +'Daily Returns'!AL118)</f>
        <v>0.9530243837</v>
      </c>
      <c r="H118" s="5">
        <f>'Daily Returns'!AS117*(1+'Daily Returns'!AM118)</f>
        <v>0.9720202011</v>
      </c>
      <c r="J118" s="5">
        <f>'Daily Returns'!AT117*(1+'Daily Returns'!AN118)</f>
        <v>0.905248124</v>
      </c>
      <c r="L118" s="5">
        <f>'Daily Returns'!AU117*(1+'Daily Returns'!AO118)</f>
        <v>0.8898582317</v>
      </c>
    </row>
    <row r="119" ht="15.75" customHeight="1">
      <c r="A119" s="9">
        <v>44001.0</v>
      </c>
      <c r="B119" s="6">
        <f>'Daily Returns'!AP118*(1+'Daily Returns'!AK119)</f>
        <v>0.9704718078</v>
      </c>
      <c r="D119" s="4">
        <f>'Daily Returns'!AQ118 * (1 + 'Daily Returns'!AJ119)</f>
        <v>0.9588201378</v>
      </c>
      <c r="F119" s="5">
        <f>'Daily Returns'!AR118 * (1 +'Daily Returns'!AL119)</f>
        <v>0.9523052515</v>
      </c>
      <c r="H119" s="5">
        <f>'Daily Returns'!AS118*(1+'Daily Returns'!AM119)</f>
        <v>0.9728210298</v>
      </c>
      <c r="J119" s="5">
        <f>'Daily Returns'!AT118*(1+'Daily Returns'!AN119)</f>
        <v>0.9171281317</v>
      </c>
      <c r="L119" s="5">
        <f>'Daily Returns'!AU118*(1+'Daily Returns'!AO119)</f>
        <v>0.9024038847</v>
      </c>
    </row>
    <row r="120" ht="15.75" customHeight="1">
      <c r="A120" s="9">
        <v>44004.0</v>
      </c>
      <c r="B120" s="6">
        <f>'Daily Returns'!AP119*(1+'Daily Returns'!AK120)</f>
        <v>0.9719542932</v>
      </c>
      <c r="D120" s="4">
        <f>'Daily Returns'!AQ119 * (1 + 'Daily Returns'!AJ120)</f>
        <v>0.9650476746</v>
      </c>
      <c r="F120" s="5">
        <f>'Daily Returns'!AR119 * (1 +'Daily Returns'!AL120)</f>
        <v>0.9474769967</v>
      </c>
      <c r="H120" s="5">
        <f>'Daily Returns'!AS119*(1+'Daily Returns'!AM120)</f>
        <v>0.9673401625</v>
      </c>
      <c r="J120" s="5">
        <f>'Daily Returns'!AT119*(1+'Daily Returns'!AN120)</f>
        <v>0.923068092</v>
      </c>
      <c r="L120" s="5">
        <f>'Daily Returns'!AU119*(1+'Daily Returns'!AO120)</f>
        <v>0.9079470769</v>
      </c>
    </row>
    <row r="121" ht="15.75" customHeight="1">
      <c r="A121" s="9">
        <v>44005.0</v>
      </c>
      <c r="B121" s="6">
        <f>'Daily Returns'!AP120*(1+'Daily Returns'!AK121)</f>
        <v>0.9691141516</v>
      </c>
      <c r="D121" s="4">
        <f>'Daily Returns'!AQ120 * (1 + 'Daily Returns'!AJ121)</f>
        <v>0.9692041349</v>
      </c>
      <c r="F121" s="5">
        <f>'Daily Returns'!AR120 * (1 +'Daily Returns'!AL121)</f>
        <v>0.9552846579</v>
      </c>
      <c r="H121" s="5">
        <f>'Daily Returns'!AS120*(1+'Daily Returns'!AM121)</f>
        <v>0.974052443</v>
      </c>
      <c r="J121" s="5">
        <f>'Daily Returns'!AT120*(1+'Daily Returns'!AN121)</f>
        <v>0.9345520733</v>
      </c>
      <c r="L121" s="5">
        <f>'Daily Returns'!AU120*(1+'Daily Returns'!AO121)</f>
        <v>0.9166999107</v>
      </c>
    </row>
    <row r="122" ht="15.75" customHeight="1">
      <c r="A122" s="9">
        <v>44006.0</v>
      </c>
      <c r="B122" s="6">
        <f>'Daily Returns'!AP121*(1+'Daily Returns'!AK122)</f>
        <v>0.9573584227</v>
      </c>
      <c r="D122" s="4">
        <f>'Daily Returns'!AQ121 * (1 + 'Daily Returns'!AJ122)</f>
        <v>0.944145362</v>
      </c>
      <c r="F122" s="5">
        <f>'Daily Returns'!AR121 * (1 +'Daily Returns'!AL122)</f>
        <v>0.9594964054</v>
      </c>
      <c r="H122" s="5">
        <f>'Daily Returns'!AS121*(1+'Daily Returns'!AM122)</f>
        <v>0.9778708062</v>
      </c>
      <c r="J122" s="5">
        <f>'Daily Returns'!AT121*(1+'Daily Returns'!AN122)</f>
        <v>0.9282159125</v>
      </c>
      <c r="L122" s="5">
        <f>'Daily Returns'!AU121*(1+'Daily Returns'!AO122)</f>
        <v>0.911448275</v>
      </c>
    </row>
    <row r="123" ht="15.75" customHeight="1">
      <c r="A123" s="9">
        <v>44007.0</v>
      </c>
      <c r="B123" s="6">
        <f>'Daily Returns'!AP122*(1+'Daily Returns'!AK123)</f>
        <v>0.9650390288</v>
      </c>
      <c r="D123" s="4">
        <f>'Daily Returns'!AQ122 * (1 + 'Daily Returns'!AJ123)</f>
        <v>0.954492251</v>
      </c>
      <c r="F123" s="5">
        <f>'Daily Returns'!AR122 * (1 +'Daily Returns'!AL123)</f>
        <v>0.9347384559</v>
      </c>
      <c r="H123" s="5">
        <f>'Daily Returns'!AS122*(1+'Daily Returns'!AM123)</f>
        <v>0.9513285504</v>
      </c>
      <c r="J123" s="5">
        <f>'Daily Returns'!AT122*(1+'Daily Returns'!AN123)</f>
        <v>0.9317799758</v>
      </c>
      <c r="L123" s="5">
        <f>'Daily Returns'!AU122*(1+'Daily Returns'!AO123)</f>
        <v>0.9146574643</v>
      </c>
    </row>
    <row r="124" ht="15.75" customHeight="1">
      <c r="A124" s="9">
        <v>44008.0</v>
      </c>
      <c r="B124" s="6">
        <f>'Daily Returns'!AP123*(1+'Daily Returns'!AK124)</f>
        <v>0.9562826868</v>
      </c>
      <c r="D124" s="4">
        <f>'Daily Returns'!AQ123 * (1 + 'Daily Returns'!AJ124)</f>
        <v>0.9313677672</v>
      </c>
      <c r="F124" s="5">
        <f>'Daily Returns'!AR123 * (1 +'Daily Returns'!AL124)</f>
        <v>0.9465524463</v>
      </c>
      <c r="H124" s="5">
        <f>'Daily Returns'!AS123*(1+'Daily Returns'!AM124)</f>
        <v>0.9628352736</v>
      </c>
      <c r="J124" s="5">
        <f>'Daily Returns'!AT123*(1+'Daily Returns'!AN124)</f>
        <v>0.9301958703</v>
      </c>
      <c r="L124" s="5">
        <f>'Daily Returns'!AU123*(1+'Daily Returns'!AO124)</f>
        <v>0.9146574643</v>
      </c>
    </row>
    <row r="125" ht="15.75" customHeight="1">
      <c r="A125" s="9">
        <v>44011.0</v>
      </c>
      <c r="B125" s="6">
        <f>'Daily Returns'!AP124*(1+'Daily Returns'!AK125)</f>
        <v>0.9572179917</v>
      </c>
      <c r="D125" s="4">
        <f>'Daily Returns'!AQ124 * (1 + 'Daily Returns'!AJ125)</f>
        <v>0.9450458343</v>
      </c>
      <c r="F125" s="5">
        <f>'Daily Returns'!AR124 * (1 +'Daily Returns'!AL125)</f>
        <v>0.9262119992</v>
      </c>
      <c r="H125" s="5">
        <f>'Daily Returns'!AS124*(1+'Daily Returns'!AM125)</f>
        <v>0.9404408243</v>
      </c>
      <c r="J125" s="5">
        <f>'Daily Returns'!AT124*(1+'Daily Returns'!AN125)</f>
        <v>0.9325720285</v>
      </c>
      <c r="L125" s="5">
        <f>'Daily Returns'!AU124*(1+'Daily Returns'!AO125)</f>
        <v>0.9168362245</v>
      </c>
    </row>
    <row r="126" ht="15.75" customHeight="1">
      <c r="A126" s="9">
        <v>44012.0</v>
      </c>
      <c r="B126" s="6">
        <f>'Daily Returns'!AP125*(1+'Daily Returns'!AK126)</f>
        <v>0.9667027029</v>
      </c>
      <c r="D126" s="4">
        <f>'Daily Returns'!AQ125 * (1 + 'Daily Returns'!AJ126)</f>
        <v>0.9596089906</v>
      </c>
      <c r="F126" s="5">
        <f>'Daily Returns'!AR125 * (1 +'Daily Returns'!AL126)</f>
        <v>0.9374093981</v>
      </c>
      <c r="H126" s="5">
        <f>'Daily Returns'!AS125*(1+'Daily Returns'!AM126)</f>
        <v>0.9542360343</v>
      </c>
      <c r="J126" s="5">
        <f>'Daily Returns'!AT125*(1+'Daily Returns'!AN126)</f>
        <v>0.9345520733</v>
      </c>
      <c r="L126" s="5">
        <f>'Daily Returns'!AU125*(1+'Daily Returns'!AO126)</f>
        <v>0.9188972767</v>
      </c>
    </row>
    <row r="127" ht="15.75" customHeight="1">
      <c r="A127" s="9">
        <v>44013.0</v>
      </c>
      <c r="B127" s="6">
        <f>'Daily Returns'!AP126*(1+'Daily Returns'!AK127)</f>
        <v>0.9584366587</v>
      </c>
      <c r="D127" s="4">
        <f>'Daily Returns'!AQ126 * (1 + 'Daily Returns'!AJ127)</f>
        <v>0.9644281469</v>
      </c>
      <c r="F127" s="5">
        <f>'Daily Returns'!AR126 * (1 +'Daily Returns'!AL127)</f>
        <v>0.9465524463</v>
      </c>
      <c r="H127" s="5">
        <f>'Daily Returns'!AS126*(1+'Daily Returns'!AM127)</f>
        <v>0.9683410465</v>
      </c>
      <c r="J127" s="5">
        <f>'Daily Returns'!AT126*(1+'Daily Returns'!AN127)</f>
        <v>0.9187120631</v>
      </c>
      <c r="L127" s="5">
        <f>'Daily Returns'!AU126*(1+'Daily Returns'!AO127)</f>
        <v>0.90388163</v>
      </c>
    </row>
    <row r="128" ht="15.75" customHeight="1">
      <c r="A128" s="9">
        <v>44014.0</v>
      </c>
      <c r="B128" s="6">
        <f>'Daily Returns'!AP127*(1+'Daily Returns'!AK128)</f>
        <v>0.9647429067</v>
      </c>
      <c r="D128" s="4">
        <f>'Daily Returns'!AQ127 * (1 + 'Daily Returns'!AJ128)</f>
        <v>0.9688076151</v>
      </c>
      <c r="F128" s="5">
        <f>'Daily Returns'!AR127 * (1 +'Daily Returns'!AL128)</f>
        <v>0.9518943308</v>
      </c>
      <c r="H128" s="5">
        <f>'Daily Returns'!AS127*(1+'Daily Returns'!AM128)</f>
        <v>0.9739707403</v>
      </c>
      <c r="J128" s="5">
        <f>'Daily Returns'!AT127*(1+'Daily Returns'!AN128)</f>
        <v>0.9294039046</v>
      </c>
      <c r="L128" s="5">
        <f>'Daily Returns'!AU127*(1+'Daily Returns'!AO128)</f>
        <v>0.911242383</v>
      </c>
    </row>
    <row r="129" ht="15.75" customHeight="1">
      <c r="A129" s="9">
        <v>44018.0</v>
      </c>
      <c r="B129" s="6">
        <f>'Daily Returns'!AP128*(1+'Daily Returns'!AK129)</f>
        <v>0.976680032</v>
      </c>
      <c r="D129" s="4">
        <f>'Daily Returns'!AQ128 * (1 + 'Daily Returns'!AJ129)</f>
        <v>0.9841942177</v>
      </c>
      <c r="F129" s="5">
        <f>'Daily Returns'!AR128 * (1 +'Daily Returns'!AL129)</f>
        <v>0.9590854847</v>
      </c>
      <c r="H129" s="5">
        <f>'Daily Returns'!AS128*(1+'Daily Returns'!AM129)</f>
        <v>0.9778682751</v>
      </c>
      <c r="J129" s="5">
        <f>'Daily Returns'!AT128*(1+'Daily Returns'!AN129)</f>
        <v>0.9135638944</v>
      </c>
      <c r="L129" s="5">
        <f>'Daily Returns'!AU128*(1+'Daily Returns'!AO129)</f>
        <v>0.8974042681</v>
      </c>
    </row>
    <row r="130" ht="15.75" customHeight="1">
      <c r="A130" s="9">
        <v>44019.0</v>
      </c>
      <c r="B130" s="6">
        <f>'Daily Returns'!AP129*(1+'Daily Returns'!AK130)</f>
        <v>0.97370086</v>
      </c>
      <c r="D130" s="4">
        <f>'Daily Returns'!AQ129 * (1 + 'Daily Returns'!AJ130)</f>
        <v>0.9735462205</v>
      </c>
      <c r="F130" s="5">
        <f>'Daily Returns'!AR129 * (1 +'Daily Returns'!AL130)</f>
        <v>0.9738787132</v>
      </c>
      <c r="H130" s="5">
        <f>'Daily Returns'!AS129*(1+'Daily Returns'!AM130)</f>
        <v>0.9932716219</v>
      </c>
      <c r="J130" s="5">
        <f>'Daily Returns'!AT129*(1+'Daily Returns'!AN130)</f>
        <v>0.9278198862</v>
      </c>
      <c r="L130" s="5">
        <f>'Daily Returns'!AU129*(1+'Daily Returns'!AO130)</f>
        <v>0.9103588626</v>
      </c>
    </row>
    <row r="131" ht="15.75" customHeight="1">
      <c r="A131" s="9">
        <v>44020.0</v>
      </c>
      <c r="B131" s="6">
        <f>'Daily Returns'!AP130*(1+'Daily Returns'!AK131)</f>
        <v>0.9771358696</v>
      </c>
      <c r="D131" s="4">
        <f>'Daily Returns'!AQ130 * (1 + 'Daily Returns'!AJ131)</f>
        <v>0.9811671403</v>
      </c>
      <c r="F131" s="5">
        <f>'Daily Returns'!AR130 * (1 +'Daily Returns'!AL131)</f>
        <v>0.9637084054</v>
      </c>
      <c r="H131" s="5">
        <f>'Daily Returns'!AS130*(1+'Daily Returns'!AM131)</f>
        <v>0.9831879642</v>
      </c>
      <c r="J131" s="5">
        <f>'Daily Returns'!AT130*(1+'Daily Returns'!AN131)</f>
        <v>0.9325720285</v>
      </c>
      <c r="L131" s="5">
        <f>'Daily Returns'!AU130*(1+'Daily Returns'!AO131)</f>
        <v>0.917130882</v>
      </c>
    </row>
    <row r="132" ht="15.75" customHeight="1">
      <c r="A132" s="9">
        <v>44021.0</v>
      </c>
      <c r="B132" s="6">
        <f>'Daily Returns'!AP131*(1+'Daily Returns'!AK132)</f>
        <v>0.9702478235</v>
      </c>
      <c r="D132" s="4">
        <f>'Daily Returns'!AQ131 * (1 + 'Daily Returns'!AJ132)</f>
        <v>0.9756294329</v>
      </c>
      <c r="F132" s="5">
        <f>'Daily Returns'!AR131 * (1 +'Daily Returns'!AL132)</f>
        <v>0.9719267347</v>
      </c>
      <c r="H132" s="5">
        <f>'Daily Returns'!AS131*(1+'Daily Returns'!AM132)</f>
        <v>0.9912302682</v>
      </c>
      <c r="J132" s="5">
        <f>'Daily Returns'!AT131*(1+'Daily Returns'!AN132)</f>
        <v>0.9385119018</v>
      </c>
      <c r="L132" s="5">
        <f>'Daily Returns'!AU131*(1+'Daily Returns'!AO132)</f>
        <v>0.923313651</v>
      </c>
    </row>
    <row r="133" ht="15.75" customHeight="1">
      <c r="A133" s="9">
        <v>44022.0</v>
      </c>
      <c r="B133" s="6">
        <f>'Daily Returns'!AP132*(1+'Daily Returns'!AK133)</f>
        <v>0.9817551767</v>
      </c>
      <c r="D133" s="4">
        <f>'Daily Returns'!AQ132 * (1 + 'Daily Returns'!AJ133)</f>
        <v>0.9858403706</v>
      </c>
      <c r="F133" s="5">
        <f>'Daily Returns'!AR132 * (1 +'Daily Returns'!AL133)</f>
        <v>0.9654547973</v>
      </c>
      <c r="H133" s="5">
        <f>'Daily Returns'!AS132*(1+'Daily Returns'!AM133)</f>
        <v>0.9851061057</v>
      </c>
      <c r="J133" s="5">
        <f>'Daily Returns'!AT132*(1+'Daily Returns'!AN133)</f>
        <v>0.9369277963</v>
      </c>
      <c r="L133" s="5">
        <f>'Daily Returns'!AU132*(1+'Daily Returns'!AO133)</f>
        <v>0.9218415262</v>
      </c>
    </row>
    <row r="134" ht="15.75" customHeight="1">
      <c r="A134" s="9">
        <v>44025.0</v>
      </c>
      <c r="B134" s="6">
        <f>'Daily Returns'!AP133*(1+'Daily Returns'!AK134)</f>
        <v>0.9773403803</v>
      </c>
      <c r="D134" s="4">
        <f>'Daily Returns'!AQ133 * (1 + 'Daily Returns'!AJ134)</f>
        <v>0.9766099472</v>
      </c>
      <c r="F134" s="5">
        <f>'Daily Returns'!AR133 * (1 +'Daily Returns'!AL134)</f>
        <v>0.9752141001</v>
      </c>
      <c r="H134" s="5">
        <f>'Daily Returns'!AS133*(1+'Daily Returns'!AM134)</f>
        <v>0.9956840297</v>
      </c>
      <c r="J134" s="5">
        <f>'Daily Returns'!AT133*(1+'Daily Returns'!AN134)</f>
        <v>0.9416799386</v>
      </c>
      <c r="L134" s="5">
        <f>'Daily Returns'!AU133*(1+'Daily Returns'!AO134)</f>
        <v>0.9262579651</v>
      </c>
    </row>
    <row r="135" ht="15.75" customHeight="1">
      <c r="A135" s="9">
        <v>44026.0</v>
      </c>
      <c r="B135" s="6">
        <f>'Daily Returns'!AP134*(1+'Daily Returns'!AK135)</f>
        <v>0.9856523146</v>
      </c>
      <c r="D135" s="4">
        <f>'Daily Returns'!AQ134 * (1 + 'Daily Returns'!AJ135)</f>
        <v>0.9897023801</v>
      </c>
      <c r="F135" s="5">
        <f>'Daily Returns'!AR134 * (1 +'Daily Returns'!AL135)</f>
        <v>0.966482141</v>
      </c>
      <c r="H135" s="5">
        <f>'Daily Returns'!AS134*(1+'Daily Returns'!AM135)</f>
        <v>0.9849206294</v>
      </c>
      <c r="J135" s="5">
        <f>'Daily Returns'!AT134*(1+'Daily Returns'!AN135)</f>
        <v>0.936532031</v>
      </c>
      <c r="L135" s="5">
        <f>'Daily Returns'!AU134*(1+'Daily Returns'!AO135)</f>
        <v>0.9221359899</v>
      </c>
    </row>
    <row r="136" ht="15.75" customHeight="1">
      <c r="A136" s="9">
        <v>44027.0</v>
      </c>
      <c r="B136" s="6">
        <f>'Daily Returns'!AP135*(1+'Daily Returns'!AK136)</f>
        <v>0.9855508383</v>
      </c>
      <c r="D136" s="4">
        <f>'Daily Returns'!AQ135 * (1 + 'Daily Returns'!AJ136)</f>
        <v>0.9986908571</v>
      </c>
      <c r="F136" s="5">
        <f>'Daily Returns'!AR135 * (1 +'Daily Returns'!AL136)</f>
        <v>0.9798367683</v>
      </c>
      <c r="H136" s="5">
        <f>'Daily Returns'!AS135*(1+'Daily Returns'!AM136)</f>
        <v>0.9978498105</v>
      </c>
      <c r="J136" s="5">
        <f>'Daily Returns'!AT135*(1+'Daily Returns'!AN136)</f>
        <v>0.9385119018</v>
      </c>
      <c r="L136" s="5">
        <f>'Daily Returns'!AU135*(1+'Daily Returns'!AO136)</f>
        <v>0.923902643</v>
      </c>
    </row>
    <row r="137" ht="15.75" customHeight="1">
      <c r="A137" s="9">
        <v>44028.0</v>
      </c>
      <c r="B137" s="6">
        <f>'Daily Returns'!AP136*(1+'Daily Returns'!AK137)</f>
        <v>0.9927575352</v>
      </c>
      <c r="D137" s="4">
        <f>'Daily Returns'!AQ136 * (1 + 'Daily Returns'!AJ137)</f>
        <v>0.9952893161</v>
      </c>
      <c r="F137" s="5">
        <f>'Daily Returns'!AR136 * (1 +'Daily Returns'!AL137)</f>
        <v>0.9901098693</v>
      </c>
      <c r="H137" s="5">
        <f>'Daily Returns'!AS136*(1+'Daily Returns'!AM137)</f>
        <v>1.010222158</v>
      </c>
      <c r="J137" s="5">
        <f>'Daily Returns'!AT136*(1+'Daily Returns'!AN137)</f>
        <v>0.936532031</v>
      </c>
      <c r="L137" s="5">
        <f>'Daily Returns'!AU136*(1+'Daily Returns'!AO137)</f>
        <v>0.9206638651</v>
      </c>
    </row>
    <row r="138" ht="15.75" customHeight="1">
      <c r="A138" s="9">
        <v>44029.0</v>
      </c>
      <c r="B138" s="6">
        <f>'Daily Returns'!AP137*(1+'Daily Returns'!AK138)</f>
        <v>0.9999385208</v>
      </c>
      <c r="D138" s="4">
        <f>'Daily Returns'!AQ137 * (1 + 'Daily Returns'!AJ138)</f>
        <v>0.9981248954</v>
      </c>
      <c r="F138" s="5">
        <f>'Daily Returns'!AR137 * (1 +'Daily Returns'!AL138)</f>
        <v>0.9855897419</v>
      </c>
      <c r="H138" s="5">
        <f>'Daily Returns'!AS137*(1+'Daily Returns'!AM138)</f>
        <v>1.005706132</v>
      </c>
      <c r="J138" s="5">
        <f>'Daily Returns'!AT137*(1+'Daily Returns'!AN138)</f>
        <v>0.9456399412</v>
      </c>
      <c r="L138" s="5">
        <f>'Daily Returns'!AU137*(1+'Daily Returns'!AO138)</f>
        <v>0.9289076863</v>
      </c>
    </row>
    <row r="139" ht="15.75" customHeight="1">
      <c r="A139" s="9">
        <v>44032.0</v>
      </c>
      <c r="B139" s="6">
        <f>'Daily Returns'!AP138*(1+'Daily Returns'!AK139)</f>
        <v>1.00121756</v>
      </c>
      <c r="D139" s="4">
        <f>'Daily Returns'!AQ138 * (1 + 'Daily Returns'!AJ139)</f>
        <v>1.006516131</v>
      </c>
      <c r="F139" s="5">
        <f>'Daily Returns'!AR138 * (1 +'Daily Returns'!AL139)</f>
        <v>0.9887743982</v>
      </c>
      <c r="H139" s="5">
        <f>'Daily Returns'!AS138*(1+'Daily Returns'!AM139)</f>
        <v>1.009541909</v>
      </c>
      <c r="J139" s="5">
        <f>'Daily Returns'!AT138*(1+'Daily Returns'!AN139)</f>
        <v>0.9416799386</v>
      </c>
      <c r="L139" s="5">
        <f>'Daily Returns'!AU138*(1+'Daily Returns'!AO139)</f>
        <v>0.9250802394</v>
      </c>
    </row>
    <row r="140" ht="15.75" customHeight="1">
      <c r="A140" s="9">
        <v>44033.0</v>
      </c>
      <c r="B140" s="6">
        <f>'Daily Returns'!AP139*(1+'Daily Returns'!AK140)</f>
        <v>1.008104405</v>
      </c>
      <c r="D140" s="4">
        <f>'Daily Returns'!AQ139 * (1 + 'Daily Returns'!AJ140)</f>
        <v>1.008206072</v>
      </c>
      <c r="F140" s="5">
        <f>'Daily Returns'!AR139 * (1 +'Daily Returns'!AL140)</f>
        <v>0.9964791818</v>
      </c>
      <c r="H140" s="5">
        <f>'Daily Returns'!AS139*(1+'Daily Returns'!AM140)</f>
        <v>1.017274613</v>
      </c>
      <c r="J140" s="5">
        <f>'Daily Returns'!AT139*(1+'Daily Returns'!AN140)</f>
        <v>0.95791554</v>
      </c>
      <c r="L140" s="5">
        <f>'Daily Returns'!AU139*(1+'Daily Returns'!AO140)</f>
        <v>0.941273418</v>
      </c>
    </row>
    <row r="141" ht="15.75" customHeight="1">
      <c r="A141" s="9">
        <v>44034.0</v>
      </c>
      <c r="B141" s="6">
        <f>'Daily Returns'!AP140*(1+'Daily Returns'!AK141)</f>
        <v>1.013293777</v>
      </c>
      <c r="D141" s="4">
        <f>'Daily Returns'!AQ140 * (1 + 'Daily Returns'!AJ141)</f>
        <v>1.014000232</v>
      </c>
      <c r="F141" s="5">
        <f>'Daily Returns'!AR140 * (1 +'Daily Returns'!AL141)</f>
        <v>0.9984309919</v>
      </c>
      <c r="H141" s="5">
        <f>'Daily Returns'!AS140*(1+'Daily Returns'!AM141)</f>
        <v>1.020182198</v>
      </c>
      <c r="J141" s="5">
        <f>'Daily Returns'!AT140*(1+'Daily Returns'!AN141)</f>
        <v>0.9658355451</v>
      </c>
      <c r="L141" s="5">
        <f>'Daily Returns'!AU140*(1+'Daily Returns'!AO141)</f>
        <v>0.9501062957</v>
      </c>
    </row>
    <row r="142" ht="15.75" customHeight="1">
      <c r="A142" s="9">
        <v>44035.0</v>
      </c>
      <c r="B142" s="6">
        <f>'Daily Returns'!AP141*(1+'Daily Returns'!AK142)</f>
        <v>1.014603938</v>
      </c>
      <c r="D142" s="4">
        <f>'Daily Returns'!AQ141 * (1 + 'Daily Returns'!AJ142)</f>
        <v>1.001507749</v>
      </c>
      <c r="F142" s="5">
        <f>'Daily Returns'!AR141 * (1 +'Daily Returns'!AL142)</f>
        <v>1.003259415</v>
      </c>
      <c r="H142" s="5">
        <f>'Daily Returns'!AS141*(1+'Daily Returns'!AM142)</f>
        <v>1.025502495</v>
      </c>
      <c r="J142" s="5">
        <f>'Daily Returns'!AT141*(1+'Daily Returns'!AN142)</f>
        <v>0.9638555874</v>
      </c>
      <c r="L142" s="5">
        <f>'Daily Returns'!AU141*(1+'Daily Returns'!AO142)</f>
        <v>0.9480452435</v>
      </c>
    </row>
    <row r="143" ht="15.75" customHeight="1">
      <c r="A143" s="9">
        <v>44036.0</v>
      </c>
      <c r="B143" s="6">
        <f>'Daily Returns'!AP142*(1+'Daily Returns'!AK143)</f>
        <v>1.014203959</v>
      </c>
      <c r="D143" s="4">
        <f>'Daily Returns'!AQ142 * (1 + 'Daily Returns'!AJ143)</f>
        <v>0.9953084164</v>
      </c>
      <c r="F143" s="5">
        <f>'Daily Returns'!AR142 * (1 +'Daily Returns'!AL143)</f>
        <v>0.9919590544</v>
      </c>
      <c r="H143" s="5">
        <f>'Daily Returns'!AS142*(1+'Daily Returns'!AM143)</f>
        <v>1.014305371</v>
      </c>
      <c r="J143" s="5">
        <f>'Daily Returns'!AT142*(1+'Daily Returns'!AN143)</f>
        <v>0.9701918352</v>
      </c>
      <c r="L143" s="5">
        <f>'Daily Returns'!AU142*(1+'Daily Returns'!AO143)</f>
        <v>0.9545226054</v>
      </c>
    </row>
    <row r="144" ht="15.75" customHeight="1">
      <c r="A144" s="9">
        <v>44039.0</v>
      </c>
      <c r="B144" s="6">
        <f>'Daily Returns'!AP143*(1+'Daily Returns'!AK144)</f>
        <v>1.019377881</v>
      </c>
      <c r="D144" s="4">
        <f>'Daily Returns'!AQ143 * (1 + 'Daily Returns'!AJ144)</f>
        <v>1.002668722</v>
      </c>
      <c r="F144" s="5">
        <f>'Daily Returns'!AR143 * (1 +'Daily Returns'!AL144)</f>
        <v>0.9857954127</v>
      </c>
      <c r="H144" s="5">
        <f>'Daily Returns'!AS143*(1+'Daily Returns'!AM144)</f>
        <v>1.006448645</v>
      </c>
      <c r="J144" s="5">
        <f>'Daily Returns'!AT143*(1+'Daily Returns'!AN144)</f>
        <v>0.9725675582</v>
      </c>
      <c r="L144" s="5">
        <f>'Daily Returns'!AU143*(1+'Daily Returns'!AO144)</f>
        <v>0.9574669195</v>
      </c>
    </row>
    <row r="145" ht="15.75" customHeight="1">
      <c r="A145" s="9">
        <v>44040.0</v>
      </c>
      <c r="B145" s="6">
        <f>'Daily Returns'!AP144*(1+'Daily Returns'!AK145)</f>
        <v>1.015597906</v>
      </c>
      <c r="D145" s="4">
        <f>'Daily Returns'!AQ144 * (1 + 'Daily Returns'!AJ145)</f>
        <v>0.9961784475</v>
      </c>
      <c r="F145" s="5">
        <f>'Daily Returns'!AR144 * (1 +'Daily Returns'!AL145)</f>
        <v>0.9952464198</v>
      </c>
      <c r="H145" s="5">
        <f>'Daily Returns'!AS144*(1+'Daily Returns'!AM145)</f>
        <v>1.015109541</v>
      </c>
      <c r="J145" s="5">
        <f>'Daily Returns'!AT144*(1+'Daily Returns'!AN145)</f>
        <v>0.9709834527</v>
      </c>
      <c r="L145" s="5">
        <f>'Daily Returns'!AU144*(1+'Daily Returns'!AO145)</f>
        <v>0.956583593</v>
      </c>
    </row>
    <row r="146" ht="15.75" customHeight="1">
      <c r="A146" s="9">
        <v>44041.0</v>
      </c>
      <c r="B146" s="6">
        <f>'Daily Returns'!AP145*(1+'Daily Returns'!AK146)</f>
        <v>1.019318367</v>
      </c>
      <c r="D146" s="4">
        <f>'Daily Returns'!AQ145 * (1 + 'Daily Returns'!AJ146)</f>
        <v>1.008558953</v>
      </c>
      <c r="F146" s="5">
        <f>'Daily Returns'!AR145 * (1 +'Daily Returns'!AL146)</f>
        <v>0.9887743982</v>
      </c>
      <c r="H146" s="5">
        <f>'Daily Returns'!AS145*(1+'Daily Returns'!AM146)</f>
        <v>1.00768593</v>
      </c>
      <c r="J146" s="5">
        <f>'Daily Returns'!AT145*(1+'Daily Returns'!AN146)</f>
        <v>0.9709834527</v>
      </c>
      <c r="L146" s="5">
        <f>'Daily Returns'!AU145*(1+'Daily Returns'!AO146)</f>
        <v>0.9574669195</v>
      </c>
    </row>
    <row r="147" ht="15.75" customHeight="1">
      <c r="A147" s="9">
        <v>44042.0</v>
      </c>
      <c r="B147" s="6">
        <f>'Daily Returns'!AP146*(1+'Daily Returns'!AK147)</f>
        <v>1.012547224</v>
      </c>
      <c r="D147" s="4">
        <f>'Daily Returns'!AQ146 * (1 + 'Daily Returns'!AJ147)</f>
        <v>1.004776857</v>
      </c>
      <c r="F147" s="5">
        <f>'Daily Returns'!AR146 * (1 +'Daily Returns'!AL147)</f>
        <v>1.000280177</v>
      </c>
      <c r="H147" s="5">
        <f>'Daily Returns'!AS146*(1+'Daily Returns'!AM147)</f>
        <v>1.021048328</v>
      </c>
      <c r="J147" s="5">
        <f>'Daily Returns'!AT146*(1+'Daily Returns'!AN147)</f>
        <v>0.9610834898</v>
      </c>
      <c r="L147" s="5">
        <f>'Daily Returns'!AU146*(1+'Daily Returns'!AO147)</f>
        <v>0.9486340417</v>
      </c>
    </row>
    <row r="148" ht="15.75" customHeight="1">
      <c r="A148" s="9">
        <v>44043.0</v>
      </c>
      <c r="B148" s="6">
        <f>'Daily Returns'!AP147*(1+'Daily Returns'!AK148)</f>
        <v>1.01466562</v>
      </c>
      <c r="D148" s="4">
        <f>'Daily Returns'!AQ147 * (1 + 'Daily Returns'!AJ148)</f>
        <v>1.012483496</v>
      </c>
      <c r="F148" s="5">
        <f>'Daily Returns'!AR147 * (1 +'Daily Returns'!AL148)</f>
        <v>0.9943217852</v>
      </c>
      <c r="H148" s="5">
        <f>'Daily Returns'!AS147*(1+'Daily Returns'!AM148)</f>
        <v>1.018759234</v>
      </c>
      <c r="J148" s="5">
        <f>'Daily Returns'!AT147*(1+'Daily Returns'!AN148)</f>
        <v>0.9602916982</v>
      </c>
      <c r="L148" s="5">
        <f>'Daily Returns'!AU147*(1+'Daily Returns'!AO148)</f>
        <v>0.9468675825</v>
      </c>
    </row>
    <row r="149" ht="15.75" customHeight="1">
      <c r="A149" s="9">
        <v>44046.0</v>
      </c>
      <c r="B149" s="6">
        <f>'Daily Returns'!AP148*(1+'Daily Returns'!AK149)</f>
        <v>1.011626033</v>
      </c>
      <c r="D149" s="4">
        <f>'Daily Returns'!AQ148 * (1 + 'Daily Returns'!AJ149)</f>
        <v>1.01975414</v>
      </c>
      <c r="F149" s="5">
        <f>'Daily Returns'!AR148 * (1 +'Daily Returns'!AL149)</f>
        <v>0.9928835207</v>
      </c>
      <c r="H149" s="5">
        <f>'Daily Returns'!AS148*(1+'Daily Returns'!AM149)</f>
        <v>1.023955913</v>
      </c>
      <c r="J149" s="5">
        <f>'Daily Returns'!AT148*(1+'Daily Returns'!AN149)</f>
        <v>0.9697956347</v>
      </c>
      <c r="L149" s="5">
        <f>'Daily Returns'!AU148*(1+'Daily Returns'!AO149)</f>
        <v>0.9568780567</v>
      </c>
    </row>
    <row r="150" ht="15.75" customHeight="1">
      <c r="A150" s="9">
        <v>44047.0</v>
      </c>
      <c r="B150" s="6">
        <f>'Daily Returns'!AP149*(1+'Daily Returns'!AK150)</f>
        <v>1.020567381</v>
      </c>
      <c r="D150" s="4">
        <f>'Daily Returns'!AQ149 * (1 + 'Daily Returns'!AJ150)</f>
        <v>1.023437492</v>
      </c>
      <c r="F150" s="5">
        <f>'Daily Returns'!AR149 * (1 +'Daily Returns'!AL150)</f>
        <v>1.003567458</v>
      </c>
      <c r="H150" s="5">
        <f>'Daily Returns'!AS149*(1+'Daily Returns'!AM150)</f>
        <v>1.032864044</v>
      </c>
      <c r="J150" s="5">
        <f>'Daily Returns'!AT149*(1+'Daily Returns'!AN150)</f>
        <v>0.9674196506</v>
      </c>
      <c r="L150" s="5">
        <f>'Daily Returns'!AU149*(1+'Daily Returns'!AO150)</f>
        <v>0.9554059319</v>
      </c>
    </row>
    <row r="151" ht="15.75" customHeight="1">
      <c r="A151" s="9">
        <v>44048.0</v>
      </c>
      <c r="B151" s="6">
        <f>'Daily Returns'!AP150*(1+'Daily Returns'!AK151)</f>
        <v>1.023197425</v>
      </c>
      <c r="D151" s="4">
        <f>'Daily Returns'!AQ150 * (1 + 'Daily Returns'!AJ151)</f>
        <v>1.030018195</v>
      </c>
      <c r="F151" s="5">
        <f>'Daily Returns'!AR150 * (1 +'Daily Returns'!AL151)</f>
        <v>1.008293088</v>
      </c>
      <c r="H151" s="5">
        <f>'Daily Returns'!AS150*(1+'Daily Returns'!AM151)</f>
        <v>1.036946954</v>
      </c>
      <c r="J151" s="5">
        <f>'Daily Returns'!AT150*(1+'Daily Returns'!AN151)</f>
        <v>0.9789036319</v>
      </c>
      <c r="L151" s="5">
        <f>'Daily Returns'!AU150*(1+'Daily Returns'!AO151)</f>
        <v>0.9662994096</v>
      </c>
    </row>
    <row r="152" ht="15.75" customHeight="1">
      <c r="A152" s="9">
        <v>44049.0</v>
      </c>
      <c r="B152" s="6">
        <f>'Daily Returns'!AP151*(1+'Daily Returns'!AK152)</f>
        <v>1.021035646</v>
      </c>
      <c r="D152" s="4">
        <f>'Daily Returns'!AQ151 * (1 + 'Daily Returns'!AJ152)</f>
        <v>1.036639152</v>
      </c>
      <c r="F152" s="5">
        <f>'Daily Returns'!AR151 * (1 +'Daily Returns'!AL152)</f>
        <v>1.014456898</v>
      </c>
      <c r="H152" s="5">
        <f>'Daily Returns'!AS151*(1+'Daily Returns'!AM152)</f>
        <v>1.044494182</v>
      </c>
      <c r="J152" s="5">
        <f>'Daily Returns'!AT151*(1+'Daily Returns'!AN152)</f>
        <v>0.9792996583</v>
      </c>
      <c r="L152" s="5">
        <f>'Daily Returns'!AU151*(1+'Daily Returns'!AO152)</f>
        <v>0.9662994096</v>
      </c>
    </row>
    <row r="153" ht="15.75" customHeight="1">
      <c r="A153" s="9">
        <v>44050.0</v>
      </c>
      <c r="B153" s="6">
        <f>'Daily Returns'!AP152*(1+'Daily Returns'!AK153)</f>
        <v>1.023520661</v>
      </c>
      <c r="D153" s="4">
        <f>'Daily Returns'!AQ152 * (1 + 'Daily Returns'!AJ153)</f>
        <v>1.037295344</v>
      </c>
      <c r="F153" s="5">
        <f>'Daily Returns'!AR152 * (1 +'Daily Returns'!AL153)</f>
        <v>1.018668814</v>
      </c>
      <c r="H153" s="5">
        <f>'Daily Returns'!AS152*(1+'Daily Returns'!AM153)</f>
        <v>1.049567142</v>
      </c>
      <c r="J153" s="5">
        <f>'Daily Returns'!AT152*(1+'Daily Returns'!AN153)</f>
        <v>0.9709834527</v>
      </c>
      <c r="L153" s="5">
        <f>'Daily Returns'!AU152*(1+'Daily Returns'!AO153)</f>
        <v>0.9583501814</v>
      </c>
    </row>
    <row r="154" ht="15.75" customHeight="1">
      <c r="A154" s="9">
        <v>44053.0</v>
      </c>
      <c r="B154" s="6">
        <f>'Daily Returns'!AP153*(1+'Daily Returns'!AK154)</f>
        <v>1.02267625</v>
      </c>
      <c r="D154" s="4">
        <f>'Daily Returns'!AQ153 * (1 + 'Daily Returns'!AJ154)</f>
        <v>1.040139608</v>
      </c>
      <c r="F154" s="5">
        <f>'Daily Returns'!AR153 * (1 +'Daily Returns'!AL154)</f>
        <v>1.015484074</v>
      </c>
      <c r="H154" s="5">
        <f>'Daily Returns'!AS153*(1+'Daily Returns'!AM154)</f>
        <v>1.05043307</v>
      </c>
      <c r="J154" s="5">
        <f>'Daily Returns'!AT153*(1+'Daily Returns'!AN154)</f>
        <v>0.9816755554</v>
      </c>
      <c r="L154" s="5">
        <f>'Daily Returns'!AU153*(1+'Daily Returns'!AO154)</f>
        <v>0.970421514</v>
      </c>
    </row>
    <row r="155" ht="15.75" customHeight="1">
      <c r="A155" s="9">
        <v>44054.0</v>
      </c>
      <c r="B155" s="6">
        <f>'Daily Returns'!AP154*(1+'Daily Returns'!AK155)</f>
        <v>1.026243385</v>
      </c>
      <c r="D155" s="4">
        <f>'Daily Returns'!AQ154 * (1 + 'Daily Returns'!AJ155)</f>
        <v>1.031850736</v>
      </c>
      <c r="F155" s="5">
        <f>'Daily Returns'!AR154 * (1 +'Daily Returns'!AL155)</f>
        <v>1.018463312</v>
      </c>
      <c r="H155" s="5">
        <f>'Daily Returns'!AS154*(1+'Daily Returns'!AM155)</f>
        <v>1.053340858</v>
      </c>
      <c r="J155" s="5">
        <f>'Daily Returns'!AT154*(1+'Daily Returns'!AN155)</f>
        <v>0.9895953864</v>
      </c>
      <c r="L155" s="5">
        <f>'Daily Returns'!AU154*(1+'Daily Returns'!AO155)</f>
        <v>0.9780766015</v>
      </c>
    </row>
    <row r="156" ht="15.75" customHeight="1">
      <c r="A156" s="9">
        <v>44055.0</v>
      </c>
      <c r="B156" s="6">
        <f>'Daily Returns'!AP155*(1+'Daily Returns'!AK156)</f>
        <v>1.031784445</v>
      </c>
      <c r="D156" s="4">
        <f>'Daily Returns'!AQ155 * (1 + 'Daily Returns'!AJ156)</f>
        <v>1.04629355</v>
      </c>
      <c r="F156" s="5">
        <f>'Daily Returns'!AR155 * (1 +'Daily Returns'!AL156)</f>
        <v>1.014251396</v>
      </c>
      <c r="H156" s="5">
        <f>'Daily Returns'!AS155*(1+'Daily Returns'!AM156)</f>
        <v>1.044865438</v>
      </c>
      <c r="J156" s="5">
        <f>'Daily Returns'!AT155*(1+'Daily Returns'!AN156)</f>
        <v>0.9939514153</v>
      </c>
      <c r="L156" s="5">
        <f>'Daily Returns'!AU155*(1+'Daily Returns'!AO156)</f>
        <v>0.9826401431</v>
      </c>
    </row>
    <row r="157" ht="15.75" customHeight="1">
      <c r="A157" s="9">
        <v>44056.0</v>
      </c>
      <c r="B157" s="6">
        <f>'Daily Returns'!AP156*(1+'Daily Returns'!AK157)</f>
        <v>1.035914068</v>
      </c>
      <c r="D157" s="4">
        <f>'Daily Returns'!AQ156 * (1 + 'Daily Returns'!AJ157)</f>
        <v>1.044151787</v>
      </c>
      <c r="F157" s="5">
        <f>'Daily Returns'!AR156 * (1 +'Daily Returns'!AL157)</f>
        <v>1.030790932</v>
      </c>
      <c r="H157" s="5">
        <f>'Daily Returns'!AS156*(1+'Daily Returns'!AM157)</f>
        <v>1.058846631</v>
      </c>
      <c r="J157" s="5">
        <f>'Daily Returns'!AT156*(1+'Daily Returns'!AN157)</f>
        <v>0.9927634232</v>
      </c>
      <c r="L157" s="5">
        <f>'Daily Returns'!AU156*(1+'Daily Returns'!AO157)</f>
        <v>0.9810207864</v>
      </c>
    </row>
    <row r="158" ht="15.75" customHeight="1">
      <c r="A158" s="9">
        <v>44057.0</v>
      </c>
      <c r="B158" s="6">
        <f>'Daily Returns'!AP157*(1+'Daily Returns'!AK158)</f>
        <v>1.036921389</v>
      </c>
      <c r="D158" s="4">
        <f>'Daily Returns'!AQ157 * (1 + 'Daily Returns'!AJ158)</f>
        <v>1.043972193</v>
      </c>
      <c r="F158" s="5">
        <f>'Daily Returns'!AR157 * (1 +'Daily Returns'!AL158)</f>
        <v>1.029763672</v>
      </c>
      <c r="H158" s="5">
        <f>'Daily Returns'!AS157*(1+'Daily Returns'!AM158)</f>
        <v>1.05804236</v>
      </c>
      <c r="J158" s="5">
        <f>'Daily Returns'!AT157*(1+'Daily Returns'!AN158)</f>
        <v>0.9959313731</v>
      </c>
      <c r="L158" s="5">
        <f>'Daily Returns'!AU157*(1+'Daily Returns'!AO158)</f>
        <v>0.983965036</v>
      </c>
    </row>
    <row r="159" ht="15.75" customHeight="1">
      <c r="A159" s="9">
        <v>44060.0</v>
      </c>
      <c r="B159" s="6">
        <f>'Daily Returns'!AP158*(1+'Daily Returns'!AK159)</f>
        <v>1.052732018</v>
      </c>
      <c r="D159" s="4">
        <f>'Daily Returns'!AQ158 * (1 + 'Daily Returns'!AJ159)</f>
        <v>1.046801358</v>
      </c>
      <c r="F159" s="5">
        <f>'Daily Returns'!AR158 * (1 +'Daily Returns'!AL159)</f>
        <v>1.026989937</v>
      </c>
      <c r="H159" s="5">
        <f>'Daily Returns'!AS158*(1+'Daily Returns'!AM159)</f>
        <v>1.057732962</v>
      </c>
      <c r="J159" s="5">
        <f>'Daily Returns'!AT158*(1+'Daily Returns'!AN159)</f>
        <v>0.9923674839</v>
      </c>
      <c r="L159" s="5">
        <f>'Daily Returns'!AU158*(1+'Daily Returns'!AO159)</f>
        <v>0.9780766015</v>
      </c>
    </row>
    <row r="160" ht="15.75" customHeight="1">
      <c r="A160" s="9">
        <v>44061.0</v>
      </c>
      <c r="B160" s="6">
        <f>'Daily Returns'!AP159*(1+'Daily Returns'!AK160)</f>
        <v>1.055583412</v>
      </c>
      <c r="D160" s="4">
        <f>'Daily Returns'!AQ159 * (1 + 'Daily Returns'!AJ160)</f>
        <v>1.049212141</v>
      </c>
      <c r="F160" s="5">
        <f>'Daily Returns'!AR159 * (1 +'Daily Returns'!AL160)</f>
        <v>1.033872879</v>
      </c>
      <c r="H160" s="5">
        <f>'Daily Returns'!AS159*(1+'Daily Returns'!AM160)</f>
        <v>1.062249089</v>
      </c>
      <c r="J160" s="5">
        <f>'Daily Returns'!AT159*(1+'Daily Returns'!AN160)</f>
        <v>0.9967233388</v>
      </c>
      <c r="L160" s="5">
        <f>'Daily Returns'!AU159*(1+'Daily Returns'!AO160)</f>
        <v>0.9836706368</v>
      </c>
    </row>
    <row r="161" ht="15.75" customHeight="1">
      <c r="A161" s="9">
        <v>44062.0</v>
      </c>
      <c r="B161" s="6">
        <f>'Daily Returns'!AP160*(1+'Daily Returns'!AK161)</f>
        <v>1.054335143</v>
      </c>
      <c r="D161" s="4">
        <f>'Daily Returns'!AQ160 * (1 + 'Daily Returns'!AJ161)</f>
        <v>1.044591411</v>
      </c>
      <c r="F161" s="5">
        <f>'Daily Returns'!AR160 * (1 +'Daily Returns'!AL161)</f>
        <v>1.035208182</v>
      </c>
      <c r="H161" s="5">
        <f>'Daily Returns'!AS160*(1+'Daily Returns'!AM161)</f>
        <v>1.063857429</v>
      </c>
      <c r="J161" s="5">
        <f>'Daily Returns'!AT160*(1+'Daily Returns'!AN161)</f>
        <v>0.9923674839</v>
      </c>
      <c r="L161" s="5">
        <f>'Daily Returns'!AU160*(1+'Daily Returns'!AO161)</f>
        <v>0.9804319882</v>
      </c>
    </row>
    <row r="162" ht="15.75" customHeight="1">
      <c r="A162" s="9">
        <v>44063.0</v>
      </c>
      <c r="B162" s="6">
        <f>'Daily Returns'!AP161*(1+'Daily Returns'!AK162)</f>
        <v>1.054298965</v>
      </c>
      <c r="D162" s="4">
        <f>'Daily Returns'!AQ161 * (1 + 'Daily Returns'!AJ162)</f>
        <v>1.047891275</v>
      </c>
      <c r="F162" s="5">
        <f>'Daily Returns'!AR161 * (1 +'Daily Returns'!AL162)</f>
        <v>1.030482636</v>
      </c>
      <c r="H162" s="5">
        <f>'Daily Returns'!AS161*(1+'Daily Returns'!AM162)</f>
        <v>1.059712356</v>
      </c>
      <c r="J162" s="5">
        <f>'Daily Returns'!AT161*(1+'Daily Returns'!AN162)</f>
        <v>0.9931595367</v>
      </c>
      <c r="L162" s="5">
        <f>'Daily Returns'!AU161*(1+'Daily Returns'!AO162)</f>
        <v>0.9807264519</v>
      </c>
    </row>
    <row r="163" ht="15.75" customHeight="1">
      <c r="A163" s="9">
        <v>44064.0</v>
      </c>
      <c r="B163" s="6">
        <f>'Daily Returns'!AP162*(1+'Daily Returns'!AK163)</f>
        <v>1.050569349</v>
      </c>
      <c r="D163" s="4">
        <f>'Daily Returns'!AQ162 * (1 + 'Daily Returns'!AJ163)</f>
        <v>1.051497069</v>
      </c>
      <c r="F163" s="5">
        <f>'Daily Returns'!AR162 * (1 +'Daily Returns'!AL163)</f>
        <v>1.032639949</v>
      </c>
      <c r="H163" s="5">
        <f>'Daily Returns'!AS162*(1+'Daily Returns'!AM163)</f>
        <v>1.062743659</v>
      </c>
      <c r="J163" s="5">
        <f>'Daily Returns'!AT162*(1+'Daily Returns'!AN163)</f>
        <v>1.000287489</v>
      </c>
      <c r="L163" s="5">
        <f>'Daily Returns'!AU162*(1+'Daily Returns'!AO163)</f>
        <v>0.9889702085</v>
      </c>
    </row>
    <row r="164" ht="15.75" customHeight="1">
      <c r="A164" s="9">
        <v>44067.0</v>
      </c>
      <c r="B164" s="6">
        <f>'Daily Returns'!AP163*(1+'Daily Returns'!AK164)</f>
        <v>1.055247443</v>
      </c>
      <c r="D164" s="4">
        <f>'Daily Returns'!AQ163 * (1 + 'Daily Returns'!AJ164)</f>
        <v>1.062058306</v>
      </c>
      <c r="F164" s="5">
        <f>'Daily Returns'!AR163 * (1 +'Daily Returns'!AL164)</f>
        <v>1.033359165</v>
      </c>
      <c r="H164" s="5">
        <f>'Daily Returns'!AS163*(1+'Daily Returns'!AM164)</f>
        <v>1.06540401</v>
      </c>
      <c r="J164" s="5">
        <f>'Daily Returns'!AT163*(1+'Daily Returns'!AN164)</f>
        <v>0.9990992359</v>
      </c>
      <c r="L164" s="5">
        <f>'Daily Returns'!AU163*(1+'Daily Returns'!AO164)</f>
        <v>0.9869092209</v>
      </c>
    </row>
    <row r="165" ht="15.75" customHeight="1">
      <c r="A165" s="9">
        <v>44068.0</v>
      </c>
      <c r="B165" s="6">
        <f>'Daily Returns'!AP164*(1+'Daily Returns'!AK165)</f>
        <v>1.057038341</v>
      </c>
      <c r="D165" s="4">
        <f>'Daily Returns'!AQ164 * (1 + 'Daily Returns'!AJ165)</f>
        <v>1.065877468</v>
      </c>
      <c r="F165" s="5">
        <f>'Daily Returns'!AR164 * (1 +'Daily Returns'!AL165)</f>
        <v>1.043632182</v>
      </c>
      <c r="H165" s="5">
        <f>'Daily Returns'!AS164*(1+'Daily Returns'!AM165)</f>
        <v>1.075611487</v>
      </c>
      <c r="J165" s="5">
        <f>'Daily Returns'!AT164*(1+'Daily Returns'!AN165)</f>
        <v>0.9963273124</v>
      </c>
      <c r="L165" s="5">
        <f>'Daily Returns'!AU164*(1+'Daily Returns'!AO165)</f>
        <v>0.9836706368</v>
      </c>
    </row>
    <row r="166" ht="15.75" customHeight="1">
      <c r="A166" s="9">
        <v>44069.0</v>
      </c>
      <c r="B166" s="6">
        <f>'Daily Returns'!AP165*(1+'Daily Returns'!AK166)</f>
        <v>1.056458929</v>
      </c>
      <c r="D166" s="4">
        <f>'Daily Returns'!AQ165 * (1 + 'Daily Returns'!AJ166)</f>
        <v>1.076745154</v>
      </c>
      <c r="F166" s="5">
        <f>'Daily Returns'!AR165 * (1 +'Daily Returns'!AL166)</f>
        <v>1.046919547</v>
      </c>
      <c r="H166" s="5">
        <f>'Daily Returns'!AS165*(1+'Daily Returns'!AM166)</f>
        <v>1.079199625</v>
      </c>
      <c r="J166" s="5">
        <f>'Daily Returns'!AT165*(1+'Daily Returns'!AN166)</f>
        <v>0.9983071831</v>
      </c>
      <c r="L166" s="5">
        <f>'Daily Returns'!AU165*(1+'Daily Returns'!AO166)</f>
        <v>0.9860261527</v>
      </c>
    </row>
    <row r="167" ht="15.75" customHeight="1">
      <c r="A167" s="9">
        <v>44070.0</v>
      </c>
      <c r="B167" s="6">
        <f>'Daily Returns'!AP166*(1+'Daily Returns'!AK167)</f>
        <v>1.056561686</v>
      </c>
      <c r="D167" s="4">
        <f>'Daily Returns'!AQ166 * (1 + 'Daily Returns'!AJ167)</f>
        <v>1.078546549</v>
      </c>
      <c r="F167" s="5">
        <f>'Daily Returns'!AR166 * (1 +'Daily Returns'!AL167)</f>
        <v>1.056473263</v>
      </c>
      <c r="H167" s="5">
        <f>'Daily Returns'!AS166*(1+'Daily Returns'!AM167)</f>
        <v>1.088973784</v>
      </c>
      <c r="J167" s="5">
        <f>'Daily Returns'!AT166*(1+'Daily Returns'!AN167)</f>
        <v>0.9931595367</v>
      </c>
      <c r="L167" s="5">
        <f>'Daily Returns'!AU166*(1+'Daily Returns'!AO167)</f>
        <v>0.9804319882</v>
      </c>
    </row>
    <row r="168" ht="15.75" customHeight="1">
      <c r="A168" s="9">
        <v>44071.0</v>
      </c>
      <c r="B168" s="6">
        <f>'Daily Returns'!AP167*(1+'Daily Returns'!AK168)</f>
        <v>1.064883701</v>
      </c>
      <c r="D168" s="4">
        <f>'Daily Returns'!AQ167 * (1 + 'Daily Returns'!AJ168)</f>
        <v>1.085808403</v>
      </c>
      <c r="F168" s="5">
        <f>'Daily Returns'!AR167 * (1 +'Daily Returns'!AL168)</f>
        <v>1.055137876</v>
      </c>
      <c r="H168" s="5">
        <f>'Daily Returns'!AS167*(1+'Daily Returns'!AM168)</f>
        <v>1.091571871</v>
      </c>
      <c r="J168" s="5">
        <f>'Daily Returns'!AT167*(1+'Daily Returns'!AN168)</f>
        <v>1.001079194</v>
      </c>
      <c r="L168" s="5">
        <f>'Daily Returns'!AU167*(1+'Daily Returns'!AO168)</f>
        <v>0.9867618598</v>
      </c>
    </row>
    <row r="169" ht="15.75" customHeight="1">
      <c r="A169" s="9">
        <v>44074.0</v>
      </c>
      <c r="B169" s="6">
        <f>'Daily Returns'!AP168*(1+'Daily Returns'!AK169)</f>
        <v>1.05918451</v>
      </c>
      <c r="D169" s="4">
        <f>'Daily Returns'!AQ168 * (1 + 'Daily Returns'!AJ169)</f>
        <v>1.083425053</v>
      </c>
      <c r="F169" s="5">
        <f>'Daily Returns'!AR168 * (1 +'Daily Returns'!AL169)</f>
        <v>1.061404312</v>
      </c>
      <c r="H169" s="5">
        <f>'Daily Returns'!AS168*(1+'Daily Returns'!AM169)</f>
        <v>1.09918116</v>
      </c>
      <c r="J169" s="5">
        <f>'Daily Returns'!AT168*(1+'Daily Returns'!AN169)</f>
        <v>1.001837475</v>
      </c>
      <c r="L169" s="5">
        <f>'Daily Returns'!AU168*(1+'Daily Returns'!AO169)</f>
        <v>0.9874982775</v>
      </c>
    </row>
    <row r="170" ht="15.75" customHeight="1">
      <c r="A170" s="9">
        <v>44075.0</v>
      </c>
      <c r="B170" s="6">
        <f>'Daily Returns'!AP169*(1+'Daily Returns'!AK170)</f>
        <v>1.059125023</v>
      </c>
      <c r="D170" s="4">
        <f>'Daily Returns'!AQ169 * (1 + 'Daily Returns'!AJ170)</f>
        <v>1.091577827</v>
      </c>
      <c r="F170" s="5">
        <f>'Daily Returns'!AR169 * (1 +'Daily Returns'!AL170)</f>
        <v>1.05770611</v>
      </c>
      <c r="H170" s="5">
        <f>'Daily Returns'!AS169*(1+'Daily Returns'!AM170)</f>
        <v>1.096706691</v>
      </c>
      <c r="J170" s="5">
        <f>'Daily Returns'!AT169*(1+'Daily Returns'!AN170)</f>
        <v>1.011412871</v>
      </c>
      <c r="L170" s="5">
        <f>'Daily Returns'!AU169*(1+'Daily Returns'!AO170)</f>
        <v>0.9969197597</v>
      </c>
    </row>
    <row r="171" ht="15.75" customHeight="1">
      <c r="A171" s="9">
        <v>44076.0</v>
      </c>
      <c r="B171" s="6">
        <f>'Daily Returns'!AP170*(1+'Daily Returns'!AK171)</f>
        <v>1.069692304</v>
      </c>
      <c r="D171" s="4">
        <f>'Daily Returns'!AQ170 * (1 + 'Daily Returns'!AJ171)</f>
        <v>1.108351012</v>
      </c>
      <c r="F171" s="5">
        <f>'Daily Returns'!AR170 * (1 +'Daily Returns'!AL171)</f>
        <v>1.06674628</v>
      </c>
      <c r="H171" s="5">
        <f>'Daily Returns'!AS170*(1+'Daily Returns'!AM171)</f>
        <v>1.106418991</v>
      </c>
      <c r="J171" s="5">
        <f>'Daily Returns'!AT170*(1+'Daily Returns'!AN171)</f>
        <v>1.008221072</v>
      </c>
      <c r="L171" s="5">
        <f>'Daily Returns'!AU170*(1+'Daily Returns'!AO171)</f>
        <v>0.9939753809</v>
      </c>
    </row>
    <row r="172" ht="15.75" customHeight="1">
      <c r="A172" s="9">
        <v>44077.0</v>
      </c>
      <c r="B172" s="6">
        <f>'Daily Returns'!AP171*(1+'Daily Returns'!AK172)</f>
        <v>1.056458272</v>
      </c>
      <c r="D172" s="4">
        <f>'Daily Returns'!AQ171 * (1 + 'Daily Returns'!AJ172)</f>
        <v>1.069419074</v>
      </c>
      <c r="F172" s="5">
        <f>'Daily Returns'!AR171 * (1 +'Daily Returns'!AL172)</f>
        <v>1.0790739</v>
      </c>
      <c r="H172" s="5">
        <f>'Daily Returns'!AS171*(1+'Daily Returns'!AM172)</f>
        <v>1.121204556</v>
      </c>
      <c r="J172" s="5">
        <f>'Daily Returns'!AT171*(1+'Daily Returns'!AN172)</f>
        <v>1.005428346</v>
      </c>
      <c r="L172" s="5">
        <f>'Daily Returns'!AU171*(1+'Daily Returns'!AO172)</f>
        <v>0.9927979137</v>
      </c>
    </row>
    <row r="173" ht="15.75" customHeight="1">
      <c r="A173" s="9">
        <v>44078.0</v>
      </c>
      <c r="B173" s="6">
        <f>'Daily Returns'!AP172*(1+'Daily Returns'!AK173)</f>
        <v>1.050012986</v>
      </c>
      <c r="D173" s="4">
        <f>'Daily Returns'!AQ172 * (1 + 'Daily Returns'!AJ173)</f>
        <v>1.060721489</v>
      </c>
      <c r="F173" s="5">
        <f>'Daily Returns'!AR172 * (1 +'Daily Returns'!AL173)</f>
        <v>1.046200415</v>
      </c>
      <c r="H173" s="5">
        <f>'Daily Returns'!AS172*(1+'Daily Returns'!AM173)</f>
        <v>1.082230726</v>
      </c>
      <c r="J173" s="5">
        <f>'Daily Returns'!AT172*(1+'Daily Returns'!AN173)</f>
        <v>0.9926608045</v>
      </c>
      <c r="L173" s="5">
        <f>'Daily Returns'!AU172*(1+'Daily Returns'!AO173)</f>
        <v>0.9795488555</v>
      </c>
    </row>
    <row r="174" ht="15.75" customHeight="1">
      <c r="A174" s="9">
        <v>44082.0</v>
      </c>
      <c r="B174" s="6">
        <f>'Daily Returns'!AP173*(1+'Daily Returns'!AK174)</f>
        <v>1.040513511</v>
      </c>
      <c r="D174" s="4">
        <f>'Daily Returns'!AQ173 * (1 + 'Daily Returns'!AJ174)</f>
        <v>1.031280103</v>
      </c>
      <c r="F174" s="5">
        <f>'Daily Returns'!AR173 * (1 +'Daily Returns'!AL174)</f>
        <v>1.039111886</v>
      </c>
      <c r="H174" s="5">
        <f>'Daily Returns'!AS173*(1+'Daily Returns'!AM174)</f>
        <v>1.0730133</v>
      </c>
      <c r="J174" s="5">
        <f>'Daily Returns'!AT173*(1+'Daily Returns'!AN174)</f>
        <v>1.001039504</v>
      </c>
      <c r="L174" s="5">
        <f>'Daily Returns'!AU173*(1+'Daily Returns'!AO174)</f>
        <v>0.9877924828</v>
      </c>
    </row>
    <row r="175" ht="15.75" customHeight="1">
      <c r="A175" s="9">
        <v>44083.0</v>
      </c>
      <c r="B175" s="6">
        <f>'Daily Returns'!AP174*(1+'Daily Returns'!AK175)</f>
        <v>1.0531729</v>
      </c>
      <c r="D175" s="4">
        <f>'Daily Returns'!AQ174 * (1 + 'Daily Returns'!AJ175)</f>
        <v>1.052055241</v>
      </c>
      <c r="F175" s="5">
        <f>'Daily Returns'!AR174 * (1 +'Daily Returns'!AL175)</f>
        <v>1.014970696</v>
      </c>
      <c r="H175" s="5">
        <f>'Daily Returns'!AS174*(1+'Daily Returns'!AM175)</f>
        <v>1.04288564</v>
      </c>
      <c r="J175" s="5">
        <f>'Daily Returns'!AT174*(1+'Daily Returns'!AN175)</f>
        <v>1.005029361</v>
      </c>
      <c r="L175" s="5">
        <f>'Daily Returns'!AU174*(1+'Daily Returns'!AO175)</f>
        <v>0.991914458</v>
      </c>
    </row>
    <row r="176" ht="15.75" customHeight="1">
      <c r="A176" s="9">
        <v>44084.0</v>
      </c>
      <c r="B176" s="6">
        <f>'Daily Returns'!AP175*(1+'Daily Returns'!AK176)</f>
        <v>1.036976582</v>
      </c>
      <c r="D176" s="4">
        <f>'Daily Returns'!AQ175 * (1 + 'Daily Returns'!AJ176)</f>
        <v>1.033554849</v>
      </c>
      <c r="F176" s="5">
        <f>'Daily Returns'!AR175 * (1 +'Daily Returns'!AL176)</f>
        <v>1.033564583</v>
      </c>
      <c r="H176" s="5">
        <f>'Daily Returns'!AS175*(1+'Daily Returns'!AM176)</f>
        <v>1.063300392</v>
      </c>
      <c r="J176" s="5">
        <f>'Daily Returns'!AT175*(1+'Daily Returns'!AN176)</f>
        <v>0.9906659632</v>
      </c>
      <c r="L176" s="5">
        <f>'Daily Returns'!AU175*(1+'Daily Returns'!AO176)</f>
        <v>0.9774876741</v>
      </c>
    </row>
    <row r="177" ht="15.75" customHeight="1">
      <c r="A177" s="9">
        <v>44085.0</v>
      </c>
      <c r="B177" s="6">
        <f>'Daily Returns'!AP176*(1+'Daily Returns'!AK177)</f>
        <v>1.048445348</v>
      </c>
      <c r="D177" s="4">
        <f>'Daily Returns'!AQ176 * (1 + 'Daily Returns'!AJ177)</f>
        <v>1.034105734</v>
      </c>
      <c r="F177" s="5">
        <f>'Daily Returns'!AR176 * (1 +'Daily Returns'!AL177)</f>
        <v>1.018360434</v>
      </c>
      <c r="H177" s="5">
        <f>'Daily Returns'!AS176*(1+'Daily Returns'!AM177)</f>
        <v>1.045855084</v>
      </c>
      <c r="J177" s="5">
        <f>'Daily Returns'!AT176*(1+'Daily Returns'!AN177)</f>
        <v>0.9759036669</v>
      </c>
      <c r="L177" s="5">
        <f>'Daily Returns'!AU176*(1+'Daily Returns'!AO177)</f>
        <v>0.9639442168</v>
      </c>
    </row>
    <row r="178" ht="15.75" customHeight="1">
      <c r="A178" s="9">
        <v>44088.0</v>
      </c>
      <c r="B178" s="6">
        <f>'Daily Returns'!AP177*(1+'Daily Returns'!AK178)</f>
        <v>1.054969349</v>
      </c>
      <c r="D178" s="4">
        <f>'Daily Returns'!AQ177 * (1 + 'Daily Returns'!AJ178)</f>
        <v>1.047282309</v>
      </c>
      <c r="F178" s="5">
        <f>'Daily Returns'!AR177 * (1 +'Daily Returns'!AL178)</f>
        <v>1.021031376</v>
      </c>
      <c r="H178" s="5">
        <f>'Daily Returns'!AS177*(1+'Daily Returns'!AM178)</f>
        <v>1.046226543</v>
      </c>
      <c r="J178" s="5">
        <f>'Daily Returns'!AT177*(1+'Daily Returns'!AN178)</f>
        <v>0.9687221857</v>
      </c>
      <c r="L178" s="5">
        <f>'Daily Returns'!AU177*(1+'Daily Returns'!AO178)</f>
        <v>0.9559947947</v>
      </c>
    </row>
    <row r="179" ht="15.75" customHeight="1">
      <c r="A179" s="9">
        <v>44089.0</v>
      </c>
      <c r="B179" s="6">
        <f>'Daily Returns'!AP178*(1+'Daily Returns'!AK179)</f>
        <v>1.054193716</v>
      </c>
      <c r="D179" s="4">
        <f>'Daily Returns'!AQ178 * (1 + 'Daily Returns'!AJ179)</f>
        <v>1.052748076</v>
      </c>
      <c r="F179" s="5">
        <f>'Daily Returns'!AR178 * (1 +'Daily Returns'!AL179)</f>
        <v>1.034591927</v>
      </c>
      <c r="H179" s="5">
        <f>'Daily Returns'!AS178*(1+'Daily Returns'!AM179)</f>
        <v>1.062558183</v>
      </c>
      <c r="J179" s="5">
        <f>'Daily Returns'!AT178*(1+'Daily Returns'!AN179)</f>
        <v>0.987075005</v>
      </c>
      <c r="L179" s="5">
        <f>'Daily Returns'!AU178*(1+'Daily Returns'!AO179)</f>
        <v>0.9739543679</v>
      </c>
    </row>
    <row r="180" ht="15.75" customHeight="1">
      <c r="A180" s="9">
        <v>44090.0</v>
      </c>
      <c r="B180" s="6">
        <f>'Daily Returns'!AP179*(1+'Daily Returns'!AK180)</f>
        <v>1.056345167</v>
      </c>
      <c r="D180" s="4">
        <f>'Daily Returns'!AQ179 * (1 + 'Daily Returns'!AJ180)</f>
        <v>1.047885432</v>
      </c>
      <c r="F180" s="5">
        <f>'Daily Returns'!AR179 * (1 +'Daily Returns'!AL180)</f>
        <v>1.040755653</v>
      </c>
      <c r="H180" s="5">
        <f>'Daily Returns'!AS179*(1+'Daily Returns'!AM180)</f>
        <v>1.06862079</v>
      </c>
      <c r="J180" s="5">
        <f>'Daily Returns'!AT179*(1+'Daily Returns'!AN180)</f>
        <v>0.9739087385</v>
      </c>
      <c r="L180" s="5">
        <f>'Daily Returns'!AU179*(1+'Daily Returns'!AO180)</f>
        <v>0.9621778221</v>
      </c>
    </row>
    <row r="181" ht="15.75" customHeight="1">
      <c r="A181" s="9">
        <v>44091.0</v>
      </c>
      <c r="B181" s="6">
        <f>'Daily Returns'!AP180*(1+'Daily Returns'!AK181)</f>
        <v>1.049628865</v>
      </c>
      <c r="D181" s="4">
        <f>'Daily Returns'!AQ180 * (1 + 'Daily Returns'!AJ181)</f>
        <v>1.03907062</v>
      </c>
      <c r="F181" s="5">
        <f>'Daily Returns'!AR180 * (1 +'Daily Returns'!AL181)</f>
        <v>1.037365578</v>
      </c>
      <c r="H181" s="5">
        <f>'Daily Returns'!AS180*(1+'Daily Returns'!AM181)</f>
        <v>1.065094613</v>
      </c>
      <c r="J181" s="5">
        <f>'Daily Returns'!AT180*(1+'Daily Returns'!AN181)</f>
        <v>0.9774998707</v>
      </c>
      <c r="L181" s="5">
        <f>'Daily Returns'!AU180*(1+'Daily Returns'!AO181)</f>
        <v>0.9636499469</v>
      </c>
    </row>
    <row r="182" ht="15.75" customHeight="1">
      <c r="A182" s="9">
        <v>44092.0</v>
      </c>
      <c r="B182" s="6">
        <f>'Daily Returns'!AP181*(1+'Daily Returns'!AK182)</f>
        <v>1.044618911</v>
      </c>
      <c r="D182" s="4">
        <f>'Daily Returns'!AQ181 * (1 + 'Daily Returns'!AJ182)</f>
        <v>1.027450693</v>
      </c>
      <c r="F182" s="5">
        <f>'Daily Returns'!AR181 * (1 +'Daily Returns'!AL182)</f>
        <v>1.031099059</v>
      </c>
      <c r="H182" s="5">
        <f>'Daily Returns'!AS181*(1+'Daily Returns'!AM182)</f>
        <v>1.056310099</v>
      </c>
      <c r="J182" s="5">
        <f>'Daily Returns'!AT181*(1+'Daily Returns'!AN182)</f>
        <v>0.9842822792</v>
      </c>
      <c r="L182" s="5">
        <f>'Daily Returns'!AU181*(1+'Daily Returns'!AO182)</f>
        <v>0.9724823078</v>
      </c>
    </row>
    <row r="183" ht="15.75" customHeight="1">
      <c r="A183" s="9">
        <v>44095.0</v>
      </c>
      <c r="B183" s="6">
        <f>'Daily Returns'!AP182*(1+'Daily Returns'!AK183)</f>
        <v>1.031202025</v>
      </c>
      <c r="D183" s="4">
        <f>'Daily Returns'!AQ182 * (1 + 'Daily Returns'!AJ183)</f>
        <v>1.015562061</v>
      </c>
      <c r="F183" s="5">
        <f>'Daily Returns'!AR182 * (1 +'Daily Returns'!AL183)</f>
        <v>1.022264391</v>
      </c>
      <c r="H183" s="5">
        <f>'Daily Returns'!AS182*(1+'Daily Returns'!AM183)</f>
        <v>1.046040965</v>
      </c>
      <c r="J183" s="5">
        <f>'Daily Returns'!AT182*(1+'Daily Returns'!AN183)</f>
        <v>0.9882721361</v>
      </c>
      <c r="L183" s="5">
        <f>'Daily Returns'!AU182*(1+'Daily Returns'!AO183)</f>
        <v>0.9766043476</v>
      </c>
    </row>
    <row r="184" ht="15.75" customHeight="1">
      <c r="A184" s="9">
        <v>44096.0</v>
      </c>
      <c r="B184" s="6">
        <f>'Daily Returns'!AP183*(1+'Daily Returns'!AK184)</f>
        <v>1.036474619</v>
      </c>
      <c r="D184" s="4">
        <f>'Daily Returns'!AQ183 * (1 + 'Daily Returns'!AJ184)</f>
        <v>1.026243743</v>
      </c>
      <c r="F184" s="5">
        <f>'Daily Returns'!AR183 * (1 +'Daily Returns'!AL184)</f>
        <v>1.005211141</v>
      </c>
      <c r="H184" s="5">
        <f>'Daily Returns'!AS183*(1+'Daily Returns'!AM184)</f>
        <v>1.033420878</v>
      </c>
      <c r="J184" s="5">
        <f>'Daily Returns'!AT183*(1+'Daily Returns'!AN184)</f>
        <v>0.978297581</v>
      </c>
      <c r="L184" s="5">
        <f>'Daily Returns'!AU183*(1+'Daily Returns'!AO184)</f>
        <v>0.9680659981</v>
      </c>
    </row>
    <row r="185" ht="15.75" customHeight="1">
      <c r="A185" s="9">
        <v>44097.0</v>
      </c>
      <c r="B185" s="6">
        <f>'Daily Returns'!AP184*(1+'Daily Returns'!AK185)</f>
        <v>1.023573003</v>
      </c>
      <c r="D185" s="4">
        <f>'Daily Returns'!AQ184 * (1 + 'Daily Returns'!AJ185)</f>
        <v>1.001900215</v>
      </c>
      <c r="F185" s="5">
        <f>'Daily Returns'!AR184 * (1 +'Daily Returns'!AL185)</f>
        <v>1.011991374</v>
      </c>
      <c r="H185" s="5">
        <f>'Daily Returns'!AS184*(1+'Daily Returns'!AM185)</f>
        <v>1.043690316</v>
      </c>
      <c r="J185" s="5">
        <f>'Daily Returns'!AT184*(1+'Daily Returns'!AN185)</f>
        <v>0.9755047682</v>
      </c>
      <c r="L185" s="5">
        <f>'Daily Returns'!AU184*(1+'Daily Returns'!AO185)</f>
        <v>0.9651218132</v>
      </c>
    </row>
    <row r="186" ht="15.75" customHeight="1">
      <c r="A186" s="9">
        <v>44098.0</v>
      </c>
      <c r="B186" s="6">
        <f>'Daily Returns'!AP185*(1+'Daily Returns'!AK186)</f>
        <v>1.02821691</v>
      </c>
      <c r="D186" s="4">
        <f>'Daily Returns'!AQ185 * (1 + 'Daily Returns'!AJ186)</f>
        <v>1.004892891</v>
      </c>
      <c r="F186" s="5">
        <f>'Daily Returns'!AR185 * (1 +'Daily Returns'!AL186)</f>
        <v>0.9918564295</v>
      </c>
      <c r="H186" s="5">
        <f>'Daily Returns'!AS185*(1+'Daily Returns'!AM186)</f>
        <v>1.018511898</v>
      </c>
      <c r="J186" s="5">
        <f>'Daily Returns'!AT185*(1+'Daily Returns'!AN186)</f>
        <v>0.9723128828</v>
      </c>
      <c r="L186" s="5">
        <f>'Daily Returns'!AU185*(1+'Daily Returns'!AO186)</f>
        <v>0.9612944956</v>
      </c>
    </row>
    <row r="187" ht="15.75" customHeight="1">
      <c r="A187" s="9">
        <v>44099.0</v>
      </c>
      <c r="B187" s="6">
        <f>'Daily Returns'!AP186*(1+'Daily Returns'!AK187)</f>
        <v>1.033404506</v>
      </c>
      <c r="D187" s="4">
        <f>'Daily Returns'!AQ186 * (1 + 'Daily Returns'!AJ187)</f>
        <v>1.020948065</v>
      </c>
      <c r="F187" s="5">
        <f>'Daily Returns'!AR186 * (1 +'Daily Returns'!AL187)</f>
        <v>0.9941162827</v>
      </c>
      <c r="H187" s="5">
        <f>'Daily Returns'!AS186*(1+'Daily Returns'!AM187)</f>
        <v>1.020677173</v>
      </c>
      <c r="J187" s="5">
        <f>'Daily Returns'!AT186*(1+'Daily Returns'!AN187)</f>
        <v>0.9627373134</v>
      </c>
      <c r="L187" s="5">
        <f>'Daily Returns'!AU186*(1+'Daily Returns'!AO187)</f>
        <v>0.9495173037</v>
      </c>
    </row>
    <row r="188" ht="15.75" customHeight="1">
      <c r="A188" s="9">
        <v>44102.0</v>
      </c>
      <c r="B188" s="6">
        <f>'Daily Returns'!AP187*(1+'Daily Returns'!AK188)</f>
        <v>1.035694786</v>
      </c>
      <c r="D188" s="4">
        <f>'Daily Returns'!AQ187 * (1 + 'Daily Returns'!AJ188)</f>
        <v>1.037396559</v>
      </c>
      <c r="F188" s="5">
        <f>'Daily Returns'!AR187 * (1 +'Daily Returns'!AL188)</f>
        <v>1.006341194</v>
      </c>
      <c r="H188" s="5">
        <f>'Daily Returns'!AS187*(1+'Daily Returns'!AM188)</f>
        <v>1.037100944</v>
      </c>
      <c r="J188" s="5">
        <f>'Daily Returns'!AT187*(1+'Daily Returns'!AN188)</f>
        <v>0.9727119555</v>
      </c>
      <c r="L188" s="5">
        <f>'Daily Returns'!AU187*(1+'Daily Returns'!AO188)</f>
        <v>0.959822177</v>
      </c>
    </row>
    <row r="189" ht="15.75" customHeight="1">
      <c r="A189" s="9">
        <v>44103.0</v>
      </c>
      <c r="B189" s="6">
        <f>'Daily Returns'!AP188*(1+'Daily Returns'!AK189)</f>
        <v>1.031498864</v>
      </c>
      <c r="D189" s="4">
        <f>'Daily Returns'!AQ188 * (1 + 'Daily Returns'!AJ189)</f>
        <v>1.03240357</v>
      </c>
      <c r="F189" s="5">
        <f>'Daily Returns'!AR188 * (1 +'Daily Returns'!AL189)</f>
        <v>1.022572518</v>
      </c>
      <c r="H189" s="5">
        <f>'Daily Returns'!AS188*(1+'Daily Returns'!AM189)</f>
        <v>1.055922138</v>
      </c>
      <c r="J189" s="5">
        <f>'Daily Returns'!AT188*(1+'Daily Returns'!AN189)</f>
        <v>0.9575504995</v>
      </c>
      <c r="L189" s="5">
        <f>'Daily Returns'!AU188*(1+'Daily Returns'!AO189)</f>
        <v>0.9415680109</v>
      </c>
    </row>
    <row r="190" ht="15.75" customHeight="1">
      <c r="A190" s="9">
        <v>44104.0</v>
      </c>
      <c r="B190" s="6">
        <f>'Daily Returns'!AP189*(1+'Daily Returns'!AK190)</f>
        <v>1.032208124</v>
      </c>
      <c r="D190" s="4">
        <f>'Daily Returns'!AQ189 * (1 + 'Daily Returns'!AJ190)</f>
        <v>1.040925029</v>
      </c>
      <c r="F190" s="5">
        <f>'Daily Returns'!AR189 * (1 +'Daily Returns'!AL190)</f>
        <v>1.019182444</v>
      </c>
      <c r="H190" s="5">
        <f>'Daily Returns'!AS189*(1+'Daily Returns'!AM190)</f>
        <v>1.050020912</v>
      </c>
      <c r="J190" s="5">
        <f>'Daily Returns'!AT189*(1+'Daily Returns'!AN190)</f>
        <v>0.961939429</v>
      </c>
      <c r="L190" s="5">
        <f>'Daily Returns'!AU189*(1+'Daily Returns'!AO190)</f>
        <v>0.9456897922</v>
      </c>
    </row>
    <row r="191" ht="15.75" customHeight="1">
      <c r="A191" s="9">
        <v>44105.0</v>
      </c>
      <c r="B191" s="6">
        <f>'Daily Returns'!AP190*(1+'Daily Returns'!AK191)</f>
        <v>1.031646775</v>
      </c>
      <c r="D191" s="4">
        <f>'Daily Returns'!AQ190 * (1 + 'Daily Returns'!AJ191)</f>
        <v>1.046434645</v>
      </c>
      <c r="F191" s="5">
        <f>'Daily Returns'!AR190 * (1 +'Daily Returns'!AL191)</f>
        <v>1.022367016</v>
      </c>
      <c r="H191" s="5">
        <f>'Daily Returns'!AS190*(1+'Daily Returns'!AM191)</f>
        <v>1.057909833</v>
      </c>
      <c r="J191" s="5">
        <f>'Daily Returns'!AT190*(1+'Daily Returns'!AN191)</f>
        <v>0.9715148244</v>
      </c>
      <c r="L191" s="5">
        <f>'Daily Returns'!AU190*(1+'Daily Returns'!AO191)</f>
        <v>0.9548170045</v>
      </c>
    </row>
    <row r="192" ht="15.75" customHeight="1">
      <c r="A192" s="9">
        <v>44106.0</v>
      </c>
      <c r="B192" s="6">
        <f>'Daily Returns'!AP191*(1+'Daily Returns'!AK192)</f>
        <v>1.034355928</v>
      </c>
      <c r="D192" s="4">
        <f>'Daily Returns'!AQ191 * (1 + 'Daily Returns'!AJ192)</f>
        <v>1.036418172</v>
      </c>
      <c r="F192" s="5">
        <f>'Daily Returns'!AR191 * (1 +'Daily Returns'!AL192)</f>
        <v>1.028633619</v>
      </c>
      <c r="H192" s="5">
        <f>'Daily Returns'!AS191*(1+'Daily Returns'!AM192)</f>
        <v>1.066730389</v>
      </c>
      <c r="J192" s="5">
        <f>'Daily Returns'!AT191*(1+'Daily Returns'!AN192)</f>
        <v>0.9822874379</v>
      </c>
      <c r="L192" s="5">
        <f>'Daily Returns'!AU191*(1+'Daily Returns'!AO192)</f>
        <v>0.9657107406</v>
      </c>
    </row>
    <row r="193" ht="15.75" customHeight="1">
      <c r="A193" s="9">
        <v>44109.0</v>
      </c>
      <c r="B193" s="6">
        <f>'Daily Returns'!AP192*(1+'Daily Returns'!AK193)</f>
        <v>1.046240929</v>
      </c>
      <c r="D193" s="4">
        <f>'Daily Returns'!AQ192 * (1 + 'Daily Returns'!AJ193)</f>
        <v>1.055048826</v>
      </c>
      <c r="F193" s="5">
        <f>'Daily Returns'!AR192 * (1 +'Daily Returns'!AL193)</f>
        <v>1.021134254</v>
      </c>
      <c r="H193" s="5">
        <f>'Daily Returns'!AS192*(1+'Daily Returns'!AM193)</f>
        <v>1.058406732</v>
      </c>
      <c r="J193" s="5">
        <f>'Daily Returns'!AT192*(1+'Daily Returns'!AN193)</f>
        <v>0.979494451</v>
      </c>
      <c r="L193" s="5">
        <f>'Daily Returns'!AU192*(1+'Daily Returns'!AO193)</f>
        <v>0.9645331442</v>
      </c>
    </row>
    <row r="194" ht="15.75" customHeight="1">
      <c r="A194" s="9">
        <v>44110.0</v>
      </c>
      <c r="B194" s="6">
        <f>'Daily Returns'!AP193*(1+'Daily Returns'!AK194)</f>
        <v>1.037748071</v>
      </c>
      <c r="D194" s="4">
        <f>'Daily Returns'!AQ193 * (1 + 'Daily Returns'!AJ194)</f>
        <v>1.040290803</v>
      </c>
      <c r="F194" s="5">
        <f>'Daily Returns'!AR193 * (1 +'Daily Returns'!AL194)</f>
        <v>1.039420266</v>
      </c>
      <c r="H194" s="5">
        <f>'Daily Returns'!AS193*(1+'Daily Returns'!AM194)</f>
        <v>1.077476578</v>
      </c>
      <c r="J194" s="5">
        <f>'Daily Returns'!AT193*(1+'Daily Returns'!AN194)</f>
        <v>0.9727119555</v>
      </c>
      <c r="L194" s="5">
        <f>'Daily Returns'!AU193*(1+'Daily Returns'!AO194)</f>
        <v>0.9589514482</v>
      </c>
    </row>
    <row r="195" ht="15.75" customHeight="1">
      <c r="A195" s="9">
        <v>44111.0</v>
      </c>
      <c r="B195" s="6">
        <f>'Daily Returns'!AP194*(1+'Daily Returns'!AK195)</f>
        <v>1.049558602</v>
      </c>
      <c r="D195" s="4">
        <f>'Daily Returns'!AQ194 * (1 + 'Daily Returns'!AJ195)</f>
        <v>1.058398104</v>
      </c>
      <c r="F195" s="5">
        <f>'Daily Returns'!AR194 * (1 +'Daily Returns'!AL195)</f>
        <v>1.026989937</v>
      </c>
      <c r="H195" s="5">
        <f>'Daily Returns'!AS194*(1+'Daily Returns'!AM195)</f>
        <v>1.064183632</v>
      </c>
      <c r="J195" s="5">
        <f>'Daily Returns'!AT194*(1+'Daily Returns'!AN195)</f>
        <v>0.9755047682</v>
      </c>
      <c r="L195" s="5">
        <f>'Daily Returns'!AU194*(1+'Daily Returns'!AO195)</f>
        <v>0.9619205055</v>
      </c>
    </row>
    <row r="196" ht="15.75" customHeight="1">
      <c r="A196" s="9">
        <v>44112.0</v>
      </c>
      <c r="B196" s="6">
        <f>'Daily Returns'!AP195*(1+'Daily Returns'!AK196)</f>
        <v>1.056708528</v>
      </c>
      <c r="D196" s="4">
        <f>'Daily Returns'!AQ195 * (1 + 'Daily Returns'!AJ196)</f>
        <v>1.066872698</v>
      </c>
      <c r="F196" s="5">
        <f>'Daily Returns'!AR195 * (1 +'Daily Returns'!AL196)</f>
        <v>1.041269283</v>
      </c>
      <c r="H196" s="5">
        <f>'Daily Returns'!AS195*(1+'Daily Returns'!AM196)</f>
        <v>1.082756479</v>
      </c>
      <c r="J196" s="5">
        <f>'Daily Returns'!AT195*(1+'Daily Returns'!AN196)</f>
        <v>0.977100711</v>
      </c>
      <c r="L196" s="5">
        <f>'Daily Returns'!AU195*(1+'Daily Returns'!AO196)</f>
        <v>0.9631079217</v>
      </c>
    </row>
    <row r="197" ht="15.75" customHeight="1">
      <c r="A197" s="9">
        <v>44113.0</v>
      </c>
      <c r="B197" s="6">
        <f>'Daily Returns'!AP196*(1+'Daily Returns'!AK197)</f>
        <v>1.062916481</v>
      </c>
      <c r="D197" s="4">
        <f>'Daily Returns'!AQ196 * (1 + 'Daily Returns'!AJ197)</f>
        <v>1.076251576</v>
      </c>
      <c r="F197" s="5">
        <f>'Daily Returns'!AR196 * (1 +'Daily Returns'!AL197)</f>
        <v>1.048974066</v>
      </c>
      <c r="H197" s="5">
        <f>'Daily Returns'!AS196*(1+'Daily Returns'!AM197)</f>
        <v>1.092260624</v>
      </c>
      <c r="J197" s="5">
        <f>'Daily Returns'!AT196*(1+'Daily Returns'!AN197)</f>
        <v>0.9902669775</v>
      </c>
      <c r="L197" s="5">
        <f>'Daily Returns'!AU196*(1+'Daily Returns'!AO197)</f>
        <v>0.975873938</v>
      </c>
    </row>
    <row r="198" ht="15.75" customHeight="1">
      <c r="A198" s="9">
        <v>44116.0</v>
      </c>
      <c r="B198" s="6">
        <f>'Daily Returns'!AP197*(1+'Daily Returns'!AK198)</f>
        <v>1.077992447</v>
      </c>
      <c r="D198" s="4">
        <f>'Daily Returns'!AQ197 * (1 + 'Daily Returns'!AJ198)</f>
        <v>1.09392255</v>
      </c>
      <c r="F198" s="5">
        <f>'Daily Returns'!AR197 * (1 +'Daily Returns'!AL198)</f>
        <v>1.057089687</v>
      </c>
      <c r="H198" s="5">
        <f>'Daily Returns'!AS197*(1+'Daily Returns'!AM198)</f>
        <v>1.101453752</v>
      </c>
      <c r="J198" s="5">
        <f>'Daily Returns'!AT197*(1+'Daily Returns'!AN198)</f>
        <v>0.979494451</v>
      </c>
      <c r="L198" s="5">
        <f>'Daily Returns'!AU197*(1+'Daily Returns'!AO198)</f>
        <v>0.9663738331</v>
      </c>
    </row>
    <row r="199" ht="15.75" customHeight="1">
      <c r="A199" s="9">
        <v>44117.0</v>
      </c>
      <c r="B199" s="6">
        <f>'Daily Returns'!AP198*(1+'Daily Returns'!AK199)</f>
        <v>1.071871795</v>
      </c>
      <c r="D199" s="4">
        <f>'Daily Returns'!AQ198 * (1 + 'Daily Returns'!AJ199)</f>
        <v>1.087023181</v>
      </c>
      <c r="F199" s="5">
        <f>'Daily Returns'!AR198 * (1 +'Daily Returns'!AL199)</f>
        <v>1.070444566</v>
      </c>
      <c r="H199" s="5">
        <f>'Daily Returns'!AS198*(1+'Daily Returns'!AM199)</f>
        <v>1.117790252</v>
      </c>
      <c r="J199" s="5">
        <f>'Daily Returns'!AT198*(1+'Daily Returns'!AN199)</f>
        <v>0.9926608045</v>
      </c>
      <c r="L199" s="5">
        <f>'Daily Returns'!AU198*(1+'Daily Returns'!AO199)</f>
        <v>0.9770616772</v>
      </c>
    </row>
    <row r="200" ht="15.75" customHeight="1">
      <c r="A200" s="9">
        <v>44118.0</v>
      </c>
      <c r="B200" s="6">
        <f>'Daily Returns'!AP199*(1+'Daily Returns'!AK200)</f>
        <v>1.077402289</v>
      </c>
      <c r="D200" s="4">
        <f>'Daily Returns'!AQ199 * (1 + 'Daily Returns'!AJ200)</f>
        <v>1.079823826</v>
      </c>
      <c r="F200" s="5">
        <f>'Daily Returns'!AR199 * (1 +'Daily Returns'!AL200)</f>
        <v>1.063972713</v>
      </c>
      <c r="H200" s="5">
        <f>'Daily Returns'!AS199*(1+'Daily Returns'!AM200)</f>
        <v>1.111889228</v>
      </c>
      <c r="J200" s="5">
        <f>'Daily Returns'!AT199*(1+'Daily Returns'!AN200)</f>
        <v>0.9990444014</v>
      </c>
      <c r="L200" s="5">
        <f>'Daily Returns'!AU199*(1+'Daily Returns'!AO200)</f>
        <v>0.9844839976</v>
      </c>
    </row>
    <row r="201" ht="15.75" customHeight="1">
      <c r="A201" s="9">
        <v>44119.0</v>
      </c>
      <c r="B201" s="6">
        <f>'Daily Returns'!AP200*(1+'Daily Returns'!AK201)</f>
        <v>1.075061311</v>
      </c>
      <c r="D201" s="4">
        <f>'Daily Returns'!AQ200 * (1 + 'Daily Returns'!AJ201)</f>
        <v>1.078173856</v>
      </c>
      <c r="F201" s="5">
        <f>'Daily Returns'!AR200 * (1 +'Daily Returns'!AL201)</f>
        <v>1.057397982</v>
      </c>
      <c r="H201" s="5">
        <f>'Daily Returns'!AS200*(1+'Daily Returns'!AM201)</f>
        <v>1.104497306</v>
      </c>
      <c r="J201" s="5">
        <f>'Daily Returns'!AT200*(1+'Daily Returns'!AN201)</f>
        <v>0.9986455898</v>
      </c>
      <c r="L201" s="5">
        <f>'Daily Returns'!AU200*(1+'Daily Returns'!AO201)</f>
        <v>0.985671543</v>
      </c>
    </row>
    <row r="202" ht="15.75" customHeight="1">
      <c r="A202" s="9">
        <v>44120.0</v>
      </c>
      <c r="B202" s="6">
        <f>'Daily Returns'!AP201*(1+'Daily Returns'!AK202)</f>
        <v>1.076127089</v>
      </c>
      <c r="D202" s="4">
        <f>'Daily Returns'!AQ201 * (1 + 'Daily Returns'!AJ202)</f>
        <v>1.078319409</v>
      </c>
      <c r="F202" s="5">
        <f>'Daily Returns'!AR201 * (1 +'Daily Returns'!AL202)</f>
        <v>1.052980564</v>
      </c>
      <c r="H202" s="5">
        <f>'Daily Returns'!AS201*(1+'Daily Returns'!AM202)</f>
        <v>1.10486998</v>
      </c>
      <c r="J202" s="5">
        <f>'Daily Returns'!AT201*(1+'Daily Returns'!AN202)</f>
        <v>0.994655733</v>
      </c>
      <c r="L202" s="5">
        <f>'Daily Returns'!AU201*(1+'Daily Returns'!AO202)</f>
        <v>0.9829995335</v>
      </c>
    </row>
    <row r="203" ht="15.75" customHeight="1">
      <c r="A203" s="9">
        <v>44123.0</v>
      </c>
      <c r="B203" s="6">
        <f>'Daily Returns'!AP202*(1+'Daily Returns'!AK203)</f>
        <v>1.070066702</v>
      </c>
      <c r="D203" s="4">
        <f>'Daily Returns'!AQ202 * (1 + 'Daily Returns'!AJ203)</f>
        <v>1.060710453</v>
      </c>
      <c r="F203" s="5">
        <f>'Daily Returns'!AR202 * (1 +'Daily Returns'!AL203)</f>
        <v>1.054213326</v>
      </c>
      <c r="H203" s="5">
        <f>'Daily Returns'!AS202*(1+'Daily Returns'!AM203)</f>
        <v>1.102882386</v>
      </c>
      <c r="J203" s="5">
        <f>'Daily Returns'!AT202*(1+'Daily Returns'!AN203)</f>
        <v>0.9910648618</v>
      </c>
      <c r="L203" s="5">
        <f>'Daily Returns'!AU202*(1+'Daily Returns'!AO203)</f>
        <v>0.9791397848</v>
      </c>
    </row>
    <row r="204" ht="15.75" customHeight="1">
      <c r="A204" s="9">
        <v>44124.0</v>
      </c>
      <c r="B204" s="6">
        <f>'Daily Returns'!AP203*(1+'Daily Returns'!AK204)</f>
        <v>1.0669893</v>
      </c>
      <c r="D204" s="4">
        <f>'Daily Returns'!AQ203 * (1 + 'Daily Returns'!AJ204)</f>
        <v>1.065724431</v>
      </c>
      <c r="F204" s="5">
        <f>'Daily Returns'!AR203 * (1 +'Daily Returns'!AL204)</f>
        <v>1.041577494</v>
      </c>
      <c r="H204" s="5">
        <f>'Daily Returns'!AS203*(1+'Daily Returns'!AM204)</f>
        <v>1.087104644</v>
      </c>
      <c r="J204" s="5">
        <f>'Daily Returns'!AT203*(1+'Daily Returns'!AN204)</f>
        <v>0.994655733</v>
      </c>
      <c r="L204" s="5">
        <f>'Daily Returns'!AU203*(1+'Daily Returns'!AO204)</f>
        <v>0.9821086483</v>
      </c>
    </row>
    <row r="205" ht="15.75" customHeight="1">
      <c r="A205" s="9">
        <v>44125.0</v>
      </c>
      <c r="B205" s="6">
        <f>'Daily Returns'!AP204*(1+'Daily Returns'!AK205)</f>
        <v>1.066279441</v>
      </c>
      <c r="D205" s="4">
        <f>'Daily Returns'!AQ204 * (1 + 'Daily Returns'!AJ205)</f>
        <v>1.063384101</v>
      </c>
      <c r="F205" s="5">
        <f>'Daily Returns'!AR204 * (1 +'Daily Returns'!AL205)</f>
        <v>1.046303124</v>
      </c>
      <c r="H205" s="5">
        <f>'Daily Returns'!AS204*(1+'Daily Returns'!AM205)</f>
        <v>1.090893849</v>
      </c>
      <c r="J205" s="5">
        <f>'Daily Returns'!AT204*(1+'Daily Returns'!AN205)</f>
        <v>0.9902669775</v>
      </c>
      <c r="L205" s="5">
        <f>'Daily Returns'!AU204*(1+'Daily Returns'!AO205)</f>
        <v>0.977952304</v>
      </c>
    </row>
    <row r="206" ht="15.75" customHeight="1">
      <c r="A206" s="9">
        <v>44126.0</v>
      </c>
      <c r="B206" s="6">
        <f>'Daily Returns'!AP205*(1+'Daily Returns'!AK206)</f>
        <v>1.074350564</v>
      </c>
      <c r="D206" s="4">
        <f>'Daily Returns'!AQ205 * (1 + 'Daily Returns'!AJ206)</f>
        <v>1.068933902</v>
      </c>
      <c r="F206" s="5">
        <f>'Daily Returns'!AR205 * (1 +'Daily Returns'!AL206)</f>
        <v>1.042091292</v>
      </c>
      <c r="H206" s="5">
        <f>'Daily Returns'!AS205*(1+'Daily Returns'!AM206)</f>
        <v>1.087166807</v>
      </c>
      <c r="J206" s="5">
        <f>'Daily Returns'!AT205*(1+'Daily Returns'!AN206)</f>
        <v>0.9810904808</v>
      </c>
      <c r="L206" s="5">
        <f>'Daily Returns'!AU205*(1+'Daily Returns'!AO206)</f>
        <v>0.9690457134</v>
      </c>
    </row>
    <row r="207" ht="15.75" customHeight="1">
      <c r="A207" s="9">
        <v>44127.0</v>
      </c>
      <c r="B207" s="6">
        <f>'Daily Returns'!AP206*(1+'Daily Returns'!AK207)</f>
        <v>1.077407532</v>
      </c>
      <c r="D207" s="4">
        <f>'Daily Returns'!AQ206 * (1 + 'Daily Returns'!AJ207)</f>
        <v>1.072617448</v>
      </c>
      <c r="F207" s="5">
        <f>'Daily Returns'!AR206 * (1 +'Daily Returns'!AL207)</f>
        <v>1.046303124</v>
      </c>
      <c r="H207" s="5">
        <f>'Daily Returns'!AS206*(1+'Daily Returns'!AM207)</f>
        <v>1.09486924</v>
      </c>
      <c r="J207" s="5">
        <f>'Daily Returns'!AT206*(1+'Daily Returns'!AN207)</f>
        <v>0.9786963056</v>
      </c>
      <c r="L207" s="5">
        <f>'Daily Returns'!AU206*(1+'Daily Returns'!AO207)</f>
        <v>0.9684519407</v>
      </c>
    </row>
    <row r="208" ht="15.75" customHeight="1">
      <c r="A208" s="9">
        <v>44130.0</v>
      </c>
      <c r="B208" s="6">
        <f>'Daily Returns'!AP207*(1+'Daily Returns'!AK208)</f>
        <v>1.06504845</v>
      </c>
      <c r="D208" s="4">
        <f>'Daily Returns'!AQ207 * (1 + 'Daily Returns'!AJ208)</f>
        <v>1.05267749</v>
      </c>
      <c r="F208" s="5">
        <f>'Daily Returns'!AR207 * (1 +'Daily Returns'!AL208)</f>
        <v>1.051336797</v>
      </c>
      <c r="H208" s="5">
        <f>'Daily Returns'!AS207*(1+'Daily Returns'!AM208)</f>
        <v>1.098472057</v>
      </c>
      <c r="J208" s="5">
        <f>'Daily Returns'!AT207*(1+'Daily Returns'!AN208)</f>
        <v>0.9735097528</v>
      </c>
      <c r="L208" s="5">
        <f>'Daily Returns'!AU207*(1+'Daily Returns'!AO208)</f>
        <v>0.9654830772</v>
      </c>
    </row>
    <row r="209" ht="15.75" customHeight="1">
      <c r="A209" s="9">
        <v>44131.0</v>
      </c>
      <c r="B209" s="6">
        <f>'Daily Returns'!AP208*(1+'Daily Returns'!AK209)</f>
        <v>1.06424211</v>
      </c>
      <c r="D209" s="4">
        <f>'Daily Returns'!AQ208 * (1 + 'Daily Returns'!AJ209)</f>
        <v>1.049492088</v>
      </c>
      <c r="F209" s="5">
        <f>'Daily Returns'!AR208 * (1 +'Daily Returns'!AL209)</f>
        <v>1.032023778</v>
      </c>
      <c r="H209" s="5">
        <f>'Daily Returns'!AS208*(1+'Daily Returns'!AM209)</f>
        <v>1.078532538</v>
      </c>
      <c r="J209" s="5">
        <f>'Daily Returns'!AT208*(1+'Daily Returns'!AN209)</f>
        <v>0.978297581</v>
      </c>
      <c r="L209" s="5">
        <f>'Daily Returns'!AU208*(1+'Daily Returns'!AO209)</f>
        <v>0.9681551512</v>
      </c>
    </row>
    <row r="210" ht="15.75" customHeight="1">
      <c r="A210" s="9">
        <v>44132.0</v>
      </c>
      <c r="B210" s="6">
        <f>'Daily Returns'!AP209*(1+'Daily Returns'!AK210)</f>
        <v>1.041700377</v>
      </c>
      <c r="D210" s="4">
        <f>'Daily Returns'!AQ209 * (1 + 'Daily Returns'!AJ210)</f>
        <v>1.012457611</v>
      </c>
      <c r="F210" s="5">
        <f>'Daily Returns'!AR209 * (1 +'Daily Returns'!AL210)</f>
        <v>1.026887227</v>
      </c>
      <c r="H210" s="5">
        <f>'Daily Returns'!AS209*(1+'Daily Returns'!AM210)</f>
        <v>1.074184575</v>
      </c>
      <c r="J210" s="5">
        <f>'Daily Returns'!AT209*(1+'Daily Returns'!AN210)</f>
        <v>0.9814892924</v>
      </c>
      <c r="L210" s="5">
        <f>'Daily Returns'!AU209*(1+'Daily Returns'!AO210)</f>
        <v>0.9696395507</v>
      </c>
    </row>
    <row r="211" ht="15.75" customHeight="1">
      <c r="A211" s="9">
        <v>44133.0</v>
      </c>
      <c r="B211" s="6">
        <f>'Daily Returns'!AP210*(1+'Daily Returns'!AK211)</f>
        <v>1.049526935</v>
      </c>
      <c r="D211" s="4">
        <f>'Daily Returns'!AQ210 * (1 + 'Daily Returns'!AJ211)</f>
        <v>1.024553442</v>
      </c>
      <c r="F211" s="5">
        <f>'Daily Returns'!AR210 * (1 +'Daily Returns'!AL211)</f>
        <v>0.9932945256</v>
      </c>
      <c r="H211" s="5">
        <f>'Daily Returns'!AS210*(1+'Daily Returns'!AM211)</f>
        <v>1.038591639</v>
      </c>
      <c r="J211" s="5">
        <f>'Daily Returns'!AT210*(1+'Daily Returns'!AN211)</f>
        <v>0.9683230259</v>
      </c>
      <c r="L211" s="5">
        <f>'Daily Returns'!AU210*(1+'Daily Returns'!AO211)</f>
        <v>0.9571701301</v>
      </c>
    </row>
    <row r="212" ht="15.75" customHeight="1">
      <c r="A212" s="9">
        <v>44134.0</v>
      </c>
      <c r="B212" s="6">
        <f>'Daily Returns'!AP211*(1+'Daily Returns'!AK212)</f>
        <v>1.053013498</v>
      </c>
      <c r="D212" s="4">
        <f>'Daily Returns'!AQ211 * (1 + 'Daily Returns'!AJ212)</f>
        <v>1.012125609</v>
      </c>
      <c r="F212" s="5">
        <f>'Daily Returns'!AR211 * (1 +'Daily Returns'!AL212)</f>
        <v>1.001821151</v>
      </c>
      <c r="H212" s="5">
        <f>'Daily Returns'!AS211*(1+'Daily Returns'!AM212)</f>
        <v>1.048405992</v>
      </c>
      <c r="J212" s="5">
        <f>'Daily Returns'!AT211*(1+'Daily Returns'!AN212)</f>
        <v>0.9631363861</v>
      </c>
      <c r="L212" s="5">
        <f>'Daily Returns'!AU211*(1+'Daily Returns'!AO212)</f>
        <v>0.9539044125</v>
      </c>
    </row>
    <row r="213" ht="15.75" customHeight="1">
      <c r="A213" s="9">
        <v>44137.0</v>
      </c>
      <c r="B213" s="6">
        <f>'Daily Returns'!AP212*(1+'Daily Returns'!AK213)</f>
        <v>1.055212921</v>
      </c>
      <c r="D213" s="4">
        <f>'Daily Returns'!AQ212 * (1 + 'Daily Returns'!AJ213)</f>
        <v>1.024592972</v>
      </c>
      <c r="F213" s="5">
        <f>'Daily Returns'!AR212 * (1 +'Daily Returns'!AL213)</f>
        <v>0.9916507587</v>
      </c>
      <c r="H213" s="5">
        <f>'Daily Returns'!AS212*(1+'Daily Returns'!AM213)</f>
        <v>1.037287129</v>
      </c>
      <c r="J213" s="5">
        <f>'Daily Returns'!AT212*(1+'Daily Returns'!AN213)</f>
        <v>0.9391975931</v>
      </c>
      <c r="L213" s="5">
        <f>'Daily Returns'!AU212*(1+'Daily Returns'!AO213)</f>
        <v>0.9277780904</v>
      </c>
    </row>
    <row r="214" ht="15.75" customHeight="1">
      <c r="A214" s="9">
        <v>44138.0</v>
      </c>
      <c r="B214" s="6">
        <f>'Daily Returns'!AP213*(1+'Daily Returns'!AK214)</f>
        <v>1.062224574</v>
      </c>
      <c r="D214" s="4">
        <f>'Daily Returns'!AQ213 * (1 + 'Daily Returns'!AJ214)</f>
        <v>1.042829703</v>
      </c>
      <c r="F214" s="5">
        <f>'Daily Returns'!AR213 * (1 +'Daily Returns'!AL214)</f>
        <v>1.003259415</v>
      </c>
      <c r="H214" s="5">
        <f>'Daily Returns'!AS213*(1+'Daily Returns'!AM214)</f>
        <v>1.048095481</v>
      </c>
      <c r="J214" s="5">
        <f>'Daily Returns'!AT213*(1+'Daily Returns'!AN214)</f>
        <v>0.9431872759</v>
      </c>
      <c r="L214" s="5">
        <f>'Daily Returns'!AU213*(1+'Daily Returns'!AO214)</f>
        <v>0.9328252553</v>
      </c>
    </row>
    <row r="215" ht="15.75" customHeight="1">
      <c r="A215" s="9">
        <v>44139.0</v>
      </c>
      <c r="B215" s="6">
        <f>'Daily Returns'!AP214*(1+'Daily Returns'!AK215)</f>
        <v>1.054296839</v>
      </c>
      <c r="D215" s="4">
        <f>'Daily Returns'!AQ214 * (1 + 'Daily Returns'!AJ215)</f>
        <v>1.065820969</v>
      </c>
      <c r="F215" s="5">
        <f>'Daily Returns'!AR214 * (1 +'Daily Returns'!AL215)</f>
        <v>1.024729999</v>
      </c>
      <c r="H215" s="5">
        <f>'Daily Returns'!AS214*(1+'Daily Returns'!AM215)</f>
        <v>1.068221084</v>
      </c>
      <c r="J215" s="5">
        <f>'Daily Returns'!AT214*(1+'Daily Returns'!AN215)</f>
        <v>0.9387986945</v>
      </c>
      <c r="L215" s="5">
        <f>'Daily Returns'!AU214*(1+'Daily Returns'!AO215)</f>
        <v>0.9280751383</v>
      </c>
    </row>
    <row r="216" ht="15.75" customHeight="1">
      <c r="A216" s="9">
        <v>44140.0</v>
      </c>
      <c r="B216" s="6">
        <f>'Daily Returns'!AP215*(1+'Daily Returns'!AK216)</f>
        <v>1.071368622</v>
      </c>
      <c r="D216" s="4">
        <f>'Daily Returns'!AQ215 * (1 + 'Daily Returns'!AJ216)</f>
        <v>1.086561845</v>
      </c>
      <c r="F216" s="5">
        <f>'Daily Returns'!AR215 * (1 +'Daily Returns'!AL216)</f>
        <v>1.044043102</v>
      </c>
      <c r="H216" s="5">
        <f>'Daily Returns'!AS215*(1+'Daily Returns'!AM216)</f>
        <v>1.091515175</v>
      </c>
      <c r="J216" s="5">
        <f>'Daily Returns'!AT215*(1+'Daily Returns'!AN216)</f>
        <v>0.9423894786</v>
      </c>
      <c r="L216" s="5">
        <f>'Daily Returns'!AU215*(1+'Daily Returns'!AO216)</f>
        <v>0.9340128653</v>
      </c>
    </row>
    <row r="217" ht="15.75" customHeight="1">
      <c r="A217" s="9">
        <v>44141.0</v>
      </c>
      <c r="B217" s="6">
        <f>'Daily Returns'!AP216*(1+'Daily Returns'!AK217)</f>
        <v>1.072121784</v>
      </c>
      <c r="D217" s="4">
        <f>'Daily Returns'!AQ216 * (1 + 'Daily Returns'!AJ217)</f>
        <v>1.086248915</v>
      </c>
      <c r="F217" s="5">
        <f>'Daily Returns'!AR216 * (1 +'Daily Returns'!AL217)</f>
        <v>1.066129941</v>
      </c>
      <c r="H217" s="5">
        <f>'Daily Returns'!AS216*(1+'Daily Returns'!AM217)</f>
        <v>1.11406331</v>
      </c>
      <c r="J217" s="5">
        <f>'Daily Returns'!AT216*(1+'Daily Returns'!AN217)</f>
        <v>0.9567527022</v>
      </c>
      <c r="L217" s="5">
        <f>'Daily Returns'!AU216*(1+'Daily Returns'!AO217)</f>
        <v>0.9497479389</v>
      </c>
    </row>
    <row r="218" ht="15.75" customHeight="1">
      <c r="A218" s="9">
        <v>44144.0</v>
      </c>
      <c r="B218" s="6">
        <f>'Daily Returns'!AP217*(1+'Daily Returns'!AK218)</f>
        <v>1.094123705</v>
      </c>
      <c r="D218" s="4">
        <f>'Daily Returns'!AQ217 * (1 + 'Daily Returns'!AJ218)</f>
        <v>1.098958028</v>
      </c>
      <c r="F218" s="5">
        <f>'Daily Returns'!AR217 * (1 +'Daily Returns'!AL218)</f>
        <v>1.067568122</v>
      </c>
      <c r="H218" s="5">
        <f>'Daily Returns'!AS217*(1+'Daily Returns'!AM218)</f>
        <v>1.11350435</v>
      </c>
      <c r="J218" s="5">
        <f>'Daily Returns'!AT217*(1+'Daily Returns'!AN218)</f>
        <v>0.9611416317</v>
      </c>
      <c r="L218" s="5">
        <f>'Daily Returns'!AU217*(1+'Daily Returns'!AO218)</f>
        <v>0.9527168025</v>
      </c>
    </row>
    <row r="219" ht="15.75" customHeight="1">
      <c r="A219" s="9">
        <v>44145.0</v>
      </c>
      <c r="B219" s="6">
        <f>'Daily Returns'!AP218*(1+'Daily Returns'!AK219)</f>
        <v>1.112515789</v>
      </c>
      <c r="D219" s="4">
        <f>'Daily Returns'!AQ218 * (1 + 'Daily Returns'!AJ219)</f>
        <v>1.097419486</v>
      </c>
      <c r="F219" s="5">
        <f>'Daily Returns'!AR218 * (1 +'Daily Returns'!AL219)</f>
        <v>1.083696905</v>
      </c>
      <c r="H219" s="5">
        <f>'Daily Returns'!AS218*(1+'Daily Returns'!AM219)</f>
        <v>1.126735234</v>
      </c>
      <c r="J219" s="5">
        <f>'Daily Returns'!AT218*(1+'Daily Returns'!AN219)</f>
        <v>0.977100711</v>
      </c>
      <c r="L219" s="5">
        <f>'Daily Returns'!AU218*(1+'Daily Returns'!AO219)</f>
        <v>0.9699364048</v>
      </c>
    </row>
    <row r="220" ht="15.75" customHeight="1">
      <c r="A220" s="9">
        <v>44146.0</v>
      </c>
      <c r="B220" s="6">
        <f>'Daily Returns'!AP219*(1+'Daily Returns'!AK220)</f>
        <v>1.10785093</v>
      </c>
      <c r="D220" s="4">
        <f>'Daily Returns'!AQ219 * (1 + 'Daily Returns'!AJ220)</f>
        <v>1.10581694</v>
      </c>
      <c r="F220" s="5">
        <f>'Daily Returns'!AR219 * (1 +'Daily Returns'!AL220)</f>
        <v>1.086162345</v>
      </c>
      <c r="H220" s="5">
        <f>'Daily Returns'!AS219*(1+'Daily Returns'!AM220)</f>
        <v>1.124871764</v>
      </c>
      <c r="J220" s="5">
        <f>'Daily Returns'!AT219*(1+'Daily Returns'!AN220)</f>
        <v>0.9759036669</v>
      </c>
      <c r="L220" s="5">
        <f>'Daily Returns'!AU219*(1+'Daily Returns'!AO220)</f>
        <v>0.9693427613</v>
      </c>
    </row>
    <row r="221" ht="15.75" customHeight="1">
      <c r="A221" s="9">
        <v>44147.0</v>
      </c>
      <c r="B221" s="6">
        <f>'Daily Returns'!AP220*(1+'Daily Returns'!AK221)</f>
        <v>1.102574376</v>
      </c>
      <c r="D221" s="4">
        <f>'Daily Returns'!AQ220 * (1 + 'Daily Returns'!AJ221)</f>
        <v>1.094781993</v>
      </c>
      <c r="F221" s="5">
        <f>'Daily Returns'!AR220 * (1 +'Daily Returns'!AL221)</f>
        <v>1.093764251</v>
      </c>
      <c r="H221" s="5">
        <f>'Daily Returns'!AS220*(1+'Daily Returns'!AM221)</f>
        <v>1.134002931</v>
      </c>
      <c r="J221" s="5">
        <f>'Daily Returns'!AT220*(1+'Daily Returns'!AN221)</f>
        <v>0.9894689191</v>
      </c>
      <c r="L221" s="5">
        <f>'Daily Returns'!AU220*(1+'Daily Returns'!AO221)</f>
        <v>0.9815150694</v>
      </c>
    </row>
    <row r="222" ht="15.75" customHeight="1">
      <c r="A222" s="9">
        <v>44148.0</v>
      </c>
      <c r="B222" s="6">
        <f>'Daily Returns'!AP221*(1+'Daily Returns'!AK222)</f>
        <v>1.111065568</v>
      </c>
      <c r="D222" s="4">
        <f>'Daily Returns'!AQ221 * (1 + 'Daily Returns'!AJ222)</f>
        <v>1.109681976</v>
      </c>
      <c r="F222" s="5">
        <f>'Daily Returns'!AR221 * (1 +'Daily Returns'!AL222)</f>
        <v>1.082464059</v>
      </c>
      <c r="H222" s="5">
        <f>'Daily Returns'!AS221*(1+'Daily Returns'!AM222)</f>
        <v>1.122821906</v>
      </c>
      <c r="J222" s="5">
        <f>'Daily Returns'!AT221*(1+'Daily Returns'!AN222)</f>
        <v>1.002236461</v>
      </c>
      <c r="L222" s="5">
        <f>'Daily Returns'!AU221*(1+'Daily Returns'!AO222)</f>
        <v>0.990124806</v>
      </c>
    </row>
    <row r="223" ht="15.75" customHeight="1">
      <c r="A223" s="9">
        <v>44151.0</v>
      </c>
      <c r="B223" s="6">
        <f>'Daily Returns'!AP222*(1+'Daily Returns'!AK223)</f>
        <v>1.137705179</v>
      </c>
      <c r="D223" s="4">
        <f>'Daily Returns'!AQ222 * (1 + 'Daily Returns'!AJ223)</f>
        <v>1.122607552</v>
      </c>
      <c r="F223" s="5">
        <f>'Daily Returns'!AR222 * (1 +'Daily Returns'!AL223)</f>
        <v>1.09592148</v>
      </c>
      <c r="H223" s="5">
        <f>'Daily Returns'!AS222*(1+'Daily Returns'!AM223)</f>
        <v>1.138723669</v>
      </c>
      <c r="J223" s="5">
        <f>'Daily Returns'!AT222*(1+'Daily Returns'!AN223)</f>
        <v>1.012609915</v>
      </c>
      <c r="L223" s="5">
        <f>'Daily Returns'!AU222*(1+'Daily Returns'!AO223)</f>
        <v>0.9996254277</v>
      </c>
    </row>
    <row r="224" ht="15.75" customHeight="1">
      <c r="A224" s="9">
        <v>44152.0</v>
      </c>
      <c r="B224" s="6">
        <f>'Daily Returns'!AP223*(1+'Daily Returns'!AK224)</f>
        <v>1.147914184</v>
      </c>
      <c r="D224" s="4">
        <f>'Daily Returns'!AQ223 * (1 + 'Daily Returns'!AJ224)</f>
        <v>1.117228016</v>
      </c>
      <c r="F224" s="5">
        <f>'Daily Returns'!AR223 * (1 +'Daily Returns'!AL224)</f>
        <v>1.10876273</v>
      </c>
      <c r="H224" s="5">
        <f>'Daily Returns'!AS223*(1+'Daily Returns'!AM224)</f>
        <v>1.152637839</v>
      </c>
      <c r="J224" s="5">
        <f>'Daily Returns'!AT223*(1+'Daily Returns'!AN224)</f>
        <v>1.000640431</v>
      </c>
      <c r="L224" s="5">
        <f>'Daily Returns'!AU223*(1+'Daily Returns'!AO224)</f>
        <v>0.9883434232</v>
      </c>
    </row>
    <row r="225" ht="15.75" customHeight="1">
      <c r="A225" s="9">
        <v>44153.0</v>
      </c>
      <c r="B225" s="6">
        <f>'Daily Returns'!AP224*(1+'Daily Returns'!AK225)</f>
        <v>1.142041908</v>
      </c>
      <c r="D225" s="4">
        <f>'Daily Returns'!AQ224 * (1 + 'Daily Returns'!AJ225)</f>
        <v>1.104308391</v>
      </c>
      <c r="F225" s="5">
        <f>'Daily Returns'!AR224 * (1 +'Daily Returns'!AL225)</f>
        <v>1.10578366</v>
      </c>
      <c r="H225" s="5">
        <f>'Daily Returns'!AS224*(1+'Daily Returns'!AM225)</f>
        <v>1.150029122</v>
      </c>
      <c r="J225" s="5">
        <f>'Daily Returns'!AT224*(1+'Daily Returns'!AN225)</f>
        <v>1.005428346</v>
      </c>
      <c r="L225" s="5">
        <f>'Daily Returns'!AU224*(1+'Daily Returns'!AO225)</f>
        <v>0.9942814087</v>
      </c>
    </row>
    <row r="226" ht="15.75" customHeight="1">
      <c r="A226" s="9">
        <v>44154.0</v>
      </c>
      <c r="B226" s="6">
        <f>'Daily Returns'!AP225*(1+'Daily Returns'!AK226)</f>
        <v>1.137276335</v>
      </c>
      <c r="D226" s="4">
        <f>'Daily Returns'!AQ225 * (1 + 'Daily Returns'!AJ226)</f>
        <v>1.108665992</v>
      </c>
      <c r="F226" s="5">
        <f>'Daily Returns'!AR225 * (1 +'Daily Returns'!AL226)</f>
        <v>1.096332485</v>
      </c>
      <c r="H226" s="5">
        <f>'Daily Returns'!AS225*(1+'Daily Returns'!AM226)</f>
        <v>1.137854097</v>
      </c>
      <c r="J226" s="5">
        <f>'Daily Returns'!AT225*(1+'Daily Returns'!AN226)</f>
        <v>1.018993425</v>
      </c>
      <c r="L226" s="5">
        <f>'Daily Returns'!AU225*(1+'Daily Returns'!AO226)</f>
        <v>1.0067507</v>
      </c>
    </row>
    <row r="227" ht="15.75" customHeight="1">
      <c r="A227" s="9">
        <v>44155.0</v>
      </c>
      <c r="B227" s="6">
        <f>'Daily Returns'!AP226*(1+'Daily Returns'!AK227)</f>
        <v>1.139521105</v>
      </c>
      <c r="D227" s="4">
        <f>'Daily Returns'!AQ226 * (1 + 'Daily Returns'!AJ227)</f>
        <v>1.101134824</v>
      </c>
      <c r="F227" s="5">
        <f>'Daily Returns'!AR226 * (1 +'Daily Returns'!AL227)</f>
        <v>1.103010009</v>
      </c>
      <c r="H227" s="5">
        <f>'Daily Returns'!AS226*(1+'Daily Returns'!AM227)</f>
        <v>1.144190059</v>
      </c>
      <c r="J227" s="5">
        <f>'Daily Returns'!AT226*(1+'Daily Returns'!AN227)</f>
        <v>1.022983368</v>
      </c>
      <c r="L227" s="5">
        <f>'Daily Returns'!AU226*(1+'Daily Returns'!AO227)</f>
        <v>1.010610126</v>
      </c>
    </row>
    <row r="228" ht="15.75" customHeight="1">
      <c r="A228" s="9">
        <v>44158.0</v>
      </c>
      <c r="B228" s="6">
        <f>'Daily Returns'!AP227*(1+'Daily Returns'!AK228)</f>
        <v>1.145594519</v>
      </c>
      <c r="D228" s="4">
        <f>'Daily Returns'!AQ227 * (1 + 'Daily Returns'!AJ228)</f>
        <v>1.10734082</v>
      </c>
      <c r="F228" s="5">
        <f>'Daily Returns'!AR227 * (1 +'Daily Returns'!AL228)</f>
        <v>1.099825352</v>
      </c>
      <c r="H228" s="5">
        <f>'Daily Returns'!AS227*(1+'Daily Returns'!AM228)</f>
        <v>1.138164709</v>
      </c>
      <c r="J228" s="5">
        <f>'Daily Returns'!AT227*(1+'Daily Returns'!AN228)</f>
        <v>1.019392497</v>
      </c>
      <c r="L228" s="5">
        <f>'Daily Returns'!AU227*(1+'Daily Returns'!AO228)</f>
        <v>1.007641069</v>
      </c>
    </row>
    <row r="229" ht="15.75" customHeight="1">
      <c r="A229" s="9">
        <v>44159.0</v>
      </c>
      <c r="B229" s="6">
        <f>'Daily Returns'!AP228*(1+'Daily Returns'!AK229)</f>
        <v>1.1483535</v>
      </c>
      <c r="D229" s="4">
        <f>'Daily Returns'!AQ228 * (1 + 'Daily Returns'!AJ229)</f>
        <v>1.125237662</v>
      </c>
      <c r="F229" s="5">
        <f>'Daily Returns'!AR228 * (1 +'Daily Returns'!AL229)</f>
        <v>1.103934559</v>
      </c>
      <c r="H229" s="5">
        <f>'Daily Returns'!AS228*(1+'Daily Returns'!AM229)</f>
        <v>1.147482265</v>
      </c>
      <c r="J229" s="5">
        <f>'Daily Returns'!AT228*(1+'Daily Returns'!AN229)</f>
        <v>1.021786498</v>
      </c>
      <c r="L229" s="5">
        <f>'Daily Returns'!AU228*(1+'Daily Returns'!AO229)</f>
        <v>1.00942258</v>
      </c>
    </row>
    <row r="230" ht="15.75" customHeight="1">
      <c r="A230" s="9">
        <v>44160.0</v>
      </c>
      <c r="B230" s="6">
        <f>'Daily Returns'!AP229*(1+'Daily Returns'!AK230)</f>
        <v>1.148187538</v>
      </c>
      <c r="D230" s="4">
        <f>'Daily Returns'!AQ229 * (1 + 'Daily Returns'!AJ230)</f>
        <v>1.123455286</v>
      </c>
      <c r="F230" s="5">
        <f>'Daily Returns'!AR229 * (1 +'Daily Returns'!AL230)</f>
        <v>1.121398646</v>
      </c>
      <c r="H230" s="5">
        <f>'Daily Returns'!AS229*(1+'Daily Returns'!AM230)</f>
        <v>1.1652476</v>
      </c>
      <c r="J230" s="5">
        <f>'Daily Returns'!AT229*(1+'Daily Returns'!AN230)</f>
        <v>1.027771023</v>
      </c>
      <c r="L230" s="5">
        <f>'Daily Returns'!AU229*(1+'Daily Returns'!AO230)</f>
        <v>1.015954274</v>
      </c>
    </row>
    <row r="231" ht="15.75" customHeight="1">
      <c r="A231" s="9">
        <v>44162.0</v>
      </c>
      <c r="B231" s="6">
        <f>'Daily Returns'!AP230*(1+'Daily Returns'!AK231)</f>
        <v>1.145045121</v>
      </c>
      <c r="D231" s="4">
        <f>'Daily Returns'!AQ230 * (1 + 'Daily Returns'!AJ231)</f>
        <v>1.126148208</v>
      </c>
      <c r="F231" s="5">
        <f>'Daily Returns'!AR230 * (1 +'Daily Returns'!AL231)</f>
        <v>1.120473927</v>
      </c>
      <c r="H231" s="5">
        <f>'Daily Returns'!AS230*(1+'Daily Returns'!AM231)</f>
        <v>1.164812662</v>
      </c>
      <c r="J231" s="5">
        <f>'Daily Returns'!AT230*(1+'Daily Returns'!AN231)</f>
        <v>1.032957749</v>
      </c>
      <c r="L231" s="5">
        <f>'Daily Returns'!AU230*(1+'Daily Returns'!AO231)</f>
        <v>1.021298164</v>
      </c>
    </row>
    <row r="232" ht="15.75" customHeight="1">
      <c r="A232" s="9">
        <v>44165.0</v>
      </c>
      <c r="B232" s="6">
        <f>'Daily Returns'!AP231*(1+'Daily Returns'!AK232)</f>
        <v>1.139549374</v>
      </c>
      <c r="D232" s="4">
        <f>'Daily Returns'!AQ231 * (1 + 'Daily Returns'!AJ232)</f>
        <v>1.120973557</v>
      </c>
      <c r="F232" s="5">
        <f>'Daily Returns'!AR231 * (1 +'Daily Returns'!AL232)</f>
        <v>1.125507684</v>
      </c>
      <c r="H232" s="5">
        <f>'Daily Returns'!AS231*(1+'Daily Returns'!AM232)</f>
        <v>1.16891248</v>
      </c>
      <c r="J232" s="5">
        <f>'Daily Returns'!AT231*(1+'Daily Returns'!AN232)</f>
        <v>1.044175479</v>
      </c>
      <c r="L232" s="5">
        <f>'Daily Returns'!AU231*(1+'Daily Returns'!AO232)</f>
        <v>1.033173618</v>
      </c>
    </row>
    <row r="233" ht="15.75" customHeight="1">
      <c r="A233" s="9">
        <v>44166.0</v>
      </c>
      <c r="B233" s="6">
        <f>'Daily Returns'!AP232*(1+'Daily Returns'!AK233)</f>
        <v>1.147337783</v>
      </c>
      <c r="D233" s="4">
        <f>'Daily Returns'!AQ232 * (1 + 'Daily Returns'!AJ233)</f>
        <v>1.13360805</v>
      </c>
      <c r="F233" s="5">
        <f>'Daily Returns'!AR232 * (1 +'Daily Returns'!AL233)</f>
        <v>1.119138456</v>
      </c>
      <c r="H233" s="5">
        <f>'Daily Returns'!AS232*(1+'Daily Returns'!AM233)</f>
        <v>1.159719048</v>
      </c>
      <c r="J233" s="5">
        <f>'Daily Returns'!AT232*(1+'Daily Returns'!AN233)</f>
        <v>1.04658802</v>
      </c>
      <c r="L233" s="5">
        <f>'Daily Returns'!AU232*(1+'Daily Returns'!AO233)</f>
        <v>1.035549032</v>
      </c>
    </row>
    <row r="234" ht="15.75" customHeight="1">
      <c r="A234" s="9">
        <v>44167.0</v>
      </c>
      <c r="B234" s="6">
        <f>'Daily Returns'!AP233*(1+'Daily Returns'!AK234)</f>
        <v>1.155737191</v>
      </c>
      <c r="D234" s="4">
        <f>'Daily Returns'!AQ233 * (1 + 'Daily Returns'!AJ234)</f>
        <v>1.135638342</v>
      </c>
      <c r="F234" s="5">
        <f>'Daily Returns'!AR233 * (1 +'Daily Returns'!AL234)</f>
        <v>1.131260742</v>
      </c>
      <c r="H234" s="5">
        <f>'Daily Returns'!AS233*(1+'Daily Returns'!AM234)</f>
        <v>1.174441032</v>
      </c>
      <c r="J234" s="5">
        <f>'Daily Returns'!AT233*(1+'Daily Returns'!AN234)</f>
        <v>1.046990052</v>
      </c>
      <c r="L234" s="5">
        <f>'Daily Returns'!AU233*(1+'Daily Returns'!AO234)</f>
        <v>1.03673606</v>
      </c>
    </row>
    <row r="235" ht="15.75" customHeight="1">
      <c r="A235" s="9">
        <v>44168.0</v>
      </c>
      <c r="B235" s="6">
        <f>'Daily Returns'!AP234*(1+'Daily Returns'!AK235)</f>
        <v>1.156150934</v>
      </c>
      <c r="D235" s="4">
        <f>'Daily Returns'!AQ234 * (1 + 'Daily Returns'!AJ235)</f>
        <v>1.134929704</v>
      </c>
      <c r="F235" s="5">
        <f>'Daily Returns'!AR234 * (1 +'Daily Returns'!AL235)</f>
        <v>1.132390626</v>
      </c>
      <c r="H235" s="5">
        <f>'Daily Returns'!AS234*(1+'Daily Returns'!AM235)</f>
        <v>1.175434728</v>
      </c>
      <c r="J235" s="5">
        <f>'Daily Returns'!AT234*(1+'Daily Returns'!AN235)</f>
        <v>1.050608601</v>
      </c>
      <c r="L235" s="5">
        <f>'Daily Returns'!AU234*(1+'Daily Returns'!AO235)</f>
        <v>1.04059568</v>
      </c>
    </row>
    <row r="236" ht="15.75" customHeight="1">
      <c r="A236" s="9">
        <v>44169.0</v>
      </c>
      <c r="B236" s="6">
        <f>'Daily Returns'!AP235*(1+'Daily Returns'!AK236)</f>
        <v>1.162012378</v>
      </c>
      <c r="D236" s="4">
        <f>'Daily Returns'!AQ235 * (1 + 'Daily Returns'!AJ236)</f>
        <v>1.144957943</v>
      </c>
      <c r="F236" s="5">
        <f>'Daily Returns'!AR235 * (1 +'Daily Returns'!AL236)</f>
        <v>1.133315177</v>
      </c>
      <c r="H236" s="5">
        <f>'Daily Returns'!AS235*(1+'Daily Returns'!AM236)</f>
        <v>1.177795097</v>
      </c>
      <c r="J236" s="5">
        <f>'Daily Returns'!AT235*(1+'Daily Returns'!AN236)</f>
        <v>1.038546595</v>
      </c>
      <c r="L236" s="5">
        <f>'Daily Returns'!AU235*(1+'Daily Returns'!AO236)</f>
        <v>1.030798527</v>
      </c>
    </row>
    <row r="237" ht="15.75" customHeight="1">
      <c r="A237" s="9">
        <v>44172.0</v>
      </c>
      <c r="B237" s="6">
        <f>'Daily Returns'!AP236*(1+'Daily Returns'!AK237)</f>
        <v>1.160041001</v>
      </c>
      <c r="D237" s="4">
        <f>'Daily Returns'!AQ236 * (1 + 'Daily Returns'!AJ237)</f>
        <v>1.142741304</v>
      </c>
      <c r="F237" s="5">
        <f>'Daily Returns'!AR236 * (1 +'Daily Returns'!AL237)</f>
        <v>1.144615622</v>
      </c>
      <c r="H237" s="5">
        <f>'Daily Returns'!AS236*(1+'Daily Returns'!AM237)</f>
        <v>1.189597347</v>
      </c>
      <c r="J237" s="5">
        <f>'Daily Returns'!AT236*(1+'Daily Returns'!AN237)</f>
        <v>1.040557017</v>
      </c>
      <c r="L237" s="5">
        <f>'Daily Returns'!AU236*(1+'Daily Returns'!AO237)</f>
        <v>1.034064309</v>
      </c>
    </row>
    <row r="238" ht="15.75" customHeight="1">
      <c r="A238" s="9">
        <v>44173.0</v>
      </c>
      <c r="B238" s="6">
        <f>'Daily Returns'!AP237*(1+'Daily Returns'!AK238)</f>
        <v>1.159712127</v>
      </c>
      <c r="D238" s="4">
        <f>'Daily Returns'!AQ237 * (1 + 'Daily Returns'!AJ238)</f>
        <v>1.145926124</v>
      </c>
      <c r="F238" s="5">
        <f>'Daily Returns'!AR237 * (1 +'Daily Returns'!AL238)</f>
        <v>1.140403622</v>
      </c>
      <c r="H238" s="5">
        <f>'Daily Returns'!AS237*(1+'Daily Returns'!AM238)</f>
        <v>1.188292837</v>
      </c>
      <c r="J238" s="5">
        <f>'Daily Returns'!AT237*(1+'Daily Returns'!AN238)</f>
        <v>1.04658802</v>
      </c>
      <c r="L238" s="5">
        <f>'Daily Returns'!AU237*(1+'Daily Returns'!AO238)</f>
        <v>1.038517572</v>
      </c>
    </row>
    <row r="239" ht="15.75" customHeight="1">
      <c r="A239" s="9">
        <v>44174.0</v>
      </c>
      <c r="B239" s="6">
        <f>'Daily Returns'!AP238*(1+'Daily Returns'!AK239)</f>
        <v>1.166087272</v>
      </c>
      <c r="D239" s="4">
        <f>'Daily Returns'!AQ238 * (1 + 'Daily Returns'!AJ239)</f>
        <v>1.136817157</v>
      </c>
      <c r="F239" s="5">
        <f>'Daily Returns'!AR238 * (1 +'Daily Returns'!AL239)</f>
        <v>1.144102076</v>
      </c>
      <c r="H239" s="5">
        <f>'Daily Returns'!AS238*(1+'Daily Returns'!AM239)</f>
        <v>1.193448513</v>
      </c>
      <c r="J239" s="5">
        <f>'Daily Returns'!AT238*(1+'Daily Returns'!AN239)</f>
        <v>1.046990052</v>
      </c>
      <c r="L239" s="5">
        <f>'Daily Returns'!AU238*(1+'Daily Returns'!AO239)</f>
        <v>1.041189711</v>
      </c>
    </row>
    <row r="240" ht="15.75" customHeight="1">
      <c r="A240" s="9">
        <v>44175.0</v>
      </c>
      <c r="B240" s="6">
        <f>'Daily Returns'!AP239*(1+'Daily Returns'!AK240)</f>
        <v>1.169499838</v>
      </c>
      <c r="D240" s="4">
        <f>'Daily Returns'!AQ239 * (1 + 'Daily Returns'!AJ240)</f>
        <v>1.135356347</v>
      </c>
      <c r="F240" s="5">
        <f>'Daily Returns'!AR239 * (1 +'Daily Returns'!AL240)</f>
        <v>1.137013547</v>
      </c>
      <c r="H240" s="5">
        <f>'Daily Returns'!AS239*(1+'Daily Returns'!AM240)</f>
        <v>1.181708426</v>
      </c>
      <c r="J240" s="5">
        <f>'Daily Returns'!AT239*(1+'Daily Returns'!AN240)</f>
        <v>1.05462927</v>
      </c>
      <c r="L240" s="5">
        <f>'Daily Returns'!AU239*(1+'Daily Returns'!AO240)</f>
        <v>1.048908821</v>
      </c>
    </row>
    <row r="241" ht="15.75" customHeight="1">
      <c r="A241" s="9">
        <v>44176.0</v>
      </c>
      <c r="B241" s="6">
        <f>'Daily Returns'!AP240*(1+'Daily Returns'!AK241)</f>
        <v>1.169667842</v>
      </c>
      <c r="D241" s="4">
        <f>'Daily Returns'!AQ240 * (1 + 'Daily Returns'!AJ241)</f>
        <v>1.133920122</v>
      </c>
      <c r="F241" s="5">
        <f>'Daily Returns'!AR240 * (1 +'Daily Returns'!AL241)</f>
        <v>1.138040722</v>
      </c>
      <c r="H241" s="5">
        <f>'Daily Returns'!AS240*(1+'Daily Returns'!AM241)</f>
        <v>1.183447874</v>
      </c>
      <c r="J241" s="5">
        <f>'Daily Returns'!AT240*(1+'Daily Returns'!AN241)</f>
        <v>1.058650025</v>
      </c>
      <c r="L241" s="5">
        <f>'Daily Returns'!AU240*(1+'Daily Returns'!AO241)</f>
        <v>1.052768311</v>
      </c>
    </row>
    <row r="242" ht="15.75" customHeight="1">
      <c r="A242" s="9">
        <v>44179.0</v>
      </c>
      <c r="B242" s="6">
        <f>'Daily Returns'!AP241*(1+'Daily Returns'!AK242)</f>
        <v>1.169014047</v>
      </c>
      <c r="D242" s="4">
        <f>'Daily Returns'!AQ241 * (1 + 'Daily Returns'!AJ242)</f>
        <v>1.128977364</v>
      </c>
      <c r="F242" s="5">
        <f>'Daily Returns'!AR241 * (1 +'Daily Returns'!AL242)</f>
        <v>1.13485615</v>
      </c>
      <c r="H242" s="5">
        <f>'Daily Returns'!AS241*(1+'Daily Returns'!AM242)</f>
        <v>1.181335752</v>
      </c>
      <c r="J242" s="5">
        <f>'Daily Returns'!AT241*(1+'Daily Returns'!AN242)</f>
        <v>1.063876877</v>
      </c>
      <c r="L242" s="5">
        <f>'Daily Returns'!AU241*(1+'Daily Returns'!AO242)</f>
        <v>1.056924849</v>
      </c>
    </row>
    <row r="243" ht="15.75" customHeight="1">
      <c r="A243" s="9">
        <v>44180.0</v>
      </c>
      <c r="B243" s="6">
        <f>'Daily Returns'!AP242*(1+'Daily Returns'!AK243)</f>
        <v>1.174102947</v>
      </c>
      <c r="D243" s="4">
        <f>'Daily Returns'!AQ242 * (1 + 'Daily Returns'!AJ243)</f>
        <v>1.14356488</v>
      </c>
      <c r="F243" s="7">
        <f>'Daily Returns'!AR242 * (1 +'Daily Returns'!AL243)</f>
        <v>1.134794188</v>
      </c>
      <c r="H243" s="5">
        <f>'Daily Returns'!AS242*(1+'Daily Returns'!AM243)</f>
        <v>1.177981687</v>
      </c>
      <c r="J243" s="5">
        <f>'Daily Returns'!AT242*(1+'Daily Returns'!AN243)</f>
        <v>1.061464337</v>
      </c>
      <c r="L243" s="5">
        <f>'Daily Returns'!AU242*(1+'Daily Returns'!AO243)</f>
        <v>1.053065359</v>
      </c>
    </row>
    <row r="244" ht="15.75" customHeight="1">
      <c r="A244" s="9">
        <v>44181.0</v>
      </c>
      <c r="B244" s="6">
        <f>'Daily Returns'!AP243*(1+'Daily Returns'!AK244)</f>
        <v>1.17244103</v>
      </c>
      <c r="D244" s="4">
        <f>'Daily Returns'!AQ243 * (1 + 'Daily Returns'!AJ244)</f>
        <v>1.145592421</v>
      </c>
      <c r="F244" s="7">
        <f>'Daily Returns'!AR243 * (1 +'Daily Returns'!AL244)</f>
        <v>1.147107496</v>
      </c>
      <c r="H244" s="5">
        <f>'Daily Returns'!AS243*(1+'Daily Returns'!AM244)</f>
        <v>1.194132001</v>
      </c>
      <c r="J244" s="5">
        <f>'Daily Returns'!AT243*(1+'Daily Returns'!AN244)</f>
        <v>1.062268662</v>
      </c>
      <c r="L244" s="5">
        <f>'Daily Returns'!AU243*(1+'Daily Returns'!AO244)</f>
        <v>1.054846483</v>
      </c>
    </row>
    <row r="245" ht="15.75" customHeight="1">
      <c r="A245" s="9">
        <v>44182.0</v>
      </c>
      <c r="B245" s="6">
        <f>'Daily Returns'!AP244*(1+'Daily Returns'!AK245)</f>
        <v>1.1790278</v>
      </c>
      <c r="D245" s="4">
        <f>'Daily Returns'!AQ244 * (1 + 'Daily Returns'!AJ245)</f>
        <v>1.152188742</v>
      </c>
      <c r="F245" s="7">
        <f>'Daily Returns'!AR244 * (1 +'Daily Returns'!AL245)</f>
        <v>1.149797886</v>
      </c>
      <c r="H245" s="5">
        <f>'Daily Returns'!AS244*(1+'Daily Returns'!AM245)</f>
        <v>1.195809084</v>
      </c>
      <c r="J245" s="5">
        <f>'Daily Returns'!AT244*(1+'Daily Returns'!AN245)</f>
        <v>1.059454176</v>
      </c>
      <c r="L245" s="5">
        <f>'Daily Returns'!AU244*(1+'Daily Returns'!AO245)</f>
        <v>1.052471651</v>
      </c>
    </row>
    <row r="246" ht="15.75" customHeight="1">
      <c r="A246" s="9">
        <v>44183.0</v>
      </c>
      <c r="B246" s="6">
        <f>'Daily Returns'!AP245*(1+'Daily Returns'!AK246)</f>
        <v>1.170935091</v>
      </c>
      <c r="D246" s="4">
        <f>'Daily Returns'!AQ245 * (1 + 'Daily Returns'!AJ246)</f>
        <v>1.148143407</v>
      </c>
      <c r="F246" s="7">
        <f>'Daily Returns'!AR245 * (1 +'Daily Returns'!AL246)</f>
        <v>1.158696537</v>
      </c>
      <c r="H246" s="5">
        <f>'Daily Returns'!AS245*(1+'Daily Returns'!AM246)</f>
        <v>1.205188499</v>
      </c>
      <c r="J246" s="5">
        <f>'Daily Returns'!AT245*(1+'Daily Returns'!AN246)</f>
        <v>1.048598354</v>
      </c>
      <c r="L246" s="5">
        <f>'Daily Returns'!AU245*(1+'Daily Returns'!AO246)</f>
        <v>1.042080338</v>
      </c>
    </row>
    <row r="247" ht="15.75" customHeight="1">
      <c r="A247" s="9">
        <v>44186.0</v>
      </c>
      <c r="B247" s="6">
        <f>'Daily Returns'!AP246*(1+'Daily Returns'!AK247)</f>
        <v>1.16425869</v>
      </c>
      <c r="D247" s="4">
        <f>'Daily Returns'!AQ246 * (1 + 'Daily Returns'!AJ247)</f>
        <v>1.143658759</v>
      </c>
      <c r="F247" s="7">
        <f>'Daily Returns'!AR246 * (1 +'Daily Returns'!AL247)</f>
        <v>1.155178413</v>
      </c>
      <c r="H247" s="5">
        <f>'Daily Returns'!AS246*(1+'Daily Returns'!AM247)</f>
        <v>1.201772069</v>
      </c>
      <c r="J247" s="5">
        <f>'Daily Returns'!AT246*(1+'Daily Returns'!AN247)</f>
        <v>1.055433595</v>
      </c>
      <c r="L247" s="5">
        <f>'Daily Returns'!AU246*(1+'Daily Returns'!AO247)</f>
        <v>1.049502916</v>
      </c>
    </row>
    <row r="248" ht="15.75" customHeight="1">
      <c r="A248" s="9">
        <v>44187.0</v>
      </c>
      <c r="B248" s="6">
        <f>'Daily Returns'!AP247*(1+'Daily Returns'!AK248)</f>
        <v>1.156827088</v>
      </c>
      <c r="D248" s="4">
        <f>'Daily Returns'!AQ247 * (1 + 'Daily Returns'!AJ248)</f>
        <v>1.141287955</v>
      </c>
      <c r="F248" s="7">
        <f>'Daily Returns'!AR247 * (1 +'Daily Returns'!AL248)</f>
        <v>1.147314346</v>
      </c>
      <c r="H248" s="5">
        <f>'Daily Returns'!AS247*(1+'Daily Returns'!AM248)</f>
        <v>1.198293678</v>
      </c>
      <c r="J248" s="5">
        <f>'Daily Returns'!AT247*(1+'Daily Returns'!AN248)</f>
        <v>1.059454176</v>
      </c>
      <c r="L248" s="5">
        <f>'Daily Returns'!AU247*(1+'Daily Returns'!AO248)</f>
        <v>1.053065359</v>
      </c>
    </row>
    <row r="249" ht="15.75" customHeight="1">
      <c r="A249" s="9">
        <v>44188.0</v>
      </c>
      <c r="B249" s="6">
        <f>'Daily Returns'!AP248*(1+'Daily Returns'!AK249)</f>
        <v>1.166580617</v>
      </c>
      <c r="D249" s="4">
        <f>'Daily Returns'!AQ248 * (1 + 'Daily Returns'!AJ249)</f>
        <v>1.142139355</v>
      </c>
      <c r="F249" s="7">
        <f>'Daily Returns'!AR248 * (1 +'Daily Returns'!AL249)</f>
        <v>1.146486443</v>
      </c>
      <c r="H249" s="5">
        <f>'Daily Returns'!AS248*(1+'Daily Returns'!AM249)</f>
        <v>1.198542026</v>
      </c>
      <c r="J249" s="5">
        <f>'Daily Returns'!AT248*(1+'Daily Returns'!AN249)</f>
        <v>1.064681289</v>
      </c>
      <c r="L249" s="5">
        <f>'Daily Returns'!AU248*(1+'Daily Returns'!AO249)</f>
        <v>1.058112265</v>
      </c>
    </row>
    <row r="250" ht="15.75" customHeight="1">
      <c r="A250" s="9">
        <v>44189.0</v>
      </c>
      <c r="B250" s="6">
        <f>'Daily Returns'!AP249*(1+'Daily Returns'!AK250)</f>
        <v>1.172188657</v>
      </c>
      <c r="D250" s="4">
        <f>'Daily Returns'!AQ249 * (1 + 'Daily Returns'!AJ250)</f>
        <v>1.146179102</v>
      </c>
      <c r="F250" s="7">
        <f>'Daily Returns'!AR249 * (1 +'Daily Returns'!AL250)</f>
        <v>1.149901353</v>
      </c>
      <c r="H250" s="5">
        <f>'Daily Returns'!AS249*(1+'Daily Returns'!AM250)</f>
        <v>1.200591884</v>
      </c>
      <c r="J250" s="5">
        <f>'Daily Returns'!AT249*(1+'Daily Returns'!AN250)</f>
        <v>1.057443842</v>
      </c>
      <c r="L250" s="5">
        <f>'Daily Returns'!AU249*(1+'Daily Returns'!AO250)</f>
        <v>1.050987122</v>
      </c>
    </row>
    <row r="251" ht="15.75" customHeight="1">
      <c r="A251" s="9">
        <v>44193.0</v>
      </c>
      <c r="B251" s="6">
        <f>'Daily Returns'!AP250*(1+'Daily Returns'!AK251)</f>
        <v>1.172676368</v>
      </c>
      <c r="D251" s="4">
        <f>'Daily Returns'!AQ250 * (1 + 'Daily Returns'!AJ251)</f>
        <v>1.156177223</v>
      </c>
      <c r="F251" s="7">
        <f>'Daily Returns'!AR250 * (1 +'Daily Returns'!AL251)</f>
        <v>1.153108908</v>
      </c>
      <c r="H251" s="5">
        <f>'Daily Returns'!AS250*(1+'Daily Returns'!AM251)</f>
        <v>1.202600334</v>
      </c>
      <c r="J251" s="5">
        <f>'Daily Returns'!AT250*(1+'Daily Returns'!AN251)</f>
        <v>1.056639778</v>
      </c>
      <c r="L251" s="5">
        <f>'Daily Returns'!AU250*(1+'Daily Returns'!AO251)</f>
        <v>1.049799577</v>
      </c>
    </row>
    <row r="252" ht="15.75" customHeight="1">
      <c r="A252" s="9">
        <v>44194.0</v>
      </c>
      <c r="B252" s="6">
        <f>'Daily Returns'!AP251*(1+'Daily Returns'!AK252)</f>
        <v>1.174291019</v>
      </c>
      <c r="D252" s="4">
        <f>'Daily Returns'!AQ251 * (1 + 'Daily Returns'!AJ252)</f>
        <v>1.153602416</v>
      </c>
      <c r="F252" s="7">
        <f>'Daily Returns'!AR251 * (1 +'Daily Returns'!AL252)</f>
        <v>1.159938139</v>
      </c>
      <c r="H252" s="5">
        <f>'Daily Returns'!AS251*(1+'Daily Returns'!AM252)</f>
        <v>1.210209522</v>
      </c>
      <c r="J252" s="5">
        <f>'Daily Returns'!AT251*(1+'Daily Returns'!AN252)</f>
        <v>1.059454176</v>
      </c>
      <c r="L252" s="5">
        <f>'Daily Returns'!AU251*(1+'Daily Returns'!AO252)</f>
        <v>1.052471651</v>
      </c>
    </row>
    <row r="253" ht="15.75" customHeight="1">
      <c r="A253" s="9">
        <v>44195.0</v>
      </c>
      <c r="B253" s="6">
        <f>'Daily Returns'!AP252*(1+'Daily Returns'!AK253)</f>
        <v>1.175942969</v>
      </c>
      <c r="D253" s="4">
        <f>'Daily Returns'!AQ252 * (1 + 'Daily Returns'!AJ253)</f>
        <v>1.15515055</v>
      </c>
      <c r="F253" s="7">
        <f>'Daily Returns'!AR252 * (1 +'Daily Returns'!AL253)</f>
        <v>1.16035209</v>
      </c>
      <c r="H253" s="5">
        <f>'Daily Returns'!AS252*(1+'Daily Returns'!AM253)</f>
        <v>1.205157519</v>
      </c>
      <c r="J253" s="5">
        <f>'Daily Returns'!AT252*(1+'Daily Returns'!AN253)</f>
        <v>1.060660273</v>
      </c>
      <c r="L253" s="5">
        <f>'Daily Returns'!AU252*(1+'Daily Returns'!AO253)</f>
        <v>1.055143531</v>
      </c>
    </row>
    <row r="254" ht="15.75" customHeight="1">
      <c r="A254" s="9">
        <v>44196.0</v>
      </c>
      <c r="B254" s="6">
        <f>'Daily Returns'!AP253*(1+'Daily Returns'!AK254)</f>
        <v>1.174023622</v>
      </c>
      <c r="C254" s="6">
        <f>'Daily Returns'!AP253*(1+'Daily Returns'!AK254)</f>
        <v>1.174023622</v>
      </c>
      <c r="D254" s="4">
        <f>'Daily Returns'!AQ253 * (1 + 'Daily Returns'!AJ254)</f>
        <v>1.162588565</v>
      </c>
      <c r="E254" s="4">
        <f>'Daily Returns'!AQ253 * (1 + 'Daily Returns'!AJ254)</f>
        <v>1.162588565</v>
      </c>
      <c r="F254" s="7">
        <f>'Daily Returns'!AR253 * (1 +'Daily Returns'!AL254)</f>
        <v>1.161904177</v>
      </c>
      <c r="G254" s="7">
        <f>'Daily Returns'!AR253 * (1 +'Daily Returns'!AL254)</f>
        <v>1.161904177</v>
      </c>
      <c r="H254" s="5">
        <f>'Daily Returns'!AS253*(1+'Daily Returns'!AM254)</f>
        <v>1.20840052</v>
      </c>
      <c r="I254" s="5">
        <f>'Daily Returns'!AS253*(1+'Daily Returns'!AM254)</f>
        <v>1.20840052</v>
      </c>
      <c r="J254" s="5">
        <f>'Daily Returns'!AT253*(1+'Daily Returns'!AN254)</f>
        <v>1.0630729</v>
      </c>
      <c r="K254" s="5">
        <f>'Daily Returns'!AT253*(1+'Daily Returns'!AN254)</f>
        <v>1.0630729</v>
      </c>
      <c r="L254" s="5">
        <f>'Daily Returns'!AU253*(1+'Daily Returns'!AO254)</f>
        <v>1.056924849</v>
      </c>
      <c r="M254" s="5">
        <f>'Daily Returns'!AU253*(1+'Daily Returns'!AO254)</f>
        <v>1.056924849</v>
      </c>
    </row>
    <row r="255" ht="15.75" customHeight="1">
      <c r="A255" s="9">
        <v>44200.0</v>
      </c>
      <c r="B255" s="6">
        <f>'Daily Returns'!AP254*(1+'Daily Returns'!AK255)</f>
        <v>1.182483879</v>
      </c>
      <c r="D255" s="4">
        <f>'Daily Returns'!AQ254 * (1 + 'Daily Returns'!AJ255)</f>
        <v>1.14543457</v>
      </c>
      <c r="F255" s="7">
        <f>'Daily Returns'!AR254 * (1 +'Daily Returns'!AL255)</f>
        <v>1.163145863</v>
      </c>
      <c r="H255" s="5">
        <f>'Daily Returns'!AS254*(1+'Daily Returns'!AM255)</f>
        <v>1.213951346</v>
      </c>
      <c r="J255" s="5">
        <f>'Daily Returns'!AT254*(1+'Daily Returns'!AN255)</f>
        <v>1.058247993</v>
      </c>
      <c r="L255" s="5">
        <f>'Daily Returns'!AU254*(1+'Daily Returns'!AO255)</f>
        <v>1.052768311</v>
      </c>
    </row>
    <row r="256" ht="15.75" customHeight="1">
      <c r="A256" s="9">
        <v>44201.0</v>
      </c>
      <c r="B256" s="6">
        <f>'Daily Returns'!AP255*(1+'Daily Returns'!AK256)</f>
        <v>1.188533249</v>
      </c>
      <c r="D256" s="4">
        <f>'Daily Returns'!AQ255 * (1 + 'Daily Returns'!AJ256)</f>
        <v>1.153547684</v>
      </c>
      <c r="F256" s="7">
        <f>'Daily Returns'!AR255 * (1 +'Daily Returns'!AL256)</f>
        <v>1.155074862</v>
      </c>
      <c r="H256" s="5">
        <f>'Daily Returns'!AS255*(1+'Daily Returns'!AM256)</f>
        <v>1.196675012</v>
      </c>
      <c r="J256" s="5">
        <f>'Daily Returns'!AT255*(1+'Daily Returns'!AN256)</f>
        <v>1.056639778</v>
      </c>
      <c r="L256" s="5">
        <f>'Daily Returns'!AU255*(1+'Daily Returns'!AO256)</f>
        <v>1.053246701</v>
      </c>
    </row>
    <row r="257" ht="15.75" customHeight="1">
      <c r="A257" s="9">
        <v>44202.0</v>
      </c>
      <c r="B257" s="6">
        <f>'Daily Returns'!AP256*(1+'Daily Returns'!AK257)</f>
        <v>1.199551875</v>
      </c>
      <c r="D257" s="4">
        <f>'Daily Returns'!AQ256 * (1 + 'Daily Returns'!AJ257)</f>
        <v>1.160134441</v>
      </c>
      <c r="F257" s="7">
        <f>'Daily Returns'!AR256 * (1 +'Daily Returns'!AL257)</f>
        <v>1.163973429</v>
      </c>
      <c r="H257" s="5">
        <f>'Daily Returns'!AS256*(1+'Daily Returns'!AM257)</f>
        <v>1.206342462</v>
      </c>
      <c r="J257" s="5">
        <f>'Daily Returns'!AT256*(1+'Daily Returns'!AN257)</f>
        <v>1.048196322</v>
      </c>
      <c r="L257" s="5">
        <f>'Daily Returns'!AU256*(1+'Daily Returns'!AO257)</f>
        <v>1.045774765</v>
      </c>
    </row>
    <row r="258" ht="15.75" customHeight="1">
      <c r="A258" s="9">
        <v>44203.0</v>
      </c>
      <c r="B258" s="6">
        <f>'Daily Returns'!AP257*(1+'Daily Returns'!AK258)</f>
        <v>1.202154738</v>
      </c>
      <c r="D258" s="4">
        <f>'Daily Returns'!AQ257 * (1 + 'Daily Returns'!AJ258)</f>
        <v>1.177358957</v>
      </c>
      <c r="F258" s="7">
        <f>'Daily Returns'!AR257 * (1 +'Daily Returns'!AL258)</f>
        <v>1.171009761</v>
      </c>
      <c r="H258" s="5">
        <f>'Daily Returns'!AS257*(1+'Daily Returns'!AM258)</f>
        <v>1.217194652</v>
      </c>
      <c r="J258" s="5">
        <f>'Daily Returns'!AT257*(1+'Daily Returns'!AN258)</f>
        <v>1.054227325</v>
      </c>
      <c r="L258" s="5">
        <f>'Daily Returns'!AU257*(1+'Daily Returns'!AO258)</f>
        <v>1.05085546</v>
      </c>
    </row>
    <row r="259" ht="15.75" customHeight="1">
      <c r="A259" s="9">
        <v>44204.0</v>
      </c>
      <c r="B259" s="6">
        <f>'Daily Returns'!AP258*(1+'Daily Returns'!AK259)</f>
        <v>1.202281044</v>
      </c>
      <c r="D259" s="4">
        <f>'Daily Returns'!AQ258 * (1 + 'Daily Returns'!AJ259)</f>
        <v>1.183825012</v>
      </c>
      <c r="F259" s="7">
        <f>'Daily Returns'!AR258 * (1 +'Daily Returns'!AL259)</f>
        <v>1.184461457</v>
      </c>
      <c r="H259" s="5">
        <f>'Daily Returns'!AS258*(1+'Daily Returns'!AM259)</f>
        <v>1.236716141</v>
      </c>
      <c r="J259" s="5">
        <f>'Daily Returns'!AT258*(1+'Daily Returns'!AN259)</f>
        <v>1.064279083</v>
      </c>
      <c r="L259" s="5">
        <f>'Daily Returns'!AU258*(1+'Daily Returns'!AO259)</f>
        <v>1.061615272</v>
      </c>
    </row>
    <row r="260" ht="15.75" customHeight="1">
      <c r="A260" s="9">
        <v>44207.0</v>
      </c>
      <c r="B260" s="6">
        <f>'Daily Returns'!AP259*(1+'Daily Returns'!AK260)</f>
        <v>1.195293265</v>
      </c>
      <c r="D260" s="4">
        <f>'Daily Returns'!AQ259 * (1 + 'Daily Returns'!AJ260)</f>
        <v>1.176065039</v>
      </c>
      <c r="F260" s="7">
        <f>'Daily Returns'!AR259 * (1 +'Daily Returns'!AL260)</f>
        <v>1.193153258</v>
      </c>
      <c r="H260" s="5">
        <f>'Daily Returns'!AS259*(1+'Daily Returns'!AM260)</f>
        <v>1.242703525</v>
      </c>
      <c r="J260" s="5">
        <f>'Daily Returns'!AT259*(1+'Daily Returns'!AN260)</f>
        <v>1.074732874</v>
      </c>
      <c r="L260" s="5">
        <f>'Daily Returns'!AU259*(1+'Daily Returns'!AO260)</f>
        <v>1.070880543</v>
      </c>
    </row>
    <row r="261" ht="15.75" customHeight="1">
      <c r="A261" s="9">
        <v>44208.0</v>
      </c>
      <c r="B261" s="6">
        <f>'Daily Returns'!AP260*(1+'Daily Returns'!AK261)</f>
        <v>1.19823763</v>
      </c>
      <c r="D261" s="4">
        <f>'Daily Returns'!AQ260 * (1 + 'Daily Returns'!AJ261)</f>
        <v>1.176554282</v>
      </c>
      <c r="F261" s="7">
        <f>'Daily Returns'!AR260 * (1 +'Daily Returns'!AL261)</f>
        <v>1.182185019</v>
      </c>
      <c r="H261" s="5">
        <f>'Daily Returns'!AS260*(1+'Daily Returns'!AM261)</f>
        <v>1.235281736</v>
      </c>
      <c r="J261" s="5">
        <f>'Daily Returns'!AT260*(1+'Daily Returns'!AN261)</f>
        <v>1.087599205</v>
      </c>
      <c r="L261" s="5">
        <f>'Daily Returns'!AU260*(1+'Daily Returns'!AO261)</f>
        <v>1.083433625</v>
      </c>
    </row>
    <row r="262" ht="15.75" customHeight="1">
      <c r="A262" s="9">
        <v>44209.0</v>
      </c>
      <c r="B262" s="6">
        <f>'Daily Returns'!AP261*(1+'Daily Returns'!AK262)</f>
        <v>1.197611249</v>
      </c>
      <c r="D262" s="4">
        <f>'Daily Returns'!AQ261 * (1 + 'Daily Returns'!AJ262)</f>
        <v>1.17923212</v>
      </c>
      <c r="F262" s="7">
        <f>'Daily Returns'!AR261 * (1 +'Daily Returns'!AL262)</f>
        <v>1.185496209</v>
      </c>
      <c r="H262" s="5">
        <f>'Daily Returns'!AS261*(1+'Daily Returns'!AM262)</f>
        <v>1.239647417</v>
      </c>
      <c r="J262" s="5">
        <f>'Daily Returns'!AT261*(1+'Daily Returns'!AN262)</f>
        <v>1.089207507</v>
      </c>
      <c r="L262" s="5">
        <f>'Daily Returns'!AU261*(1+'Daily Returns'!AO262)</f>
        <v>1.083732159</v>
      </c>
    </row>
    <row r="263" ht="15.75" customHeight="1">
      <c r="A263" s="9">
        <v>44210.0</v>
      </c>
      <c r="B263" s="6">
        <f>'Daily Returns'!AP262*(1+'Daily Returns'!AK263)</f>
        <v>1.204746203</v>
      </c>
      <c r="D263" s="4">
        <f>'Daily Returns'!AQ262 * (1 + 'Daily Returns'!AJ263)</f>
        <v>1.174806462</v>
      </c>
      <c r="F263" s="7">
        <f>'Daily Returns'!AR262 * (1 +'Daily Returns'!AL263)</f>
        <v>1.187358696</v>
      </c>
      <c r="H263" s="5">
        <f>'Daily Returns'!AS262*(1+'Daily Returns'!AM263)</f>
        <v>1.241019456</v>
      </c>
      <c r="J263" s="5">
        <f>'Daily Returns'!AT262*(1+'Daily Returns'!AN263)</f>
        <v>1.0843826</v>
      </c>
      <c r="L263" s="5">
        <f>'Daily Returns'!AU262*(1+'Daily Returns'!AO263)</f>
        <v>1.078053557</v>
      </c>
    </row>
    <row r="264" ht="15.75" customHeight="1">
      <c r="A264" s="9">
        <v>44211.0</v>
      </c>
      <c r="B264" s="6">
        <f>'Daily Returns'!AP263*(1+'Daily Returns'!AK264)</f>
        <v>1.200140142</v>
      </c>
      <c r="D264" s="4">
        <f>'Daily Returns'!AQ263 * (1 + 'Daily Returns'!AJ264)</f>
        <v>1.166359603</v>
      </c>
      <c r="F264" s="7">
        <f>'Daily Returns'!AR263 * (1 +'Daily Returns'!AL264)</f>
        <v>1.186427326</v>
      </c>
      <c r="H264" s="5">
        <f>'Daily Returns'!AS263*(1+'Daily Returns'!AM264)</f>
        <v>1.239834614</v>
      </c>
      <c r="J264" s="5">
        <f>'Daily Returns'!AT263*(1+'Daily Returns'!AN264)</f>
        <v>1.086393021</v>
      </c>
      <c r="L264" s="5">
        <f>'Daily Returns'!AU263*(1+'Daily Returns'!AO264)</f>
        <v>1.081341046</v>
      </c>
    </row>
    <row r="265" ht="15.75" customHeight="1">
      <c r="A265" s="9">
        <v>44215.0</v>
      </c>
      <c r="B265" s="6">
        <f>'Daily Returns'!AP264*(1+'Daily Returns'!AK265)</f>
        <v>1.214474797</v>
      </c>
      <c r="D265" s="4">
        <f>'Daily Returns'!AQ264 * (1 + 'Daily Returns'!AJ265)</f>
        <v>1.175849105</v>
      </c>
      <c r="F265" s="7">
        <f>'Daily Returns'!AR264 * (1 +'Daily Returns'!AL265)</f>
        <v>1.174941837</v>
      </c>
      <c r="H265" s="5">
        <f>'Daily Returns'!AS264*(1+'Daily Returns'!AM265)</f>
        <v>1.229044587</v>
      </c>
      <c r="J265" s="5">
        <f>'Daily Returns'!AT264*(1+'Daily Returns'!AN265)</f>
        <v>1.083980481</v>
      </c>
      <c r="L265" s="5">
        <f>'Daily Returns'!AU264*(1+'Daily Returns'!AO265)</f>
        <v>1.078651271</v>
      </c>
    </row>
    <row r="266" ht="15.75" customHeight="1">
      <c r="A266" s="9">
        <v>44216.0</v>
      </c>
      <c r="B266" s="6">
        <f>'Daily Returns'!AP265*(1+'Daily Returns'!AK266)</f>
        <v>1.224619285</v>
      </c>
      <c r="D266" s="4">
        <f>'Daily Returns'!AQ265 * (1 + 'Daily Returns'!AJ266)</f>
        <v>1.192235738</v>
      </c>
      <c r="F266" s="7">
        <f>'Daily Returns'!AR265 * (1 +'Daily Returns'!AL266)</f>
        <v>1.184461457</v>
      </c>
      <c r="H266" s="5">
        <f>'Daily Returns'!AS265*(1+'Daily Returns'!AM266)</f>
        <v>1.240271071</v>
      </c>
      <c r="J266" s="5">
        <f>'Daily Returns'!AT265*(1+'Daily Returns'!AN266)</f>
        <v>1.085588609</v>
      </c>
      <c r="L266" s="5">
        <f>'Daily Returns'!AU265*(1+'Daily Returns'!AO266)</f>
        <v>1.0795481</v>
      </c>
    </row>
    <row r="267" ht="15.75" customHeight="1">
      <c r="A267" s="9">
        <v>44217.0</v>
      </c>
      <c r="B267" s="6">
        <f>'Daily Returns'!AP266*(1+'Daily Returns'!AK267)</f>
        <v>1.226384373</v>
      </c>
      <c r="D267" s="4">
        <f>'Daily Returns'!AQ266 * (1 + 'Daily Returns'!AJ267)</f>
        <v>1.192613677</v>
      </c>
      <c r="F267" s="7">
        <f>'Daily Returns'!AR266 * (1 +'Daily Returns'!AL267)</f>
        <v>1.19843015</v>
      </c>
      <c r="H267" s="5">
        <f>'Daily Returns'!AS266*(1+'Daily Returns'!AM267)</f>
        <v>1.255925499</v>
      </c>
      <c r="J267" s="5">
        <f>'Daily Returns'!AT266*(1+'Daily Returns'!AN267)</f>
        <v>1.083980481</v>
      </c>
      <c r="L267" s="5">
        <f>'Daily Returns'!AU266*(1+'Daily Returns'!AO267)</f>
        <v>1.077156858</v>
      </c>
    </row>
    <row r="268" ht="15.75" customHeight="1">
      <c r="A268" s="9">
        <v>44218.0</v>
      </c>
      <c r="B268" s="6">
        <f>'Daily Returns'!AP267*(1+'Daily Returns'!AK268)</f>
        <v>1.224690011</v>
      </c>
      <c r="D268" s="4">
        <f>'Daily Returns'!AQ267 * (1 + 'Daily Returns'!AJ268)</f>
        <v>1.189022717</v>
      </c>
      <c r="F268" s="7">
        <f>'Daily Returns'!AR267 * (1 +'Daily Returns'!AL268)</f>
        <v>1.198223469</v>
      </c>
      <c r="H268" s="5">
        <f>'Daily Returns'!AS267*(1+'Daily Returns'!AM268)</f>
        <v>1.254990524</v>
      </c>
      <c r="J268" s="5">
        <f>'Daily Returns'!AT267*(1+'Daily Returns'!AN268)</f>
        <v>1.085588609</v>
      </c>
      <c r="L268" s="5">
        <f>'Daily Returns'!AU267*(1+'Daily Returns'!AO268)</f>
        <v>1.0795481</v>
      </c>
    </row>
    <row r="269" ht="15.75" customHeight="1">
      <c r="A269" s="9">
        <v>44221.0</v>
      </c>
      <c r="B269" s="6">
        <f>'Daily Returns'!AP268*(1+'Daily Returns'!AK269)</f>
        <v>1.223038105</v>
      </c>
      <c r="D269" s="4">
        <f>'Daily Returns'!AQ268 * (1 + 'Daily Returns'!AJ269)</f>
        <v>1.193322223</v>
      </c>
      <c r="F269" s="7">
        <f>'Daily Returns'!AR268 * (1 +'Daily Returns'!AL269)</f>
        <v>1.193567041</v>
      </c>
      <c r="H269" s="5">
        <f>'Daily Returns'!AS268*(1+'Daily Returns'!AM269)</f>
        <v>1.25293206</v>
      </c>
      <c r="J269" s="5">
        <f>'Daily Returns'!AT268*(1+'Daily Returns'!AN269)</f>
        <v>1.083980481</v>
      </c>
      <c r="L269" s="5">
        <f>'Daily Returns'!AU268*(1+'Daily Returns'!AO269)</f>
        <v>1.079846633</v>
      </c>
    </row>
    <row r="270" ht="15.75" customHeight="1">
      <c r="A270" s="9">
        <v>44222.0</v>
      </c>
      <c r="B270" s="6">
        <f>'Daily Returns'!AP269*(1+'Daily Returns'!AK270)</f>
        <v>1.217504461</v>
      </c>
      <c r="D270" s="4">
        <f>'Daily Returns'!AQ269 * (1 + 'Daily Returns'!AJ270)</f>
        <v>1.191545366</v>
      </c>
      <c r="F270" s="7">
        <f>'Daily Returns'!AR269 * (1 +'Daily Returns'!AL270)</f>
        <v>1.196360898</v>
      </c>
      <c r="H270" s="5">
        <f>'Daily Returns'!AS269*(1+'Daily Returns'!AM270)</f>
        <v>1.256487294</v>
      </c>
      <c r="J270" s="5">
        <f>'Daily Returns'!AT269*(1+'Daily Returns'!AN270)</f>
        <v>1.085990815</v>
      </c>
      <c r="L270" s="5">
        <f>'Daily Returns'!AU269*(1+'Daily Returns'!AO270)</f>
        <v>1.082835459</v>
      </c>
    </row>
    <row r="271" ht="15.75" customHeight="1">
      <c r="A271" s="9">
        <v>44223.0</v>
      </c>
      <c r="B271" s="6">
        <f>'Daily Returns'!AP270*(1+'Daily Returns'!AK271)</f>
        <v>1.202319558</v>
      </c>
      <c r="D271" s="4">
        <f>'Daily Returns'!AQ270 * (1 + 'Daily Returns'!AJ271)</f>
        <v>1.160948865</v>
      </c>
      <c r="F271" s="7">
        <f>'Daily Returns'!AR270 * (1 +'Daily Returns'!AL271)</f>
        <v>1.194705261</v>
      </c>
      <c r="H271" s="5">
        <f>'Daily Returns'!AS270*(1+'Daily Returns'!AM271)</f>
        <v>1.251934315</v>
      </c>
      <c r="J271" s="5">
        <f>'Daily Returns'!AT270*(1+'Daily Returns'!AN271)</f>
        <v>1.079959638</v>
      </c>
      <c r="L271" s="5">
        <f>'Daily Returns'!AU270*(1+'Daily Returns'!AO271)</f>
        <v>1.076857678</v>
      </c>
    </row>
    <row r="272" ht="15.75" customHeight="1">
      <c r="A272" s="9">
        <v>44224.0</v>
      </c>
      <c r="B272" s="6">
        <f>'Daily Returns'!AP271*(1+'Daily Returns'!AK272)</f>
        <v>1.207521951</v>
      </c>
      <c r="D272" s="4">
        <f>'Daily Returns'!AQ271 * (1 + 'Daily Returns'!AJ272)</f>
        <v>1.172280886</v>
      </c>
      <c r="F272" s="7">
        <f>'Daily Returns'!AR271 * (1 +'Daily Returns'!AL272)</f>
        <v>1.166043186</v>
      </c>
      <c r="H272" s="5">
        <f>'Daily Returns'!AS271*(1+'Daily Returns'!AM272)</f>
        <v>1.22187226</v>
      </c>
      <c r="J272" s="5">
        <f>'Daily Returns'!AT271*(1+'Daily Returns'!AN272)</f>
        <v>1.075536938</v>
      </c>
      <c r="L272" s="5">
        <f>'Daily Returns'!AU271*(1+'Daily Returns'!AO272)</f>
        <v>1.072673619</v>
      </c>
    </row>
    <row r="273" ht="15.75" customHeight="1">
      <c r="A273" s="9">
        <v>44225.0</v>
      </c>
      <c r="B273" s="6">
        <f>'Daily Returns'!AP272*(1+'Daily Returns'!AK273)</f>
        <v>1.200895406</v>
      </c>
      <c r="D273" s="4">
        <f>'Daily Returns'!AQ272 * (1 + 'Daily Returns'!AJ273)</f>
        <v>1.149641798</v>
      </c>
      <c r="F273" s="7">
        <f>'Daily Returns'!AR272 * (1 +'Daily Returns'!AL273)</f>
        <v>1.174114102</v>
      </c>
      <c r="H273" s="5">
        <f>'Daily Returns'!AS272*(1+'Daily Returns'!AM273)</f>
        <v>1.231477041</v>
      </c>
      <c r="J273" s="5">
        <f>'Daily Returns'!AT272*(1+'Daily Returns'!AN273)</f>
        <v>1.079155748</v>
      </c>
      <c r="L273" s="5">
        <f>'Daily Returns'!AU272*(1+'Daily Returns'!AO273)</f>
        <v>1.075961237</v>
      </c>
    </row>
    <row r="274" ht="15.75" customHeight="1">
      <c r="A274" s="9">
        <v>44228.0</v>
      </c>
      <c r="B274" s="6">
        <f>'Daily Returns'!AP273*(1+'Daily Returns'!AK274)</f>
        <v>1.200347753</v>
      </c>
      <c r="D274" s="4">
        <f>'Daily Returns'!AQ273 * (1 + 'Daily Returns'!AJ274)</f>
        <v>1.168095848</v>
      </c>
      <c r="F274" s="7">
        <f>'Daily Returns'!AR273 * (1 +'Daily Returns'!AL274)</f>
        <v>1.153626327</v>
      </c>
      <c r="H274" s="5">
        <f>'Daily Returns'!AS273*(1+'Daily Returns'!AM274)</f>
        <v>1.209897797</v>
      </c>
      <c r="J274" s="5">
        <f>'Daily Returns'!AT273*(1+'Daily Returns'!AN274)</f>
        <v>1.069908054</v>
      </c>
      <c r="L274" s="5">
        <f>'Daily Returns'!AU273*(1+'Daily Returns'!AO274)</f>
        <v>1.068788222</v>
      </c>
    </row>
    <row r="275" ht="15.75" customHeight="1">
      <c r="A275" s="9">
        <v>44229.0</v>
      </c>
      <c r="B275" s="6">
        <f>'Daily Returns'!AP274*(1+'Daily Returns'!AK275)</f>
        <v>1.204311738</v>
      </c>
      <c r="D275" s="4">
        <f>'Daily Returns'!AQ274 * (1 + 'Daily Returns'!AJ275)</f>
        <v>1.184330044</v>
      </c>
      <c r="F275" s="7">
        <f>'Daily Returns'!AR274 * (1 +'Daily Returns'!AL275)</f>
        <v>1.171009761</v>
      </c>
      <c r="H275" s="5">
        <f>'Daily Returns'!AS274*(1+'Daily Returns'!AM275)</f>
        <v>1.230541762</v>
      </c>
      <c r="J275" s="5">
        <f>'Daily Returns'!AT274*(1+'Daily Returns'!AN275)</f>
        <v>1.048196322</v>
      </c>
      <c r="L275" s="5">
        <f>'Daily Returns'!AU274*(1+'Daily Returns'!AO275)</f>
        <v>1.047269049</v>
      </c>
    </row>
    <row r="276" ht="15.75" customHeight="1">
      <c r="A276" s="9">
        <v>44230.0</v>
      </c>
      <c r="B276" s="6">
        <f>'Daily Returns'!AP275*(1+'Daily Returns'!AK276)</f>
        <v>1.20628074</v>
      </c>
      <c r="D276" s="4">
        <f>'Daily Returns'!AQ275 * (1 + 'Daily Returns'!AJ276)</f>
        <v>1.185525033</v>
      </c>
      <c r="F276" s="7">
        <f>'Daily Returns'!AR275 * (1 +'Daily Returns'!AL276)</f>
        <v>1.18580661</v>
      </c>
      <c r="H276" s="5">
        <f>'Daily Returns'!AS275*(1+'Daily Returns'!AM276)</f>
        <v>1.248191985</v>
      </c>
      <c r="J276" s="5">
        <f>'Daily Returns'!AT275*(1+'Daily Returns'!AN276)</f>
        <v>1.065485266</v>
      </c>
      <c r="L276" s="5">
        <f>'Daily Returns'!AU275*(1+'Daily Returns'!AO276)</f>
        <v>1.061615272</v>
      </c>
    </row>
    <row r="277" ht="15.75" customHeight="1">
      <c r="A277" s="9">
        <v>44231.0</v>
      </c>
      <c r="B277" s="6">
        <f>'Daily Returns'!AP276*(1+'Daily Returns'!AK277)</f>
        <v>1.203670815</v>
      </c>
      <c r="D277" s="4">
        <f>'Daily Returns'!AQ276 * (1 + 'Daily Returns'!AJ277)</f>
        <v>1.198391536</v>
      </c>
      <c r="F277" s="7">
        <f>'Daily Returns'!AR276 * (1 +'Daily Returns'!AL277)</f>
        <v>1.187358696</v>
      </c>
      <c r="H277" s="5">
        <f>'Daily Returns'!AS276*(1+'Daily Returns'!AM277)</f>
        <v>1.250063049</v>
      </c>
      <c r="J277" s="5">
        <f>'Daily Returns'!AT276*(1+'Daily Returns'!AN277)</f>
        <v>1.046186075</v>
      </c>
      <c r="L277" s="5">
        <f>'Daily Returns'!AU276*(1+'Daily Returns'!AO277)</f>
        <v>1.043981302</v>
      </c>
    </row>
    <row r="278" ht="15.75" customHeight="1">
      <c r="A278" s="9">
        <v>44232.0</v>
      </c>
      <c r="B278" s="6">
        <f>'Daily Returns'!AP277*(1+'Daily Returns'!AK278)</f>
        <v>1.206646179</v>
      </c>
      <c r="D278" s="4">
        <f>'Daily Returns'!AQ277 * (1 + 'Daily Returns'!AJ278)</f>
        <v>1.203061668</v>
      </c>
      <c r="F278" s="7">
        <f>'Daily Returns'!AR277 * (1 +'Daily Returns'!AL278)</f>
        <v>1.197706051</v>
      </c>
      <c r="H278" s="5">
        <f>'Daily Returns'!AS277*(1+'Daily Returns'!AM278)</f>
        <v>1.265904776</v>
      </c>
      <c r="J278" s="5">
        <f>'Daily Returns'!AT277*(1+'Daily Returns'!AN278)</f>
        <v>1.062670781</v>
      </c>
      <c r="L278" s="5">
        <f>'Daily Returns'!AU277*(1+'Daily Returns'!AO278)</f>
        <v>1.063408413</v>
      </c>
    </row>
    <row r="279" ht="15.75" customHeight="1">
      <c r="A279" s="9">
        <v>44235.0</v>
      </c>
      <c r="B279" s="6">
        <f>'Daily Returns'!AP278*(1+'Daily Returns'!AK279)</f>
        <v>1.211344632</v>
      </c>
      <c r="D279" s="4">
        <f>'Daily Returns'!AQ278 * (1 + 'Daily Returns'!AJ279)</f>
        <v>1.211963121</v>
      </c>
      <c r="F279" s="7">
        <f>'Daily Returns'!AR278 * (1 +'Daily Returns'!AL279)</f>
        <v>1.202362226</v>
      </c>
      <c r="H279" s="5">
        <f>'Daily Returns'!AS278*(1+'Daily Returns'!AM279)</f>
        <v>1.27301494</v>
      </c>
      <c r="J279" s="5">
        <f>'Daily Returns'!AT278*(1+'Daily Returns'!AN279)</f>
        <v>1.077547272</v>
      </c>
      <c r="L279" s="5">
        <f>'Daily Returns'!AU278*(1+'Daily Returns'!AO279)</f>
        <v>1.074467018</v>
      </c>
    </row>
    <row r="280" ht="15.75" customHeight="1">
      <c r="A280" s="9">
        <v>44236.0</v>
      </c>
      <c r="B280" s="6">
        <f>'Daily Returns'!AP279*(1+'Daily Returns'!AK280)</f>
        <v>1.203130627</v>
      </c>
      <c r="D280" s="4">
        <f>'Daily Returns'!AQ279 * (1 + 'Daily Returns'!AJ280)</f>
        <v>1.210614206</v>
      </c>
      <c r="F280" s="7">
        <f>'Daily Returns'!AR279 * (1 +'Daily Returns'!AL280)</f>
        <v>1.211778547</v>
      </c>
      <c r="H280" s="5">
        <f>'Daily Returns'!AS279*(1+'Daily Returns'!AM280)</f>
        <v>1.284428317</v>
      </c>
      <c r="J280" s="5">
        <f>'Daily Returns'!AT279*(1+'Daily Returns'!AN280)</f>
        <v>1.079557693</v>
      </c>
      <c r="L280" s="5">
        <f>'Daily Returns'!AU279*(1+'Daily Returns'!AO280)</f>
        <v>1.078950257</v>
      </c>
    </row>
    <row r="281" ht="15.75" customHeight="1">
      <c r="A281" s="9">
        <v>44237.0</v>
      </c>
      <c r="B281" s="6">
        <f>'Daily Returns'!AP280*(1+'Daily Returns'!AK281)</f>
        <v>1.212285445</v>
      </c>
      <c r="D281" s="4">
        <f>'Daily Returns'!AQ280 * (1 + 'Daily Returns'!AJ281)</f>
        <v>1.210196545</v>
      </c>
      <c r="F281" s="7">
        <f>'Daily Returns'!AR280 * (1 +'Daily Returns'!AL281)</f>
        <v>1.215089654</v>
      </c>
      <c r="H281" s="5">
        <f>'Daily Returns'!AS280*(1+'Daily Returns'!AM281)</f>
        <v>1.284927544</v>
      </c>
      <c r="J281" s="5">
        <f>'Daily Returns'!AT280*(1+'Daily Returns'!AN281)</f>
        <v>1.088001237</v>
      </c>
      <c r="L281" s="5">
        <f>'Daily Returns'!AU280*(1+'Daily Returns'!AO281)</f>
        <v>1.086123142</v>
      </c>
    </row>
    <row r="282" ht="15.75" customHeight="1">
      <c r="A282" s="9">
        <v>44238.0</v>
      </c>
      <c r="B282" s="6">
        <f>'Daily Returns'!AP281*(1+'Daily Returns'!AK282)</f>
        <v>1.207181436</v>
      </c>
      <c r="D282" s="4">
        <f>'Daily Returns'!AQ281 * (1 + 'Daily Returns'!AJ282)</f>
        <v>1.212207891</v>
      </c>
      <c r="F282" s="7">
        <f>'Daily Returns'!AR281 * (1 +'Daily Returns'!AL282)</f>
        <v>1.213847799</v>
      </c>
      <c r="H282" s="5">
        <f>'Daily Returns'!AS281*(1+'Daily Returns'!AM282)</f>
        <v>1.284365952</v>
      </c>
      <c r="J282" s="5">
        <f>'Daily Returns'!AT281*(1+'Daily Returns'!AN282)</f>
        <v>1.093228175</v>
      </c>
      <c r="L282" s="5">
        <f>'Daily Returns'!AU281*(1+'Daily Returns'!AO282)</f>
        <v>1.09180155</v>
      </c>
    </row>
    <row r="283" ht="15.75" customHeight="1">
      <c r="A283" s="9">
        <v>44239.0</v>
      </c>
      <c r="B283" s="6">
        <f>'Daily Returns'!AP282*(1+'Daily Returns'!AK283)</f>
        <v>1.210051137</v>
      </c>
      <c r="D283" s="4">
        <f>'Daily Returns'!AQ282 * (1 + 'Daily Returns'!AJ283)</f>
        <v>1.217918603</v>
      </c>
      <c r="F283" s="7">
        <f>'Daily Returns'!AR282 * (1 +'Daily Returns'!AL283)</f>
        <v>1.217986724</v>
      </c>
      <c r="H283" s="5">
        <f>'Daily Returns'!AS282*(1+'Daily Returns'!AM283)</f>
        <v>1.287422363</v>
      </c>
      <c r="J283" s="5">
        <f>'Daily Returns'!AT282*(1+'Daily Returns'!AN283)</f>
        <v>1.104083911</v>
      </c>
      <c r="L283" s="5">
        <f>'Daily Returns'!AU282*(1+'Daily Returns'!AO283)</f>
        <v>1.103757113</v>
      </c>
    </row>
    <row r="284" ht="15.75" customHeight="1">
      <c r="A284" s="9">
        <v>44243.0</v>
      </c>
      <c r="B284" s="6">
        <f>'Daily Returns'!AP283*(1+'Daily Returns'!AK284)</f>
        <v>1.214220262</v>
      </c>
      <c r="D284" s="4">
        <f>'Daily Returns'!AQ283 * (1 + 'Daily Returns'!AJ284)</f>
        <v>1.217225607</v>
      </c>
      <c r="F284" s="7">
        <f>'Daily Returns'!AR283 * (1 +'Daily Returns'!AL284)</f>
        <v>1.223884838</v>
      </c>
      <c r="H284" s="5">
        <f>'Daily Returns'!AS283*(1+'Daily Returns'!AM284)</f>
        <v>1.294095564</v>
      </c>
      <c r="J284" s="5">
        <f>'Daily Returns'!AT283*(1+'Daily Returns'!AN284)</f>
        <v>1.108104667</v>
      </c>
      <c r="L284" s="5">
        <f>'Daily Returns'!AU283*(1+'Daily Returns'!AO284)</f>
        <v>1.108539079</v>
      </c>
    </row>
    <row r="285" ht="15.75" customHeight="1">
      <c r="A285" s="9">
        <v>44244.0</v>
      </c>
      <c r="B285" s="6">
        <f>'Daily Returns'!AP284*(1+'Daily Returns'!AK285)</f>
        <v>1.21756497</v>
      </c>
      <c r="D285" s="4">
        <f>'Daily Returns'!AQ284 * (1 + 'Daily Returns'!AJ285)</f>
        <v>1.216836095</v>
      </c>
      <c r="F285" s="7">
        <f>'Daily Returns'!AR284 * (1 +'Daily Returns'!AL285)</f>
        <v>1.226782077</v>
      </c>
      <c r="H285" s="5">
        <f>'Daily Returns'!AS284*(1+'Daily Returns'!AM285)</f>
        <v>1.291788145</v>
      </c>
      <c r="J285" s="5">
        <f>'Daily Returns'!AT284*(1+'Daily Returns'!AN285)</f>
        <v>1.111321097</v>
      </c>
      <c r="L285" s="5">
        <f>'Daily Returns'!AU284*(1+'Daily Returns'!AO285)</f>
        <v>1.111826892</v>
      </c>
    </row>
    <row r="286" ht="15.75" customHeight="1">
      <c r="A286" s="9">
        <v>44245.0</v>
      </c>
      <c r="B286" s="6">
        <f>'Daily Returns'!AP285*(1+'Daily Returns'!AK286)</f>
        <v>1.220174031</v>
      </c>
      <c r="D286" s="4">
        <f>'Daily Returns'!AQ285 * (1 + 'Daily Returns'!AJ286)</f>
        <v>1.211462547</v>
      </c>
      <c r="F286" s="7">
        <f>'Daily Returns'!AR285 * (1 +'Daily Returns'!AL286)</f>
        <v>1.224712488</v>
      </c>
      <c r="H286" s="5">
        <f>'Daily Returns'!AS285*(1+'Daily Returns'!AM286)</f>
        <v>1.289106331</v>
      </c>
      <c r="J286" s="5">
        <f>'Daily Returns'!AT285*(1+'Daily Returns'!AN286)</f>
        <v>1.111321097</v>
      </c>
      <c r="L286" s="5">
        <f>'Daily Returns'!AU285*(1+'Daily Returns'!AO286)</f>
        <v>1.108539079</v>
      </c>
    </row>
    <row r="287" ht="15.75" customHeight="1">
      <c r="A287" s="9">
        <v>44246.0</v>
      </c>
      <c r="B287" s="6">
        <f>'Daily Returns'!AP286*(1+'Daily Returns'!AK287)</f>
        <v>1.223837485</v>
      </c>
      <c r="D287" s="4">
        <f>'Daily Returns'!AQ286 * (1 + 'Daily Returns'!AJ287)</f>
        <v>1.209215284</v>
      </c>
      <c r="F287" s="7">
        <f>'Daily Returns'!AR286 * (1 +'Daily Returns'!AL287)</f>
        <v>1.218297293</v>
      </c>
      <c r="H287" s="5">
        <f>'Daily Returns'!AS286*(1+'Daily Returns'!AM287)</f>
        <v>1.28168434</v>
      </c>
      <c r="J287" s="5">
        <f>'Daily Returns'!AT286*(1+'Daily Returns'!AN287)</f>
        <v>1.115744059</v>
      </c>
      <c r="L287" s="5">
        <f>'Daily Returns'!AU286*(1+'Daily Returns'!AO287)</f>
        <v>1.113321305</v>
      </c>
    </row>
    <row r="288" ht="15.75" customHeight="1">
      <c r="A288" s="9">
        <v>44249.0</v>
      </c>
      <c r="B288" s="6">
        <f>'Daily Returns'!AP287*(1+'Daily Returns'!AK288)</f>
        <v>1.233455173</v>
      </c>
      <c r="D288" s="4">
        <f>'Daily Returns'!AQ287 * (1 + 'Daily Returns'!AJ288)</f>
        <v>1.199864422</v>
      </c>
      <c r="F288" s="7">
        <f>'Daily Returns'!AR287 * (1 +'Daily Returns'!AL288)</f>
        <v>1.218297293</v>
      </c>
      <c r="H288" s="5">
        <f>'Daily Returns'!AS287*(1+'Daily Returns'!AM288)</f>
        <v>1.284615616</v>
      </c>
      <c r="J288" s="5">
        <f>'Daily Returns'!AT287*(1+'Daily Returns'!AN288)</f>
        <v>1.116950329</v>
      </c>
      <c r="L288" s="5">
        <f>'Daily Returns'!AU287*(1+'Daily Returns'!AO288)</f>
        <v>1.115114445</v>
      </c>
    </row>
    <row r="289" ht="15.75" customHeight="1">
      <c r="A289" s="9">
        <v>44250.0</v>
      </c>
      <c r="B289" s="6">
        <f>'Daily Returns'!AP288*(1+'Daily Returns'!AK289)</f>
        <v>1.235930125</v>
      </c>
      <c r="D289" s="4">
        <f>'Daily Returns'!AQ288 * (1 + 'Daily Returns'!AJ289)</f>
        <v>1.201371451</v>
      </c>
      <c r="F289" s="7">
        <f>'Daily Returns'!AR288 * (1 +'Daily Returns'!AL289)</f>
        <v>1.210329759</v>
      </c>
      <c r="H289" s="5">
        <f>'Daily Returns'!AS288*(1+'Daily Returns'!AM289)</f>
        <v>1.272391184</v>
      </c>
      <c r="J289" s="5">
        <f>'Daily Returns'!AT288*(1+'Daily Returns'!AN289)</f>
        <v>1.112125248</v>
      </c>
      <c r="L289" s="5">
        <f>'Daily Returns'!AU288*(1+'Daily Returns'!AO289)</f>
        <v>1.109137051</v>
      </c>
    </row>
    <row r="290" ht="15.75" customHeight="1">
      <c r="A290" s="9">
        <v>44251.0</v>
      </c>
      <c r="B290" s="6">
        <f>'Daily Returns'!AP289*(1+'Daily Returns'!AK290)</f>
        <v>1.244239358</v>
      </c>
      <c r="D290" s="4">
        <f>'Daily Returns'!AQ289 * (1 + 'Daily Returns'!AJ290)</f>
        <v>1.21500942</v>
      </c>
      <c r="F290" s="7">
        <f>'Daily Returns'!AR289 * (1 +'Daily Returns'!AL290)</f>
        <v>1.210226293</v>
      </c>
      <c r="H290" s="5">
        <f>'Daily Returns'!AS289*(1+'Daily Returns'!AM290)</f>
        <v>1.272204088</v>
      </c>
      <c r="J290" s="5">
        <f>'Daily Returns'!AT289*(1+'Daily Returns'!AN290)</f>
        <v>1.107300602</v>
      </c>
      <c r="L290" s="5">
        <f>'Daily Returns'!AU289*(1+'Daily Returns'!AO290)</f>
        <v>1.101963714</v>
      </c>
    </row>
    <row r="291" ht="15.75" customHeight="1">
      <c r="A291" s="9">
        <v>44252.0</v>
      </c>
      <c r="B291" s="6">
        <f>'Daily Returns'!AP290*(1+'Daily Returns'!AK291)</f>
        <v>1.236314485</v>
      </c>
      <c r="D291" s="4">
        <f>'Daily Returns'!AQ290 * (1 + 'Daily Returns'!AJ291)</f>
        <v>1.185267205</v>
      </c>
      <c r="F291" s="7">
        <f>'Daily Returns'!AR290 * (1 +'Daily Returns'!AL291)</f>
        <v>1.219849211</v>
      </c>
      <c r="H291" s="5">
        <f>'Daily Returns'!AS290*(1+'Daily Returns'!AM291)</f>
        <v>1.286486781</v>
      </c>
      <c r="J291" s="5">
        <f>'Daily Returns'!AT290*(1+'Daily Returns'!AN291)</f>
        <v>1.113733724</v>
      </c>
      <c r="L291" s="5">
        <f>'Daily Returns'!AU290*(1+'Daily Returns'!AO291)</f>
        <v>1.108838065</v>
      </c>
    </row>
    <row r="292" ht="15.75" customHeight="1">
      <c r="A292" s="9">
        <v>44253.0</v>
      </c>
      <c r="B292" s="6">
        <f>'Daily Returns'!AP291*(1+'Daily Returns'!AK292)</f>
        <v>1.224593973</v>
      </c>
      <c r="D292" s="4">
        <f>'Daily Returns'!AQ291 * (1 + 'Daily Returns'!AJ292)</f>
        <v>1.179637185</v>
      </c>
      <c r="F292" s="7">
        <f>'Daily Returns'!AR291 * (1 +'Daily Returns'!AL292)</f>
        <v>1.19387761</v>
      </c>
      <c r="H292" s="5">
        <f>'Daily Returns'!AS291*(1+'Daily Returns'!AM292)</f>
        <v>1.252869796</v>
      </c>
      <c r="J292" s="5">
        <f>'Daily Returns'!AT291*(1+'Daily Returns'!AN292)</f>
        <v>1.115920225</v>
      </c>
      <c r="L292" s="5">
        <f>'Daily Returns'!AU291*(1+'Daily Returns'!AO292)</f>
        <v>1.111527647</v>
      </c>
    </row>
    <row r="293" ht="15.75" customHeight="1">
      <c r="A293" s="9">
        <v>44256.0</v>
      </c>
      <c r="B293" s="6">
        <f>'Daily Returns'!AP292*(1+'Daily Returns'!AK293)</f>
        <v>1.235402835</v>
      </c>
      <c r="D293" s="4">
        <f>'Daily Returns'!AQ292 * (1 + 'Daily Returns'!AJ293)</f>
        <v>1.207701934</v>
      </c>
      <c r="F293" s="7">
        <f>'Daily Returns'!AR292 * (1 +'Daily Returns'!AL293)</f>
        <v>1.182391868</v>
      </c>
      <c r="H293" s="5">
        <f>'Daily Returns'!AS292*(1+'Daily Returns'!AM293)</f>
        <v>1.24788036</v>
      </c>
      <c r="J293" s="5">
        <f>'Daily Returns'!AT292*(1+'Daily Returns'!AN293)</f>
        <v>1.111061286</v>
      </c>
      <c r="L293" s="5">
        <f>'Daily Returns'!AU292*(1+'Daily Returns'!AO293)</f>
        <v>1.105550253</v>
      </c>
    </row>
    <row r="294" ht="15.75" customHeight="1">
      <c r="A294" s="9">
        <v>44257.0</v>
      </c>
      <c r="B294" s="6">
        <f>'Daily Returns'!AP293*(1+'Daily Returns'!AK294)</f>
        <v>1.240516351</v>
      </c>
      <c r="D294" s="4">
        <f>'Daily Returns'!AQ293 * (1 + 'Daily Returns'!AJ294)</f>
        <v>1.197942494</v>
      </c>
      <c r="F294" s="7">
        <f>'Daily Returns'!AR293 * (1 +'Daily Returns'!AL294)</f>
        <v>1.209398474</v>
      </c>
      <c r="H294" s="5">
        <f>'Daily Returns'!AS293*(1+'Daily Returns'!AM294)</f>
        <v>1.279937906</v>
      </c>
      <c r="J294" s="5">
        <f>'Daily Returns'!AT293*(1+'Daily Returns'!AN294)</f>
        <v>1.119969094</v>
      </c>
      <c r="L294" s="5">
        <f>'Daily Returns'!AU293*(1+'Daily Returns'!AO294)</f>
        <v>1.116608858</v>
      </c>
    </row>
    <row r="295" ht="15.75" customHeight="1">
      <c r="A295" s="9">
        <v>44258.0</v>
      </c>
      <c r="B295" s="6">
        <f>'Daily Returns'!AP294*(1+'Daily Returns'!AK295)</f>
        <v>1.238919188</v>
      </c>
      <c r="D295" s="4">
        <f>'Daily Returns'!AQ294 * (1 + 'Daily Returns'!AJ295)</f>
        <v>1.182290178</v>
      </c>
      <c r="F295" s="7">
        <f>'Daily Returns'!AR294 * (1 +'Daily Returns'!AL295)</f>
        <v>1.204742131</v>
      </c>
      <c r="H295" s="5">
        <f>'Daily Returns'!AS294*(1+'Daily Returns'!AM295)</f>
        <v>1.267900773</v>
      </c>
      <c r="J295" s="5">
        <f>'Daily Returns'!AT294*(1+'Daily Returns'!AN295)</f>
        <v>1.104987634</v>
      </c>
      <c r="L295" s="5">
        <f>'Daily Returns'!AU294*(1+'Daily Returns'!AO295)</f>
        <v>1.100469301</v>
      </c>
    </row>
    <row r="296" ht="15.75" customHeight="1">
      <c r="A296" s="9">
        <v>44259.0</v>
      </c>
      <c r="B296" s="6">
        <f>'Daily Returns'!AP295*(1+'Daily Returns'!AK296)</f>
        <v>1.231763083</v>
      </c>
      <c r="D296" s="4">
        <f>'Daily Returns'!AQ295 * (1 + 'Daily Returns'!AJ296)</f>
        <v>1.16642739</v>
      </c>
      <c r="F296" s="7">
        <f>'Daily Returns'!AR295 * (1 +'Daily Returns'!AL296)</f>
        <v>1.188082964</v>
      </c>
      <c r="H296" s="5">
        <f>'Daily Returns'!AS295*(1+'Daily Returns'!AM296)</f>
        <v>1.249626491</v>
      </c>
      <c r="J296" s="5">
        <f>'Daily Returns'!AT295*(1+'Daily Returns'!AN296)</f>
        <v>1.092030783</v>
      </c>
      <c r="L296" s="5">
        <f>'Daily Returns'!AU295*(1+'Daily Returns'!AO296)</f>
        <v>1.089410696</v>
      </c>
    </row>
    <row r="297" ht="15.75" customHeight="1">
      <c r="A297" s="9">
        <v>44260.0</v>
      </c>
      <c r="B297" s="6">
        <f>'Daily Returns'!AP296*(1+'Daily Returns'!AK297)</f>
        <v>1.251904813</v>
      </c>
      <c r="D297" s="4">
        <f>'Daily Returns'!AQ296 * (1 + 'Daily Returns'!AJ297)</f>
        <v>1.189168059</v>
      </c>
      <c r="F297" s="7">
        <f>'Daily Returns'!AR296 * (1 +'Daily Returns'!AL297)</f>
        <v>1.173803702</v>
      </c>
      <c r="H297" s="5">
        <f>'Daily Returns'!AS296*(1+'Daily Returns'!AM297)</f>
        <v>1.229855743</v>
      </c>
      <c r="J297" s="5">
        <f>'Daily Returns'!AT296*(1+'Daily Returns'!AN297)</f>
        <v>1.109846486</v>
      </c>
      <c r="L297" s="5">
        <f>'Daily Returns'!AU296*(1+'Daily Returns'!AO297)</f>
        <v>1.105849239</v>
      </c>
    </row>
    <row r="298" ht="15.75" customHeight="1">
      <c r="A298" s="9">
        <v>44263.0</v>
      </c>
      <c r="B298" s="6">
        <f>'Daily Returns'!AP297*(1+'Daily Returns'!AK298)</f>
        <v>1.257360966</v>
      </c>
      <c r="D298" s="4">
        <f>'Daily Returns'!AQ297 * (1 + 'Daily Returns'!AJ298)</f>
        <v>1.182795307</v>
      </c>
      <c r="F298" s="7">
        <f>'Daily Returns'!AR297 * (1 +'Daily Returns'!AL298)</f>
        <v>1.190462953</v>
      </c>
      <c r="H298" s="5">
        <f>'Daily Returns'!AS297*(1+'Daily Returns'!AM298)</f>
        <v>1.252059046</v>
      </c>
      <c r="J298" s="5">
        <f>'Daily Returns'!AT297*(1+'Daily Returns'!AN298)</f>
        <v>1.118349477</v>
      </c>
      <c r="L298" s="5">
        <f>'Daily Returns'!AU297*(1+'Daily Returns'!AO298)</f>
        <v>1.113321305</v>
      </c>
    </row>
    <row r="299" ht="15.75" customHeight="1">
      <c r="A299" s="9">
        <v>44264.0</v>
      </c>
      <c r="B299" s="6">
        <f>'Daily Returns'!AP298*(1+'Daily Returns'!AK299)</f>
        <v>1.258157517</v>
      </c>
      <c r="D299" s="4">
        <f>'Daily Returns'!AQ298 * (1 + 'Daily Returns'!AJ299)</f>
        <v>1.199537775</v>
      </c>
      <c r="F299" s="7">
        <f>'Daily Returns'!AR298 * (1 +'Daily Returns'!AL299)</f>
        <v>1.18456484</v>
      </c>
      <c r="H299" s="5">
        <f>'Daily Returns'!AS298*(1+'Daily Returns'!AM299)</f>
        <v>1.24594683</v>
      </c>
      <c r="J299" s="5">
        <f>'Daily Returns'!AT298*(1+'Daily Returns'!AN299)</f>
        <v>1.111871095</v>
      </c>
      <c r="L299" s="5">
        <f>'Daily Returns'!AU298*(1+'Daily Returns'!AO299)</f>
        <v>1.107642768</v>
      </c>
    </row>
    <row r="300" ht="15.75" customHeight="1">
      <c r="A300" s="9">
        <v>44265.0</v>
      </c>
      <c r="B300" s="6">
        <f>'Daily Returns'!AP299*(1+'Daily Returns'!AK300)</f>
        <v>1.268139925</v>
      </c>
      <c r="D300" s="4">
        <f>'Daily Returns'!AQ299 * (1 + 'Daily Returns'!AJ300)</f>
        <v>1.206770987</v>
      </c>
      <c r="F300" s="7">
        <f>'Daily Returns'!AR299 * (1 +'Daily Returns'!AL300)</f>
        <v>1.202983111</v>
      </c>
      <c r="H300" s="5">
        <f>'Daily Returns'!AS299*(1+'Daily Returns'!AM300)</f>
        <v>1.265281122</v>
      </c>
      <c r="J300" s="5">
        <f>'Daily Returns'!AT299*(1+'Daily Returns'!AN300)</f>
        <v>1.102153304</v>
      </c>
      <c r="L300" s="5">
        <f>'Daily Returns'!AU299*(1+'Daily Returns'!AO300)</f>
        <v>1.096284789</v>
      </c>
    </row>
    <row r="301" ht="15.75" customHeight="1">
      <c r="A301" s="9">
        <v>44266.0</v>
      </c>
      <c r="B301" s="6">
        <f>'Daily Returns'!AP300*(1+'Daily Returns'!AK301)</f>
        <v>1.282897434</v>
      </c>
      <c r="D301" s="4">
        <f>'Daily Returns'!AQ300 * (1 + 'Daily Returns'!AJ301)</f>
        <v>1.219315372</v>
      </c>
      <c r="F301" s="7">
        <f>'Daily Returns'!AR300 * (1 +'Daily Returns'!AL301)</f>
        <v>1.20981251</v>
      </c>
      <c r="H301" s="5">
        <f>'Daily Returns'!AS300*(1+'Daily Returns'!AM301)</f>
        <v>1.274324512</v>
      </c>
      <c r="J301" s="5">
        <f>'Daily Returns'!AT300*(1+'Daily Returns'!AN301)</f>
        <v>1.118754468</v>
      </c>
      <c r="L301" s="5">
        <f>'Daily Returns'!AU300*(1+'Daily Returns'!AO301)</f>
        <v>1.112125877</v>
      </c>
    </row>
    <row r="302" ht="15.75" customHeight="1">
      <c r="A302" s="9">
        <v>44267.0</v>
      </c>
      <c r="B302" s="6">
        <f>'Daily Returns'!AP301*(1+'Daily Returns'!AK302)</f>
        <v>1.28159568</v>
      </c>
      <c r="D302" s="4">
        <f>'Daily Returns'!AQ301 * (1 + 'Daily Returns'!AJ302)</f>
        <v>1.220552977</v>
      </c>
      <c r="F302" s="7">
        <f>'Daily Returns'!AR301 * (1 +'Daily Returns'!AL302)</f>
        <v>1.221090981</v>
      </c>
      <c r="H302" s="5">
        <f>'Daily Returns'!AS301*(1+'Daily Returns'!AM302)</f>
        <v>1.290977395</v>
      </c>
      <c r="J302" s="5">
        <f>'Daily Returns'!AT301*(1+'Daily Returns'!AN302)</f>
        <v>1.12320859</v>
      </c>
      <c r="L302" s="5">
        <f>'Daily Returns'!AU301*(1+'Daily Returns'!AO302)</f>
        <v>1.117206572</v>
      </c>
    </row>
    <row r="303" ht="15.75" customHeight="1">
      <c r="A303" s="9">
        <v>44270.0</v>
      </c>
      <c r="B303" s="6">
        <f>'Daily Returns'!AP302*(1+'Daily Returns'!AK303)</f>
        <v>1.289934019</v>
      </c>
      <c r="D303" s="4">
        <f>'Daily Returns'!AQ302 * (1 + 'Daily Returns'!AJ303)</f>
        <v>1.228476807</v>
      </c>
      <c r="F303" s="7">
        <f>'Daily Returns'!AR302 * (1 +'Daily Returns'!AL303)</f>
        <v>1.222125818</v>
      </c>
      <c r="H303" s="5">
        <f>'Daily Returns'!AS302*(1+'Daily Returns'!AM303)</f>
        <v>1.293534276</v>
      </c>
      <c r="J303" s="5">
        <f>'Daily Returns'!AT302*(1+'Daily Returns'!AN303)</f>
        <v>1.129686972</v>
      </c>
      <c r="L303" s="5">
        <f>'Daily Returns'!AU302*(1+'Daily Returns'!AO303)</f>
        <v>1.124678637</v>
      </c>
    </row>
    <row r="304" ht="15.75" customHeight="1">
      <c r="A304" s="9">
        <v>44271.0</v>
      </c>
      <c r="B304" s="6">
        <f>'Daily Returns'!AP303*(1+'Daily Returns'!AK304)</f>
        <v>1.290540855</v>
      </c>
      <c r="D304" s="4">
        <f>'Daily Returns'!AQ303 * (1 + 'Daily Returns'!AJ304)</f>
        <v>1.226548098</v>
      </c>
      <c r="F304" s="7">
        <f>'Daily Returns'!AR303 * (1 +'Daily Returns'!AL304)</f>
        <v>1.22750626</v>
      </c>
      <c r="H304" s="5">
        <f>'Daily Returns'!AS303*(1+'Daily Returns'!AM304)</f>
        <v>1.302577666</v>
      </c>
      <c r="J304" s="5">
        <f>'Daily Returns'!AT303*(1+'Daily Returns'!AN304)</f>
        <v>1.135760537</v>
      </c>
      <c r="L304" s="5">
        <f>'Daily Returns'!AU303*(1+'Daily Returns'!AO304)</f>
        <v>1.130954887</v>
      </c>
    </row>
    <row r="305" ht="15.75" customHeight="1">
      <c r="A305" s="9">
        <v>44272.0</v>
      </c>
      <c r="B305" s="6">
        <f>'Daily Returns'!AP304*(1+'Daily Returns'!AK305)</f>
        <v>1.293968779</v>
      </c>
      <c r="D305" s="4">
        <f>'Daily Returns'!AQ304 * (1 + 'Daily Returns'!AJ305)</f>
        <v>1.23007933</v>
      </c>
      <c r="F305" s="7">
        <f>'Daily Returns'!AR304 * (1 +'Daily Returns'!AL305)</f>
        <v>1.229161982</v>
      </c>
      <c r="H305" s="5">
        <f>'Daily Returns'!AS304*(1+'Daily Returns'!AM305)</f>
        <v>1.297338768</v>
      </c>
      <c r="J305" s="5">
        <f>'Daily Returns'!AT304*(1+'Daily Returns'!AN305)</f>
        <v>1.144263702</v>
      </c>
      <c r="L305" s="5">
        <f>'Daily Returns'!AU304*(1+'Daily Returns'!AO305)</f>
        <v>1.140817678</v>
      </c>
    </row>
    <row r="306" ht="15.75" customHeight="1">
      <c r="A306" s="9">
        <v>44273.0</v>
      </c>
      <c r="B306" s="6">
        <f>'Daily Returns'!AP305*(1+'Daily Returns'!AK306)</f>
        <v>1.287904941</v>
      </c>
      <c r="D306" s="4">
        <f>'Daily Returns'!AQ305 * (1 + 'Daily Returns'!AJ306)</f>
        <v>1.211922129</v>
      </c>
      <c r="F306" s="7">
        <f>'Daily Returns'!AR305 * (1 +'Daily Returns'!AL306)</f>
        <v>1.233507841</v>
      </c>
      <c r="H306" s="5">
        <f>'Daily Returns'!AS305*(1+'Daily Returns'!AM306)</f>
        <v>1.302266143</v>
      </c>
      <c r="J306" s="5">
        <f>'Daily Returns'!AT305*(1+'Daily Returns'!AN306)</f>
        <v>1.145073336</v>
      </c>
      <c r="L306" s="5">
        <f>'Daily Returns'!AU305*(1+'Daily Returns'!AO306)</f>
        <v>1.141415908</v>
      </c>
    </row>
    <row r="307" ht="15.75" customHeight="1">
      <c r="A307" s="9">
        <v>44274.0</v>
      </c>
      <c r="B307" s="6">
        <f>'Daily Returns'!AP306*(1+'Daily Returns'!AK307)</f>
        <v>1.292014064</v>
      </c>
      <c r="D307" s="4">
        <f>'Daily Returns'!AQ306 * (1 + 'Daily Returns'!AJ307)</f>
        <v>1.21119134</v>
      </c>
      <c r="F307" s="7">
        <f>'Daily Returns'!AR306 * (1 +'Daily Returns'!AL307)</f>
        <v>1.216331255</v>
      </c>
      <c r="H307" s="5">
        <f>'Daily Returns'!AS306*(1+'Daily Returns'!AM307)</f>
        <v>1.278565867</v>
      </c>
      <c r="J307" s="5">
        <f>'Daily Returns'!AT306*(1+'Daily Returns'!AN307)</f>
        <v>1.151147075</v>
      </c>
      <c r="L307" s="5">
        <f>'Daily Returns'!AU306*(1+'Daily Returns'!AO307)</f>
        <v>1.148289872</v>
      </c>
    </row>
    <row r="308" ht="15.75" customHeight="1">
      <c r="A308" s="9">
        <v>44277.0</v>
      </c>
      <c r="B308" s="6">
        <f>'Daily Returns'!AP307*(1+'Daily Returns'!AK308)</f>
        <v>1.299591597</v>
      </c>
      <c r="D308" s="4">
        <f>'Daily Returns'!AQ307 * (1 + 'Daily Returns'!AJ308)</f>
        <v>1.219699959</v>
      </c>
      <c r="F308" s="7">
        <f>'Daily Returns'!AR307 * (1 +'Daily Returns'!AL308)</f>
        <v>1.216745038</v>
      </c>
      <c r="H308" s="5">
        <f>'Daily Returns'!AS307*(1+'Daily Returns'!AM308)</f>
        <v>1.280187469</v>
      </c>
      <c r="J308" s="5">
        <f>'Daily Returns'!AT307*(1+'Daily Returns'!AN308)</f>
        <v>1.147097858</v>
      </c>
      <c r="L308" s="5">
        <f>'Daily Returns'!AU307*(1+'Daily Returns'!AO308)</f>
        <v>1.142910063</v>
      </c>
    </row>
    <row r="309" ht="15.75" customHeight="1">
      <c r="A309" s="9">
        <v>44278.0</v>
      </c>
      <c r="B309" s="6">
        <f>'Daily Returns'!AP308*(1+'Daily Returns'!AK309)</f>
        <v>1.292842721</v>
      </c>
      <c r="D309" s="4">
        <f>'Daily Returns'!AQ308 * (1 + 'Daily Returns'!AJ309)</f>
        <v>1.210392429</v>
      </c>
      <c r="F309" s="7">
        <f>'Daily Returns'!AR308 * (1 +'Daily Returns'!AL309)</f>
        <v>1.222022267</v>
      </c>
      <c r="H309" s="5">
        <f>'Daily Returns'!AS308*(1+'Daily Returns'!AM309)</f>
        <v>1.287110435</v>
      </c>
      <c r="J309" s="5">
        <f>'Daily Returns'!AT308*(1+'Daily Returns'!AN309)</f>
        <v>1.153981144</v>
      </c>
      <c r="L309" s="5">
        <f>'Daily Returns'!AU308*(1+'Daily Returns'!AO309)</f>
        <v>1.149784156</v>
      </c>
    </row>
    <row r="310" ht="15.75" customHeight="1">
      <c r="A310" s="9">
        <v>44279.0</v>
      </c>
      <c r="B310" s="6">
        <f>'Daily Returns'!AP309*(1+'Daily Returns'!AK310)</f>
        <v>1.297814615</v>
      </c>
      <c r="D310" s="4">
        <f>'Daily Returns'!AQ309 * (1 + 'Daily Returns'!AJ310)</f>
        <v>1.203775214</v>
      </c>
      <c r="F310" s="7">
        <f>'Daily Returns'!AR309 * (1 +'Daily Returns'!AL310)</f>
        <v>1.21064016</v>
      </c>
      <c r="H310" s="5">
        <f>'Daily Returns'!AS309*(1+'Daily Returns'!AM310)</f>
        <v>1.27245355</v>
      </c>
      <c r="J310" s="5">
        <f>'Daily Returns'!AT309*(1+'Daily Returns'!AN310)</f>
        <v>1.148312571</v>
      </c>
      <c r="L310" s="5">
        <f>'Daily Returns'!AU309*(1+'Daily Returns'!AO310)</f>
        <v>1.141116793</v>
      </c>
    </row>
    <row r="311" ht="15.75" customHeight="1">
      <c r="A311" s="9">
        <v>44280.0</v>
      </c>
      <c r="B311" s="6">
        <f>'Daily Returns'!AP310*(1+'Daily Returns'!AK311)</f>
        <v>1.300626307</v>
      </c>
      <c r="D311" s="4">
        <f>'Daily Returns'!AQ310 * (1 + 'Daily Returns'!AJ311)</f>
        <v>1.210082996</v>
      </c>
      <c r="F311" s="7">
        <f>'Daily Returns'!AR310 * (1 +'Daily Returns'!AL311)</f>
        <v>1.204017779</v>
      </c>
      <c r="H311" s="5">
        <f>'Daily Returns'!AS310*(1+'Daily Returns'!AM311)</f>
        <v>1.261913187</v>
      </c>
      <c r="J311" s="5">
        <f>'Daily Returns'!AT310*(1+'Daily Returns'!AN311)</f>
        <v>1.146692954</v>
      </c>
      <c r="L311" s="5">
        <f>'Daily Returns'!AU310*(1+'Daily Returns'!AO311)</f>
        <v>1.141714635</v>
      </c>
    </row>
    <row r="312" ht="15.75" customHeight="1">
      <c r="A312" s="9">
        <v>44281.0</v>
      </c>
      <c r="B312" s="6">
        <f>'Daily Returns'!AP311*(1+'Daily Returns'!AK312)</f>
        <v>1.317607026</v>
      </c>
      <c r="D312" s="4">
        <f>'Daily Returns'!AQ311 * (1 + 'Daily Returns'!AJ312)</f>
        <v>1.230207886</v>
      </c>
      <c r="F312" s="7">
        <f>'Daily Returns'!AR311 * (1 +'Daily Returns'!AL312)</f>
        <v>1.210950644</v>
      </c>
      <c r="H312" s="5">
        <f>'Daily Returns'!AS311*(1+'Daily Returns'!AM312)</f>
        <v>1.271249674</v>
      </c>
      <c r="J312" s="5">
        <f>'Daily Returns'!AT311*(1+'Daily Returns'!AN312)</f>
        <v>1.145478241</v>
      </c>
      <c r="L312" s="5">
        <f>'Daily Returns'!AU311*(1+'Daily Returns'!AO312)</f>
        <v>1.139622509</v>
      </c>
    </row>
    <row r="313" ht="15.75" customHeight="1">
      <c r="A313" s="9">
        <v>44284.0</v>
      </c>
      <c r="B313" s="6">
        <f>'Daily Returns'!AP312*(1+'Daily Returns'!AK313)</f>
        <v>1.319759031</v>
      </c>
      <c r="D313" s="4">
        <f>'Daily Returns'!AQ312 * (1 + 'Daily Returns'!AJ313)</f>
        <v>1.229140066</v>
      </c>
      <c r="F313" s="7">
        <f>'Daily Returns'!AR312 * (1 +'Daily Returns'!AL313)</f>
        <v>1.226161276</v>
      </c>
      <c r="H313" s="5">
        <f>'Daily Returns'!AS312*(1+'Daily Returns'!AM313)</f>
        <v>1.292025255</v>
      </c>
      <c r="J313" s="5">
        <f>'Daily Returns'!AT312*(1+'Daily Returns'!AN313)</f>
        <v>1.139404763</v>
      </c>
      <c r="L313" s="5">
        <f>'Daily Returns'!AU312*(1+'Daily Returns'!AO313)</f>
        <v>1.131851587</v>
      </c>
    </row>
    <row r="314" ht="15.75" customHeight="1">
      <c r="A314" s="9">
        <v>44285.0</v>
      </c>
      <c r="B314" s="6">
        <f>'Daily Returns'!AP313*(1+'Daily Returns'!AK314)</f>
        <v>1.316508138</v>
      </c>
      <c r="D314" s="4">
        <f>'Daily Returns'!AQ313 * (1 + 'Daily Returns'!AJ314)</f>
        <v>1.225258441</v>
      </c>
      <c r="F314" s="7">
        <f>'Daily Returns'!AR313 * (1 +'Daily Returns'!AL314)</f>
        <v>1.224505555</v>
      </c>
      <c r="H314" s="5">
        <f>'Daily Returns'!AS313*(1+'Daily Returns'!AM314)</f>
        <v>1.285955257</v>
      </c>
      <c r="J314" s="5">
        <f>'Daily Returns'!AT313*(1+'Daily Returns'!AN314)</f>
        <v>1.138594954</v>
      </c>
      <c r="L314" s="5">
        <f>'Daily Returns'!AU313*(1+'Daily Returns'!AO314)</f>
        <v>1.129460604</v>
      </c>
    </row>
    <row r="315" ht="15.75" customHeight="1">
      <c r="A315" s="9">
        <v>44286.0</v>
      </c>
      <c r="B315" s="6">
        <f>'Daily Returns'!AP314*(1+'Daily Returns'!AK315)</f>
        <v>1.313718101</v>
      </c>
      <c r="D315" s="4">
        <f>'Daily Returns'!AQ314 * (1 + 'Daily Returns'!AJ315)</f>
        <v>1.229697553</v>
      </c>
      <c r="F315" s="7">
        <f>'Daily Returns'!AR314 * (1 +'Daily Returns'!AL315)</f>
        <v>1.221815333</v>
      </c>
      <c r="H315" s="5">
        <f>'Daily Returns'!AS314*(1+'Daily Returns'!AM315)</f>
        <v>1.28557985</v>
      </c>
      <c r="J315" s="5">
        <f>'Daily Returns'!AT314*(1+'Daily Returns'!AN315)</f>
        <v>1.139809493</v>
      </c>
      <c r="L315" s="5">
        <f>'Daily Returns'!AU314*(1+'Daily Returns'!AO315)</f>
        <v>1.13155273</v>
      </c>
    </row>
    <row r="316" ht="15.75" customHeight="1">
      <c r="A316" s="9">
        <v>44287.0</v>
      </c>
      <c r="B316" s="6">
        <f>'Daily Returns'!AP315*(1+'Daily Returns'!AK316)</f>
        <v>1.324324267</v>
      </c>
      <c r="D316" s="4">
        <f>'Daily Returns'!AQ315 * (1 + 'Daily Returns'!AJ316)</f>
        <v>1.244238726</v>
      </c>
      <c r="F316" s="7">
        <f>'Daily Returns'!AR315 * (1 +'Daily Returns'!AL316)</f>
        <v>1.226057725</v>
      </c>
      <c r="H316" s="5">
        <f>'Daily Returns'!AS315*(1+'Daily Returns'!AM316)</f>
        <v>1.293401951</v>
      </c>
      <c r="J316" s="5">
        <f>'Daily Returns'!AT315*(1+'Daily Returns'!AN316)</f>
        <v>1.145478241</v>
      </c>
      <c r="L316" s="5">
        <f>'Daily Returns'!AU315*(1+'Daily Returns'!AO316)</f>
        <v>1.137530512</v>
      </c>
    </row>
    <row r="317" ht="15.75" customHeight="1">
      <c r="A317" s="9">
        <v>44291.0</v>
      </c>
      <c r="B317" s="6">
        <f>'Daily Returns'!AP316*(1+'Daily Returns'!AK317)</f>
        <v>1.326176713</v>
      </c>
      <c r="D317" s="4">
        <f>'Daily Returns'!AQ316 * (1 + 'Daily Returns'!AJ317)</f>
        <v>1.262203045</v>
      </c>
      <c r="F317" s="7">
        <f>'Daily Returns'!AR316 * (1 +'Daily Returns'!AL317)</f>
        <v>1.239405786</v>
      </c>
      <c r="H317" s="5">
        <f>'Daily Returns'!AS316*(1+'Daily Returns'!AM317)</f>
        <v>1.309609265</v>
      </c>
      <c r="J317" s="5">
        <f>'Daily Returns'!AT316*(1+'Daily Returns'!AN317)</f>
        <v>1.144668345</v>
      </c>
      <c r="L317" s="5">
        <f>'Daily Returns'!AU316*(1+'Daily Returns'!AO317)</f>
        <v>1.135437997</v>
      </c>
    </row>
    <row r="318" ht="15.75" customHeight="1">
      <c r="A318" s="9">
        <v>44292.0</v>
      </c>
      <c r="B318" s="6">
        <f>'Daily Returns'!AP317*(1+'Daily Returns'!AK318)</f>
        <v>1.325865927</v>
      </c>
      <c r="D318" s="4">
        <f>'Daily Returns'!AQ317 * (1 + 'Daily Returns'!AJ318)</f>
        <v>1.260973659</v>
      </c>
      <c r="F318" s="7">
        <f>'Daily Returns'!AR317 * (1 +'Daily Returns'!AL318)</f>
        <v>1.256375437</v>
      </c>
      <c r="H318" s="5">
        <f>'Daily Returns'!AS317*(1+'Daily Returns'!AM318)</f>
        <v>1.324878061</v>
      </c>
      <c r="J318" s="5">
        <f>'Daily Returns'!AT317*(1+'Daily Returns'!AN318)</f>
        <v>1.144668345</v>
      </c>
      <c r="L318" s="5">
        <f>'Daily Returns'!AU317*(1+'Daily Returns'!AO318)</f>
        <v>1.136035582</v>
      </c>
    </row>
    <row r="319" ht="15.75" customHeight="1">
      <c r="A319" s="9">
        <v>44293.0</v>
      </c>
      <c r="B319" s="6">
        <f>'Daily Returns'!AP318*(1+'Daily Returns'!AK319)</f>
        <v>1.319789182</v>
      </c>
      <c r="D319" s="4">
        <f>'Daily Returns'!AQ318 * (1 + 'Daily Returns'!AJ319)</f>
        <v>1.262833595</v>
      </c>
      <c r="F319" s="7">
        <f>'Daily Returns'!AR318 * (1 +'Daily Returns'!AL319)</f>
        <v>1.253271264</v>
      </c>
      <c r="H319" s="5">
        <f>'Daily Returns'!AS318*(1+'Daily Returns'!AM319)</f>
        <v>1.325378908</v>
      </c>
      <c r="J319" s="5">
        <f>'Daily Returns'!AT318*(1+'Daily Returns'!AN319)</f>
        <v>1.141834102</v>
      </c>
      <c r="L319" s="5">
        <f>'Daily Returns'!AU318*(1+'Daily Returns'!AO319)</f>
        <v>1.134469717</v>
      </c>
    </row>
    <row r="320" ht="15.75" customHeight="1">
      <c r="A320" s="9">
        <v>44294.0</v>
      </c>
      <c r="B320" s="6">
        <f>'Daily Returns'!AP319*(1+'Daily Returns'!AK320)</f>
        <v>1.324448532</v>
      </c>
      <c r="D320" s="4">
        <f>'Daily Returns'!AQ319 * (1 + 'Daily Returns'!AJ320)</f>
        <v>1.268164016</v>
      </c>
      <c r="F320" s="7">
        <f>'Daily Returns'!AR319 * (1 +'Daily Returns'!AL320)</f>
        <v>1.253995616</v>
      </c>
      <c r="H320" s="5">
        <f>'Daily Returns'!AS319*(1+'Daily Returns'!AM320)</f>
        <v>1.324252281</v>
      </c>
      <c r="J320" s="5">
        <f>'Daily Returns'!AT319*(1+'Daily Returns'!AN320)</f>
        <v>1.159244987</v>
      </c>
      <c r="L320" s="5">
        <f>'Daily Returns'!AU319*(1+'Daily Returns'!AO320)</f>
        <v>1.152845338</v>
      </c>
    </row>
    <row r="321" ht="15.75" customHeight="1">
      <c r="A321" s="9">
        <v>44295.0</v>
      </c>
      <c r="B321" s="6">
        <f>'Daily Returns'!AP320*(1+'Daily Returns'!AK321)</f>
        <v>1.325159975</v>
      </c>
      <c r="D321" s="4">
        <f>'Daily Returns'!AQ320 * (1 + 'Daily Returns'!AJ321)</f>
        <v>1.277954242</v>
      </c>
      <c r="F321" s="7">
        <f>'Daily Returns'!AR320 * (1 +'Daily Returns'!AL321)</f>
        <v>1.262687334</v>
      </c>
      <c r="H321" s="5">
        <f>'Daily Returns'!AS320*(1+'Daily Returns'!AM321)</f>
        <v>1.33194955</v>
      </c>
      <c r="J321" s="5">
        <f>'Daily Returns'!AT320*(1+'Daily Returns'!AN321)</f>
        <v>1.161674587</v>
      </c>
      <c r="L321" s="5">
        <f>'Daily Returns'!AU320*(1+'Daily Returns'!AO321)</f>
        <v>1.155556239</v>
      </c>
    </row>
    <row r="322" ht="15.75" customHeight="1">
      <c r="A322" s="9">
        <v>44298.0</v>
      </c>
      <c r="B322" s="6">
        <f>'Daily Returns'!AP321*(1+'Daily Returns'!AK322)</f>
        <v>1.329646064</v>
      </c>
      <c r="D322" s="4">
        <f>'Daily Returns'!AQ321 * (1 + 'Daily Returns'!AJ322)</f>
        <v>1.277703763</v>
      </c>
      <c r="F322" s="7">
        <f>'Daily Returns'!AR321 * (1 +'Daily Returns'!AL322)</f>
        <v>1.268171327</v>
      </c>
      <c r="H322" s="5">
        <f>'Daily Returns'!AS321*(1+'Daily Returns'!AM322)</f>
        <v>1.340021721</v>
      </c>
      <c r="J322" s="5">
        <f>'Daily Returns'!AT321*(1+'Daily Returns'!AN322)</f>
        <v>1.164508831</v>
      </c>
      <c r="L322" s="5">
        <f>'Daily Returns'!AU321*(1+'Daily Returns'!AO322)</f>
        <v>1.160677375</v>
      </c>
    </row>
    <row r="323" ht="15.75" customHeight="1">
      <c r="A323" s="9">
        <v>44299.0</v>
      </c>
      <c r="B323" s="6">
        <f>'Daily Returns'!AP322*(1+'Daily Returns'!AK323)</f>
        <v>1.334646096</v>
      </c>
      <c r="D323" s="4">
        <f>'Daily Returns'!AQ322 * (1 + 'Daily Returns'!AJ323)</f>
        <v>1.281913797</v>
      </c>
      <c r="F323" s="7">
        <f>'Daily Returns'!AR322 * (1 +'Daily Returns'!AL323)</f>
        <v>1.267343761</v>
      </c>
      <c r="H323" s="5">
        <f>'Daily Returns'!AS322*(1+'Daily Returns'!AM323)</f>
        <v>1.340397229</v>
      </c>
      <c r="J323" s="5">
        <f>'Daily Returns'!AT322*(1+'Daily Returns'!AN323)</f>
        <v>1.168557874</v>
      </c>
      <c r="L323" s="5">
        <f>'Daily Returns'!AU322*(1+'Daily Returns'!AO323)</f>
        <v>1.162484728</v>
      </c>
    </row>
    <row r="324" ht="15.75" customHeight="1">
      <c r="A324" s="9">
        <v>44300.0</v>
      </c>
      <c r="B324" s="6">
        <f>'Daily Returns'!AP323*(1+'Daily Returns'!AK324)</f>
        <v>1.338307639</v>
      </c>
      <c r="D324" s="4">
        <f>'Daily Returns'!AQ323 * (1 + 'Daily Returns'!AJ324)</f>
        <v>1.276673333</v>
      </c>
      <c r="F324" s="7">
        <f>'Daily Returns'!AR323 * (1 +'Daily Returns'!AL324)</f>
        <v>1.273862507</v>
      </c>
      <c r="H324" s="5">
        <f>'Daily Returns'!AS323*(1+'Daily Returns'!AM324)</f>
        <v>1.34415181</v>
      </c>
      <c r="J324" s="5">
        <f>'Daily Returns'!AT323*(1+'Daily Returns'!AN324)</f>
        <v>1.171797283</v>
      </c>
      <c r="L324" s="5">
        <f>'Daily Returns'!AU323*(1+'Daily Returns'!AO324)</f>
        <v>1.167304295</v>
      </c>
    </row>
    <row r="325" ht="15.75" customHeight="1">
      <c r="A325" s="9">
        <v>44301.0</v>
      </c>
      <c r="B325" s="6">
        <f>'Daily Returns'!AP324*(1+'Daily Returns'!AK325)</f>
        <v>1.348955823</v>
      </c>
      <c r="D325" s="4">
        <f>'Daily Returns'!AQ324 * (1 + 'Daily Returns'!AJ325)</f>
        <v>1.290836747</v>
      </c>
      <c r="F325" s="7">
        <f>'Daily Returns'!AR324 * (1 +'Daily Returns'!AL325)</f>
        <v>1.269516817</v>
      </c>
      <c r="H325" s="5">
        <f>'Daily Returns'!AS324*(1+'Daily Returns'!AM325)</f>
        <v>1.341148044</v>
      </c>
      <c r="J325" s="5">
        <f>'Daily Returns'!AT324*(1+'Daily Returns'!AN325)</f>
        <v>1.173416726</v>
      </c>
      <c r="L325" s="5">
        <f>'Daily Returns'!AU324*(1+'Daily Returns'!AO325)</f>
        <v>1.1682081</v>
      </c>
    </row>
    <row r="326" ht="15.75" customHeight="1">
      <c r="A326" s="9">
        <v>44302.0</v>
      </c>
      <c r="B326" s="6">
        <f>'Daily Returns'!AP325*(1+'Daily Returns'!AK326)</f>
        <v>1.355656071</v>
      </c>
      <c r="D326" s="4">
        <f>'Daily Returns'!AQ325 * (1 + 'Daily Returns'!AJ326)</f>
        <v>1.295495377</v>
      </c>
      <c r="F326" s="7">
        <f>'Daily Returns'!AR325 * (1 +'Daily Returns'!AL326)</f>
        <v>1.283175109</v>
      </c>
      <c r="H326" s="5">
        <f>'Daily Returns'!AS325*(1+'Daily Returns'!AM326)</f>
        <v>1.355415956</v>
      </c>
      <c r="J326" s="5">
        <f>'Daily Returns'!AT325*(1+'Daily Returns'!AN326)</f>
        <v>1.17382163</v>
      </c>
      <c r="L326" s="5">
        <f>'Daily Returns'!AU325*(1+'Daily Returns'!AO326)</f>
        <v>1.166702059</v>
      </c>
    </row>
    <row r="327" ht="15.75" customHeight="1">
      <c r="A327" s="9">
        <v>44305.0</v>
      </c>
      <c r="B327" s="6">
        <f>'Daily Returns'!AP326*(1+'Daily Returns'!AK327)</f>
        <v>1.353137732</v>
      </c>
      <c r="D327" s="4">
        <f>'Daily Returns'!AQ326 * (1 + 'Daily Returns'!AJ327)</f>
        <v>1.288621479</v>
      </c>
      <c r="F327" s="7">
        <f>'Daily Returns'!AR326 * (1 +'Daily Returns'!AL327)</f>
        <v>1.287624435</v>
      </c>
      <c r="H327" s="5">
        <f>'Daily Returns'!AS326*(1+'Daily Returns'!AM327)</f>
        <v>1.358857291</v>
      </c>
      <c r="J327" s="5">
        <f>'Daily Returns'!AT326*(1+'Daily Returns'!AN327)</f>
        <v>1.172202187</v>
      </c>
      <c r="L327" s="5">
        <f>'Daily Returns'!AU326*(1+'Daily Returns'!AO327)</f>
        <v>1.166702059</v>
      </c>
    </row>
    <row r="328" ht="15.75" customHeight="1">
      <c r="A328" s="9">
        <v>44306.0</v>
      </c>
      <c r="B328" s="6">
        <f>'Daily Returns'!AP327*(1+'Daily Returns'!AK328)</f>
        <v>1.351123296</v>
      </c>
      <c r="D328" s="4">
        <f>'Daily Returns'!AQ327 * (1 + 'Daily Returns'!AJ328)</f>
        <v>1.279856275</v>
      </c>
      <c r="F328" s="7">
        <f>'Daily Returns'!AR327 * (1 +'Daily Returns'!AL328)</f>
        <v>1.282347459</v>
      </c>
      <c r="H328" s="5">
        <f>'Daily Returns'!AS327*(1+'Daily Returns'!AM328)</f>
        <v>1.349971637</v>
      </c>
      <c r="J328" s="5">
        <f>'Daily Returns'!AT327*(1+'Daily Returns'!AN328)</f>
        <v>1.171797283</v>
      </c>
      <c r="L328" s="5">
        <f>'Daily Returns'!AU327*(1+'Daily Returns'!AO328)</f>
        <v>1.164894447</v>
      </c>
    </row>
    <row r="329" ht="15.75" customHeight="1">
      <c r="A329" s="9">
        <v>44307.0</v>
      </c>
      <c r="B329" s="6">
        <f>'Daily Returns'!AP328*(1+'Daily Returns'!AK329)</f>
        <v>1.356273389</v>
      </c>
      <c r="D329" s="4">
        <f>'Daily Returns'!AQ328 * (1 + 'Daily Returns'!AJ329)</f>
        <v>1.291766618</v>
      </c>
      <c r="F329" s="7">
        <f>'Daily Returns'!AR328 * (1 +'Daily Returns'!AL329)</f>
        <v>1.269723666</v>
      </c>
      <c r="H329" s="5">
        <f>'Daily Returns'!AS328*(1+'Daily Returns'!AM329)</f>
        <v>1.337581167</v>
      </c>
      <c r="J329" s="5">
        <f>'Daily Returns'!AT328*(1+'Daily Returns'!AN329)</f>
        <v>1.179895195</v>
      </c>
      <c r="L329" s="5">
        <f>'Daily Returns'!AU328*(1+'Daily Returns'!AO329)</f>
        <v>1.174534225</v>
      </c>
    </row>
    <row r="330" ht="15.75" customHeight="1">
      <c r="A330" s="9">
        <v>44308.0</v>
      </c>
      <c r="B330" s="6">
        <f>'Daily Returns'!AP329*(1+'Daily Returns'!AK330)</f>
        <v>1.350208585</v>
      </c>
      <c r="D330" s="4">
        <f>'Daily Returns'!AQ329 * (1 + 'Daily Returns'!AJ330)</f>
        <v>1.279868156</v>
      </c>
      <c r="F330" s="7">
        <f>'Daily Returns'!AR329 * (1 +'Daily Returns'!AL330)</f>
        <v>1.280691822</v>
      </c>
      <c r="H330" s="5">
        <f>'Daily Returns'!AS329*(1+'Daily Returns'!AM330)</f>
        <v>1.353538412</v>
      </c>
      <c r="J330" s="5">
        <f>'Daily Returns'!AT329*(1+'Daily Returns'!AN330)</f>
        <v>1.181514899</v>
      </c>
      <c r="L330" s="5">
        <f>'Daily Returns'!AU329*(1+'Daily Returns'!AO330)</f>
        <v>1.175438289</v>
      </c>
    </row>
    <row r="331" ht="15.75" customHeight="1">
      <c r="A331" s="9">
        <v>44309.0</v>
      </c>
      <c r="B331" s="6">
        <f>'Daily Returns'!AP330*(1+'Daily Returns'!AK331)</f>
        <v>1.354828544</v>
      </c>
      <c r="D331" s="4">
        <f>'Daily Returns'!AQ330 * (1 + 'Daily Returns'!AJ331)</f>
        <v>1.293855835</v>
      </c>
      <c r="F331" s="7">
        <f>'Daily Returns'!AR330 * (1 +'Daily Returns'!AL331)</f>
        <v>1.271896722</v>
      </c>
      <c r="H331" s="5">
        <f>'Daily Returns'!AS330*(1+'Daily Returns'!AM331)</f>
        <v>1.342962716</v>
      </c>
      <c r="J331" s="5">
        <f>'Daily Returns'!AT330*(1+'Daily Returns'!AN331)</f>
        <v>1.172202187</v>
      </c>
      <c r="L331" s="5">
        <f>'Daily Returns'!AU330*(1+'Daily Returns'!AO331)</f>
        <v>1.167304295</v>
      </c>
    </row>
    <row r="332" ht="15.75" customHeight="1">
      <c r="A332" s="9">
        <v>44312.0</v>
      </c>
      <c r="B332" s="6">
        <f>'Daily Returns'!AP331*(1+'Daily Returns'!AK332)</f>
        <v>1.36023353</v>
      </c>
      <c r="D332" s="4">
        <f>'Daily Returns'!AQ331 * (1 + 'Daily Returns'!AJ332)</f>
        <v>1.296161486</v>
      </c>
      <c r="F332" s="7">
        <f>'Daily Returns'!AR331 * (1 +'Daily Returns'!AL332)</f>
        <v>1.285347997</v>
      </c>
      <c r="H332" s="5">
        <f>'Daily Returns'!AS331*(1+'Daily Returns'!AM332)</f>
        <v>1.3592328</v>
      </c>
      <c r="J332" s="5">
        <f>'Daily Returns'!AT331*(1+'Daily Returns'!AN332)</f>
        <v>1.160864692</v>
      </c>
      <c r="L332" s="5">
        <f>'Daily Returns'!AU331*(1+'Daily Returns'!AO332)</f>
        <v>1.157062668</v>
      </c>
    </row>
    <row r="333" ht="15.75" customHeight="1">
      <c r="A333" s="9">
        <v>44313.0</v>
      </c>
      <c r="B333" s="6">
        <f>'Daily Returns'!AP332*(1+'Daily Returns'!AK333)</f>
        <v>1.357813445</v>
      </c>
      <c r="D333" s="4">
        <f>'Daily Returns'!AQ332 * (1 + 'Daily Returns'!AJ333)</f>
        <v>1.295882811</v>
      </c>
      <c r="F333" s="7">
        <f>'Daily Returns'!AR332 * (1 +'Daily Returns'!AL333)</f>
        <v>1.287831453</v>
      </c>
      <c r="H333" s="5">
        <f>'Daily Returns'!AS332*(1+'Daily Returns'!AM333)</f>
        <v>1.364176373</v>
      </c>
      <c r="J333" s="5">
        <f>'Daily Returns'!AT332*(1+'Daily Returns'!AN333)</f>
        <v>1.167748065</v>
      </c>
      <c r="L333" s="5">
        <f>'Daily Returns'!AU332*(1+'Daily Returns'!AO333)</f>
        <v>1.163689717</v>
      </c>
    </row>
    <row r="334" ht="15.75" customHeight="1">
      <c r="A334" s="9">
        <v>44314.0</v>
      </c>
      <c r="B334" s="6">
        <f>'Daily Returns'!AP333*(1+'Daily Returns'!AK334)</f>
        <v>1.357778142</v>
      </c>
      <c r="D334" s="4">
        <f>'Daily Returns'!AQ333 * (1 + 'Daily Returns'!AJ334)</f>
        <v>1.294786494</v>
      </c>
      <c r="F334" s="7">
        <f>'Daily Returns'!AR333 * (1 +'Daily Returns'!AL334)</f>
        <v>1.286900251</v>
      </c>
      <c r="H334" s="5">
        <f>'Daily Returns'!AS333*(1+'Daily Returns'!AM334)</f>
        <v>1.363550694</v>
      </c>
      <c r="J334" s="5">
        <f>'Daily Returns'!AT333*(1+'Daily Returns'!AN334)</f>
        <v>1.160459787</v>
      </c>
      <c r="L334" s="5">
        <f>'Daily Returns'!AU333*(1+'Daily Returns'!AO334)</f>
        <v>1.157062668</v>
      </c>
    </row>
    <row r="335" ht="15.75" customHeight="1">
      <c r="A335" s="9">
        <v>44315.0</v>
      </c>
      <c r="B335" s="6">
        <f>'Daily Returns'!AP334*(1+'Daily Returns'!AK335)</f>
        <v>1.364179468</v>
      </c>
      <c r="D335" s="4">
        <f>'Daily Returns'!AQ334 * (1 + 'Daily Returns'!AJ335)</f>
        <v>1.303543135</v>
      </c>
      <c r="F335" s="7">
        <f>'Daily Returns'!AR334 * (1 +'Daily Returns'!AL335)</f>
        <v>1.287727817</v>
      </c>
      <c r="H335" s="5">
        <f>'Daily Returns'!AS334*(1+'Daily Returns'!AM335)</f>
        <v>1.36336299</v>
      </c>
      <c r="J335" s="5">
        <f>'Daily Returns'!AT334*(1+'Daily Returns'!AN335)</f>
        <v>1.164913735</v>
      </c>
      <c r="L335" s="5">
        <f>'Daily Returns'!AU334*(1+'Daily Returns'!AO335)</f>
        <v>1.161581052</v>
      </c>
    </row>
    <row r="336" ht="15.75" customHeight="1">
      <c r="A336" s="9">
        <v>44316.0</v>
      </c>
      <c r="B336" s="6">
        <f>'Daily Returns'!AP335*(1+'Daily Returns'!AK336)</f>
        <v>1.359656313</v>
      </c>
      <c r="D336" s="4">
        <f>'Daily Returns'!AQ335 * (1 + 'Daily Returns'!AJ336)</f>
        <v>1.294164142</v>
      </c>
      <c r="F336" s="7">
        <f>'Daily Returns'!AR335 * (1 +'Daily Returns'!AL336)</f>
        <v>1.291866995</v>
      </c>
      <c r="H336" s="5">
        <f>'Daily Returns'!AS335*(1+'Daily Returns'!AM336)</f>
        <v>1.368556632</v>
      </c>
      <c r="J336" s="5">
        <f>'Daily Returns'!AT335*(1+'Daily Returns'!AN336)</f>
        <v>1.168152883</v>
      </c>
      <c r="L336" s="5">
        <f>'Daily Returns'!AU335*(1+'Daily Returns'!AO336)</f>
        <v>1.165798124</v>
      </c>
    </row>
    <row r="337" ht="15.75" customHeight="1">
      <c r="A337" s="9">
        <v>44319.0</v>
      </c>
      <c r="B337" s="6">
        <f>'Daily Returns'!AP336*(1+'Daily Returns'!AK337)</f>
        <v>1.374506006</v>
      </c>
      <c r="D337" s="4">
        <f>'Daily Returns'!AQ336 * (1 + 'Daily Returns'!AJ337)</f>
        <v>1.297720505</v>
      </c>
      <c r="F337" s="7">
        <f>'Daily Returns'!AR336 * (1 +'Daily Returns'!AL337)</f>
        <v>1.2790361</v>
      </c>
      <c r="H337" s="5">
        <f>'Daily Returns'!AS336*(1+'Daily Returns'!AM337)</f>
        <v>1.358544553</v>
      </c>
      <c r="J337" s="5">
        <f>'Daily Returns'!AT336*(1+'Daily Returns'!AN337)</f>
        <v>1.168962778</v>
      </c>
      <c r="L337" s="5">
        <f>'Daily Returns'!AU336*(1+'Daily Returns'!AO337)</f>
        <v>1.166401135</v>
      </c>
    </row>
    <row r="338" ht="15.75" customHeight="1">
      <c r="A338" s="9">
        <v>44320.0</v>
      </c>
      <c r="B338" s="6">
        <f>'Daily Returns'!AP337*(1+'Daily Returns'!AK338)</f>
        <v>1.371930089</v>
      </c>
      <c r="D338" s="4">
        <f>'Daily Returns'!AQ337 * (1 + 'Daily Returns'!AJ338)</f>
        <v>1.289054328</v>
      </c>
      <c r="F338" s="7">
        <f>'Daily Returns'!AR337 * (1 +'Daily Returns'!AL338)</f>
        <v>1.285762032</v>
      </c>
      <c r="H338" s="5">
        <f>'Daily Returns'!AS337*(1+'Daily Returns'!AM338)</f>
        <v>1.360922437</v>
      </c>
      <c r="J338" s="5">
        <f>'Daily Returns'!AT337*(1+'Daily Returns'!AN338)</f>
        <v>1.181919716</v>
      </c>
      <c r="L338" s="5">
        <f>'Daily Returns'!AU337*(1+'Daily Returns'!AO338)</f>
        <v>1.177245772</v>
      </c>
    </row>
    <row r="339" ht="15.75" customHeight="1">
      <c r="A339" s="9">
        <v>44321.0</v>
      </c>
      <c r="B339" s="6">
        <f>'Daily Returns'!AP338*(1+'Daily Returns'!AK339)</f>
        <v>1.376167696</v>
      </c>
      <c r="D339" s="4">
        <f>'Daily Returns'!AQ338 * (1 + 'Daily Returns'!AJ339)</f>
        <v>1.289961822</v>
      </c>
      <c r="F339" s="7">
        <f>'Daily Returns'!AR338 * (1 +'Daily Returns'!AL339)</f>
        <v>1.273345257</v>
      </c>
      <c r="H339" s="5">
        <f>'Daily Returns'!AS338*(1+'Daily Returns'!AM339)</f>
        <v>1.35072235</v>
      </c>
      <c r="J339" s="5">
        <f>'Daily Returns'!AT338*(1+'Daily Returns'!AN339)</f>
        <v>1.176250969</v>
      </c>
      <c r="L339" s="5">
        <f>'Daily Returns'!AU338*(1+'Daily Returns'!AO339)</f>
        <v>1.171823066</v>
      </c>
    </row>
    <row r="340" ht="15.75" customHeight="1">
      <c r="A340" s="9">
        <v>44322.0</v>
      </c>
      <c r="B340" s="6">
        <f>'Daily Returns'!AP339*(1+'Daily Returns'!AK340)</f>
        <v>1.383827814</v>
      </c>
      <c r="D340" s="4">
        <f>'Daily Returns'!AQ339 * (1 + 'Daily Returns'!AJ340)</f>
        <v>1.30049436</v>
      </c>
      <c r="F340" s="7">
        <f>'Daily Returns'!AR339 * (1 +'Daily Returns'!AL340)</f>
        <v>1.278415468</v>
      </c>
      <c r="H340" s="5">
        <f>'Daily Returns'!AS339*(1+'Daily Returns'!AM340)</f>
        <v>1.350471876</v>
      </c>
      <c r="J340" s="5">
        <f>'Daily Returns'!AT339*(1+'Daily Returns'!AN340)</f>
        <v>1.168152883</v>
      </c>
      <c r="L340" s="5">
        <f>'Daily Returns'!AU339*(1+'Daily Returns'!AO340)</f>
        <v>1.161882363</v>
      </c>
    </row>
    <row r="341" ht="15.75" customHeight="1">
      <c r="A341" s="9">
        <v>44323.0</v>
      </c>
      <c r="B341" s="6">
        <f>'Daily Returns'!AP340*(1+'Daily Returns'!AK341)</f>
        <v>1.391238026</v>
      </c>
      <c r="D341" s="4">
        <f>'Daily Returns'!AQ340 * (1 + 'Daily Returns'!AJ341)</f>
        <v>1.310082905</v>
      </c>
      <c r="F341" s="7">
        <f>'Daily Returns'!AR340 * (1 +'Daily Returns'!AL341)</f>
        <v>1.288348871</v>
      </c>
      <c r="H341" s="5">
        <f>'Daily Returns'!AS340*(1+'Daily Returns'!AM341)</f>
        <v>1.357355358</v>
      </c>
      <c r="J341" s="5">
        <f>'Daily Returns'!AT340*(1+'Daily Returns'!AN341)</f>
        <v>1.171797283</v>
      </c>
      <c r="L341" s="5">
        <f>'Daily Returns'!AU340*(1+'Daily Returns'!AO341)</f>
        <v>1.168810853</v>
      </c>
    </row>
    <row r="342" ht="15.75" customHeight="1">
      <c r="A342" s="9">
        <v>44326.0</v>
      </c>
      <c r="B342" s="6">
        <f>'Daily Returns'!AP341*(1+'Daily Returns'!AK342)</f>
        <v>1.39408892</v>
      </c>
      <c r="D342" s="4">
        <f>'Daily Returns'!AQ341 * (1 + 'Daily Returns'!AJ342)</f>
        <v>1.29641088</v>
      </c>
      <c r="F342" s="7">
        <f>'Daily Returns'!AR341 * (1 +'Daily Returns'!AL342)</f>
        <v>1.30097258</v>
      </c>
      <c r="H342" s="5">
        <f>'Daily Returns'!AS341*(1+'Daily Returns'!AM342)</f>
        <v>1.368869472</v>
      </c>
      <c r="J342" s="5">
        <f>'Daily Returns'!AT341*(1+'Daily Returns'!AN342)</f>
        <v>1.173011647</v>
      </c>
      <c r="L342" s="5">
        <f>'Daily Returns'!AU341*(1+'Daily Returns'!AO342)</f>
        <v>1.168509541</v>
      </c>
    </row>
    <row r="343" ht="15.75" customHeight="1">
      <c r="A343" s="9">
        <v>44327.0</v>
      </c>
      <c r="B343" s="6">
        <f>'Daily Returns'!AP342*(1+'Daily Returns'!AK343)</f>
        <v>1.393236888</v>
      </c>
      <c r="D343" s="4">
        <f>'Daily Returns'!AQ342 * (1 + 'Daily Returns'!AJ343)</f>
        <v>1.285165812</v>
      </c>
      <c r="F343" s="7">
        <f>'Daily Returns'!AR342 * (1 +'Daily Returns'!AL343)</f>
        <v>1.289383623</v>
      </c>
      <c r="H343" s="5">
        <f>'Daily Returns'!AS342*(1+'Daily Returns'!AM343)</f>
        <v>1.352787395</v>
      </c>
      <c r="J343" s="5">
        <f>'Daily Returns'!AT342*(1+'Daily Returns'!AN343)</f>
        <v>1.181109995</v>
      </c>
      <c r="L343" s="5">
        <f>'Daily Returns'!AU342*(1+'Daily Returns'!AO343)</f>
        <v>1.175136978</v>
      </c>
    </row>
    <row r="344" ht="15.75" customHeight="1">
      <c r="A344" s="9">
        <v>44328.0</v>
      </c>
      <c r="B344" s="6">
        <f>'Daily Returns'!AP343*(1+'Daily Returns'!AK344)</f>
        <v>1.385597496</v>
      </c>
      <c r="D344" s="4">
        <f>'Daily Returns'!AQ343 * (1 + 'Daily Returns'!AJ344)</f>
        <v>1.257600291</v>
      </c>
      <c r="F344" s="7">
        <f>'Daily Returns'!AR343 * (1 +'Daily Returns'!AL344)</f>
        <v>1.275932096</v>
      </c>
      <c r="H344" s="5">
        <f>'Daily Returns'!AS343*(1+'Daily Returns'!AM344)</f>
        <v>1.341899061</v>
      </c>
      <c r="J344" s="5">
        <f>'Daily Returns'!AT343*(1+'Daily Returns'!AN344)</f>
        <v>1.179895195</v>
      </c>
      <c r="L344" s="5">
        <f>'Daily Returns'!AU343*(1+'Daily Returns'!AO344)</f>
        <v>1.174534225</v>
      </c>
    </row>
    <row r="345" ht="15.75" customHeight="1">
      <c r="A345" s="9">
        <v>44329.0</v>
      </c>
      <c r="B345" s="6">
        <f>'Daily Returns'!AP344*(1+'Daily Returns'!AK345)</f>
        <v>1.392642492</v>
      </c>
      <c r="D345" s="4">
        <f>'Daily Returns'!AQ344 * (1 + 'Daily Returns'!AJ345)</f>
        <v>1.272909059</v>
      </c>
      <c r="F345" s="7">
        <f>'Daily Returns'!AR344 * (1 +'Daily Returns'!AL345)</f>
        <v>1.25037411</v>
      </c>
      <c r="H345" s="5">
        <f>'Daily Returns'!AS344*(1+'Daily Returns'!AM345)</f>
        <v>1.311674512</v>
      </c>
      <c r="J345" s="5">
        <f>'Daily Returns'!AT344*(1+'Daily Returns'!AN345)</f>
        <v>1.190422881</v>
      </c>
      <c r="L345" s="5">
        <f>'Daily Returns'!AU344*(1+'Daily Returns'!AO345)</f>
        <v>1.185378733</v>
      </c>
    </row>
    <row r="346" ht="15.75" customHeight="1">
      <c r="A346" s="9">
        <v>44330.0</v>
      </c>
      <c r="B346" s="6">
        <f>'Daily Returns'!AP345*(1+'Daily Returns'!AK346)</f>
        <v>1.403177013</v>
      </c>
      <c r="D346" s="4">
        <f>'Daily Returns'!AQ345 * (1 + 'Daily Returns'!AJ346)</f>
        <v>1.291898316</v>
      </c>
      <c r="F346" s="7">
        <f>'Daily Returns'!AR345 * (1 +'Daily Returns'!AL346)</f>
        <v>1.264342887</v>
      </c>
      <c r="H346" s="5">
        <f>'Daily Returns'!AS345*(1+'Daily Returns'!AM346)</f>
        <v>1.326129723</v>
      </c>
      <c r="J346" s="5">
        <f>'Daily Returns'!AT345*(1+'Daily Returns'!AN346)</f>
        <v>1.184349142</v>
      </c>
      <c r="L346" s="5">
        <f>'Daily Returns'!AU345*(1+'Daily Returns'!AO346)</f>
        <v>1.17965549</v>
      </c>
    </row>
    <row r="347" ht="15.75" customHeight="1">
      <c r="A347" s="9">
        <v>44333.0</v>
      </c>
      <c r="B347" s="6">
        <f>'Daily Returns'!AP346*(1+'Daily Returns'!AK347)</f>
        <v>1.407146723</v>
      </c>
      <c r="D347" s="4">
        <f>'Daily Returns'!AQ346 * (1 + 'Daily Returns'!AJ347)</f>
        <v>1.288629814</v>
      </c>
      <c r="F347" s="7">
        <f>'Daily Returns'!AR346 * (1 +'Daily Returns'!AL347)</f>
        <v>1.284623729</v>
      </c>
      <c r="H347" s="5">
        <f>'Daily Returns'!AS346*(1+'Daily Returns'!AM347)</f>
        <v>1.348782442</v>
      </c>
      <c r="J347" s="5">
        <f>'Daily Returns'!AT346*(1+'Daily Returns'!AN347)</f>
        <v>1.180300012</v>
      </c>
      <c r="L347" s="5">
        <f>'Daily Returns'!AU346*(1+'Daily Returns'!AO347)</f>
        <v>1.173931731</v>
      </c>
    </row>
    <row r="348" ht="15.75" customHeight="1">
      <c r="A348" s="9">
        <v>44334.0</v>
      </c>
      <c r="B348" s="6">
        <f>'Daily Returns'!AP347*(1+'Daily Returns'!AK348)</f>
        <v>1.406950006</v>
      </c>
      <c r="D348" s="4">
        <f>'Daily Returns'!AQ347 * (1 + 'Daily Returns'!AJ348)</f>
        <v>1.277654553</v>
      </c>
      <c r="F348" s="7">
        <f>'Daily Returns'!AR347 * (1 +'Daily Returns'!AL348)</f>
        <v>1.280070852</v>
      </c>
      <c r="H348" s="5">
        <f>'Daily Returns'!AS347*(1+'Daily Returns'!AM348)</f>
        <v>1.345903711</v>
      </c>
      <c r="J348" s="5">
        <f>'Daily Returns'!AT347*(1+'Daily Returns'!AN348)</f>
        <v>1.172607004</v>
      </c>
      <c r="L348" s="5">
        <f>'Daily Returns'!AU347*(1+'Daily Returns'!AO348)</f>
        <v>1.163388405</v>
      </c>
    </row>
    <row r="349" ht="15.75" customHeight="1">
      <c r="A349" s="9">
        <v>44335.0</v>
      </c>
      <c r="B349" s="6">
        <f>'Daily Returns'!AP348*(1+'Daily Returns'!AK349)</f>
        <v>1.398165111</v>
      </c>
      <c r="D349" s="4">
        <f>'Daily Returns'!AQ348 * (1 + 'Daily Returns'!AJ349)</f>
        <v>1.273894416</v>
      </c>
      <c r="F349" s="7">
        <f>'Daily Returns'!AR348 * (1 +'Daily Returns'!AL349)</f>
        <v>1.276139029</v>
      </c>
      <c r="H349" s="5">
        <f>'Daily Returns'!AS348*(1+'Daily Returns'!AM349)</f>
        <v>1.335390987</v>
      </c>
      <c r="J349" s="5">
        <f>'Daily Returns'!AT348*(1+'Daily Returns'!AN349)</f>
        <v>1.177060952</v>
      </c>
      <c r="L349" s="5">
        <f>'Daily Returns'!AU348*(1+'Daily Returns'!AO349)</f>
        <v>1.167003241</v>
      </c>
    </row>
    <row r="350" ht="15.75" customHeight="1">
      <c r="A350" s="9">
        <v>44336.0</v>
      </c>
      <c r="B350" s="6">
        <f>'Daily Returns'!AP349*(1+'Daily Returns'!AK350)</f>
        <v>1.410303807</v>
      </c>
      <c r="D350" s="4">
        <f>'Daily Returns'!AQ349 * (1 + 'Daily Returns'!AJ350)</f>
        <v>1.287340372</v>
      </c>
      <c r="F350" s="7">
        <f>'Daily Returns'!AR349 * (1 +'Daily Returns'!AL350)</f>
        <v>1.269206248</v>
      </c>
      <c r="H350" s="5">
        <f>'Daily Returns'!AS349*(1+'Daily Returns'!AM350)</f>
        <v>1.331511372</v>
      </c>
      <c r="J350" s="5">
        <f>'Daily Returns'!AT349*(1+'Daily Returns'!AN350)</f>
        <v>1.190422881</v>
      </c>
      <c r="L350" s="5">
        <f>'Daily Returns'!AU349*(1+'Daily Returns'!AO350)</f>
        <v>1.18086035</v>
      </c>
    </row>
    <row r="351" ht="15.75" customHeight="1">
      <c r="A351" s="9">
        <v>44337.0</v>
      </c>
      <c r="B351" s="6">
        <f>'Daily Returns'!AP350*(1+'Daily Returns'!AK351)</f>
        <v>1.409673696</v>
      </c>
      <c r="D351" s="4">
        <f>'Daily Returns'!AQ350 * (1 + 'Daily Returns'!AJ351)</f>
        <v>1.286331097</v>
      </c>
      <c r="F351" s="7">
        <f>'Daily Returns'!AR350 * (1 +'Daily Returns'!AL351)</f>
        <v>1.284830747</v>
      </c>
      <c r="H351" s="5">
        <f>'Daily Returns'!AS350*(1+'Daily Returns'!AM351)</f>
        <v>1.34596638</v>
      </c>
      <c r="J351" s="5">
        <f>'Daily Returns'!AT350*(1+'Daily Returns'!AN351)</f>
        <v>1.197306255</v>
      </c>
      <c r="L351" s="5">
        <f>'Daily Returns'!AU350*(1+'Daily Returns'!AO351)</f>
        <v>1.187186603</v>
      </c>
    </row>
    <row r="352" ht="15.75" customHeight="1">
      <c r="A352" s="9">
        <v>44340.0</v>
      </c>
      <c r="B352" s="6">
        <f>'Daily Returns'!AP351*(1+'Daily Returns'!AK352)</f>
        <v>1.419359022</v>
      </c>
      <c r="D352" s="4">
        <f>'Daily Returns'!AQ351 * (1 + 'Daily Returns'!AJ352)</f>
        <v>1.299079924</v>
      </c>
      <c r="F352" s="7">
        <f>'Daily Returns'!AR351 * (1 +'Daily Returns'!AL352)</f>
        <v>1.284934129</v>
      </c>
      <c r="H352" s="5">
        <f>'Daily Returns'!AS351*(1+'Daily Returns'!AM352)</f>
        <v>1.345215464</v>
      </c>
      <c r="J352" s="5">
        <f>'Daily Returns'!AT351*(1+'Daily Returns'!AN352)</f>
        <v>1.197710985</v>
      </c>
      <c r="L352" s="5">
        <f>'Daily Returns'!AU351*(1+'Daily Returns'!AO352)</f>
        <v>1.188993957</v>
      </c>
    </row>
    <row r="353" ht="15.75" customHeight="1">
      <c r="A353" s="9">
        <v>44341.0</v>
      </c>
      <c r="B353" s="6">
        <f>'Daily Returns'!AP352*(1+'Daily Returns'!AK353)</f>
        <v>1.419535664</v>
      </c>
      <c r="D353" s="4">
        <f>'Daily Returns'!AQ352 * (1 + 'Daily Returns'!AJ353)</f>
        <v>1.296319379</v>
      </c>
      <c r="F353" s="7">
        <f>'Daily Returns'!AR352 * (1 +'Daily Returns'!AL353)</f>
        <v>1.29652317</v>
      </c>
      <c r="H353" s="5">
        <f>'Daily Returns'!AS352*(1+'Daily Returns'!AM353)</f>
        <v>1.358794724</v>
      </c>
      <c r="J353" s="5">
        <f>'Daily Returns'!AT352*(1+'Daily Returns'!AN353)</f>
        <v>1.193257125</v>
      </c>
      <c r="L353" s="5">
        <f>'Daily Returns'!AU352*(1+'Daily Returns'!AO353)</f>
        <v>1.18357138</v>
      </c>
    </row>
    <row r="354" ht="15.75" customHeight="1">
      <c r="A354" s="9">
        <v>44342.0</v>
      </c>
      <c r="B354" s="6">
        <f>'Daily Returns'!AP353*(1+'Daily Returns'!AK354)</f>
        <v>1.418196943</v>
      </c>
      <c r="D354" s="4">
        <f>'Daily Returns'!AQ353 * (1 + 'Daily Returns'!AJ354)</f>
        <v>1.298752571</v>
      </c>
      <c r="F354" s="7">
        <f>'Daily Returns'!AR353 * (1 +'Daily Returns'!AL354)</f>
        <v>1.294039798</v>
      </c>
      <c r="H354" s="5">
        <f>'Daily Returns'!AS353*(1+'Daily Returns'!AM354)</f>
        <v>1.355040143</v>
      </c>
      <c r="J354" s="5">
        <f>'Daily Returns'!AT353*(1+'Daily Returns'!AN354)</f>
        <v>1.201760115</v>
      </c>
      <c r="L354" s="5">
        <f>'Daily Returns'!AU353*(1+'Daily Returns'!AO354)</f>
        <v>1.191102493</v>
      </c>
    </row>
    <row r="355" ht="15.75" customHeight="1">
      <c r="A355" s="9">
        <v>44343.0</v>
      </c>
      <c r="B355" s="6">
        <f>'Daily Returns'!AP354*(1+'Daily Returns'!AK355)</f>
        <v>1.419826444</v>
      </c>
      <c r="D355" s="4">
        <f>'Daily Returns'!AQ354 * (1 + 'Daily Returns'!AJ355)</f>
        <v>1.300265618</v>
      </c>
      <c r="F355" s="7">
        <f>'Daily Returns'!AR354 * (1 +'Daily Returns'!AL355)</f>
        <v>1.295902369</v>
      </c>
      <c r="H355" s="5">
        <f>'Daily Returns'!AS354*(1+'Daily Returns'!AM355)</f>
        <v>1.359921452</v>
      </c>
      <c r="J355" s="5">
        <f>'Daily Returns'!AT354*(1+'Daily Returns'!AN355)</f>
        <v>1.200822621</v>
      </c>
      <c r="L355" s="5">
        <f>'Daily Returns'!AU354*(1+'Daily Returns'!AO355)</f>
        <v>1.19080131</v>
      </c>
    </row>
    <row r="356" ht="15.75" customHeight="1">
      <c r="A356" s="9">
        <v>44344.0</v>
      </c>
      <c r="B356" s="6">
        <f>'Daily Returns'!AP355*(1+'Daily Returns'!AK356)</f>
        <v>1.420860328</v>
      </c>
      <c r="D356" s="4">
        <f>'Daily Returns'!AQ355 * (1 + 'Daily Returns'!AJ356)</f>
        <v>1.301265522</v>
      </c>
      <c r="F356" s="7">
        <f>'Daily Returns'!AR355 * (1 +'Daily Returns'!AL356)</f>
        <v>1.297040588</v>
      </c>
      <c r="H356" s="5">
        <f>'Daily Returns'!AS355*(1+'Daily Returns'!AM356)</f>
        <v>1.362424269</v>
      </c>
      <c r="J356" s="5">
        <f>'Daily Returns'!AT355*(1+'Daily Returns'!AN356)</f>
        <v>1.203268236</v>
      </c>
      <c r="L356" s="5">
        <f>'Daily Returns'!AU355*(1+'Daily Returns'!AO356)</f>
        <v>1.192910105</v>
      </c>
    </row>
    <row r="357" ht="15.75" customHeight="1">
      <c r="A357" s="9">
        <v>44348.0</v>
      </c>
      <c r="B357" s="6">
        <f>'Daily Returns'!AP356*(1+'Daily Returns'!AK357)</f>
        <v>1.424939473</v>
      </c>
      <c r="D357" s="4">
        <f>'Daily Returns'!AQ356 * (1 + 'Daily Returns'!AJ357)</f>
        <v>1.300625299</v>
      </c>
      <c r="F357" s="7">
        <f>'Daily Returns'!AR356 * (1 +'Daily Returns'!AL357)</f>
        <v>1.299627511</v>
      </c>
      <c r="H357" s="5">
        <f>'Daily Returns'!AS356*(1+'Daily Returns'!AM357)</f>
        <v>1.364739687</v>
      </c>
      <c r="J357" s="5">
        <f>'Daily Returns'!AT356*(1+'Daily Returns'!AN357)</f>
        <v>1.214681194</v>
      </c>
      <c r="L357" s="5">
        <f>'Daily Returns'!AU356*(1+'Daily Returns'!AO357)</f>
        <v>1.203453301</v>
      </c>
    </row>
    <row r="358" ht="15.75" customHeight="1">
      <c r="A358" s="9">
        <v>44349.0</v>
      </c>
      <c r="B358" s="6">
        <f>'Daily Returns'!AP357*(1+'Daily Returns'!AK358)</f>
        <v>1.424236945</v>
      </c>
      <c r="D358" s="4">
        <f>'Daily Returns'!AQ357 * (1 + 'Daily Returns'!AJ358)</f>
        <v>1.302507304</v>
      </c>
      <c r="F358" s="7">
        <f>'Daily Returns'!AR357 * (1 +'Daily Returns'!AL358)</f>
        <v>1.30097258</v>
      </c>
      <c r="H358" s="5">
        <f>'Daily Returns'!AS357*(1+'Daily Returns'!AM358)</f>
        <v>1.365302899</v>
      </c>
      <c r="J358" s="5">
        <f>'Daily Returns'!AT357*(1+'Daily Returns'!AN358)</f>
        <v>1.217534585</v>
      </c>
      <c r="L358" s="5">
        <f>'Daily Returns'!AU357*(1+'Daily Returns'!AO358)</f>
        <v>1.206465643</v>
      </c>
    </row>
    <row r="359" ht="15.75" customHeight="1">
      <c r="A359" s="9">
        <v>44350.0</v>
      </c>
      <c r="B359" s="6">
        <f>'Daily Returns'!AP358*(1+'Daily Returns'!AK359)</f>
        <v>1.42412964</v>
      </c>
      <c r="D359" s="4">
        <f>'Daily Returns'!AQ358 * (1 + 'Daily Returns'!AJ359)</f>
        <v>1.297780505</v>
      </c>
      <c r="F359" s="7">
        <f>'Daily Returns'!AR358 * (1 +'Daily Returns'!AL359)</f>
        <v>1.303248934</v>
      </c>
      <c r="H359" s="5">
        <f>'Daily Returns'!AS358*(1+'Daily Returns'!AM359)</f>
        <v>1.367117773</v>
      </c>
      <c r="J359" s="5">
        <f>'Daily Returns'!AT358*(1+'Daily Returns'!AN359)</f>
        <v>1.220795667</v>
      </c>
      <c r="L359" s="5">
        <f>'Daily Returns'!AU358*(1+'Daily Returns'!AO359)</f>
        <v>1.210080737</v>
      </c>
    </row>
    <row r="360" ht="15.75" customHeight="1">
      <c r="A360" s="9">
        <v>44351.0</v>
      </c>
      <c r="B360" s="6">
        <f>'Daily Returns'!AP359*(1+'Daily Returns'!AK360)</f>
        <v>1.427791393</v>
      </c>
      <c r="D360" s="4">
        <f>'Daily Returns'!AQ359 * (1 + 'Daily Returns'!AJ360)</f>
        <v>1.309245098</v>
      </c>
      <c r="F360" s="7">
        <f>'Daily Returns'!AR359 * (1 +'Daily Returns'!AL360)</f>
        <v>1.297868407</v>
      </c>
      <c r="H360" s="5">
        <f>'Daily Returns'!AS359*(1+'Daily Returns'!AM360)</f>
        <v>1.361047674</v>
      </c>
      <c r="J360" s="5">
        <f>'Daily Returns'!AT359*(1+'Daily Returns'!AN360)</f>
        <v>1.21223584</v>
      </c>
      <c r="L360" s="5">
        <f>'Daily Returns'!AU359*(1+'Daily Returns'!AO360)</f>
        <v>1.203453301</v>
      </c>
    </row>
    <row r="361" ht="15.75" customHeight="1">
      <c r="A361" s="9">
        <v>44354.0</v>
      </c>
      <c r="B361" s="6">
        <f>'Daily Returns'!AP360*(1+'Daily Returns'!AK361)</f>
        <v>1.426114355</v>
      </c>
      <c r="D361" s="4">
        <f>'Daily Returns'!AQ360 * (1 + 'Daily Returns'!AJ361)</f>
        <v>1.30820163</v>
      </c>
      <c r="F361" s="7">
        <f>'Daily Returns'!AR360 * (1 +'Daily Returns'!AL361)</f>
        <v>1.309767848</v>
      </c>
      <c r="H361" s="5">
        <f>'Daily Returns'!AS360*(1+'Daily Returns'!AM361)</f>
        <v>1.372874526</v>
      </c>
      <c r="J361" s="5">
        <f>'Daily Returns'!AT360*(1+'Daily Returns'!AN361)</f>
        <v>1.228947804</v>
      </c>
      <c r="L361" s="5">
        <f>'Daily Returns'!AU360*(1+'Daily Returns'!AO361)</f>
        <v>1.217912903</v>
      </c>
    </row>
    <row r="362" ht="15.75" customHeight="1">
      <c r="A362" s="9">
        <v>44355.0</v>
      </c>
      <c r="B362" s="6">
        <f>'Daily Returns'!AP361*(1+'Daily Returns'!AK362)</f>
        <v>1.426914882</v>
      </c>
      <c r="D362" s="4">
        <f>'Daily Returns'!AQ361 * (1 + 'Daily Returns'!AJ362)</f>
        <v>1.308430565</v>
      </c>
      <c r="F362" s="7">
        <f>'Daily Returns'!AR361 * (1 +'Daily Returns'!AL362)</f>
        <v>1.311940735</v>
      </c>
      <c r="H362" s="5">
        <f>'Daily Returns'!AS361*(1+'Daily Returns'!AM362)</f>
        <v>1.374000951</v>
      </c>
      <c r="J362" s="5">
        <f>'Daily Returns'!AT361*(1+'Daily Returns'!AN362)</f>
        <v>1.226909704</v>
      </c>
      <c r="L362" s="5">
        <f>'Daily Returns'!AU361*(1+'Daily Returns'!AO362)</f>
        <v>1.217009098</v>
      </c>
    </row>
    <row r="363" ht="15.75" customHeight="1">
      <c r="A363" s="9">
        <v>44356.0</v>
      </c>
      <c r="B363" s="6">
        <f>'Daily Returns'!AP362*(1+'Daily Returns'!AK363)</f>
        <v>1.422561853</v>
      </c>
      <c r="D363" s="4">
        <f>'Daily Returns'!AQ362 * (1 + 'Daily Returns'!AJ363)</f>
        <v>1.306043988</v>
      </c>
      <c r="F363" s="7">
        <f>'Daily Returns'!AR362 * (1 +'Daily Returns'!AL363)</f>
        <v>1.312044286</v>
      </c>
      <c r="H363" s="5">
        <f>'Daily Returns'!AS362*(1+'Daily Returns'!AM363)</f>
        <v>1.376816912</v>
      </c>
      <c r="J363" s="5">
        <f>'Daily Returns'!AT362*(1+'Daily Returns'!AN363)</f>
        <v>1.226094586</v>
      </c>
      <c r="L363" s="5">
        <f>'Daily Returns'!AU362*(1+'Daily Returns'!AO363)</f>
        <v>1.216105421</v>
      </c>
    </row>
    <row r="364" ht="15.75" customHeight="1">
      <c r="A364" s="9">
        <v>44357.0</v>
      </c>
      <c r="B364" s="6">
        <f>'Daily Returns'!AP363*(1+'Daily Returns'!AK364)</f>
        <v>1.424820837</v>
      </c>
      <c r="D364" s="4">
        <f>'Daily Returns'!AQ363 * (1 + 'Daily Returns'!AJ364)</f>
        <v>1.312119704</v>
      </c>
      <c r="F364" s="7">
        <f>'Daily Returns'!AR363 * (1 +'Daily Returns'!AL364)</f>
        <v>1.309767848</v>
      </c>
      <c r="H364" s="5">
        <f>'Daily Returns'!AS363*(1+'Daily Returns'!AM364)</f>
        <v>1.372937094</v>
      </c>
      <c r="J364" s="5">
        <f>'Daily Returns'!AT363*(1+'Daily Returns'!AN364)</f>
        <v>1.231801022</v>
      </c>
      <c r="L364" s="5">
        <f>'Daily Returns'!AU363*(1+'Daily Returns'!AO364)</f>
        <v>1.22182918</v>
      </c>
    </row>
    <row r="365" ht="15.75" customHeight="1">
      <c r="A365" s="9">
        <v>44358.0</v>
      </c>
      <c r="B365" s="6">
        <f>'Daily Returns'!AP364*(1+'Daily Returns'!AK365)</f>
        <v>1.424959425</v>
      </c>
      <c r="D365" s="4">
        <f>'Daily Returns'!AQ364 * (1 + 'Daily Returns'!AJ365)</f>
        <v>1.314675714</v>
      </c>
      <c r="F365" s="7">
        <f>'Daily Returns'!AR364 * (1 +'Daily Returns'!AL365)</f>
        <v>1.314951459</v>
      </c>
      <c r="H365" s="5">
        <f>'Daily Returns'!AS364*(1+'Daily Returns'!AM365)</f>
        <v>1.379007092</v>
      </c>
      <c r="J365" s="5">
        <f>'Daily Returns'!AT364*(1+'Daily Returns'!AN365)</f>
        <v>1.231801022</v>
      </c>
      <c r="L365" s="5">
        <f>'Daily Returns'!AU364*(1+'Daily Returns'!AO365)</f>
        <v>1.221979578</v>
      </c>
    </row>
    <row r="366" ht="15.75" customHeight="1">
      <c r="A366" s="9">
        <v>44361.0</v>
      </c>
      <c r="B366" s="6">
        <f>'Daily Returns'!AP365*(1+'Daily Returns'!AK366)</f>
        <v>1.427720361</v>
      </c>
      <c r="D366" s="4">
        <f>'Daily Returns'!AQ365 * (1 + 'Daily Returns'!AJ366)</f>
        <v>1.31706185</v>
      </c>
      <c r="F366" s="7">
        <f>'Daily Returns'!AR365 * (1 +'Daily Returns'!AL366)</f>
        <v>1.318705983</v>
      </c>
      <c r="H366" s="5">
        <f>'Daily Returns'!AS365*(1+'Daily Returns'!AM366)</f>
        <v>1.383074613</v>
      </c>
      <c r="J366" s="5">
        <f>'Daily Returns'!AT365*(1+'Daily Returns'!AN366)</f>
        <v>1.232616314</v>
      </c>
      <c r="L366" s="5">
        <f>'Daily Returns'!AU365*(1+'Daily Returns'!AO366)</f>
        <v>1.223335351</v>
      </c>
    </row>
    <row r="367" ht="15.75" customHeight="1">
      <c r="A367" s="9">
        <v>44362.0</v>
      </c>
      <c r="B367" s="6">
        <f>'Daily Returns'!AP366*(1+'Daily Returns'!AK367)</f>
        <v>1.423662606</v>
      </c>
      <c r="D367" s="4">
        <f>'Daily Returns'!AQ366 * (1 + 'Daily Returns'!AJ367)</f>
        <v>1.314411922</v>
      </c>
      <c r="F367" s="7">
        <f>'Daily Returns'!AR366 * (1 +'Daily Returns'!AL367)</f>
        <v>1.321000353</v>
      </c>
      <c r="H367" s="5">
        <f>'Daily Returns'!AS366*(1+'Daily Returns'!AM367)</f>
        <v>1.385202225</v>
      </c>
      <c r="J367" s="5">
        <f>'Daily Returns'!AT366*(1+'Daily Returns'!AN367)</f>
        <v>1.228540027</v>
      </c>
      <c r="L367" s="5">
        <f>'Daily Returns'!AU366*(1+'Daily Returns'!AO367)</f>
        <v>1.219720515</v>
      </c>
    </row>
    <row r="368" ht="15.75" customHeight="1">
      <c r="A368" s="9">
        <v>44363.0</v>
      </c>
      <c r="B368" s="6">
        <f>'Daily Returns'!AP367*(1+'Daily Returns'!AK368)</f>
        <v>1.415091343</v>
      </c>
      <c r="D368" s="4">
        <f>'Daily Returns'!AQ367 * (1 + 'Daily Returns'!AJ368)</f>
        <v>1.307327241</v>
      </c>
      <c r="F368" s="7">
        <f>'Daily Returns'!AR367 * (1 +'Daily Returns'!AL368)</f>
        <v>1.318393141</v>
      </c>
      <c r="H368" s="5">
        <f>'Daily Returns'!AS367*(1+'Daily Returns'!AM368)</f>
        <v>1.38157268</v>
      </c>
      <c r="J368" s="5">
        <f>'Daily Returns'!AT367*(1+'Daily Returns'!AN368)</f>
        <v>1.229762922</v>
      </c>
      <c r="L368" s="5">
        <f>'Daily Returns'!AU367*(1+'Daily Returns'!AO368)</f>
        <v>1.222431545</v>
      </c>
    </row>
    <row r="369" ht="15.75" customHeight="1">
      <c r="A369" s="9">
        <v>44364.0</v>
      </c>
      <c r="B369" s="6">
        <f>'Daily Returns'!AP368*(1+'Daily Returns'!AK369)</f>
        <v>1.40882618</v>
      </c>
      <c r="D369" s="4">
        <f>'Daily Returns'!AQ368 * (1 + 'Daily Returns'!AJ369)</f>
        <v>1.306757247</v>
      </c>
      <c r="F369" s="7">
        <f>'Daily Returns'!AR368 * (1 +'Daily Returns'!AL369)</f>
        <v>1.311405385</v>
      </c>
      <c r="H369" s="5">
        <f>'Daily Returns'!AS368*(1+'Daily Returns'!AM369)</f>
        <v>1.3746894</v>
      </c>
      <c r="J369" s="5">
        <f>'Daily Returns'!AT368*(1+'Daily Returns'!AN369)</f>
        <v>1.236284649</v>
      </c>
      <c r="L369" s="5">
        <f>'Daily Returns'!AU368*(1+'Daily Returns'!AO369)</f>
        <v>1.228456229</v>
      </c>
    </row>
    <row r="370" ht="15.75" customHeight="1">
      <c r="A370" s="9">
        <v>44365.0</v>
      </c>
      <c r="B370" s="6">
        <f>'Daily Returns'!AP369*(1+'Daily Returns'!AK370)</f>
        <v>1.393583099</v>
      </c>
      <c r="D370" s="4">
        <f>'Daily Returns'!AQ369 * (1 + 'Daily Returns'!AJ370)</f>
        <v>1.289606058</v>
      </c>
      <c r="F370" s="7">
        <f>'Daily Returns'!AR369 * (1 +'Daily Returns'!AL370)</f>
        <v>1.309215071</v>
      </c>
      <c r="H370" s="5">
        <f>'Daily Returns'!AS369*(1+'Daily Returns'!AM370)</f>
        <v>1.37337507</v>
      </c>
      <c r="J370" s="5">
        <f>'Daily Returns'!AT369*(1+'Daily Returns'!AN370)</f>
        <v>1.239545905</v>
      </c>
      <c r="L370" s="5">
        <f>'Daily Returns'!AU369*(1+'Daily Returns'!AO370)</f>
        <v>1.229962658</v>
      </c>
    </row>
    <row r="371" ht="15.75" customHeight="1">
      <c r="A371" s="9">
        <v>44368.0</v>
      </c>
      <c r="B371" s="6">
        <f>'Daily Returns'!AP370*(1+'Daily Returns'!AK371)</f>
        <v>1.407251105</v>
      </c>
      <c r="D371" s="4">
        <f>'Daily Returns'!AQ370 * (1 + 'Daily Returns'!AJ371)</f>
        <v>1.307663122</v>
      </c>
      <c r="F371" s="7">
        <f>'Daily Returns'!AR370 * (1 +'Daily Returns'!AL371)</f>
        <v>1.289190412</v>
      </c>
      <c r="H371" s="5">
        <f>'Daily Returns'!AS370*(1+'Daily Returns'!AM371)</f>
        <v>1.356354373</v>
      </c>
      <c r="J371" s="5">
        <f>'Daily Returns'!AT370*(1+'Daily Returns'!AN371)</f>
        <v>1.246067284</v>
      </c>
      <c r="L371" s="5">
        <f>'Daily Returns'!AU370*(1+'Daily Returns'!AO371)</f>
        <v>1.235384848</v>
      </c>
    </row>
    <row r="372" ht="15.75" customHeight="1">
      <c r="A372" s="9">
        <v>44369.0</v>
      </c>
      <c r="B372" s="6">
        <f>'Daily Returns'!AP371*(1+'Daily Returns'!AK372)</f>
        <v>1.404972742</v>
      </c>
      <c r="D372" s="4">
        <f>'Daily Returns'!AQ371 * (1 + 'Daily Returns'!AJ372)</f>
        <v>1.314364895</v>
      </c>
      <c r="F372" s="7">
        <f>'Daily Returns'!AR371 * (1 +'Daily Returns'!AL372)</f>
        <v>1.306607859</v>
      </c>
      <c r="H372" s="5">
        <f>'Daily Returns'!AS371*(1+'Daily Returns'!AM372)</f>
        <v>1.37506501</v>
      </c>
      <c r="J372" s="5">
        <f>'Daily Returns'!AT371*(1+'Daily Returns'!AN372)</f>
        <v>1.246067284</v>
      </c>
      <c r="L372" s="5">
        <f>'Daily Returns'!AU371*(1+'Daily Returns'!AO372)</f>
        <v>1.234179989</v>
      </c>
    </row>
    <row r="373" ht="15.75" customHeight="1">
      <c r="A373" s="9">
        <v>44370.0</v>
      </c>
      <c r="B373" s="6">
        <f>'Daily Returns'!AP372*(1+'Daily Returns'!AK373)</f>
        <v>1.400161432</v>
      </c>
      <c r="D373" s="4">
        <f>'Daily Returns'!AQ372 * (1 + 'Daily Returns'!AJ373)</f>
        <v>1.312941438</v>
      </c>
      <c r="F373" s="7">
        <f>'Daily Returns'!AR372 * (1 +'Daily Returns'!AL373)</f>
        <v>1.311405385</v>
      </c>
      <c r="H373" s="5">
        <f>'Daily Returns'!AS372*(1+'Daily Returns'!AM373)</f>
        <v>1.382886808</v>
      </c>
      <c r="J373" s="5">
        <f>'Daily Returns'!AT372*(1+'Daily Returns'!AN373)</f>
        <v>1.244029446</v>
      </c>
      <c r="L373" s="5">
        <f>'Daily Returns'!AU372*(1+'Daily Returns'!AO373)</f>
        <v>1.230263841</v>
      </c>
    </row>
    <row r="374" ht="15.75" customHeight="1">
      <c r="A374" s="9">
        <v>44371.0</v>
      </c>
      <c r="B374" s="6">
        <f>'Daily Returns'!AP373*(1+'Daily Returns'!AK374)</f>
        <v>1.401726021</v>
      </c>
      <c r="D374" s="4">
        <f>'Daily Returns'!AQ373 * (1 + 'Daily Returns'!AJ374)</f>
        <v>1.320570941</v>
      </c>
      <c r="F374" s="7">
        <f>'Daily Returns'!AR373 * (1 +'Daily Returns'!AL374)</f>
        <v>1.308067844</v>
      </c>
      <c r="H374" s="5">
        <f>'Daily Returns'!AS373*(1+'Daily Returns'!AM374)</f>
        <v>1.382323596</v>
      </c>
      <c r="J374" s="5">
        <f>'Daily Returns'!AT373*(1+'Daily Returns'!AN374)</f>
        <v>1.235061929</v>
      </c>
      <c r="L374" s="5">
        <f>'Daily Returns'!AU373*(1+'Daily Returns'!AO374)</f>
        <v>1.221527869</v>
      </c>
    </row>
    <row r="375" ht="15.75" customHeight="1">
      <c r="A375" s="9">
        <v>44372.0</v>
      </c>
      <c r="B375" s="6">
        <f>'Daily Returns'!AP374*(1+'Daily Returns'!AK375)</f>
        <v>1.402862418</v>
      </c>
      <c r="D375" s="4">
        <f>'Daily Returns'!AQ374 * (1 + 'Daily Returns'!AJ375)</f>
        <v>1.324969763</v>
      </c>
      <c r="F375" s="7">
        <f>'Daily Returns'!AR374 * (1 +'Daily Returns'!AL375)</f>
        <v>1.31849745</v>
      </c>
      <c r="H375" s="5">
        <f>'Daily Returns'!AS374*(1+'Daily Returns'!AM375)</f>
        <v>1.391707769</v>
      </c>
      <c r="J375" s="5">
        <f>'Daily Returns'!AT374*(1+'Daily Returns'!AN375)</f>
        <v>1.244437135</v>
      </c>
      <c r="L375" s="5">
        <f>'Daily Returns'!AU374*(1+'Daily Returns'!AO375)</f>
        <v>1.2314687</v>
      </c>
    </row>
    <row r="376" ht="15.75" customHeight="1">
      <c r="A376" s="9">
        <v>44375.0</v>
      </c>
      <c r="B376" s="6">
        <f>'Daily Returns'!AP375*(1+'Daily Returns'!AK376)</f>
        <v>1.396006293</v>
      </c>
      <c r="D376" s="4">
        <f>'Daily Returns'!AQ375 * (1 + 'Daily Returns'!AJ376)</f>
        <v>1.328037068</v>
      </c>
      <c r="F376" s="7">
        <f>'Daily Returns'!AR375 * (1 +'Daily Returns'!AL376)</f>
        <v>1.321939131</v>
      </c>
      <c r="H376" s="5">
        <f>'Daily Returns'!AS375*(1+'Daily Returns'!AM376)</f>
        <v>1.396917508</v>
      </c>
      <c r="J376" s="5">
        <f>'Daily Returns'!AT375*(1+'Daily Returns'!AN376)</f>
        <v>1.246882837</v>
      </c>
      <c r="L376" s="5">
        <f>'Daily Returns'!AU375*(1+'Daily Returns'!AO376)</f>
        <v>1.234179989</v>
      </c>
    </row>
    <row r="377" ht="15.75" customHeight="1">
      <c r="A377" s="9">
        <v>44376.0</v>
      </c>
      <c r="B377" s="6">
        <f>'Daily Returns'!AP376*(1+'Daily Returns'!AK377)</f>
        <v>1.396517909</v>
      </c>
      <c r="D377" s="4">
        <f>'Daily Returns'!AQ376 * (1 + 'Daily Returns'!AJ377)</f>
        <v>1.328404934</v>
      </c>
      <c r="F377" s="7">
        <f>'Daily Returns'!AR376 * (1 +'Daily Returns'!AL377)</f>
        <v>1.321209055</v>
      </c>
      <c r="H377" s="5">
        <f>'Daily Returns'!AS376*(1+'Daily Returns'!AM377)</f>
        <v>1.398486565</v>
      </c>
      <c r="J377" s="5">
        <f>'Daily Returns'!AT376*(1+'Daily Returns'!AN377)</f>
        <v>1.242806638</v>
      </c>
      <c r="L377" s="5">
        <f>'Daily Returns'!AU376*(1+'Daily Returns'!AO377)</f>
        <v>1.231167388</v>
      </c>
    </row>
    <row r="378" ht="15.75" customHeight="1">
      <c r="A378" s="9">
        <v>44377.0</v>
      </c>
      <c r="B378" s="6">
        <f>'Daily Returns'!AP377*(1+'Daily Returns'!AK378)</f>
        <v>1.39779029</v>
      </c>
      <c r="D378" s="4">
        <f>'Daily Returns'!AQ377 * (1 + 'Daily Returns'!AJ378)</f>
        <v>1.330169056</v>
      </c>
      <c r="F378" s="7">
        <f>'Daily Returns'!AR377 * (1 +'Daily Returns'!AL378)</f>
        <v>1.322251973</v>
      </c>
      <c r="H378" s="7">
        <f>'Daily Returns'!AS377*(1+'Daily Returns'!AM378)</f>
        <v>1.398549437</v>
      </c>
      <c r="J378" s="5">
        <f>'Daily Returns'!AT377*(1+'Daily Returns'!AN378)</f>
        <v>1.246475061</v>
      </c>
      <c r="L378" s="5">
        <f>'Daily Returns'!AU377*(1+'Daily Returns'!AO378)</f>
        <v>1.233878548</v>
      </c>
    </row>
    <row r="379" ht="15.75" customHeight="1">
      <c r="A379" s="9">
        <v>44378.0</v>
      </c>
      <c r="B379" s="6">
        <f>'Daily Returns'!AP378*(1+'Daily Returns'!AK379)</f>
        <v>1.400407233</v>
      </c>
      <c r="D379" s="4">
        <f>'Daily Returns'!AQ378 * (1 + 'Daily Returns'!AJ379)</f>
        <v>1.337115198</v>
      </c>
      <c r="F379" s="7">
        <f>'Daily Returns'!AR378 * (1 +'Daily Returns'!AL379)</f>
        <v>1.320061912</v>
      </c>
      <c r="H379" s="7">
        <f>'Daily Returns'!AS378*(1+'Daily Returns'!AM379)</f>
        <v>1.398612309</v>
      </c>
      <c r="J379" s="5">
        <f>'Daily Returns'!AT378*(1+'Daily Returns'!AN379)</f>
        <v>1.248513073</v>
      </c>
      <c r="L379" s="5">
        <f>'Daily Returns'!AU378*(1+'Daily Returns'!AO379)</f>
        <v>1.235083665</v>
      </c>
    </row>
    <row r="380" ht="15.75" customHeight="1">
      <c r="A380" s="9">
        <v>44379.0</v>
      </c>
      <c r="B380" s="6">
        <f>'Daily Returns'!AP379*(1+'Daily Returns'!AK380)</f>
        <v>1.406091448</v>
      </c>
      <c r="D380" s="4">
        <f>'Daily Returns'!AQ379 * (1 + 'Daily Returns'!AJ380)</f>
        <v>1.347143562</v>
      </c>
      <c r="F380" s="7">
        <f>'Daily Returns'!AR379 * (1 +'Daily Returns'!AL380)</f>
        <v>1.325172027</v>
      </c>
      <c r="H380" s="7">
        <f>'Daily Returns'!AS379*(1+'Daily Returns'!AM380)</f>
        <v>1.406207121</v>
      </c>
      <c r="J380" s="5">
        <f>'Daily Returns'!AT379*(1+'Daily Returns'!AN380)</f>
        <v>1.242398861</v>
      </c>
      <c r="L380" s="5">
        <f>'Daily Returns'!AU379*(1+'Daily Returns'!AO380)</f>
        <v>1.229661217</v>
      </c>
    </row>
    <row r="381" ht="15.75" customHeight="1">
      <c r="A381" s="9">
        <v>44383.0</v>
      </c>
      <c r="B381" s="6">
        <f>'Daily Returns'!AP380*(1+'Daily Returns'!AK381)</f>
        <v>1.394806878</v>
      </c>
      <c r="D381" s="4">
        <f>'Daily Returns'!AQ380 * (1 + 'Daily Returns'!AJ381)</f>
        <v>1.344419638</v>
      </c>
      <c r="F381" s="7">
        <f>'Daily Returns'!AR380 * (1 +'Daily Returns'!AL381)</f>
        <v>1.333307179</v>
      </c>
      <c r="H381" s="7">
        <f>'Daily Returns'!AS380*(1+'Daily Returns'!AM381)</f>
        <v>1.413990547</v>
      </c>
      <c r="J381" s="5">
        <f>'Daily Returns'!AT380*(1+'Daily Returns'!AN381)</f>
        <v>1.245252253</v>
      </c>
      <c r="L381" s="5">
        <f>'Daily Returns'!AU380*(1+'Daily Returns'!AO381)</f>
        <v>1.232372248</v>
      </c>
    </row>
    <row r="382" ht="15.75" customHeight="1">
      <c r="A382" s="9">
        <v>44384.0</v>
      </c>
      <c r="B382" s="6">
        <f>'Daily Returns'!AP381*(1+'Daily Returns'!AK382)</f>
        <v>1.386244694</v>
      </c>
      <c r="D382" s="4">
        <f>'Daily Returns'!AQ381 * (1 + 'Daily Returns'!AJ382)</f>
        <v>1.348935544</v>
      </c>
      <c r="F382" s="7">
        <f>'Daily Returns'!AR381 * (1 +'Daily Returns'!AL382)</f>
        <v>1.329552487</v>
      </c>
      <c r="H382" s="7">
        <f>'Daily Returns'!AS381*(1+'Daily Returns'!AM382)</f>
        <v>1.4109149</v>
      </c>
      <c r="J382" s="5">
        <f>'Daily Returns'!AT381*(1+'Daily Returns'!AN382)</f>
        <v>1.244437135</v>
      </c>
      <c r="L382" s="5">
        <f>'Daily Returns'!AU381*(1+'Daily Returns'!AO382)</f>
        <v>1.232008658</v>
      </c>
    </row>
    <row r="383" ht="15.75" customHeight="1">
      <c r="A383" s="9">
        <v>44385.0</v>
      </c>
      <c r="B383" s="6">
        <f>'Daily Returns'!AP382*(1+'Daily Returns'!AK383)</f>
        <v>1.384156443</v>
      </c>
      <c r="D383" s="4">
        <f>'Daily Returns'!AQ382 * (1 + 'Daily Returns'!AJ383)</f>
        <v>1.337387306</v>
      </c>
      <c r="F383" s="7">
        <f>'Daily Returns'!AR382 * (1 +'Daily Returns'!AL383)</f>
        <v>1.334454406</v>
      </c>
      <c r="H383" s="7">
        <f>'Daily Returns'!AS382*(1+'Daily Returns'!AM383)</f>
        <v>1.412797809</v>
      </c>
      <c r="J383" s="5">
        <f>'Daily Returns'!AT382*(1+'Daily Returns'!AN383)</f>
        <v>1.247697868</v>
      </c>
      <c r="L383" s="5">
        <f>'Daily Returns'!AU382*(1+'Daily Returns'!AO383)</f>
        <v>1.235645718</v>
      </c>
    </row>
    <row r="384" ht="15.75" customHeight="1">
      <c r="A384" s="9">
        <v>44386.0</v>
      </c>
      <c r="B384" s="6">
        <f>'Daily Returns'!AP383*(1+'Daily Returns'!AK384)</f>
        <v>1.39128637</v>
      </c>
      <c r="D384" s="4">
        <f>'Daily Returns'!AQ383 * (1 + 'Daily Returns'!AJ384)</f>
        <v>1.35247036</v>
      </c>
      <c r="F384" s="7">
        <f>'Daily Returns'!AR383 * (1 +'Daily Returns'!AL384)</f>
        <v>1.3195402</v>
      </c>
      <c r="H384" s="7">
        <f>'Daily Returns'!AS383*(1+'Daily Returns'!AM384)</f>
        <v>1.40087184</v>
      </c>
      <c r="J384" s="5">
        <f>'Daily Returns'!AT383*(1+'Daily Returns'!AN384)</f>
        <v>1.251773893</v>
      </c>
      <c r="L384" s="5">
        <f>'Daily Returns'!AU383*(1+'Daily Returns'!AO384)</f>
        <v>1.240494743</v>
      </c>
    </row>
    <row r="385" ht="15.75" customHeight="1">
      <c r="A385" s="9">
        <v>44389.0</v>
      </c>
      <c r="B385" s="6">
        <f>'Daily Returns'!AP384*(1+'Daily Returns'!AK385)</f>
        <v>1.392921401</v>
      </c>
      <c r="D385" s="4">
        <f>'Daily Returns'!AQ384 * (1 + 'Daily Returns'!AJ385)</f>
        <v>1.357137736</v>
      </c>
      <c r="F385" s="7">
        <f>'Daily Returns'!AR384 * (1 +'Daily Returns'!AL385)</f>
        <v>1.337270404</v>
      </c>
      <c r="H385" s="7">
        <f>'Daily Returns'!AS384*(1+'Daily Returns'!AM385)</f>
        <v>1.417819339</v>
      </c>
      <c r="J385" s="5">
        <f>'Daily Returns'!AT384*(1+'Daily Returns'!AN385)</f>
        <v>1.253812254</v>
      </c>
      <c r="L385" s="5">
        <f>'Daily Returns'!AU384*(1+'Daily Returns'!AO385)</f>
        <v>1.241707096</v>
      </c>
    </row>
    <row r="386" ht="15.75" customHeight="1">
      <c r="A386" s="9">
        <v>44390.0</v>
      </c>
      <c r="B386" s="6">
        <f>'Daily Returns'!AP385*(1+'Daily Returns'!AK386)</f>
        <v>1.393535202</v>
      </c>
      <c r="D386" s="4">
        <f>'Daily Returns'!AQ385 * (1 + 'Daily Returns'!AJ386)</f>
        <v>1.352364682</v>
      </c>
      <c r="F386" s="7">
        <f>'Daily Returns'!AR385 * (1 +'Daily Returns'!AL386)</f>
        <v>1.343006877</v>
      </c>
      <c r="H386" s="7">
        <f>'Daily Returns'!AS385*(1+'Daily Returns'!AM386)</f>
        <v>1.421773873</v>
      </c>
      <c r="J386" s="5">
        <f>'Daily Returns'!AT385*(1+'Daily Returns'!AN386)</f>
        <v>1.254627285</v>
      </c>
      <c r="L386" s="5">
        <f>'Daily Returns'!AU385*(1+'Daily Returns'!AO386)</f>
        <v>1.240797864</v>
      </c>
    </row>
    <row r="387" ht="15.75" customHeight="1">
      <c r="A387" s="9">
        <v>44391.0</v>
      </c>
      <c r="B387" s="6">
        <f>'Daily Returns'!AP386*(1+'Daily Returns'!AK387)</f>
        <v>1.399819681</v>
      </c>
      <c r="D387" s="4">
        <f>'Daily Returns'!AQ386 * (1 + 'Daily Returns'!AJ387)</f>
        <v>1.353940187</v>
      </c>
      <c r="F387" s="7">
        <f>'Daily Returns'!AR386 * (1 +'Daily Returns'!AL387)</f>
        <v>1.336018952</v>
      </c>
      <c r="H387" s="7">
        <f>'Daily Returns'!AS386*(1+'Daily Returns'!AM387)</f>
        <v>1.413864905</v>
      </c>
      <c r="J387" s="5">
        <f>'Daily Returns'!AT386*(1+'Daily Returns'!AN387)</f>
        <v>1.239545905</v>
      </c>
      <c r="L387" s="5">
        <f>'Daily Returns'!AU386*(1+'Daily Returns'!AO387)</f>
        <v>1.227462495</v>
      </c>
    </row>
    <row r="388" ht="15.75" customHeight="1">
      <c r="A388" s="9">
        <v>44392.0</v>
      </c>
      <c r="B388" s="6">
        <f>'Daily Returns'!AP387*(1+'Daily Returns'!AK388)</f>
        <v>1.393137338</v>
      </c>
      <c r="D388" s="4">
        <f>'Daily Returns'!AQ387 * (1 + 'Daily Returns'!AJ388)</f>
        <v>1.349523634</v>
      </c>
      <c r="F388" s="7">
        <f>'Daily Returns'!AR387 * (1 +'Daily Returns'!AL388)</f>
        <v>1.339147708</v>
      </c>
      <c r="H388" s="7">
        <f>'Daily Returns'!AS387*(1+'Daily Returns'!AM388)</f>
        <v>1.411919226</v>
      </c>
      <c r="J388" s="5">
        <f>'Daily Returns'!AT387*(1+'Daily Returns'!AN388)</f>
        <v>1.251366552</v>
      </c>
      <c r="L388" s="5">
        <f>'Daily Returns'!AU387*(1+'Daily Returns'!AO388)</f>
        <v>1.238676278</v>
      </c>
    </row>
    <row r="389" ht="15.75" customHeight="1">
      <c r="A389" s="9">
        <v>44393.0</v>
      </c>
      <c r="B389" s="6">
        <f>'Daily Returns'!AP388*(1+'Daily Returns'!AK389)</f>
        <v>1.386363758</v>
      </c>
      <c r="D389" s="4">
        <f>'Daily Returns'!AQ388 * (1 + 'Daily Returns'!AJ389)</f>
        <v>1.339349576</v>
      </c>
      <c r="F389" s="7">
        <f>'Daily Returns'!AR388 * (1 +'Daily Returns'!AL389)</f>
        <v>1.331846942</v>
      </c>
      <c r="H389" s="7">
        <f>'Daily Returns'!AS388*(1+'Daily Returns'!AM389)</f>
        <v>1.406960568</v>
      </c>
      <c r="J389" s="5">
        <f>'Daily Returns'!AT388*(1+'Daily Returns'!AN389)</f>
        <v>1.250958863</v>
      </c>
      <c r="L389" s="5">
        <f>'Daily Returns'!AU388*(1+'Daily Returns'!AO389)</f>
        <v>1.238373545</v>
      </c>
    </row>
    <row r="390" ht="15.75" customHeight="1">
      <c r="A390" s="9">
        <v>44396.0</v>
      </c>
      <c r="B390" s="6">
        <f>'Daily Returns'!AP389*(1+'Daily Returns'!AK390)</f>
        <v>1.369577742</v>
      </c>
      <c r="D390" s="4">
        <f>'Daily Returns'!AQ389 * (1 + 'Daily Returns'!AJ390)</f>
        <v>1.318094098</v>
      </c>
      <c r="F390" s="7">
        <f>'Daily Returns'!AR389 * (1 +'Daily Returns'!AL390)</f>
        <v>1.32214758</v>
      </c>
      <c r="H390" s="7">
        <f>'Daily Returns'!AS389*(1+'Daily Returns'!AM390)</f>
        <v>1.395913081</v>
      </c>
      <c r="J390" s="5">
        <f>'Daily Returns'!AT389*(1+'Daily Returns'!AN390)</f>
        <v>1.255035062</v>
      </c>
      <c r="L390" s="5">
        <f>'Daily Returns'!AU389*(1+'Daily Returns'!AO390)</f>
        <v>1.240797864</v>
      </c>
    </row>
    <row r="391" ht="15.75" customHeight="1">
      <c r="A391" s="9">
        <v>44397.0</v>
      </c>
      <c r="B391" s="6">
        <f>'Daily Returns'!AP390*(1+'Daily Returns'!AK391)</f>
        <v>1.373898785</v>
      </c>
      <c r="D391" s="4">
        <f>'Daily Returns'!AQ390 * (1 + 'Daily Returns'!AJ391)</f>
        <v>1.338080359</v>
      </c>
      <c r="F391" s="7">
        <f>'Daily Returns'!AR390 * (1 +'Daily Returns'!AL391)</f>
        <v>1.301810248</v>
      </c>
      <c r="H391" s="7">
        <f>'Daily Returns'!AS390*(1+'Daily Returns'!AM391)</f>
        <v>1.376078145</v>
      </c>
      <c r="J391" s="5">
        <f>'Daily Returns'!AT390*(1+'Daily Returns'!AN391)</f>
        <v>1.246475061</v>
      </c>
      <c r="L391" s="5">
        <f>'Daily Returns'!AU390*(1+'Daily Returns'!AO391)</f>
        <v>1.232614641</v>
      </c>
    </row>
    <row r="392" ht="15.75" customHeight="1">
      <c r="A392" s="9">
        <v>44398.0</v>
      </c>
      <c r="B392" s="6">
        <f>'Daily Returns'!AP391*(1+'Daily Returns'!AK392)</f>
        <v>1.381171542</v>
      </c>
      <c r="D392" s="4">
        <f>'Daily Returns'!AQ391 * (1 + 'Daily Returns'!AJ392)</f>
        <v>1.349108817</v>
      </c>
      <c r="F392" s="7">
        <f>'Daily Returns'!AR391 * (1 +'Daily Returns'!AL392)</f>
        <v>1.318393141</v>
      </c>
      <c r="H392" s="7">
        <f>'Daily Returns'!AS391*(1+'Daily Returns'!AM392)</f>
        <v>1.399867615</v>
      </c>
      <c r="J392" s="5">
        <f>'Daily Returns'!AT391*(1+'Daily Returns'!AN392)</f>
        <v>1.250958863</v>
      </c>
      <c r="L392" s="5">
        <f>'Daily Returns'!AU391*(1+'Daily Returns'!AO392)</f>
        <v>1.235645718</v>
      </c>
    </row>
    <row r="393" ht="15.75" customHeight="1">
      <c r="A393" s="9">
        <v>44399.0</v>
      </c>
      <c r="B393" s="6">
        <f>'Daily Returns'!AP392*(1+'Daily Returns'!AK393)</f>
        <v>1.382528791</v>
      </c>
      <c r="D393" s="4">
        <f>'Daily Returns'!AQ392 * (1 + 'Daily Returns'!AJ393)</f>
        <v>1.351829969</v>
      </c>
      <c r="F393" s="7">
        <f>'Daily Returns'!AR392 * (1 +'Daily Returns'!AL393)</f>
        <v>1.332785804</v>
      </c>
      <c r="H393" s="7">
        <f>'Daily Returns'!AS392*(1+'Daily Returns'!AM393)</f>
        <v>1.412421186</v>
      </c>
      <c r="J393" s="5">
        <f>'Daily Returns'!AT392*(1+'Daily Returns'!AN393)</f>
        <v>1.238322662</v>
      </c>
      <c r="L393" s="5">
        <f>'Daily Returns'!AU392*(1+'Daily Returns'!AO393)</f>
        <v>1.223825952</v>
      </c>
    </row>
    <row r="394" ht="15.75" customHeight="1">
      <c r="A394" s="9">
        <v>44400.0</v>
      </c>
      <c r="B394" s="6">
        <f>'Daily Returns'!AP393*(1+'Daily Returns'!AK394)</f>
        <v>1.380276546</v>
      </c>
      <c r="D394" s="4">
        <f>'Daily Returns'!AQ393 * (1 + 'Daily Returns'!AJ394)</f>
        <v>1.365544284</v>
      </c>
      <c r="F394" s="7">
        <f>'Daily Returns'!AR393 * (1 +'Daily Returns'!AL394)</f>
        <v>1.334871557</v>
      </c>
      <c r="H394" s="7">
        <f>'Daily Returns'!AS393*(1+'Daily Returns'!AM394)</f>
        <v>1.413613824</v>
      </c>
      <c r="J394" s="5">
        <f>'Daily Returns'!AT393*(1+'Daily Returns'!AN394)</f>
        <v>1.224056574</v>
      </c>
      <c r="L394" s="5">
        <f>'Daily Returns'!AU393*(1+'Daily Returns'!AO394)</f>
        <v>1.208065747</v>
      </c>
    </row>
    <row r="395" ht="15.75" customHeight="1">
      <c r="A395" s="9">
        <v>44403.0</v>
      </c>
      <c r="B395" s="6">
        <f>'Daily Returns'!AP394*(1+'Daily Returns'!AK395)</f>
        <v>1.385450533</v>
      </c>
      <c r="D395" s="4">
        <f>'Daily Returns'!AQ394 * (1 + 'Daily Returns'!AJ395)</f>
        <v>1.368797011</v>
      </c>
      <c r="F395" s="7">
        <f>'Daily Returns'!AR394 * (1 +'Daily Returns'!AL395)</f>
        <v>1.347387084</v>
      </c>
      <c r="H395" s="7">
        <f>'Daily Returns'!AS394*(1+'Daily Returns'!AM395)</f>
        <v>1.427736756</v>
      </c>
      <c r="J395" s="5">
        <f>'Daily Returns'!AT394*(1+'Daily Returns'!AN395)</f>
        <v>1.235877221</v>
      </c>
      <c r="L395" s="5">
        <f>'Daily Returns'!AU394*(1+'Daily Returns'!AO395)</f>
        <v>1.221097866</v>
      </c>
    </row>
    <row r="396" ht="15.75" customHeight="1">
      <c r="A396" s="9">
        <v>44404.0</v>
      </c>
      <c r="B396" s="6">
        <f>'Daily Returns'!AP395*(1+'Daily Returns'!AK396)</f>
        <v>1.380506578</v>
      </c>
      <c r="D396" s="4">
        <f>'Daily Returns'!AQ395 * (1 + 'Daily Returns'!AJ396)</f>
        <v>1.362347239</v>
      </c>
      <c r="F396" s="7">
        <f>'Daily Returns'!AR395 * (1 +'Daily Returns'!AL396)</f>
        <v>1.348221554</v>
      </c>
      <c r="H396" s="7">
        <f>'Daily Returns'!AS395*(1+'Daily Returns'!AM396)</f>
        <v>1.430624194</v>
      </c>
      <c r="J396" s="5">
        <f>'Daily Returns'!AT395*(1+'Daily Returns'!AN396)</f>
        <v>1.244844825</v>
      </c>
      <c r="L396" s="5">
        <f>'Daily Returns'!AU395*(1+'Daily Returns'!AO396)</f>
        <v>1.231705537</v>
      </c>
    </row>
    <row r="397" ht="15.75" customHeight="1">
      <c r="A397" s="9">
        <v>44405.0</v>
      </c>
      <c r="B397" s="6">
        <f>'Daily Returns'!AP396*(1+'Daily Returns'!AK397)</f>
        <v>1.3889955</v>
      </c>
      <c r="D397" s="4">
        <f>'Daily Returns'!AQ396 * (1 + 'Daily Returns'!AJ397)</f>
        <v>1.362093843</v>
      </c>
      <c r="F397" s="7">
        <f>'Daily Returns'!AR396 * (1 +'Daily Returns'!AL397)</f>
        <v>1.343528336</v>
      </c>
      <c r="H397" s="7">
        <f>'Daily Returns'!AS396*(1+'Daily Returns'!AM397)</f>
        <v>1.422903639</v>
      </c>
      <c r="J397" s="5">
        <f>'Daily Returns'!AT396*(1+'Daily Returns'!AN397)</f>
        <v>1.245252253</v>
      </c>
      <c r="L397" s="5">
        <f>'Daily Returns'!AU396*(1+'Daily Returns'!AO397)</f>
        <v>1.231402804</v>
      </c>
    </row>
    <row r="398" ht="15.75" customHeight="1">
      <c r="A398" s="9">
        <v>44406.0</v>
      </c>
      <c r="B398" s="6">
        <f>'Daily Returns'!AP397*(1+'Daily Returns'!AK398)</f>
        <v>1.399913358</v>
      </c>
      <c r="D398" s="4">
        <f>'Daily Returns'!AQ397 * (1 + 'Daily Returns'!AJ398)</f>
        <v>1.36782281</v>
      </c>
      <c r="F398" s="7">
        <f>'Daily Returns'!AR397 * (1 +'Daily Returns'!AL398)</f>
        <v>1.345927015</v>
      </c>
      <c r="H398" s="7">
        <f>'Daily Returns'!AS397*(1+'Daily Returns'!AM398)</f>
        <v>1.425100501</v>
      </c>
      <c r="J398" s="5">
        <f>'Daily Returns'!AT397*(1+'Daily Returns'!AN398)</f>
        <v>1.252996788</v>
      </c>
      <c r="L398" s="5">
        <f>'Daily Returns'!AU397*(1+'Daily Returns'!AO398)</f>
        <v>1.238070036</v>
      </c>
    </row>
    <row r="399" ht="15.75" customHeight="1">
      <c r="A399" s="9">
        <v>44407.0</v>
      </c>
      <c r="B399" s="6">
        <f>'Daily Returns'!AP398*(1+'Daily Returns'!AK399)</f>
        <v>1.403674496</v>
      </c>
      <c r="D399" s="4">
        <f>'Daily Returns'!AQ398 * (1 + 'Daily Returns'!AJ399)</f>
        <v>1.360428359</v>
      </c>
      <c r="F399" s="7">
        <f>'Daily Returns'!AR398 * (1 +'Daily Returns'!AL399)</f>
        <v>1.352914687</v>
      </c>
      <c r="H399" s="7">
        <f>'Daily Returns'!AS398*(1+'Daily Returns'!AM399)</f>
        <v>1.431377438</v>
      </c>
      <c r="J399" s="5">
        <f>'Daily Returns'!AT398*(1+'Daily Returns'!AN399)</f>
        <v>1.24892085</v>
      </c>
      <c r="L399" s="5">
        <f>'Daily Returns'!AU398*(1+'Daily Returns'!AO399)</f>
        <v>1.235342468</v>
      </c>
    </row>
    <row r="400" ht="15.75" customHeight="1">
      <c r="A400" s="9">
        <v>44410.0</v>
      </c>
      <c r="B400" s="6">
        <f>'Daily Returns'!AP399*(1+'Daily Returns'!AK400)</f>
        <v>1.393748005</v>
      </c>
      <c r="D400" s="4">
        <f>'Daily Returns'!AQ399 * (1 + 'Daily Returns'!AJ400)</f>
        <v>1.35792109</v>
      </c>
      <c r="F400" s="7">
        <f>'Daily Returns'!AR399 * (1 +'Daily Returns'!AL400)</f>
        <v>1.343632476</v>
      </c>
      <c r="H400" s="7">
        <f>'Daily Returns'!AS399*(1+'Daily Returns'!AM400)</f>
        <v>1.422903639</v>
      </c>
      <c r="J400" s="5">
        <f>'Daily Returns'!AT399*(1+'Daily Returns'!AN400)</f>
        <v>1.249736055</v>
      </c>
      <c r="L400" s="5">
        <f>'Daily Returns'!AU399*(1+'Daily Returns'!AO400)</f>
        <v>1.236554563</v>
      </c>
    </row>
    <row r="401" ht="15.75" customHeight="1">
      <c r="A401" s="9">
        <v>44411.0</v>
      </c>
      <c r="B401" s="6">
        <f>'Daily Returns'!AP400*(1+'Daily Returns'!AK401)</f>
        <v>1.397550415</v>
      </c>
      <c r="D401" s="4">
        <f>'Daily Returns'!AQ400 * (1 + 'Daily Returns'!AJ401)</f>
        <v>1.369060117</v>
      </c>
      <c r="F401" s="7">
        <f>'Daily Returns'!AR400 * (1 +'Daily Returns'!AL401)</f>
        <v>1.345718566</v>
      </c>
      <c r="H401" s="7">
        <f>'Daily Returns'!AS400*(1+'Daily Returns'!AM401)</f>
        <v>1.420895087</v>
      </c>
      <c r="J401" s="5">
        <f>'Daily Returns'!AT400*(1+'Daily Returns'!AN401)</f>
        <v>1.251773893</v>
      </c>
      <c r="L401" s="5">
        <f>'Daily Returns'!AU400*(1+'Daily Returns'!AO401)</f>
        <v>1.238979657</v>
      </c>
    </row>
    <row r="402" ht="15.75" customHeight="1">
      <c r="A402" s="9">
        <v>44412.0</v>
      </c>
      <c r="B402" s="6">
        <f>'Daily Returns'!AP401*(1+'Daily Returns'!AK402)</f>
        <v>1.392379803</v>
      </c>
      <c r="D402" s="4">
        <f>'Daily Returns'!AQ401 * (1 + 'Daily Returns'!AJ402)</f>
        <v>1.36271863</v>
      </c>
      <c r="F402" s="7">
        <f>'Daily Returns'!AR401 * (1 +'Daily Returns'!AL402)</f>
        <v>1.35458371</v>
      </c>
      <c r="H402" s="7">
        <f>'Daily Returns'!AS401*(1+'Daily Returns'!AM402)</f>
        <v>1.431063587</v>
      </c>
      <c r="J402" s="5">
        <f>'Daily Returns'!AT401*(1+'Daily Returns'!AN402)</f>
        <v>1.256257608</v>
      </c>
      <c r="L402" s="5">
        <f>'Daily Returns'!AU401*(1+'Daily Returns'!AO402)</f>
        <v>1.243828553</v>
      </c>
    </row>
    <row r="403" ht="15.75" customHeight="1">
      <c r="A403" s="9">
        <v>44413.0</v>
      </c>
      <c r="B403" s="6">
        <f>'Daily Returns'!AP402*(1+'Daily Returns'!AK403)</f>
        <v>1.381782905</v>
      </c>
      <c r="D403" s="4">
        <f>'Daily Returns'!AQ402 * (1 + 'Daily Returns'!AJ403)</f>
        <v>1.370901756</v>
      </c>
      <c r="F403" s="7">
        <f>'Daily Returns'!AR402 * (1 +'Daily Returns'!AL403)</f>
        <v>1.350307307</v>
      </c>
      <c r="H403" s="7">
        <f>'Daily Returns'!AS402*(1+'Daily Returns'!AM403)</f>
        <v>1.424661108</v>
      </c>
      <c r="J403" s="5">
        <f>'Daily Returns'!AT402*(1+'Daily Returns'!AN403)</f>
        <v>1.255035062</v>
      </c>
      <c r="L403" s="5">
        <f>'Daily Returns'!AU402*(1+'Daily Returns'!AO403)</f>
        <v>1.243222828</v>
      </c>
    </row>
    <row r="404" ht="15.75" customHeight="1">
      <c r="A404" s="9">
        <v>44414.0</v>
      </c>
      <c r="B404" s="6">
        <f>'Daily Returns'!AP403*(1+'Daily Returns'!AK404)</f>
        <v>1.385943563</v>
      </c>
      <c r="D404" s="4">
        <f>'Daily Returns'!AQ403 * (1 + 'Daily Returns'!AJ404)</f>
        <v>1.373198016</v>
      </c>
      <c r="F404" s="7">
        <f>'Daily Returns'!AR403 * (1 +'Daily Returns'!AL404)</f>
        <v>1.358546599</v>
      </c>
      <c r="H404" s="7">
        <f>'Daily Returns'!AS403*(1+'Daily Returns'!AM404)</f>
        <v>1.43482981</v>
      </c>
      <c r="J404" s="5">
        <f>'Daily Returns'!AT403*(1+'Daily Returns'!AN404)</f>
        <v>1.260741671</v>
      </c>
      <c r="L404" s="5">
        <f>'Daily Returns'!AU403*(1+'Daily Returns'!AO404)</f>
        <v>1.248677837</v>
      </c>
    </row>
    <row r="405" ht="15.75" customHeight="1">
      <c r="A405" s="9">
        <v>44417.0</v>
      </c>
      <c r="B405" s="6">
        <f>'Daily Returns'!AP404*(1+'Daily Returns'!AK405)</f>
        <v>1.391414164</v>
      </c>
      <c r="D405" s="4">
        <f>'Daily Returns'!AQ404 * (1 + 'Daily Returns'!AJ405)</f>
        <v>1.37190721</v>
      </c>
      <c r="F405" s="7">
        <f>'Daily Returns'!AR404 * (1 +'Daily Returns'!AL405)</f>
        <v>1.356356537</v>
      </c>
      <c r="H405" s="7">
        <f>'Daily Returns'!AS404*(1+'Daily Returns'!AM405)</f>
        <v>1.436587381</v>
      </c>
      <c r="J405" s="5">
        <f>'Daily Returns'!AT404*(1+'Daily Returns'!AN405)</f>
        <v>1.259110913</v>
      </c>
      <c r="L405" s="5">
        <f>'Daily Returns'!AU404*(1+'Daily Returns'!AO405)</f>
        <v>1.24655638</v>
      </c>
    </row>
    <row r="406" ht="15.75" customHeight="1">
      <c r="A406" s="9">
        <v>44418.0</v>
      </c>
      <c r="B406" s="6">
        <f>'Daily Returns'!AP405*(1+'Daily Returns'!AK406)</f>
        <v>1.399511738</v>
      </c>
      <c r="D406" s="4">
        <f>'Daily Returns'!AQ405 * (1 + 'Daily Returns'!AJ406)</f>
        <v>1.373269514</v>
      </c>
      <c r="F406" s="7">
        <f>'Daily Returns'!AR405 * (1 +'Daily Returns'!AL406)</f>
        <v>1.356565154</v>
      </c>
      <c r="H406" s="7">
        <f>'Daily Returns'!AS405*(1+'Daily Returns'!AM406)</f>
        <v>1.436022346</v>
      </c>
      <c r="J406" s="5">
        <f>'Daily Returns'!AT405*(1+'Daily Returns'!AN406)</f>
        <v>1.26277951</v>
      </c>
      <c r="L406" s="5">
        <f>'Daily Returns'!AU405*(1+'Daily Returns'!AO406)</f>
        <v>1.248677837</v>
      </c>
    </row>
    <row r="407" ht="15.75" customHeight="1">
      <c r="A407" s="9">
        <v>44419.0</v>
      </c>
      <c r="B407" s="6">
        <f>'Daily Returns'!AP406*(1+'Daily Returns'!AK407)</f>
        <v>1.411866876</v>
      </c>
      <c r="D407" s="4">
        <f>'Daily Returns'!AQ406 * (1 + 'Daily Returns'!AJ407)</f>
        <v>1.376658743</v>
      </c>
      <c r="F407" s="7">
        <f>'Daily Returns'!AR406 * (1 +'Daily Returns'!AL407)</f>
        <v>1.358129616</v>
      </c>
      <c r="H407" s="7">
        <f>'Daily Returns'!AS406*(1+'Daily Returns'!AM407)</f>
        <v>1.436964003</v>
      </c>
      <c r="J407" s="5">
        <f>'Daily Returns'!AT406*(1+'Daily Returns'!AN407)</f>
        <v>1.270524132</v>
      </c>
      <c r="L407" s="5">
        <f>'Daily Returns'!AU406*(1+'Daily Returns'!AO407)</f>
        <v>1.255648706</v>
      </c>
    </row>
    <row r="408" ht="15.75" customHeight="1">
      <c r="A408" s="9">
        <v>44420.0</v>
      </c>
      <c r="B408" s="6">
        <f>'Daily Returns'!AP407*(1+'Daily Returns'!AK408)</f>
        <v>1.411058199</v>
      </c>
      <c r="D408" s="4">
        <f>'Daily Returns'!AQ407 * (1 + 'Daily Returns'!AJ408)</f>
        <v>1.38072264</v>
      </c>
      <c r="F408" s="7">
        <f>'Daily Returns'!AR407 * (1 +'Daily Returns'!AL408)</f>
        <v>1.363031367</v>
      </c>
      <c r="H408" s="7">
        <f>'Daily Returns'!AS407*(1+'Daily Returns'!AM408)</f>
        <v>1.439788569</v>
      </c>
      <c r="J408" s="5">
        <f>'Daily Returns'!AT407*(1+'Daily Returns'!AN408)</f>
        <v>1.268486206</v>
      </c>
      <c r="L408" s="5">
        <f>'Daily Returns'!AU407*(1+'Daily Returns'!AO408)</f>
        <v>1.252618017</v>
      </c>
    </row>
    <row r="409" ht="15.75" customHeight="1">
      <c r="A409" s="9">
        <v>44421.0</v>
      </c>
      <c r="B409" s="6">
        <f>'Daily Returns'!AP408*(1+'Daily Returns'!AK409)</f>
        <v>1.413263963</v>
      </c>
      <c r="D409" s="4">
        <f>'Daily Returns'!AQ408 * (1 + 'Daily Returns'!AJ409)</f>
        <v>1.382941461</v>
      </c>
      <c r="F409" s="7">
        <f>'Daily Returns'!AR408 * (1 +'Daily Returns'!AL409)</f>
        <v>1.365847365</v>
      </c>
      <c r="H409" s="7">
        <f>'Daily Returns'!AS408*(1+'Daily Returns'!AM409)</f>
        <v>1.443805671</v>
      </c>
      <c r="J409" s="5">
        <f>'Daily Returns'!AT408*(1+'Daily Returns'!AN409)</f>
        <v>1.272562144</v>
      </c>
      <c r="L409" s="5">
        <f>'Daily Returns'!AU408*(1+'Daily Returns'!AO409)</f>
        <v>1.256103258</v>
      </c>
    </row>
    <row r="410" ht="15.75" customHeight="1">
      <c r="A410" s="9">
        <v>44424.0</v>
      </c>
      <c r="B410" s="6">
        <f>'Daily Returns'!AP409*(1+'Daily Returns'!AK410)</f>
        <v>1.414294092</v>
      </c>
      <c r="D410" s="4">
        <f>'Daily Returns'!AQ409 * (1 + 'Daily Returns'!AJ410)</f>
        <v>1.38656615</v>
      </c>
      <c r="F410" s="7">
        <f>'Daily Returns'!AR409 * (1 +'Daily Returns'!AL410)</f>
        <v>1.370019123</v>
      </c>
      <c r="H410" s="7">
        <f>'Daily Returns'!AS409*(1+'Daily Returns'!AM410)</f>
        <v>1.444621585</v>
      </c>
      <c r="J410" s="5">
        <f>'Daily Returns'!AT409*(1+'Daily Returns'!AN410)</f>
        <v>1.274600244</v>
      </c>
      <c r="L410" s="5">
        <f>'Daily Returns'!AU409*(1+'Daily Returns'!AO410)</f>
        <v>1.259588757</v>
      </c>
    </row>
    <row r="411" ht="15.75" customHeight="1">
      <c r="A411" s="9">
        <v>44425.0</v>
      </c>
      <c r="B411" s="6">
        <f>'Daily Returns'!AP410*(1+'Daily Returns'!AK411)</f>
        <v>1.411149867</v>
      </c>
      <c r="D411" s="4">
        <f>'Daily Returns'!AQ410 * (1 + 'Daily Returns'!AJ411)</f>
        <v>1.376775607</v>
      </c>
      <c r="F411" s="7">
        <f>'Daily Returns'!AR410 * (1 +'Daily Returns'!AL411)</f>
        <v>1.369602057</v>
      </c>
      <c r="H411" s="7">
        <f>'Daily Returns'!AS410*(1+'Daily Returns'!AM411)</f>
        <v>1.445186822</v>
      </c>
      <c r="J411" s="5">
        <f>'Daily Returns'!AT410*(1+'Daily Returns'!AN411)</f>
        <v>1.272969834</v>
      </c>
      <c r="L411" s="5">
        <f>'Daily Returns'!AU410*(1+'Daily Returns'!AO411)</f>
        <v>1.258073154</v>
      </c>
    </row>
    <row r="412" ht="15.75" customHeight="1">
      <c r="A412" s="9">
        <v>44426.0</v>
      </c>
      <c r="B412" s="6">
        <f>'Daily Returns'!AP411*(1+'Daily Returns'!AK412)</f>
        <v>1.401203563</v>
      </c>
      <c r="D412" s="4">
        <f>'Daily Returns'!AQ411 * (1 + 'Daily Returns'!AJ412)</f>
        <v>1.361978023</v>
      </c>
      <c r="F412" s="7">
        <f>'Daily Returns'!AR411 * (1 +'Daily Returns'!AL412)</f>
        <v>1.359172451</v>
      </c>
      <c r="H412" s="7">
        <f>'Daily Returns'!AS411*(1+'Daily Returns'!AM412)</f>
        <v>1.434453086</v>
      </c>
      <c r="J412" s="5">
        <f>'Daily Returns'!AT411*(1+'Daily Returns'!AN412)</f>
        <v>1.272969834</v>
      </c>
      <c r="L412" s="5">
        <f>'Daily Returns'!AU411*(1+'Daily Returns'!AO412)</f>
        <v>1.257770034</v>
      </c>
    </row>
    <row r="413" ht="15.75" customHeight="1">
      <c r="A413" s="9">
        <v>44427.0</v>
      </c>
      <c r="B413" s="6">
        <f>'Daily Returns'!AP412*(1+'Daily Returns'!AK413)</f>
        <v>1.394425681</v>
      </c>
      <c r="D413" s="4">
        <f>'Daily Returns'!AQ412 * (1 + 'Daily Returns'!AJ413)</f>
        <v>1.363690029</v>
      </c>
      <c r="F413" s="7">
        <f>'Daily Returns'!AR412 * (1 +'Daily Returns'!AL413)</f>
        <v>1.348012768</v>
      </c>
      <c r="H413" s="7">
        <f>'Daily Returns'!AS412*(1+'Daily Returns'!AM413)</f>
        <v>1.420141843</v>
      </c>
      <c r="J413" s="5">
        <f>'Daily Returns'!AT412*(1+'Daily Returns'!AN413)</f>
        <v>1.271746939</v>
      </c>
      <c r="L413" s="5">
        <f>'Daily Returns'!AU412*(1+'Daily Returns'!AO413)</f>
        <v>1.25625456</v>
      </c>
    </row>
    <row r="414" ht="15.75" customHeight="1">
      <c r="A414" s="9">
        <v>44428.0</v>
      </c>
      <c r="B414" s="6">
        <f>'Daily Returns'!AP413*(1+'Daily Returns'!AK414)</f>
        <v>1.399749081</v>
      </c>
      <c r="D414" s="4">
        <f>'Daily Returns'!AQ413 * (1 + 'Daily Returns'!AJ414)</f>
        <v>1.374793193</v>
      </c>
      <c r="F414" s="7">
        <f>'Daily Returns'!AR413 * (1 +'Daily Returns'!AL414)</f>
        <v>1.343006877</v>
      </c>
      <c r="H414" s="7">
        <f>'Daily Returns'!AS413*(1+'Daily Returns'!AM414)</f>
        <v>1.419074746</v>
      </c>
      <c r="J414" s="5">
        <f>'Daily Returns'!AT413*(1+'Daily Returns'!AN414)</f>
        <v>1.265225212</v>
      </c>
      <c r="L414" s="5">
        <f>'Daily Returns'!AU413*(1+'Daily Returns'!AO414)</f>
        <v>1.248374587</v>
      </c>
    </row>
    <row r="415" ht="15.75" customHeight="1">
      <c r="A415" s="9">
        <v>44431.0</v>
      </c>
      <c r="B415" s="6">
        <f>'Daily Returns'!AP414*(1+'Daily Returns'!AK415)</f>
        <v>1.408833654</v>
      </c>
      <c r="D415" s="4">
        <f>'Daily Returns'!AQ414 * (1 + 'Daily Returns'!AJ415)</f>
        <v>1.38651193</v>
      </c>
      <c r="F415" s="7">
        <f>'Daily Returns'!AR414 * (1 +'Daily Returns'!AL415)</f>
        <v>1.35270607</v>
      </c>
      <c r="H415" s="7">
        <f>'Daily Returns'!AS414*(1+'Daily Returns'!AM415)</f>
        <v>1.431817034</v>
      </c>
      <c r="J415" s="5">
        <f>'Daily Returns'!AT414*(1+'Daily Returns'!AN415)</f>
        <v>1.261556789</v>
      </c>
      <c r="L415" s="5">
        <f>'Daily Returns'!AU414*(1+'Daily Returns'!AO415)</f>
        <v>1.245041035</v>
      </c>
    </row>
    <row r="416" ht="15.75" customHeight="1">
      <c r="A416" s="9">
        <v>44432.0</v>
      </c>
      <c r="B416" s="6">
        <f>'Daily Returns'!AP415*(1+'Daily Returns'!AK416)</f>
        <v>1.410724606</v>
      </c>
      <c r="D416" s="4">
        <f>'Daily Returns'!AQ415 * (1 + 'Daily Returns'!AJ416)</f>
        <v>1.388586152</v>
      </c>
      <c r="F416" s="7">
        <f>'Daily Returns'!AR415 * (1 +'Daily Returns'!AL416)</f>
        <v>1.365534355</v>
      </c>
      <c r="H416" s="7">
        <f>'Daily Returns'!AS415*(1+'Daily Returns'!AM416)</f>
        <v>1.445688884</v>
      </c>
      <c r="J416" s="5">
        <f>'Daily Returns'!AT415*(1+'Daily Returns'!AN416)</f>
        <v>1.256665472</v>
      </c>
      <c r="L416" s="5">
        <f>'Daily Returns'!AU415*(1+'Daily Returns'!AO416)</f>
        <v>1.23958551</v>
      </c>
    </row>
    <row r="417" ht="15.75" customHeight="1">
      <c r="A417" s="9">
        <v>44433.0</v>
      </c>
      <c r="B417" s="6">
        <f>'Daily Returns'!AP416*(1+'Daily Returns'!AK417)</f>
        <v>1.413683166</v>
      </c>
      <c r="D417" s="4">
        <f>'Daily Returns'!AQ416 * (1 + 'Daily Returns'!AJ417)</f>
        <v>1.391668813</v>
      </c>
      <c r="F417" s="7">
        <f>'Daily Returns'!AR416 * (1 +'Daily Returns'!AL417)</f>
        <v>1.368246128</v>
      </c>
      <c r="H417" s="7">
        <f>'Daily Returns'!AS416*(1+'Daily Returns'!AM417)</f>
        <v>1.450835651</v>
      </c>
      <c r="J417" s="5">
        <f>'Daily Returns'!AT416*(1+'Daily Returns'!AN417)</f>
        <v>1.264817522</v>
      </c>
      <c r="L417" s="5">
        <f>'Daily Returns'!AU416*(1+'Daily Returns'!AO417)</f>
        <v>1.248071725</v>
      </c>
    </row>
    <row r="418" ht="15.75" customHeight="1">
      <c r="A418" s="9">
        <v>44434.0</v>
      </c>
      <c r="B418" s="6">
        <f>'Daily Returns'!AP417*(1+'Daily Returns'!AK418)</f>
        <v>1.409748819</v>
      </c>
      <c r="D418" s="4">
        <f>'Daily Returns'!AQ417 * (1 + 'Daily Returns'!AJ418)</f>
        <v>1.383562343</v>
      </c>
      <c r="F418" s="7">
        <f>'Daily Returns'!AR417 * (1 +'Daily Returns'!AL418)</f>
        <v>1.370436274</v>
      </c>
      <c r="H418" s="7">
        <f>'Daily Returns'!AS417*(1+'Daily Returns'!AM418)</f>
        <v>1.454978598</v>
      </c>
      <c r="J418" s="5">
        <f>'Daily Returns'!AT417*(1+'Daily Returns'!AN418)</f>
        <v>1.270931821</v>
      </c>
      <c r="L418" s="5">
        <f>'Daily Returns'!AU417*(1+'Daily Returns'!AO418)</f>
        <v>1.255648706</v>
      </c>
    </row>
    <row r="419" ht="15.75" customHeight="1">
      <c r="A419" s="9">
        <v>44435.0</v>
      </c>
      <c r="B419" s="6">
        <f>'Daily Returns'!AP418*(1+'Daily Returns'!AK419)</f>
        <v>1.422618592</v>
      </c>
      <c r="D419" s="4">
        <f>'Daily Returns'!AQ418 * (1 + 'Daily Returns'!AJ419)</f>
        <v>1.39574876</v>
      </c>
      <c r="F419" s="7">
        <f>'Daily Returns'!AR418 * (1 +'Daily Returns'!AL419)</f>
        <v>1.363135592</v>
      </c>
      <c r="H419" s="7">
        <f>'Daily Returns'!AS418*(1+'Daily Returns'!AM419)</f>
        <v>1.445249289</v>
      </c>
      <c r="J419" s="5">
        <f>'Daily Returns'!AT418*(1+'Daily Returns'!AN419)</f>
        <v>1.274192641</v>
      </c>
      <c r="L419" s="5">
        <f>'Daily Returns'!AU418*(1+'Daily Returns'!AO419)</f>
        <v>1.259588757</v>
      </c>
    </row>
    <row r="420" ht="15.75" customHeight="1">
      <c r="A420" s="9">
        <v>44438.0</v>
      </c>
      <c r="B420" s="6">
        <f>'Daily Returns'!AP419*(1+'Daily Returns'!AK420)</f>
        <v>1.423010273</v>
      </c>
      <c r="D420" s="4">
        <f>'Daily Returns'!AQ419 * (1 + 'Daily Returns'!AJ420)</f>
        <v>1.40176025</v>
      </c>
      <c r="F420" s="7">
        <f>'Daily Returns'!AR419 * (1 +'Daily Returns'!AL420)</f>
        <v>1.374920958</v>
      </c>
      <c r="H420" s="7">
        <f>'Daily Returns'!AS419*(1+'Daily Returns'!AM420)</f>
        <v>1.46081594</v>
      </c>
      <c r="J420" s="5">
        <f>'Daily Returns'!AT419*(1+'Daily Returns'!AN420)</f>
        <v>1.2764083</v>
      </c>
      <c r="L420" s="5">
        <f>'Daily Returns'!AU419*(1+'Daily Returns'!AO420)</f>
        <v>1.262316326</v>
      </c>
    </row>
    <row r="421" ht="15.75" customHeight="1">
      <c r="A421" s="9">
        <v>44439.0</v>
      </c>
      <c r="B421" s="6">
        <f>'Daily Returns'!AP420*(1+'Daily Returns'!AK421)</f>
        <v>1.42458741</v>
      </c>
      <c r="D421" s="4">
        <f>'Daily Returns'!AQ420 * (1 + 'Daily Returns'!AJ421)</f>
        <v>1.399869275</v>
      </c>
      <c r="F421" s="7">
        <f>'Daily Returns'!AR420 * (1 +'Daily Returns'!AL421)</f>
        <v>1.378988408</v>
      </c>
      <c r="H421" s="7">
        <f>'Daily Returns'!AS420*(1+'Daily Returns'!AM421)</f>
        <v>1.466339835</v>
      </c>
      <c r="J421" s="5">
        <f>'Daily Returns'!AT420*(1+'Daily Returns'!AN421)</f>
        <v>1.27066409</v>
      </c>
      <c r="L421" s="5">
        <f>'Daily Returns'!AU420*(1+'Daily Returns'!AO421)</f>
        <v>1.256861189</v>
      </c>
    </row>
    <row r="422" ht="15.75" customHeight="1">
      <c r="A422" s="9">
        <v>44440.0</v>
      </c>
      <c r="B422" s="6">
        <f>'Daily Returns'!AP421*(1+'Daily Returns'!AK422)</f>
        <v>1.421670361</v>
      </c>
      <c r="D422" s="4">
        <f>'Daily Returns'!AQ421 * (1 + 'Daily Returns'!AJ422)</f>
        <v>1.400306034</v>
      </c>
      <c r="F422" s="7">
        <f>'Daily Returns'!AR421 * (1 +'Daily Returns'!AL422)</f>
        <v>1.376902571</v>
      </c>
      <c r="H422" s="7">
        <f>'Daily Returns'!AS421*(1+'Daily Returns'!AM422)</f>
        <v>1.463577837</v>
      </c>
      <c r="J422" s="5">
        <f>'Daily Returns'!AT421*(1+'Daily Returns'!AN422)</f>
        <v>1.278049068</v>
      </c>
      <c r="L422" s="5">
        <f>'Daily Returns'!AU421*(1+'Daily Returns'!AO422)</f>
        <v>1.265044024</v>
      </c>
    </row>
    <row r="423" ht="15.75" customHeight="1">
      <c r="A423" s="9">
        <v>44441.0</v>
      </c>
      <c r="B423" s="6">
        <f>'Daily Returns'!AP422*(1+'Daily Returns'!AK423)</f>
        <v>1.421503364</v>
      </c>
      <c r="D423" s="4">
        <f>'Daily Returns'!AQ422 * (1 + 'Daily Returns'!AJ423)</f>
        <v>1.404287104</v>
      </c>
      <c r="F423" s="7">
        <f>'Daily Returns'!AR422 * (1 +'Daily Returns'!AL423)</f>
        <v>1.381387255</v>
      </c>
      <c r="H423" s="7">
        <f>'Daily Returns'!AS422*(1+'Daily Returns'!AM423)</f>
        <v>1.466151322</v>
      </c>
      <c r="J423" s="5">
        <f>'Daily Returns'!AT422*(1+'Daily Returns'!AN423)</f>
        <v>1.275177137</v>
      </c>
      <c r="L423" s="5">
        <f>'Daily Returns'!AU422*(1+'Daily Returns'!AO423)</f>
        <v>1.262619317</v>
      </c>
    </row>
    <row r="424" ht="15.75" customHeight="1">
      <c r="A424" s="9">
        <v>44442.0</v>
      </c>
      <c r="B424" s="6">
        <f>'Daily Returns'!AP423*(1+'Daily Returns'!AK424)</f>
        <v>1.42440621</v>
      </c>
      <c r="D424" s="4">
        <f>'Daily Returns'!AQ423 * (1 + 'Daily Returns'!AJ424)</f>
        <v>1.403816668</v>
      </c>
      <c r="F424" s="7">
        <f>'Daily Returns'!AR423 * (1 +'Daily Returns'!AL424)</f>
        <v>1.385767631</v>
      </c>
      <c r="H424" s="7">
        <f>'Daily Returns'!AS423*(1+'Daily Returns'!AM424)</f>
        <v>1.47110998</v>
      </c>
      <c r="J424" s="5">
        <f>'Daily Returns'!AT423*(1+'Daily Returns'!AN424)</f>
        <v>1.271074478</v>
      </c>
      <c r="L424" s="5">
        <f>'Daily Returns'!AU423*(1+'Daily Returns'!AO424)</f>
        <v>1.260497732</v>
      </c>
    </row>
    <row r="425" ht="15.75" customHeight="1">
      <c r="A425" s="9">
        <v>44446.0</v>
      </c>
      <c r="B425" s="6">
        <f>'Daily Returns'!AP424*(1+'Daily Returns'!AK425)</f>
        <v>1.416601636</v>
      </c>
      <c r="D425" s="4">
        <f>'Daily Returns'!AQ424 * (1 + 'Daily Returns'!AJ425)</f>
        <v>1.399050711</v>
      </c>
      <c r="F425" s="7">
        <f>'Daily Returns'!AR424 * (1 +'Daily Returns'!AL425)</f>
        <v>1.387644935</v>
      </c>
      <c r="H425" s="7">
        <f>'Daily Returns'!AS424*(1+'Daily Returns'!AM425)</f>
        <v>1.470607918</v>
      </c>
      <c r="J425" s="5">
        <f>'Daily Returns'!AT424*(1+'Daily Returns'!AN425)</f>
        <v>1.279690706</v>
      </c>
      <c r="L425" s="5">
        <f>'Daily Returns'!AU424*(1+'Daily Returns'!AO425)</f>
        <v>1.26746886</v>
      </c>
    </row>
    <row r="426" ht="15.75" customHeight="1">
      <c r="A426" s="9">
        <v>44447.0</v>
      </c>
      <c r="B426" s="6">
        <f>'Daily Returns'!AP425*(1+'Daily Returns'!AK426)</f>
        <v>1.412634095</v>
      </c>
      <c r="D426" s="4">
        <f>'Daily Returns'!AQ425 * (1 + 'Daily Returns'!AJ426)</f>
        <v>1.397205363</v>
      </c>
      <c r="F426" s="7">
        <f>'Daily Returns'!AR425 * (1 +'Daily Returns'!AL426)</f>
        <v>1.384098944</v>
      </c>
      <c r="H426" s="7">
        <f>'Daily Returns'!AS425*(1+'Daily Returns'!AM426)</f>
        <v>1.46426821</v>
      </c>
      <c r="J426" s="5">
        <f>'Daily Returns'!AT425*(1+'Daily Returns'!AN426)</f>
        <v>1.287485898</v>
      </c>
      <c r="L426" s="5">
        <f>'Daily Returns'!AU425*(1+'Daily Returns'!AO426)</f>
        <v>1.273530238</v>
      </c>
    </row>
    <row r="427" ht="15.75" customHeight="1">
      <c r="A427" s="9">
        <v>44448.0</v>
      </c>
      <c r="B427" s="6">
        <f>'Daily Returns'!AP426*(1+'Daily Returns'!AK427)</f>
        <v>1.411417583</v>
      </c>
      <c r="D427" s="4">
        <f>'Daily Returns'!AQ426 * (1 + 'Daily Returns'!AJ427)</f>
        <v>1.390769835</v>
      </c>
      <c r="F427" s="7">
        <f>'Daily Returns'!AR426 * (1 +'Daily Returns'!AL427)</f>
        <v>1.3797184</v>
      </c>
      <c r="H427" s="7">
        <f>'Daily Returns'!AS426*(1+'Daily Returns'!AM427)</f>
        <v>1.46081594</v>
      </c>
      <c r="J427" s="5">
        <f>'Daily Returns'!AT426*(1+'Daily Returns'!AN427)</f>
        <v>1.287485898</v>
      </c>
      <c r="L427" s="5">
        <f>'Daily Returns'!AU426*(1+'Daily Returns'!AO427)</f>
        <v>1.275348962</v>
      </c>
    </row>
    <row r="428" ht="15.75" customHeight="1">
      <c r="A428" s="9">
        <v>44449.0</v>
      </c>
      <c r="B428" s="6">
        <f>'Daily Returns'!AP427*(1+'Daily Returns'!AK428)</f>
        <v>1.407547298</v>
      </c>
      <c r="D428" s="4">
        <f>'Daily Returns'!AQ427 * (1 + 'Daily Returns'!AJ428)</f>
        <v>1.380028919</v>
      </c>
      <c r="F428" s="7">
        <f>'Daily Returns'!AR427 * (1 +'Daily Returns'!AL428)</f>
        <v>1.375025098</v>
      </c>
      <c r="H428" s="7">
        <f>'Daily Returns'!AS427*(1+'Daily Returns'!AM428)</f>
        <v>1.45573164</v>
      </c>
      <c r="J428" s="5">
        <f>'Daily Returns'!AT427*(1+'Daily Returns'!AN428)</f>
        <v>1.287485898</v>
      </c>
      <c r="L428" s="5">
        <f>'Daily Returns'!AU427*(1+'Daily Returns'!AO428)</f>
        <v>1.274136479</v>
      </c>
    </row>
    <row r="429" ht="15.75" customHeight="1">
      <c r="A429" s="9">
        <v>44452.0</v>
      </c>
      <c r="B429" s="6">
        <f>'Daily Returns'!AP428*(1+'Daily Returns'!AK429)</f>
        <v>1.412126547</v>
      </c>
      <c r="D429" s="4">
        <f>'Daily Returns'!AQ428 * (1 + 'Daily Returns'!AJ429)</f>
        <v>1.383171245</v>
      </c>
      <c r="F429" s="7">
        <f>'Daily Returns'!AR428 * (1 +'Daily Returns'!AL429)</f>
        <v>1.367203041</v>
      </c>
      <c r="H429" s="7">
        <f>'Daily Returns'!AS428*(1+'Daily Returns'!AM429)</f>
        <v>1.444182192</v>
      </c>
      <c r="J429" s="5">
        <f>'Daily Returns'!AT428*(1+'Daily Returns'!AN429)</f>
        <v>1.284614054</v>
      </c>
      <c r="L429" s="5">
        <f>'Daily Returns'!AU428*(1+'Daily Returns'!AO429)</f>
        <v>1.270802928</v>
      </c>
    </row>
    <row r="430" ht="15.75" customHeight="1">
      <c r="A430" s="9">
        <v>44453.0</v>
      </c>
      <c r="B430" s="6">
        <f>'Daily Returns'!AP429*(1+'Daily Returns'!AK430)</f>
        <v>1.410642064</v>
      </c>
      <c r="D430" s="4">
        <f>'Daily Returns'!AQ429 * (1 + 'Daily Returns'!AJ430)</f>
        <v>1.37522216</v>
      </c>
      <c r="F430" s="7">
        <f>'Daily Returns'!AR429 * (1 +'Daily Returns'!AL430)</f>
        <v>1.371896175</v>
      </c>
      <c r="H430" s="7">
        <f>'Daily Returns'!AS429*(1+'Daily Returns'!AM430)</f>
        <v>1.447446354</v>
      </c>
      <c r="J430" s="5">
        <f>'Daily Returns'!AT429*(1+'Daily Returns'!AN430)</f>
        <v>1.281742036</v>
      </c>
      <c r="L430" s="5">
        <f>'Daily Returns'!AU429*(1+'Daily Returns'!AO430)</f>
        <v>1.268984075</v>
      </c>
    </row>
    <row r="431" ht="15.75" customHeight="1">
      <c r="A431" s="9">
        <v>44454.0</v>
      </c>
      <c r="B431" s="6">
        <f>'Daily Returns'!AP430*(1+'Daily Returns'!AK431)</f>
        <v>1.415718824</v>
      </c>
      <c r="D431" s="4">
        <f>'Daily Returns'!AQ430 * (1 + 'Daily Returns'!AJ431)</f>
        <v>1.386875793</v>
      </c>
      <c r="F431" s="7">
        <f>'Daily Returns'!AR430 * (1 +'Daily Returns'!AL431)</f>
        <v>1.365325822</v>
      </c>
      <c r="H431" s="7">
        <f>'Daily Returns'!AS430*(1+'Daily Returns'!AM431)</f>
        <v>1.438721574</v>
      </c>
      <c r="J431" s="5">
        <f>'Daily Returns'!AT430*(1+'Daily Returns'!AN431)</f>
        <v>1.275997825</v>
      </c>
      <c r="L431" s="5">
        <f>'Daily Returns'!AU430*(1+'Daily Returns'!AO431)</f>
        <v>1.264134662</v>
      </c>
    </row>
    <row r="432" ht="15.75" customHeight="1">
      <c r="A432" s="9">
        <v>44455.0</v>
      </c>
      <c r="B432" s="6">
        <f>'Daily Returns'!AP431*(1+'Daily Returns'!AK432)</f>
        <v>1.405863554</v>
      </c>
      <c r="D432" s="4">
        <f>'Daily Returns'!AQ431 * (1 + 'Daily Returns'!AJ432)</f>
        <v>1.384724748</v>
      </c>
      <c r="F432" s="7">
        <f>'Daily Returns'!AR431 * (1 +'Daily Returns'!AL432)</f>
        <v>1.373565029</v>
      </c>
      <c r="H432" s="7">
        <f>'Daily Returns'!AS431*(1+'Daily Returns'!AM432)</f>
        <v>1.450584974</v>
      </c>
      <c r="J432" s="5">
        <f>'Daily Returns'!AT431*(1+'Daily Returns'!AN432)</f>
        <v>1.27886993</v>
      </c>
      <c r="L432" s="5">
        <f>'Daily Returns'!AU431*(1+'Daily Returns'!AO432)</f>
        <v>1.267165481</v>
      </c>
    </row>
    <row r="433" ht="15.75" customHeight="1">
      <c r="A433" s="9">
        <v>44456.0</v>
      </c>
      <c r="B433" s="6">
        <f>'Daily Returns'!AP432*(1+'Daily Returns'!AK433)</f>
        <v>1.397246596</v>
      </c>
      <c r="D433" s="4">
        <f>'Daily Returns'!AQ432 * (1 + 'Daily Returns'!AJ433)</f>
        <v>1.372108521</v>
      </c>
      <c r="F433" s="7">
        <f>'Daily Returns'!AR432 * (1 +'Daily Returns'!AL433)</f>
        <v>1.371583585</v>
      </c>
      <c r="H433" s="7">
        <f>'Daily Returns'!AS432*(1+'Daily Returns'!AM433)</f>
        <v>1.449266695</v>
      </c>
      <c r="J433" s="5">
        <f>'Daily Returns'!AT432*(1+'Daily Returns'!AN433)</f>
        <v>1.271895079</v>
      </c>
      <c r="L433" s="5">
        <f>'Daily Returns'!AU432*(1+'Daily Returns'!AO433)</f>
        <v>1.260800981</v>
      </c>
    </row>
    <row r="434" ht="15.75" customHeight="1">
      <c r="A434" s="9">
        <v>44459.0</v>
      </c>
      <c r="B434" s="6">
        <f>'Daily Returns'!AP433*(1+'Daily Returns'!AK434)</f>
        <v>1.389705939</v>
      </c>
      <c r="D434" s="4">
        <f>'Daily Returns'!AQ433 * (1 + 'Daily Returns'!AJ434)</f>
        <v>1.348814235</v>
      </c>
      <c r="F434" s="7">
        <f>'Daily Returns'!AR433 * (1 +'Daily Returns'!AL434)</f>
        <v>1.357503596</v>
      </c>
      <c r="H434" s="7">
        <f>'Daily Returns'!AS433*(1+'Daily Returns'!AM434)</f>
        <v>1.437654376</v>
      </c>
      <c r="J434" s="5">
        <f>'Daily Returns'!AT433*(1+'Daily Returns'!AN434)</f>
        <v>1.28051122</v>
      </c>
      <c r="L434" s="5">
        <f>'Daily Returns'!AU433*(1+'Daily Returns'!AO434)</f>
        <v>1.269287325</v>
      </c>
    </row>
    <row r="435" ht="15.75" customHeight="1">
      <c r="A435" s="9">
        <v>44460.0</v>
      </c>
      <c r="B435" s="6">
        <f>'Daily Returns'!AP434*(1+'Daily Returns'!AK435)</f>
        <v>1.38988202</v>
      </c>
      <c r="D435" s="4">
        <f>'Daily Returns'!AQ434 * (1 + 'Daily Returns'!AJ435)</f>
        <v>1.347718998</v>
      </c>
      <c r="F435" s="7">
        <f>'Daily Returns'!AR434 * (1 +'Daily Returns'!AL435)</f>
        <v>1.334558715</v>
      </c>
      <c r="H435" s="7">
        <f>'Daily Returns'!AS434*(1+'Daily Returns'!AM435)</f>
        <v>1.412735342</v>
      </c>
      <c r="J435" s="5">
        <f>'Daily Returns'!AT434*(1+'Daily Returns'!AN435)</f>
        <v>1.275177137</v>
      </c>
      <c r="L435" s="5">
        <f>'Daily Returns'!AU434*(1+'Daily Returns'!AO435)</f>
        <v>1.263528679</v>
      </c>
    </row>
    <row r="436" ht="15.75" customHeight="1">
      <c r="A436" s="9">
        <v>44461.0</v>
      </c>
      <c r="B436" s="6">
        <f>'Daily Returns'!AP435*(1+'Daily Returns'!AK436)</f>
        <v>1.399705423</v>
      </c>
      <c r="D436" s="4">
        <f>'Daily Returns'!AQ435 * (1 + 'Daily Returns'!AJ436)</f>
        <v>1.360549282</v>
      </c>
      <c r="F436" s="7">
        <f>'Daily Returns'!AR435 * (1 +'Daily Returns'!AL436)</f>
        <v>1.336853169</v>
      </c>
      <c r="H436" s="7">
        <f>'Daily Returns'!AS435*(1+'Daily Returns'!AM436)</f>
        <v>1.412609599</v>
      </c>
      <c r="J436" s="5">
        <f>'Daily Returns'!AT435*(1+'Daily Returns'!AN436)</f>
        <v>1.266561344</v>
      </c>
      <c r="L436" s="5">
        <f>'Daily Returns'!AU435*(1+'Daily Returns'!AO436)</f>
        <v>1.25625456</v>
      </c>
    </row>
    <row r="437" ht="15.75" customHeight="1">
      <c r="A437" s="9">
        <v>44462.0</v>
      </c>
      <c r="B437" s="6">
        <f>'Daily Returns'!AP436*(1+'Daily Returns'!AK437)</f>
        <v>1.406164382</v>
      </c>
      <c r="D437" s="4">
        <f>'Daily Returns'!AQ436 * (1 + 'Daily Returns'!AJ437)</f>
        <v>1.377059548</v>
      </c>
      <c r="F437" s="7">
        <f>'Daily Returns'!AR436 * (1 +'Daily Returns'!AL437)</f>
        <v>1.348638536</v>
      </c>
      <c r="H437" s="7">
        <f>'Daily Returns'!AS436*(1+'Daily Returns'!AM437)</f>
        <v>1.426858173</v>
      </c>
      <c r="J437" s="5">
        <f>'Daily Returns'!AT436*(1+'Daily Returns'!AN437)</f>
        <v>1.247688207</v>
      </c>
      <c r="L437" s="5">
        <f>'Daily Returns'!AU436*(1+'Daily Returns'!AO437)</f>
        <v>1.23625183</v>
      </c>
    </row>
    <row r="438" ht="15.75" customHeight="1">
      <c r="A438" s="9">
        <v>44463.0</v>
      </c>
      <c r="B438" s="6">
        <f>'Daily Returns'!AP437*(1+'Daily Returns'!AK438)</f>
        <v>1.407064745</v>
      </c>
      <c r="D438" s="4">
        <f>'Daily Returns'!AQ437 * (1 + 'Daily Returns'!AJ438)</f>
        <v>1.379071432</v>
      </c>
      <c r="F438" s="7">
        <f>'Daily Returns'!AR437 * (1 +'Daily Returns'!AL438)</f>
        <v>1.364282735</v>
      </c>
      <c r="H438" s="7">
        <f>'Daily Returns'!AS437*(1+'Daily Returns'!AM438)</f>
        <v>1.444245064</v>
      </c>
      <c r="J438" s="5">
        <f>'Daily Returns'!AT437*(1+'Daily Returns'!AN438)</f>
        <v>1.253432069</v>
      </c>
      <c r="L438" s="5">
        <f>'Daily Returns'!AU437*(1+'Daily Returns'!AO438)</f>
        <v>1.242010217</v>
      </c>
    </row>
    <row r="439" ht="15.75" customHeight="1">
      <c r="A439" s="9">
        <v>44466.0</v>
      </c>
      <c r="B439" s="6">
        <f>'Daily Returns'!AP438*(1+'Daily Returns'!AK439)</f>
        <v>1.408518115</v>
      </c>
      <c r="D439" s="4">
        <f>'Daily Returns'!AQ438 * (1 + 'Daily Returns'!AJ439)</f>
        <v>1.37524313</v>
      </c>
      <c r="F439" s="7">
        <f>'Daily Returns'!AR438 * (1 +'Daily Returns'!AL439)</f>
        <v>1.36188414</v>
      </c>
      <c r="H439" s="7">
        <f>'Daily Returns'!AS438*(1+'Daily Returns'!AM439)</f>
        <v>1.445970339</v>
      </c>
      <c r="J439" s="5">
        <f>'Daily Returns'!AT438*(1+'Daily Returns'!AN439)</f>
        <v>1.263689326</v>
      </c>
      <c r="L439" s="5">
        <f>'Daily Returns'!AU438*(1+'Daily Returns'!AO439)</f>
        <v>1.250496043</v>
      </c>
    </row>
    <row r="440" ht="15.75" customHeight="1">
      <c r="A440" s="9">
        <v>44467.0</v>
      </c>
      <c r="B440" s="6">
        <f>'Daily Returns'!AP439*(1+'Daily Returns'!AK440)</f>
        <v>1.400749356</v>
      </c>
      <c r="D440" s="4">
        <f>'Daily Returns'!AQ439 * (1 + 'Daily Returns'!AJ440)</f>
        <v>1.347237679</v>
      </c>
      <c r="F440" s="7">
        <f>'Daily Returns'!AR439 * (1 +'Daily Returns'!AL440)</f>
        <v>1.359067974</v>
      </c>
      <c r="H440" s="7">
        <f>'Daily Returns'!AS439*(1+'Daily Returns'!AM440)</f>
        <v>1.442821897</v>
      </c>
      <c r="J440" s="5">
        <f>'Daily Returns'!AT439*(1+'Daily Returns'!AN440)</f>
        <v>1.268202373</v>
      </c>
      <c r="L440" s="5">
        <f>'Daily Returns'!AU439*(1+'Daily Returns'!AO440)</f>
        <v>1.255648706</v>
      </c>
    </row>
    <row r="441" ht="15.75" customHeight="1">
      <c r="A441" s="9">
        <v>44468.0</v>
      </c>
      <c r="B441" s="6">
        <f>'Daily Returns'!AP440*(1+'Daily Returns'!AK441)</f>
        <v>1.390950855</v>
      </c>
      <c r="D441" s="4">
        <f>'Daily Returns'!AQ440 * (1 + 'Daily Returns'!AJ441)</f>
        <v>1.349351494</v>
      </c>
      <c r="F441" s="7">
        <f>'Daily Returns'!AR440 * (1 +'Daily Returns'!AL441)</f>
        <v>1.330074031</v>
      </c>
      <c r="H441" s="7">
        <f>'Daily Returns'!AS440*(1+'Daily Returns'!AM441)</f>
        <v>1.412597956</v>
      </c>
      <c r="J441" s="5">
        <f>'Daily Returns'!AT440*(1+'Daily Returns'!AN441)</f>
        <v>1.264509753</v>
      </c>
      <c r="L441" s="5">
        <f>'Daily Returns'!AU440*(1+'Daily Returns'!AO441)</f>
        <v>1.251708655</v>
      </c>
    </row>
    <row r="442" ht="15.75" customHeight="1">
      <c r="A442" s="9">
        <v>44469.0</v>
      </c>
      <c r="B442" s="6">
        <f>'Daily Returns'!AP441*(1+'Daily Returns'!AK442)</f>
        <v>1.390998495</v>
      </c>
      <c r="D442" s="4">
        <f>'Daily Returns'!AQ441 * (1 + 'Daily Returns'!AJ442)</f>
        <v>1.333280718</v>
      </c>
      <c r="F442" s="7">
        <f>'Daily Returns'!AR441 * (1 +'Daily Returns'!AL442)</f>
        <v>1.329969806</v>
      </c>
      <c r="H442" s="7">
        <f>'Daily Returns'!AS441*(1+'Daily Returns'!AM442)</f>
        <v>1.413542245</v>
      </c>
      <c r="J442" s="5">
        <f>'Daily Returns'!AT441*(1+'Daily Returns'!AN442)</f>
        <v>1.269023235</v>
      </c>
      <c r="L442" s="5">
        <f>'Daily Returns'!AU441*(1+'Daily Returns'!AO442)</f>
        <v>1.255648706</v>
      </c>
    </row>
    <row r="443" ht="15.75" customHeight="1">
      <c r="A443" s="9">
        <v>44470.0</v>
      </c>
      <c r="B443" s="6">
        <f>'Daily Returns'!AP442*(1+'Daily Returns'!AK443)</f>
        <v>1.393430741</v>
      </c>
      <c r="D443" s="4">
        <f>'Daily Returns'!AQ442 * (1 + 'Daily Returns'!AJ443)</f>
        <v>1.348601447</v>
      </c>
      <c r="F443" s="7">
        <f>'Daily Returns'!AR442 * (1 +'Daily Returns'!AL443)</f>
        <v>1.3189146</v>
      </c>
      <c r="H443" s="7">
        <f>'Daily Returns'!AS442*(1+'Daily Returns'!AM443)</f>
        <v>1.39824166</v>
      </c>
      <c r="J443" s="5">
        <f>'Daily Returns'!AT442*(1+'Daily Returns'!AN443)</f>
        <v>1.253021942</v>
      </c>
      <c r="L443" s="5">
        <f>'Daily Returns'!AU442*(1+'Daily Returns'!AO443)</f>
        <v>1.239434338</v>
      </c>
    </row>
    <row r="444" ht="15.75" customHeight="1">
      <c r="A444" s="9">
        <v>44473.0</v>
      </c>
      <c r="B444" s="6">
        <f>'Daily Returns'!AP443*(1+'Daily Returns'!AK444)</f>
        <v>1.390825683</v>
      </c>
      <c r="D444" s="4">
        <f>'Daily Returns'!AQ443 * (1 + 'Daily Returns'!AJ444)</f>
        <v>1.331088509</v>
      </c>
      <c r="F444" s="7">
        <f>'Daily Returns'!AR443 * (1 +'Daily Returns'!AL444)</f>
        <v>1.32965688</v>
      </c>
      <c r="H444" s="7">
        <f>'Daily Returns'!AS443*(1+'Daily Returns'!AM444)</f>
        <v>1.417509536</v>
      </c>
      <c r="J444" s="5">
        <f>'Daily Returns'!AT443*(1+'Daily Returns'!AN444)</f>
        <v>1.253021942</v>
      </c>
      <c r="L444" s="5">
        <f>'Daily Returns'!AU443*(1+'Daily Returns'!AO444)</f>
        <v>1.238579501</v>
      </c>
    </row>
    <row r="445" ht="15.75" customHeight="1">
      <c r="A445" s="9">
        <v>44474.0</v>
      </c>
      <c r="B445" s="6">
        <f>'Daily Returns'!AP444*(1+'Daily Returns'!AK445)</f>
        <v>1.394749038</v>
      </c>
      <c r="D445" s="4">
        <f>'Daily Returns'!AQ444 * (1 + 'Daily Returns'!AJ445)</f>
        <v>1.345096884</v>
      </c>
      <c r="F445" s="7">
        <f>'Daily Returns'!AR444 * (1 +'Daily Returns'!AL445)</f>
        <v>1.314221299</v>
      </c>
      <c r="H445" s="7">
        <f>'Daily Returns'!AS444*(1+'Daily Returns'!AM445)</f>
        <v>1.396163555</v>
      </c>
      <c r="J445" s="5">
        <f>'Daily Returns'!AT444*(1+'Daily Returns'!AN445)</f>
        <v>1.246456957</v>
      </c>
      <c r="L445" s="5">
        <f>'Daily Returns'!AU444*(1+'Daily Returns'!AO445)</f>
        <v>1.232782094</v>
      </c>
    </row>
    <row r="446" ht="15.75" customHeight="1">
      <c r="A446" s="9">
        <v>44475.0</v>
      </c>
      <c r="B446" s="6">
        <f>'Daily Returns'!AP445*(1+'Daily Returns'!AK446)</f>
        <v>1.397380816</v>
      </c>
      <c r="D446" s="4">
        <f>'Daily Returns'!AQ445 * (1 + 'Daily Returns'!AJ446)</f>
        <v>1.350615817</v>
      </c>
      <c r="F446" s="7">
        <f>'Daily Returns'!AR445 * (1 +'Daily Returns'!AL446)</f>
        <v>1.324754961</v>
      </c>
      <c r="H446" s="7">
        <f>'Daily Returns'!AS445*(1+'Daily Returns'!AM446)</f>
        <v>1.409197725</v>
      </c>
      <c r="J446" s="5">
        <f>'Daily Returns'!AT445*(1+'Daily Returns'!AN446)</f>
        <v>1.252201254</v>
      </c>
      <c r="L446" s="5">
        <f>'Daily Returns'!AU445*(1+'Daily Returns'!AO446)</f>
        <v>1.237969255</v>
      </c>
    </row>
    <row r="447" ht="15.75" customHeight="1">
      <c r="A447" s="9">
        <v>44476.0</v>
      </c>
      <c r="B447" s="6">
        <f>'Daily Returns'!AP446*(1+'Daily Returns'!AK447)</f>
        <v>1.402674392</v>
      </c>
      <c r="D447" s="4">
        <f>'Daily Returns'!AQ446 * (1 + 'Daily Returns'!AJ447)</f>
        <v>1.361823227</v>
      </c>
      <c r="F447" s="7">
        <f>'Daily Returns'!AR446 * (1 +'Daily Returns'!AL447)</f>
        <v>1.327362341</v>
      </c>
      <c r="H447" s="7">
        <f>'Daily Returns'!AS446*(1+'Daily Returns'!AM447)</f>
        <v>1.415053493</v>
      </c>
      <c r="J447" s="5">
        <f>'Daily Returns'!AT446*(1+'Daily Returns'!AN447)</f>
        <v>1.247277645</v>
      </c>
      <c r="L447" s="5">
        <f>'Daily Returns'!AU446*(1+'Daily Returns'!AO447)</f>
        <v>1.233087152</v>
      </c>
    </row>
    <row r="448" ht="15.75" customHeight="1">
      <c r="A448" s="9">
        <v>44477.0</v>
      </c>
      <c r="B448" s="6">
        <f>'Daily Returns'!AP447*(1+'Daily Returns'!AK448)</f>
        <v>1.398269718</v>
      </c>
      <c r="D448" s="4">
        <f>'Daily Returns'!AQ447 * (1 + 'Daily Returns'!AJ448)</f>
        <v>1.359216697</v>
      </c>
      <c r="F448" s="7">
        <f>'Daily Returns'!AR447 * (1 +'Daily Returns'!AL448)</f>
        <v>1.33852194</v>
      </c>
      <c r="H448" s="7">
        <f>'Daily Returns'!AS447*(1+'Daily Returns'!AM448)</f>
        <v>1.42865452</v>
      </c>
      <c r="J448" s="5">
        <f>'Daily Returns'!AT447*(1+'Daily Returns'!AN448)</f>
        <v>1.255073359</v>
      </c>
      <c r="L448" s="5">
        <f>'Daily Returns'!AU447*(1+'Daily Returns'!AO448)</f>
        <v>1.241020617</v>
      </c>
    </row>
    <row r="449" ht="15.75" customHeight="1">
      <c r="A449" s="9">
        <v>44480.0</v>
      </c>
      <c r="B449" s="6">
        <f>'Daily Returns'!AP448*(1+'Daily Returns'!AK449)</f>
        <v>1.397977051</v>
      </c>
      <c r="D449" s="4">
        <f>'Daily Returns'!AQ448 * (1 + 'Daily Returns'!AJ449)</f>
        <v>1.349884315</v>
      </c>
      <c r="F449" s="7">
        <f>'Daily Returns'!AR448 * (1 +'Daily Returns'!AL449)</f>
        <v>1.337061787</v>
      </c>
      <c r="H449" s="7">
        <f>'Daily Returns'!AS448*(1+'Daily Returns'!AM449)</f>
        <v>1.42550618</v>
      </c>
      <c r="J449" s="5">
        <f>'Daily Returns'!AT448*(1+'Daily Returns'!AN449)</f>
        <v>1.257534989</v>
      </c>
      <c r="L449" s="5">
        <f>'Daily Returns'!AU448*(1+'Daily Returns'!AO449)</f>
        <v>1.242241627</v>
      </c>
    </row>
    <row r="450" ht="15.75" customHeight="1">
      <c r="A450" s="9">
        <v>44481.0</v>
      </c>
      <c r="B450" s="6">
        <f>'Daily Returns'!AP449*(1+'Daily Returns'!AK450)</f>
        <v>1.400340882</v>
      </c>
      <c r="D450" s="4">
        <f>'Daily Returns'!AQ449 * (1 + 'Daily Returns'!AJ450)</f>
        <v>1.346621645</v>
      </c>
      <c r="F450" s="7">
        <f>'Daily Returns'!AR449 * (1 +'Daily Returns'!AL450)</f>
        <v>1.329969806</v>
      </c>
      <c r="H450" s="7">
        <f>'Daily Returns'!AS449*(1+'Daily Returns'!AM450)</f>
        <v>1.415242614</v>
      </c>
      <c r="J450" s="5">
        <f>'Daily Returns'!AT449*(1+'Daily Returns'!AN450)</f>
        <v>1.27066409</v>
      </c>
      <c r="L450" s="5">
        <f>'Daily Returns'!AU449*(1+'Daily Returns'!AO450)</f>
        <v>1.255973017</v>
      </c>
    </row>
    <row r="451" ht="15.75" customHeight="1">
      <c r="A451" s="9">
        <v>44482.0</v>
      </c>
      <c r="B451" s="6">
        <f>'Daily Returns'!AP450*(1+'Daily Returns'!AK451)</f>
        <v>1.411803356</v>
      </c>
      <c r="D451" s="4">
        <f>'Daily Returns'!AQ450 * (1 + 'Daily Returns'!AJ451)</f>
        <v>1.350692482</v>
      </c>
      <c r="F451" s="7">
        <f>'Daily Returns'!AR450 * (1 +'Daily Returns'!AL451)</f>
        <v>1.327675352</v>
      </c>
      <c r="H451" s="7">
        <f>'Daily Returns'!AS450*(1+'Daily Returns'!AM451)</f>
        <v>1.414235048</v>
      </c>
      <c r="J451" s="5">
        <f>'Daily Returns'!AT450*(1+'Daily Returns'!AN451)</f>
        <v>1.27230538</v>
      </c>
      <c r="L451" s="5">
        <f>'Daily Returns'!AU450*(1+'Daily Returns'!AO451)</f>
        <v>1.256888193</v>
      </c>
    </row>
    <row r="452" ht="15.75" customHeight="1">
      <c r="A452" s="9">
        <v>44483.0</v>
      </c>
      <c r="B452" s="6">
        <f>'Daily Returns'!AP451*(1+'Daily Returns'!AK452)</f>
        <v>1.424772489</v>
      </c>
      <c r="D452" s="4">
        <f>'Daily Returns'!AQ451 * (1 + 'Daily Returns'!AJ452)</f>
        <v>1.373739348</v>
      </c>
      <c r="F452" s="7">
        <f>'Daily Returns'!AR451 * (1 +'Daily Returns'!AL452)</f>
        <v>1.335184651</v>
      </c>
      <c r="H452" s="7">
        <f>'Daily Returns'!AS451*(1+'Daily Returns'!AM452)</f>
        <v>1.420657471</v>
      </c>
      <c r="J452" s="5">
        <f>'Daily Returns'!AT451*(1+'Daily Returns'!AN452)</f>
        <v>1.271895079</v>
      </c>
      <c r="L452" s="5">
        <f>'Daily Returns'!AU451*(1+'Daily Returns'!AO452)</f>
        <v>1.257193639</v>
      </c>
    </row>
    <row r="453" ht="15.75" customHeight="1">
      <c r="A453" s="9">
        <v>44484.0</v>
      </c>
      <c r="B453" s="6">
        <f>'Daily Returns'!AP452*(1+'Daily Returns'!AK453)</f>
        <v>1.43136427</v>
      </c>
      <c r="D453" s="4">
        <f>'Daily Returns'!AQ452 * (1 + 'Daily Returns'!AJ453)</f>
        <v>1.383987443</v>
      </c>
      <c r="F453" s="7">
        <f>'Daily Returns'!AR452 * (1 +'Daily Returns'!AL453)</f>
        <v>1.356460762</v>
      </c>
      <c r="H453" s="7">
        <f>'Daily Returns'!AS452*(1+'Daily Returns'!AM453)</f>
        <v>1.444270172</v>
      </c>
      <c r="J453" s="5">
        <f>'Daily Returns'!AT452*(1+'Daily Returns'!AN453)</f>
        <v>1.281331735</v>
      </c>
      <c r="L453" s="5">
        <f>'Daily Returns'!AU452*(1+'Daily Returns'!AO453)</f>
        <v>1.267873666</v>
      </c>
    </row>
    <row r="454" ht="15.75" customHeight="1">
      <c r="A454" s="9">
        <v>44487.0</v>
      </c>
      <c r="B454" s="6">
        <f>'Daily Returns'!AP453*(1+'Daily Returns'!AK454)</f>
        <v>1.425763809</v>
      </c>
      <c r="D454" s="4">
        <f>'Daily Returns'!AQ453 * (1 + 'Daily Returns'!AJ454)</f>
        <v>1.388658401</v>
      </c>
      <c r="F454" s="7">
        <f>'Daily Returns'!AR453 * (1 +'Daily Returns'!AL454)</f>
        <v>1.366264431</v>
      </c>
      <c r="H454" s="7">
        <f>'Daily Returns'!AS453*(1+'Daily Returns'!AM454)</f>
        <v>1.452833774</v>
      </c>
      <c r="J454" s="5">
        <f>'Daily Returns'!AT453*(1+'Daily Returns'!AN454)</f>
        <v>1.294050883</v>
      </c>
      <c r="L454" s="5">
        <f>'Daily Returns'!AU453*(1+'Daily Returns'!AO454)</f>
        <v>1.280994938</v>
      </c>
    </row>
    <row r="455" ht="15.75" customHeight="1">
      <c r="A455" s="9">
        <v>44488.0</v>
      </c>
      <c r="B455" s="6">
        <f>'Daily Returns'!AP454*(1+'Daily Returns'!AK455)</f>
        <v>1.432037019</v>
      </c>
      <c r="D455" s="4">
        <f>'Daily Returns'!AQ454 * (1 + 'Daily Returns'!AJ455)</f>
        <v>1.398924752</v>
      </c>
      <c r="F455" s="7">
        <f>'Daily Returns'!AR454 * (1 +'Daily Returns'!AL455)</f>
        <v>1.368246128</v>
      </c>
      <c r="H455" s="7">
        <f>'Daily Returns'!AS454*(1+'Daily Returns'!AM455)</f>
        <v>1.458122888</v>
      </c>
      <c r="J455" s="5">
        <f>'Daily Returns'!AT454*(1+'Daily Returns'!AN455)</f>
        <v>1.303077064</v>
      </c>
      <c r="L455" s="5">
        <f>'Daily Returns'!AU454*(1+'Daily Returns'!AO455)</f>
        <v>1.287708039</v>
      </c>
    </row>
    <row r="456" ht="15.75" customHeight="1">
      <c r="A456" s="9">
        <v>44489.0</v>
      </c>
      <c r="B456" s="6">
        <f>'Daily Returns'!AP455*(1+'Daily Returns'!AK456)</f>
        <v>1.437551444</v>
      </c>
      <c r="D456" s="4">
        <f>'Daily Returns'!AQ455 * (1 + 'Daily Returns'!AJ456)</f>
        <v>1.404050413</v>
      </c>
      <c r="F456" s="7">
        <f>'Daily Returns'!AR455 * (1 +'Daily Returns'!AL456)</f>
        <v>1.377841265</v>
      </c>
      <c r="H456" s="7">
        <f>'Daily Returns'!AS455*(1+'Daily Returns'!AM456)</f>
        <v>1.46876419</v>
      </c>
      <c r="J456" s="5">
        <f>'Daily Returns'!AT455*(1+'Daily Returns'!AN456)</f>
        <v>1.308000586</v>
      </c>
      <c r="L456" s="5">
        <f>'Daily Returns'!AU455*(1+'Daily Returns'!AO456)</f>
        <v>1.291064848</v>
      </c>
    </row>
    <row r="457" ht="15.75" customHeight="1">
      <c r="A457" s="9">
        <v>44490.0</v>
      </c>
      <c r="B457" s="6">
        <f>'Daily Returns'!AP456*(1+'Daily Returns'!AK457)</f>
        <v>1.429617304</v>
      </c>
      <c r="D457" s="4">
        <f>'Daily Returns'!AQ456 * (1 + 'Daily Returns'!AJ457)</f>
        <v>1.408256948</v>
      </c>
      <c r="F457" s="7">
        <f>'Daily Returns'!AR456 * (1 +'Daily Returns'!AL457)</f>
        <v>1.382117163</v>
      </c>
      <c r="H457" s="7">
        <f>'Daily Returns'!AS456*(1+'Daily Returns'!AM457)</f>
        <v>1.474494417</v>
      </c>
      <c r="J457" s="5">
        <f>'Daily Returns'!AT456*(1+'Daily Returns'!AN457)</f>
        <v>1.313744535</v>
      </c>
      <c r="L457" s="5">
        <f>'Daily Returns'!AU456*(1+'Daily Returns'!AO457)</f>
        <v>1.297167444</v>
      </c>
    </row>
    <row r="458" ht="15.75" customHeight="1">
      <c r="A458" s="9">
        <v>44491.0</v>
      </c>
      <c r="B458" s="6">
        <f>'Daily Returns'!AP457*(1+'Daily Returns'!AK458)</f>
        <v>1.432108769</v>
      </c>
      <c r="D458" s="4">
        <f>'Daily Returns'!AQ457 * (1 + 'Daily Returns'!AJ458)</f>
        <v>1.406745888</v>
      </c>
      <c r="F458" s="7">
        <f>'Daily Returns'!AR457 * (1 +'Daily Returns'!AL458)</f>
        <v>1.383472924</v>
      </c>
      <c r="H458" s="7">
        <f>'Daily Returns'!AS457*(1+'Daily Returns'!AM458)</f>
        <v>1.478524276</v>
      </c>
      <c r="J458" s="5">
        <f>'Daily Returns'!AT457*(1+'Daily Returns'!AN458)</f>
        <v>1.319488658</v>
      </c>
      <c r="L458" s="5">
        <f>'Daily Returns'!AU457*(1+'Daily Returns'!AO458)</f>
        <v>1.30296511</v>
      </c>
    </row>
    <row r="459" ht="15.75" customHeight="1">
      <c r="A459" s="9">
        <v>44494.0</v>
      </c>
      <c r="B459" s="6">
        <f>'Daily Returns'!AP458*(1+'Daily Returns'!AK459)</f>
        <v>1.437355688</v>
      </c>
      <c r="D459" s="4">
        <f>'Daily Returns'!AQ458 * (1 + 'Daily Returns'!AJ459)</f>
        <v>1.413425118</v>
      </c>
      <c r="F459" s="7">
        <f>'Daily Returns'!AR458 * (1 +'Daily Returns'!AL459)</f>
        <v>1.384411702</v>
      </c>
      <c r="H459" s="7">
        <f>'Daily Returns'!AS458*(1+'Daily Returns'!AM459)</f>
        <v>1.475690497</v>
      </c>
      <c r="J459" s="5">
        <f>'Daily Returns'!AT458*(1+'Daily Returns'!AN459)</f>
        <v>1.321539987</v>
      </c>
      <c r="L459" s="5">
        <f>'Daily Returns'!AU458*(1+'Daily Returns'!AO459)</f>
        <v>1.304795979</v>
      </c>
    </row>
    <row r="460" ht="15.75" customHeight="1">
      <c r="A460" s="9">
        <v>44495.0</v>
      </c>
      <c r="B460" s="6">
        <f>'Daily Returns'!AP459*(1+'Daily Returns'!AK460)</f>
        <v>1.439145861</v>
      </c>
      <c r="D460" s="4">
        <f>'Daily Returns'!AQ459 * (1 + 'Daily Returns'!AJ460)</f>
        <v>1.415997551</v>
      </c>
      <c r="F460" s="7">
        <f>'Daily Returns'!AR459 * (1 +'Daily Returns'!AL460)</f>
        <v>1.388270871</v>
      </c>
      <c r="H460" s="7">
        <f>'Daily Returns'!AS459*(1+'Daily Returns'!AM460)</f>
        <v>1.484757983</v>
      </c>
      <c r="J460" s="5">
        <f>'Daily Returns'!AT459*(1+'Daily Returns'!AN460)</f>
        <v>1.322360589</v>
      </c>
      <c r="L460" s="5">
        <f>'Daily Returns'!AU459*(1+'Daily Returns'!AO460)</f>
        <v>1.305406355</v>
      </c>
    </row>
    <row r="461" ht="15.75" customHeight="1">
      <c r="A461" s="9">
        <v>44496.0</v>
      </c>
      <c r="B461" s="6">
        <f>'Daily Returns'!AP460*(1+'Daily Returns'!AK461)</f>
        <v>1.441176634</v>
      </c>
      <c r="D461" s="4">
        <f>'Daily Returns'!AQ460 * (1 + 'Daily Returns'!AJ461)</f>
        <v>1.408843932</v>
      </c>
      <c r="F461" s="7">
        <f>'Daily Returns'!AR460 * (1 +'Daily Returns'!AL461)</f>
        <v>1.390148006</v>
      </c>
      <c r="H461" s="7">
        <f>'Daily Returns'!AS460*(1+'Daily Returns'!AM461)</f>
        <v>1.484191025</v>
      </c>
      <c r="J461" s="5">
        <f>'Daily Returns'!AT460*(1+'Daily Returns'!AN461)</f>
        <v>1.326053208</v>
      </c>
      <c r="L461" s="5">
        <f>'Daily Returns'!AU460*(1+'Daily Returns'!AO461)</f>
        <v>1.309678211</v>
      </c>
    </row>
    <row r="462" ht="15.75" customHeight="1">
      <c r="A462" s="9">
        <v>44497.0</v>
      </c>
      <c r="B462" s="6">
        <f>'Daily Returns'!AP461*(1+'Daily Returns'!AK462)</f>
        <v>1.443028442</v>
      </c>
      <c r="D462" s="4">
        <f>'Daily Returns'!AQ461 * (1 + 'Daily Returns'!AJ462)</f>
        <v>1.422691459</v>
      </c>
      <c r="F462" s="7">
        <f>'Daily Returns'!AR461 * (1 +'Daily Returns'!AL462)</f>
        <v>1.383264559</v>
      </c>
      <c r="H462" s="7">
        <f>'Daily Returns'!AS461*(1+'Daily Returns'!AM462)</f>
        <v>1.474053709</v>
      </c>
      <c r="J462" s="5">
        <f>'Daily Returns'!AT461*(1+'Daily Returns'!AN462)</f>
        <v>1.318257669</v>
      </c>
      <c r="L462" s="5">
        <f>'Daily Returns'!AU461*(1+'Daily Returns'!AO462)</f>
        <v>1.302354993</v>
      </c>
    </row>
    <row r="463" ht="15.75" customHeight="1">
      <c r="A463" s="9">
        <v>44498.0</v>
      </c>
      <c r="B463" s="6">
        <f>'Daily Returns'!AP462*(1+'Daily Returns'!AK463)</f>
        <v>1.440129804</v>
      </c>
      <c r="D463" s="4">
        <f>'Daily Returns'!AQ462 * (1 + 'Daily Returns'!AJ463)</f>
        <v>1.425464284</v>
      </c>
      <c r="F463" s="7">
        <f>'Daily Returns'!AR462 * (1 +'Daily Returns'!AL463)</f>
        <v>1.396092676</v>
      </c>
      <c r="H463" s="7">
        <f>'Daily Returns'!AS462*(1+'Daily Returns'!AM463)</f>
        <v>1.489795104</v>
      </c>
      <c r="J463" s="5">
        <f>'Daily Returns'!AT462*(1+'Daily Returns'!AN463)</f>
        <v>1.305949082</v>
      </c>
      <c r="L463" s="5">
        <f>'Daily Returns'!AU462*(1+'Daily Returns'!AO463)</f>
        <v>1.289233462</v>
      </c>
    </row>
    <row r="464" ht="15.75" customHeight="1">
      <c r="A464" s="9">
        <v>44501.0</v>
      </c>
      <c r="B464" s="6">
        <f>'Daily Returns'!AP463*(1+'Daily Returns'!AK464)</f>
        <v>1.439257507</v>
      </c>
      <c r="D464" s="4">
        <f>'Daily Returns'!AQ463 * (1 + 'Daily Returns'!AJ464)</f>
        <v>1.42803012</v>
      </c>
      <c r="F464" s="7">
        <f>'Daily Returns'!AR463 * (1 +'Daily Returns'!AL464)</f>
        <v>1.395884227</v>
      </c>
      <c r="H464" s="7">
        <f>'Daily Returns'!AS463*(1+'Daily Returns'!AM464)</f>
        <v>1.491747263</v>
      </c>
      <c r="J464" s="5">
        <f>'Daily Returns'!AT463*(1+'Daily Returns'!AN464)</f>
        <v>1.321539987</v>
      </c>
      <c r="L464" s="5">
        <f>'Daily Returns'!AU463*(1+'Daily Returns'!AO464)</f>
        <v>1.304491179</v>
      </c>
    </row>
    <row r="465" ht="15.75" customHeight="1">
      <c r="A465" s="9">
        <v>44502.0</v>
      </c>
      <c r="B465" s="6">
        <f>'Daily Returns'!AP464*(1+'Daily Returns'!AK465)</f>
        <v>1.44128196</v>
      </c>
      <c r="D465" s="4">
        <f>'Daily Returns'!AQ464 * (1 + 'Daily Returns'!AJ465)</f>
        <v>1.433285271</v>
      </c>
      <c r="F465" s="7">
        <f>'Daily Returns'!AR464 * (1 +'Daily Returns'!AL465)</f>
        <v>1.401829064</v>
      </c>
      <c r="H465" s="7">
        <f>'Daily Returns'!AS464*(1+'Daily Returns'!AM465)</f>
        <v>1.499177151</v>
      </c>
      <c r="J465" s="5">
        <f>'Daily Returns'!AT464*(1+'Daily Returns'!AN465)</f>
        <v>1.314565136</v>
      </c>
      <c r="L465" s="5">
        <f>'Daily Returns'!AU464*(1+'Daily Returns'!AO465)</f>
        <v>1.295031516</v>
      </c>
    </row>
    <row r="466" ht="15.75" customHeight="1">
      <c r="A466" s="9">
        <v>44503.0</v>
      </c>
      <c r="B466" s="6">
        <f>'Daily Returns'!AP465*(1+'Daily Returns'!AK466)</f>
        <v>1.449799741</v>
      </c>
      <c r="D466" s="4">
        <f>'Daily Returns'!AQ465 * (1 + 'Daily Returns'!AJ466)</f>
        <v>1.442545727</v>
      </c>
      <c r="F466" s="7">
        <f>'Daily Returns'!AR465 * (1 +'Daily Returns'!AL466)</f>
        <v>1.404749371</v>
      </c>
      <c r="H466" s="7">
        <f>'Daily Returns'!AS465*(1+'Daily Returns'!AM466)</f>
        <v>1.50383684</v>
      </c>
      <c r="J466" s="5">
        <f>'Daily Returns'!AT465*(1+'Daily Returns'!AN466)</f>
        <v>1.325642907</v>
      </c>
      <c r="L466" s="5">
        <f>'Daily Returns'!AU465*(1+'Daily Returns'!AO466)</f>
        <v>1.307847471</v>
      </c>
    </row>
    <row r="467" ht="15.75" customHeight="1">
      <c r="A467" s="9">
        <v>44504.0</v>
      </c>
      <c r="B467" s="6">
        <f>'Daily Returns'!AP466*(1+'Daily Returns'!AK467)</f>
        <v>1.4481758</v>
      </c>
      <c r="D467" s="4">
        <f>'Daily Returns'!AQ466 * (1 + 'Daily Returns'!AJ467)</f>
        <v>1.448578453</v>
      </c>
      <c r="F467" s="7">
        <f>'Daily Returns'!AR466 * (1 +'Daily Returns'!AL467)</f>
        <v>1.4144489</v>
      </c>
      <c r="H467" s="7">
        <f>'Daily Returns'!AS466*(1+'Daily Returns'!AM467)</f>
        <v>1.514478243</v>
      </c>
      <c r="J467" s="5">
        <f>'Daily Returns'!AT466*(1+'Daily Returns'!AN467)</f>
        <v>1.321950462</v>
      </c>
      <c r="L467" s="5">
        <f>'Daily Returns'!AU466*(1+'Daily Returns'!AO467)</f>
        <v>1.303880545</v>
      </c>
    </row>
    <row r="468" ht="15.75" customHeight="1">
      <c r="A468" s="9">
        <v>44505.0</v>
      </c>
      <c r="B468" s="6">
        <f>'Daily Returns'!AP467*(1+'Daily Returns'!AK468)</f>
        <v>1.451715016</v>
      </c>
      <c r="D468" s="4">
        <f>'Daily Returns'!AQ467 * (1 + 'Daily Returns'!AJ468)</f>
        <v>1.453985997</v>
      </c>
      <c r="F468" s="7">
        <f>'Daily Returns'!AR467 * (1 +'Daily Returns'!AL468)</f>
        <v>1.417577656</v>
      </c>
      <c r="H468" s="7">
        <f>'Daily Returns'!AS467*(1+'Daily Returns'!AM468)</f>
        <v>1.520208268</v>
      </c>
      <c r="J468" s="5">
        <f>'Daily Returns'!AT467*(1+'Daily Returns'!AN468)</f>
        <v>1.327283849</v>
      </c>
      <c r="L468" s="5">
        <f>'Daily Returns'!AU467*(1+'Daily Returns'!AO468)</f>
        <v>1.309067835</v>
      </c>
    </row>
    <row r="469" ht="15.75" customHeight="1">
      <c r="A469" s="9">
        <v>44508.0</v>
      </c>
      <c r="B469" s="6">
        <f>'Daily Returns'!AP468*(1+'Daily Returns'!AK469)</f>
        <v>1.46218393</v>
      </c>
      <c r="D469" s="4">
        <f>'Daily Returns'!AQ468 * (1 + 'Daily Returns'!AJ469)</f>
        <v>1.455277136</v>
      </c>
      <c r="F469" s="7">
        <f>'Daily Returns'!AR468 * (1 +'Daily Returns'!AL469)</f>
        <v>1.422166733</v>
      </c>
      <c r="H469" s="7">
        <f>'Daily Returns'!AS468*(1+'Daily Returns'!AM469)</f>
        <v>1.526063935</v>
      </c>
      <c r="J469" s="5">
        <f>'Daily Returns'!AT468*(1+'Daily Returns'!AN469)</f>
        <v>1.334669175</v>
      </c>
      <c r="L469" s="5">
        <f>'Daily Returns'!AU468*(1+'Daily Returns'!AO469)</f>
        <v>1.313339949</v>
      </c>
    </row>
    <row r="470" ht="15.75" customHeight="1">
      <c r="A470" s="9">
        <v>44509.0</v>
      </c>
      <c r="B470" s="6">
        <f>'Daily Returns'!AP469*(1+'Daily Returns'!AK470)</f>
        <v>1.468035166</v>
      </c>
      <c r="D470" s="4">
        <f>'Daily Returns'!AQ469 * (1 + 'Daily Returns'!AJ470)</f>
        <v>1.450185121</v>
      </c>
      <c r="F470" s="7">
        <f>'Daily Returns'!AR469 * (1 +'Daily Returns'!AL470)</f>
        <v>1.423105259</v>
      </c>
      <c r="H470" s="7">
        <f>'Daily Returns'!AS469*(1+'Daily Returns'!AM470)</f>
        <v>1.52858285</v>
      </c>
      <c r="J470" s="5">
        <f>'Daily Returns'!AT469*(1+'Daily Returns'!AN470)</f>
        <v>1.339592871</v>
      </c>
      <c r="L470" s="5">
        <f>'Daily Returns'!AU469*(1+'Daily Returns'!AO470)</f>
        <v>1.320053179</v>
      </c>
    </row>
    <row r="471" ht="15.75" customHeight="1">
      <c r="A471" s="9">
        <v>44510.0</v>
      </c>
      <c r="B471" s="6">
        <f>'Daily Returns'!AP470*(1+'Daily Returns'!AK471)</f>
        <v>1.470281387</v>
      </c>
      <c r="D471" s="4">
        <f>'Daily Returns'!AQ470 * (1 + 'Daily Returns'!AJ471)</f>
        <v>1.438255899</v>
      </c>
      <c r="F471" s="7">
        <f>'Daily Returns'!AR470 * (1 +'Daily Returns'!AL471)</f>
        <v>1.41882936</v>
      </c>
      <c r="H471" s="7">
        <f>'Daily Returns'!AS470*(1+'Daily Returns'!AM471)</f>
        <v>1.524175154</v>
      </c>
      <c r="J471" s="5">
        <f>'Daily Returns'!AT470*(1+'Daily Returns'!AN471)</f>
        <v>1.343285403</v>
      </c>
      <c r="L471" s="5">
        <f>'Daily Returns'!AU470*(1+'Daily Returns'!AO471)</f>
        <v>1.325850845</v>
      </c>
    </row>
    <row r="472" ht="15.75" customHeight="1">
      <c r="A472" s="9">
        <v>44511.0</v>
      </c>
      <c r="B472" s="6">
        <f>'Daily Returns'!AP471*(1+'Daily Returns'!AK472)</f>
        <v>1.475821102</v>
      </c>
      <c r="D472" s="4">
        <f>'Daily Returns'!AQ471 * (1 + 'Daily Returns'!AJ472)</f>
        <v>1.439048378</v>
      </c>
      <c r="F472" s="7">
        <f>'Daily Returns'!AR471 * (1 +'Daily Returns'!AL472)</f>
        <v>1.404853595</v>
      </c>
      <c r="H472" s="7">
        <f>'Daily Returns'!AS471*(1+'Daily Returns'!AM472)</f>
        <v>1.50918923</v>
      </c>
      <c r="J472" s="5">
        <f>'Daily Returns'!AT471*(1+'Daily Returns'!AN472)</f>
        <v>1.34738815</v>
      </c>
      <c r="L472" s="5">
        <f>'Daily Returns'!AU471*(1+'Daily Returns'!AO472)</f>
        <v>1.32829222</v>
      </c>
    </row>
    <row r="473" ht="15.75" customHeight="1">
      <c r="A473" s="9">
        <v>44512.0</v>
      </c>
      <c r="B473" s="6">
        <f>'Daily Returns'!AP472*(1+'Daily Returns'!AK473)</f>
        <v>1.478641784</v>
      </c>
      <c r="D473" s="4">
        <f>'Daily Returns'!AQ472 * (1 + 'Daily Returns'!AJ473)</f>
        <v>1.449442624</v>
      </c>
      <c r="F473" s="7">
        <f>'Daily Returns'!AR472 * (1 +'Daily Returns'!AL473)</f>
        <v>1.407878126</v>
      </c>
      <c r="H473" s="7">
        <f>'Daily Returns'!AS472*(1+'Daily Returns'!AM473)</f>
        <v>1.511015241</v>
      </c>
      <c r="J473" s="5">
        <f>'Daily Returns'!AT472*(1+'Daily Returns'!AN473)</f>
        <v>1.339592871</v>
      </c>
      <c r="L473" s="5">
        <f>'Daily Returns'!AU472*(1+'Daily Returns'!AO473)</f>
        <v>1.320968743</v>
      </c>
    </row>
    <row r="474" ht="15.75" customHeight="1">
      <c r="A474" s="9">
        <v>44515.0</v>
      </c>
      <c r="B474" s="6">
        <f>'Daily Returns'!AP473*(1+'Daily Returns'!AK474)</f>
        <v>1.4801173</v>
      </c>
      <c r="D474" s="4">
        <f>'Daily Returns'!AQ473 * (1 + 'Daily Returns'!AJ474)</f>
        <v>1.44942668</v>
      </c>
      <c r="F474" s="7">
        <f>'Daily Returns'!AR473 * (1 +'Daily Returns'!AL474)</f>
        <v>1.418724799</v>
      </c>
      <c r="H474" s="7">
        <f>'Daily Returns'!AS473*(1+'Daily Returns'!AM474)</f>
        <v>1.522223299</v>
      </c>
      <c r="J474" s="5">
        <f>'Daily Returns'!AT473*(1+'Daily Returns'!AN474)</f>
        <v>1.345336907</v>
      </c>
      <c r="L474" s="5">
        <f>'Daily Returns'!AU473*(1+'Daily Returns'!AO474)</f>
        <v>1.327376527</v>
      </c>
    </row>
    <row r="475" ht="15.75" customHeight="1">
      <c r="A475" s="9">
        <v>44516.0</v>
      </c>
      <c r="B475" s="6">
        <f>'Daily Returns'!AP474*(1+'Daily Returns'!AK475)</f>
        <v>1.472476773</v>
      </c>
      <c r="D475" s="4">
        <f>'Daily Returns'!AQ474 * (1 + 'Daily Returns'!AJ475)</f>
        <v>1.455028714</v>
      </c>
      <c r="F475" s="7">
        <f>'Daily Returns'!AR474 * (1 +'Daily Returns'!AL475)</f>
        <v>1.417577656</v>
      </c>
      <c r="H475" s="7">
        <f>'Daily Returns'!AS474*(1+'Daily Returns'!AM475)</f>
        <v>1.522223299</v>
      </c>
      <c r="J475" s="5">
        <f>'Daily Returns'!AT474*(1+'Daily Returns'!AN475)</f>
        <v>1.361337939</v>
      </c>
      <c r="L475" s="5">
        <f>'Daily Returns'!AU474*(1+'Daily Returns'!AO475)</f>
        <v>1.340803116</v>
      </c>
    </row>
    <row r="476" ht="15.75" customHeight="1">
      <c r="A476" s="9">
        <v>44517.0</v>
      </c>
      <c r="B476" s="6">
        <f>'Daily Returns'!AP475*(1+'Daily Returns'!AK476)</f>
        <v>1.473449292</v>
      </c>
      <c r="D476" s="4">
        <f>'Daily Returns'!AQ475 * (1 + 'Daily Returns'!AJ476)</f>
        <v>1.45124273</v>
      </c>
      <c r="F476" s="7">
        <f>'Daily Returns'!AR475 * (1 +'Daily Returns'!AL476)</f>
        <v>1.421019422</v>
      </c>
      <c r="H476" s="7">
        <f>'Daily Returns'!AS475*(1+'Daily Returns'!AM476)</f>
        <v>1.528771566</v>
      </c>
      <c r="J476" s="5">
        <f>'Daily Returns'!AT475*(1+'Daily Returns'!AN476)</f>
        <v>1.356004204</v>
      </c>
      <c r="L476" s="5">
        <f>'Daily Returns'!AU475*(1+'Daily Returns'!AO476)</f>
        <v>1.335920755</v>
      </c>
    </row>
    <row r="477" ht="15.75" customHeight="1">
      <c r="A477" s="9">
        <v>44518.0</v>
      </c>
      <c r="B477" s="6">
        <f>'Daily Returns'!AP476*(1+'Daily Returns'!AK477)</f>
        <v>1.467404632</v>
      </c>
      <c r="D477" s="4">
        <f>'Daily Returns'!AQ476 * (1 + 'Daily Returns'!AJ477)</f>
        <v>1.456155186</v>
      </c>
      <c r="F477" s="7">
        <f>'Daily Returns'!AR476 * (1 +'Daily Returns'!AL477)</f>
        <v>1.417264982</v>
      </c>
      <c r="H477" s="7">
        <f>'Daily Returns'!AS476*(1+'Daily Returns'!AM477)</f>
        <v>1.522475089</v>
      </c>
      <c r="J477" s="5">
        <f>'Daily Returns'!AT476*(1+'Daily Returns'!AN477)</f>
        <v>1.357235106</v>
      </c>
      <c r="L477" s="5">
        <f>'Daily Returns'!AU476*(1+'Daily Returns'!AO477)</f>
        <v>1.337751366</v>
      </c>
    </row>
    <row r="478" ht="15.75" customHeight="1">
      <c r="A478" s="9">
        <v>44519.0</v>
      </c>
      <c r="B478" s="6">
        <f>'Daily Returns'!AP477*(1+'Daily Returns'!AK478)</f>
        <v>1.466205224</v>
      </c>
      <c r="D478" s="4">
        <f>'Daily Returns'!AQ477 * (1 + 'Daily Returns'!AJ478)</f>
        <v>1.454118025</v>
      </c>
      <c r="F478" s="7">
        <f>'Daily Returns'!AR477 * (1 +'Daily Returns'!AL478)</f>
        <v>1.420706243</v>
      </c>
      <c r="H478" s="7">
        <f>'Daily Returns'!AS477*(1+'Daily Returns'!AM478)</f>
        <v>1.524867856</v>
      </c>
      <c r="J478" s="5">
        <f>'Daily Returns'!AT477*(1+'Daily Returns'!AN478)</f>
        <v>1.3539527</v>
      </c>
      <c r="L478" s="5">
        <f>'Daily Returns'!AU477*(1+'Daily Returns'!AO478)</f>
        <v>1.334395074</v>
      </c>
    </row>
    <row r="479" ht="15.75" customHeight="1">
      <c r="A479" s="9">
        <v>44522.0</v>
      </c>
      <c r="B479" s="6">
        <f>'Daily Returns'!AP478*(1+'Daily Returns'!AK479)</f>
        <v>1.464610413</v>
      </c>
      <c r="D479" s="4">
        <f>'Daily Returns'!AQ478 * (1 + 'Daily Returns'!AJ479)</f>
        <v>1.44946921</v>
      </c>
      <c r="F479" s="7">
        <f>'Daily Returns'!AR478 * (1 +'Daily Returns'!AL479)</f>
        <v>1.4144489</v>
      </c>
      <c r="H479" s="7">
        <f>'Daily Returns'!AS478*(1+'Daily Returns'!AM479)</f>
        <v>1.52052293</v>
      </c>
      <c r="J479" s="5">
        <f>'Daily Returns'!AT478*(1+'Daily Returns'!AN479)</f>
        <v>1.356414678</v>
      </c>
      <c r="L479" s="5">
        <f>'Daily Returns'!AU478*(1+'Daily Returns'!AO479)</f>
        <v>1.333479381</v>
      </c>
    </row>
    <row r="480" ht="15.75" customHeight="1">
      <c r="A480" s="9">
        <v>44523.0</v>
      </c>
      <c r="B480" s="6">
        <f>'Daily Returns'!AP479*(1+'Daily Returns'!AK480)</f>
        <v>1.473370218</v>
      </c>
      <c r="D480" s="4">
        <f>'Daily Returns'!AQ479 * (1 + 'Daily Returns'!AJ480)</f>
        <v>1.45187098</v>
      </c>
      <c r="F480" s="7">
        <f>'Daily Returns'!AR479 * (1 +'Daily Returns'!AL480)</f>
        <v>1.40714805</v>
      </c>
      <c r="H480" s="7">
        <f>'Daily Returns'!AS479*(1+'Daily Returns'!AM480)</f>
        <v>1.513218887</v>
      </c>
      <c r="J480" s="5">
        <f>'Daily Returns'!AT479*(1+'Daily Returns'!AN480)</f>
        <v>1.351080856</v>
      </c>
      <c r="L480" s="5">
        <f>'Daily Returns'!AU479*(1+'Daily Returns'!AO480)</f>
        <v>1.328597149</v>
      </c>
    </row>
    <row r="481" ht="15.75" customHeight="1">
      <c r="A481" s="9">
        <v>44524.0</v>
      </c>
      <c r="B481" s="6">
        <f>'Daily Returns'!AP480*(1+'Daily Returns'!AK481)</f>
        <v>1.471087881</v>
      </c>
      <c r="D481" s="4">
        <f>'Daily Returns'!AQ480 * (1 + 'Daily Returns'!AJ481)</f>
        <v>1.455201572</v>
      </c>
      <c r="F481" s="7">
        <f>'Daily Returns'!AR480 * (1 +'Daily Returns'!AL481)</f>
        <v>1.407252274</v>
      </c>
      <c r="H481" s="7">
        <f>'Daily Returns'!AS480*(1+'Daily Returns'!AM481)</f>
        <v>1.513722568</v>
      </c>
      <c r="J481" s="5">
        <f>'Daily Returns'!AT480*(1+'Daily Returns'!AN481)</f>
        <v>1.342875016</v>
      </c>
      <c r="L481" s="5">
        <f>'Daily Returns'!AU480*(1+'Daily Returns'!AO481)</f>
        <v>1.320663426</v>
      </c>
    </row>
    <row r="482" ht="15.75" customHeight="1">
      <c r="A482" s="9">
        <v>44526.0</v>
      </c>
      <c r="B482" s="6">
        <f>'Daily Returns'!AP481*(1+'Daily Returns'!AK482)</f>
        <v>1.45808147</v>
      </c>
      <c r="D482" s="4">
        <f>'Daily Returns'!AQ481 * (1 + 'Daily Returns'!AJ482)</f>
        <v>1.422132117</v>
      </c>
      <c r="F482" s="7">
        <f>'Daily Returns'!AR481 * (1 +'Daily Returns'!AL482)</f>
        <v>1.408295361</v>
      </c>
      <c r="H482" s="7">
        <f>'Daily Returns'!AS481*(1+'Daily Returns'!AM482)</f>
        <v>1.518822764</v>
      </c>
      <c r="J482" s="5">
        <f>'Daily Returns'!AT481*(1+'Daily Returns'!AN482)</f>
        <v>1.34725028</v>
      </c>
      <c r="L482" s="5">
        <f>'Daily Returns'!AU481*(1+'Daily Returns'!AO482)</f>
        <v>1.323409859</v>
      </c>
    </row>
    <row r="483" ht="15.75" customHeight="1">
      <c r="A483" s="9">
        <v>44529.0</v>
      </c>
      <c r="B483" s="6">
        <f>'Daily Returns'!AP482*(1+'Daily Returns'!AK483)</f>
        <v>1.464362458</v>
      </c>
      <c r="D483" s="4">
        <f>'Daily Returns'!AQ482 * (1 + 'Daily Returns'!AJ483)</f>
        <v>1.44090426</v>
      </c>
      <c r="F483" s="7">
        <f>'Daily Returns'!AR482 * (1 +'Daily Returns'!AL483)</f>
        <v>1.376694038</v>
      </c>
      <c r="H483" s="7">
        <f>'Daily Returns'!AS482*(1+'Daily Returns'!AM483)</f>
        <v>1.485954265</v>
      </c>
      <c r="J483" s="5">
        <f>'Daily Returns'!AT482*(1+'Daily Returns'!AN483)</f>
        <v>1.353854433</v>
      </c>
      <c r="L483" s="5">
        <f>'Daily Returns'!AU482*(1+'Daily Returns'!AO483)</f>
        <v>1.329207396</v>
      </c>
    </row>
    <row r="484" ht="15.75" customHeight="1">
      <c r="A484" s="9">
        <v>44530.0</v>
      </c>
      <c r="B484" s="6">
        <f>'Daily Returns'!AP483*(1+'Daily Returns'!AK484)</f>
        <v>1.438530029</v>
      </c>
      <c r="D484" s="4">
        <f>'Daily Returns'!AQ483 * (1 + 'Daily Returns'!AJ484)</f>
        <v>1.413583275</v>
      </c>
      <c r="F484" s="7">
        <f>'Daily Returns'!AR483 * (1 +'Daily Returns'!AL484)</f>
        <v>1.388792246</v>
      </c>
      <c r="H484" s="7">
        <f>'Daily Returns'!AS483*(1+'Daily Returns'!AM484)</f>
        <v>1.499933129</v>
      </c>
      <c r="J484" s="5">
        <f>'Daily Returns'!AT483*(1+'Daily Returns'!AN484)</f>
        <v>1.35922046</v>
      </c>
      <c r="L484" s="5">
        <f>'Daily Returns'!AU483*(1+'Daily Returns'!AO484)</f>
        <v>1.333479381</v>
      </c>
    </row>
    <row r="485" ht="15.75" customHeight="1">
      <c r="A485" s="9">
        <v>44531.0</v>
      </c>
      <c r="B485" s="6">
        <f>'Daily Returns'!AP484*(1+'Daily Returns'!AK485)</f>
        <v>1.440610456</v>
      </c>
      <c r="D485" s="4">
        <f>'Daily Returns'!AQ484 * (1 + 'Daily Returns'!AJ485)</f>
        <v>1.396881788</v>
      </c>
      <c r="F485" s="7">
        <f>'Daily Returns'!AR484 * (1 +'Daily Returns'!AL485)</f>
        <v>1.367307434</v>
      </c>
      <c r="H485" s="7">
        <f>'Daily Returns'!AS484*(1+'Daily Returns'!AM485)</f>
        <v>1.469960472</v>
      </c>
      <c r="J485" s="5">
        <f>'Daily Returns'!AT484*(1+'Daily Returns'!AN485)</f>
        <v>1.327025257</v>
      </c>
      <c r="L485" s="5">
        <f>'Daily Returns'!AU484*(1+'Daily Returns'!AO485)</f>
        <v>1.30296511</v>
      </c>
    </row>
    <row r="486" ht="15.75" customHeight="1">
      <c r="A486" s="9">
        <v>44532.0</v>
      </c>
      <c r="B486" s="6">
        <f>'Daily Returns'!AP485*(1+'Daily Returns'!AK486)</f>
        <v>1.453234004</v>
      </c>
      <c r="D486" s="4">
        <f>'Daily Returns'!AQ485 * (1 + 'Daily Returns'!AJ486)</f>
        <v>1.416709129</v>
      </c>
      <c r="F486" s="7">
        <f>'Daily Returns'!AR485 * (1 +'Daily Returns'!AL486)</f>
        <v>1.351141692</v>
      </c>
      <c r="H486" s="7">
        <f>'Daily Returns'!AS485*(1+'Daily Returns'!AM486)</f>
        <v>1.449244523</v>
      </c>
      <c r="J486" s="5">
        <f>'Daily Returns'!AT485*(1+'Daily Returns'!AN486)</f>
        <v>1.329501597</v>
      </c>
      <c r="L486" s="5">
        <f>'Daily Returns'!AU485*(1+'Daily Returns'!AO486)</f>
        <v>1.304491179</v>
      </c>
    </row>
    <row r="487" ht="15.75" customHeight="1">
      <c r="A487" s="9">
        <v>44533.0</v>
      </c>
      <c r="B487" s="6">
        <f>'Daily Returns'!AP486*(1+'Daily Returns'!AK487)</f>
        <v>1.458005795</v>
      </c>
      <c r="D487" s="4">
        <f>'Daily Returns'!AQ486 * (1 + 'Daily Returns'!AJ487)</f>
        <v>1.404739353</v>
      </c>
      <c r="F487" s="7">
        <f>'Daily Returns'!AR486 * (1 +'Daily Returns'!AL487)</f>
        <v>1.370331965</v>
      </c>
      <c r="H487" s="7">
        <f>'Daily Returns'!AS486*(1+'Daily Returns'!AM487)</f>
        <v>1.472794251</v>
      </c>
      <c r="J487" s="5">
        <f>'Daily Returns'!AT486*(1+'Daily Returns'!AN487)</f>
        <v>1.301433772</v>
      </c>
      <c r="L487" s="5">
        <f>'Daily Returns'!AU486*(1+'Daily Returns'!AO487)</f>
        <v>1.276417766</v>
      </c>
    </row>
    <row r="488" ht="15.75" customHeight="1">
      <c r="A488" s="9">
        <v>44536.0</v>
      </c>
      <c r="B488" s="6">
        <f>'Daily Returns'!AP487*(1+'Daily Returns'!AK488)</f>
        <v>1.465374834</v>
      </c>
      <c r="D488" s="4">
        <f>'Daily Returns'!AQ487 * (1 + 'Daily Returns'!AJ488)</f>
        <v>1.42121835</v>
      </c>
      <c r="F488" s="7">
        <f>'Daily Returns'!AR487 * (1 +'Daily Returns'!AL488)</f>
        <v>1.360006752</v>
      </c>
      <c r="H488" s="7">
        <f>'Daily Returns'!AS487*(1+'Daily Returns'!AM488)</f>
        <v>1.455730223</v>
      </c>
      <c r="J488" s="5">
        <f>'Daily Returns'!AT487*(1+'Daily Returns'!AN488)</f>
        <v>1.28822564</v>
      </c>
      <c r="L488" s="5">
        <f>'Daily Returns'!AU487*(1+'Daily Returns'!AO488)</f>
        <v>1.263296364</v>
      </c>
    </row>
    <row r="489" ht="15.75" customHeight="1">
      <c r="A489" s="9">
        <v>44537.0</v>
      </c>
      <c r="B489" s="6">
        <f>'Daily Returns'!AP488*(1+'Daily Returns'!AK489)</f>
        <v>1.476021334</v>
      </c>
      <c r="D489" s="4">
        <f>'Daily Returns'!AQ488 * (1 + 'Daily Returns'!AJ489)</f>
        <v>1.450647519</v>
      </c>
      <c r="F489" s="7">
        <f>'Daily Returns'!AR488 * (1 +'Daily Returns'!AL489)</f>
        <v>1.374086741</v>
      </c>
      <c r="H489" s="7">
        <f>'Daily Returns'!AS488*(1+'Daily Returns'!AM489)</f>
        <v>1.474431445</v>
      </c>
      <c r="J489" s="5">
        <f>'Daily Returns'!AT488*(1+'Daily Returns'!AN489)</f>
        <v>1.309276313</v>
      </c>
      <c r="L489" s="5">
        <f>'Daily Returns'!AU488*(1+'Daily Returns'!AO489)</f>
        <v>1.282215303</v>
      </c>
    </row>
    <row r="490" ht="15.75" customHeight="1">
      <c r="A490" s="9">
        <v>44538.0</v>
      </c>
      <c r="B490" s="6">
        <f>'Daily Returns'!AP489*(1+'Daily Returns'!AK490)</f>
        <v>1.473493555</v>
      </c>
      <c r="D490" s="4">
        <f>'Daily Returns'!AQ489 * (1 + 'Daily Returns'!AJ490)</f>
        <v>1.455122766</v>
      </c>
      <c r="F490" s="7">
        <f>'Daily Returns'!AR489 * (1 +'Daily Returns'!AL490)</f>
        <v>1.402767758</v>
      </c>
      <c r="H490" s="7">
        <f>'Daily Returns'!AS489*(1+'Daily Returns'!AM490)</f>
        <v>1.505977513</v>
      </c>
      <c r="J490" s="5">
        <f>'Daily Returns'!AT489*(1+'Daily Returns'!AN490)</f>
        <v>1.301433772</v>
      </c>
      <c r="L490" s="5">
        <f>'Daily Returns'!AU489*(1+'Daily Returns'!AO490)</f>
        <v>1.274891826</v>
      </c>
    </row>
    <row r="491" ht="15.75" customHeight="1">
      <c r="A491" s="9">
        <v>44539.0</v>
      </c>
      <c r="B491" s="6">
        <f>'Daily Returns'!AP490*(1+'Daily Returns'!AK491)</f>
        <v>1.471100618</v>
      </c>
      <c r="D491" s="4">
        <f>'Daily Returns'!AQ490 * (1 + 'Daily Returns'!AJ491)</f>
        <v>1.44467353</v>
      </c>
      <c r="F491" s="7">
        <f>'Daily Returns'!AR490 * (1 +'Daily Returns'!AL491)</f>
        <v>1.407565284</v>
      </c>
      <c r="H491" s="7">
        <f>'Daily Returns'!AS490*(1+'Daily Returns'!AM491)</f>
        <v>1.512463313</v>
      </c>
      <c r="J491" s="5">
        <f>'Daily Returns'!AT490*(1+'Daily Returns'!AN491)</f>
        <v>1.315467728</v>
      </c>
      <c r="L491" s="5">
        <f>'Daily Returns'!AU490*(1+'Daily Returns'!AO491)</f>
        <v>1.288928533</v>
      </c>
    </row>
    <row r="492" ht="15.75" customHeight="1">
      <c r="A492" s="9">
        <v>44540.0</v>
      </c>
      <c r="B492" s="6">
        <f>'Daily Returns'!AP491*(1+'Daily Returns'!AK492)</f>
        <v>1.467670559</v>
      </c>
      <c r="D492" s="4">
        <f>'Daily Returns'!AQ491 * (1 + 'Daily Returns'!AJ492)</f>
        <v>1.458468717</v>
      </c>
      <c r="F492" s="7">
        <f>'Daily Returns'!AR491 * (1 +'Daily Returns'!AL492)</f>
        <v>1.395467076</v>
      </c>
      <c r="H492" s="7">
        <f>'Daily Returns'!AS491*(1+'Daily Returns'!AM492)</f>
        <v>1.498043943</v>
      </c>
      <c r="J492" s="5">
        <f>'Daily Returns'!AT491*(1+'Daily Returns'!AN492)</f>
        <v>1.333629236</v>
      </c>
      <c r="L492" s="5">
        <f>'Daily Returns'!AU491*(1+'Daily Returns'!AO492)</f>
        <v>1.307542154</v>
      </c>
    </row>
    <row r="493" ht="15.75" customHeight="1">
      <c r="A493" s="9">
        <v>44543.0</v>
      </c>
      <c r="B493" s="6">
        <f>'Daily Returns'!AP492*(1+'Daily Returns'!AK493)</f>
        <v>1.46593497</v>
      </c>
      <c r="D493" s="4">
        <f>'Daily Returns'!AQ492 * (1 + 'Daily Returns'!AJ493)</f>
        <v>1.445144147</v>
      </c>
      <c r="F493" s="7">
        <f>'Daily Returns'!AR492 * (1 +'Daily Returns'!AL493)</f>
        <v>1.403602059</v>
      </c>
      <c r="H493" s="7">
        <f>'Daily Returns'!AS492*(1+'Daily Returns'!AM493)</f>
        <v>1.508244536</v>
      </c>
      <c r="J493" s="5">
        <f>'Daily Returns'!AT492*(1+'Daily Returns'!AN493)</f>
        <v>1.329088685</v>
      </c>
      <c r="L493" s="5">
        <f>'Daily Returns'!AU492*(1+'Daily Returns'!AO493)</f>
        <v>1.302049675</v>
      </c>
    </row>
    <row r="494" ht="15.75" customHeight="1">
      <c r="A494" s="9">
        <v>44544.0</v>
      </c>
      <c r="B494" s="6">
        <f>'Daily Returns'!AP493*(1+'Daily Returns'!AK494)</f>
        <v>1.470021508</v>
      </c>
      <c r="D494" s="4">
        <f>'Daily Returns'!AQ493 * (1 + 'Daily Returns'!AJ494)</f>
        <v>1.434347475</v>
      </c>
      <c r="F494" s="7">
        <f>'Daily Returns'!AR493 * (1 +'Daily Returns'!AL494)</f>
        <v>1.391364941</v>
      </c>
      <c r="H494" s="7">
        <f>'Daily Returns'!AS493*(1+'Daily Returns'!AM494)</f>
        <v>1.494517968</v>
      </c>
      <c r="J494" s="5">
        <f>'Daily Returns'!AT493*(1+'Daily Returns'!AN494)</f>
        <v>1.320833668</v>
      </c>
      <c r="L494" s="5">
        <f>'Daily Returns'!AU493*(1+'Daily Returns'!AO494)</f>
        <v>1.293200776</v>
      </c>
    </row>
    <row r="495" ht="15.75" customHeight="1">
      <c r="A495" s="9">
        <v>44545.0</v>
      </c>
      <c r="B495" s="6">
        <f>'Daily Returns'!AP494*(1+'Daily Returns'!AK495)</f>
        <v>1.465138158</v>
      </c>
      <c r="D495" s="4">
        <f>'Daily Returns'!AQ494 * (1 + 'Daily Returns'!AJ495)</f>
        <v>1.457796188</v>
      </c>
      <c r="F495" s="7">
        <f>'Daily Returns'!AR494 * (1 +'Daily Returns'!AL495)</f>
        <v>1.38023043</v>
      </c>
      <c r="H495" s="7">
        <f>'Daily Returns'!AS494*(1+'Daily Returns'!AM495)</f>
        <v>1.483309708</v>
      </c>
      <c r="J495" s="5">
        <f>'Daily Returns'!AT494*(1+'Daily Returns'!AN495)</f>
        <v>1.320833668</v>
      </c>
      <c r="L495" s="5">
        <f>'Daily Returns'!AU494*(1+'Daily Returns'!AO495)</f>
        <v>1.291369648</v>
      </c>
    </row>
    <row r="496" ht="15.75" customHeight="1">
      <c r="A496" s="9">
        <v>44546.0</v>
      </c>
      <c r="B496" s="6">
        <f>'Daily Returns'!AP495*(1+'Daily Returns'!AK496)</f>
        <v>1.476637269</v>
      </c>
      <c r="D496" s="4">
        <f>'Daily Returns'!AQ495 * (1 + 'Daily Returns'!AJ496)</f>
        <v>1.445050676</v>
      </c>
      <c r="F496" s="7">
        <f>'Daily Returns'!AR495 * (1 +'Daily Returns'!AL496)</f>
        <v>1.401238739</v>
      </c>
      <c r="H496" s="7">
        <f>'Daily Returns'!AS495*(1+'Daily Returns'!AM496)</f>
        <v>1.506166634</v>
      </c>
      <c r="J496" s="5">
        <f>'Daily Returns'!AT495*(1+'Daily Returns'!AN496)</f>
        <v>1.309688964</v>
      </c>
      <c r="L496" s="5">
        <f>'Daily Returns'!AU495*(1+'Daily Returns'!AO496)</f>
        <v>1.282215303</v>
      </c>
    </row>
    <row r="497" ht="15.75" customHeight="1">
      <c r="A497" s="9">
        <v>44547.0</v>
      </c>
      <c r="B497" s="6">
        <f>'Daily Returns'!AP496*(1+'Daily Returns'!AK497)</f>
        <v>1.454834044</v>
      </c>
      <c r="D497" s="4">
        <f>'Daily Returns'!AQ496 * (1 + 'Daily Returns'!AJ497)</f>
        <v>1.430183994</v>
      </c>
      <c r="F497" s="7">
        <f>'Daily Returns'!AR496 * (1 +'Daily Returns'!AL497)</f>
        <v>1.394515922</v>
      </c>
      <c r="H497" s="7">
        <f>'Daily Returns'!AS496*(1+'Daily Returns'!AM497)</f>
        <v>1.489291726</v>
      </c>
      <c r="J497" s="5">
        <f>'Daily Returns'!AT496*(1+'Daily Returns'!AN497)</f>
        <v>1.308038099</v>
      </c>
      <c r="L497" s="5">
        <f>'Daily Returns'!AU496*(1+'Daily Returns'!AO497)</f>
        <v>1.278553823</v>
      </c>
    </row>
    <row r="498" ht="15.75" customHeight="1">
      <c r="A498" s="9">
        <v>44550.0</v>
      </c>
      <c r="B498" s="6">
        <f>'Daily Returns'!AP497*(1+'Daily Returns'!AK498)</f>
        <v>1.448515222</v>
      </c>
      <c r="D498" s="4">
        <f>'Daily Returns'!AQ497 * (1 + 'Daily Returns'!AJ498)</f>
        <v>1.413897059</v>
      </c>
      <c r="F498" s="7">
        <f>'Daily Returns'!AR497 * (1 +'Daily Returns'!AL498)</f>
        <v>1.379705351</v>
      </c>
      <c r="H498" s="7">
        <f>'Daily Returns'!AS497*(1+'Daily Returns'!AM498)</f>
        <v>1.482491264</v>
      </c>
      <c r="J498" s="5">
        <f>'Daily Returns'!AT497*(1+'Daily Returns'!AN498)</f>
        <v>1.315467728</v>
      </c>
      <c r="L498" s="5">
        <f>'Daily Returns'!AU497*(1+'Daily Returns'!AO498)</f>
        <v>1.285266794</v>
      </c>
    </row>
    <row r="499" ht="15.75" customHeight="1">
      <c r="A499" s="9">
        <v>44551.0</v>
      </c>
      <c r="B499" s="6">
        <f>'Daily Returns'!AP498*(1+'Daily Returns'!AK499)</f>
        <v>1.443578501</v>
      </c>
      <c r="D499" s="4">
        <f>'Daily Returns'!AQ498 * (1 + 'Daily Returns'!AJ499)</f>
        <v>1.439033321</v>
      </c>
      <c r="F499" s="7">
        <f>'Daily Returns'!AR498 * (1 +'Daily Returns'!AL499)</f>
        <v>1.368150912</v>
      </c>
      <c r="H499" s="7">
        <f>'Daily Returns'!AS498*(1+'Daily Returns'!AM499)</f>
        <v>1.461649065</v>
      </c>
      <c r="J499" s="5">
        <f>'Daily Returns'!AT498*(1+'Daily Returns'!AN499)</f>
        <v>1.313816777</v>
      </c>
      <c r="L499" s="5">
        <f>'Daily Returns'!AU498*(1+'Daily Returns'!AO499)</f>
        <v>1.283435925</v>
      </c>
    </row>
    <row r="500" ht="15.75" customHeight="1">
      <c r="A500" s="9">
        <v>44552.0</v>
      </c>
      <c r="B500" s="6">
        <f>'Daily Returns'!AP499*(1+'Daily Returns'!AK500)</f>
        <v>1.451069158</v>
      </c>
      <c r="D500" s="4">
        <f>'Daily Returns'!AQ499 * (1 + 'Daily Returns'!AJ500)</f>
        <v>1.45368268</v>
      </c>
      <c r="F500" s="7">
        <f>'Daily Returns'!AR499 * (1 +'Daily Returns'!AL500)</f>
        <v>1.390209463</v>
      </c>
      <c r="H500" s="7">
        <f>'Daily Returns'!AS499*(1+'Daily Returns'!AM500)</f>
        <v>1.490298786</v>
      </c>
      <c r="J500" s="5">
        <f>'Daily Returns'!AT499*(1+'Daily Returns'!AN500)</f>
        <v>1.311340089</v>
      </c>
      <c r="L500" s="5">
        <f>'Daily Returns'!AU499*(1+'Daily Returns'!AO500)</f>
        <v>1.283435925</v>
      </c>
    </row>
    <row r="501" ht="15.75" customHeight="1">
      <c r="A501" s="9">
        <v>44553.0</v>
      </c>
      <c r="B501" s="6">
        <f>'Daily Returns'!AP500*(1+'Daily Returns'!AK501)</f>
        <v>1.461061648</v>
      </c>
      <c r="D501" s="4">
        <f>'Daily Returns'!AQ500 * (1 + 'Daily Returns'!AJ501)</f>
        <v>1.462730401</v>
      </c>
      <c r="F501" s="7">
        <f>'Daily Returns'!AR500 * (1 +'Daily Returns'!AL501)</f>
        <v>1.402499115</v>
      </c>
      <c r="H501" s="7">
        <f>'Daily Returns'!AS500*(1+'Daily Returns'!AM501)</f>
        <v>1.505033324</v>
      </c>
      <c r="J501" s="5">
        <f>'Daily Returns'!AT500*(1+'Daily Returns'!AN501)</f>
        <v>1.299782821</v>
      </c>
      <c r="L501" s="5">
        <f>'Daily Returns'!AU500*(1+'Daily Returns'!AO501)</f>
        <v>1.2709249</v>
      </c>
    </row>
    <row r="502" ht="15.75" customHeight="1">
      <c r="A502" s="9">
        <v>44557.0</v>
      </c>
      <c r="B502" s="6">
        <f>'Daily Returns'!AP501*(1+'Daily Returns'!AK502)</f>
        <v>1.465162028</v>
      </c>
      <c r="D502" s="4">
        <f>'Daily Returns'!AQ501 * (1 + 'Daily Returns'!AJ502)</f>
        <v>1.482973127</v>
      </c>
      <c r="F502" s="7">
        <f>'Daily Returns'!AR501 * (1 +'Daily Returns'!AL502)</f>
        <v>1.412582962</v>
      </c>
      <c r="H502" s="7">
        <f>'Daily Returns'!AS501*(1+'Daily Returns'!AM502)</f>
        <v>1.515422836</v>
      </c>
      <c r="J502" s="5">
        <f>'Daily Returns'!AT501*(1+'Daily Returns'!AN502)</f>
        <v>1.323310095</v>
      </c>
      <c r="L502" s="5">
        <f>'Daily Returns'!AU501*(1+'Daily Returns'!AO502)</f>
        <v>1.29442114</v>
      </c>
    </row>
    <row r="503" ht="15.75" customHeight="1">
      <c r="A503" s="9">
        <v>44558.0</v>
      </c>
      <c r="B503" s="6">
        <f>'Daily Returns'!AP502*(1+'Daily Returns'!AK503)</f>
        <v>1.473823858</v>
      </c>
      <c r="D503" s="4">
        <f>'Daily Returns'!AQ502 * (1 + 'Daily Returns'!AJ503)</f>
        <v>1.481475324</v>
      </c>
      <c r="F503" s="7">
        <f>'Daily Returns'!AR502 * (1 +'Daily Returns'!AL503)</f>
        <v>1.428129082</v>
      </c>
      <c r="H503" s="7">
        <f>'Daily Returns'!AS502*(1+'Daily Returns'!AM503)</f>
        <v>1.535321757</v>
      </c>
      <c r="J503" s="5">
        <f>'Daily Returns'!AT502*(1+'Daily Returns'!AN503)</f>
        <v>1.332390849</v>
      </c>
      <c r="L503" s="5">
        <f>'Daily Returns'!AU502*(1+'Daily Returns'!AO503)</f>
        <v>1.303270427</v>
      </c>
    </row>
    <row r="504" ht="15.75" customHeight="1">
      <c r="A504" s="9">
        <v>44559.0</v>
      </c>
      <c r="B504" s="6">
        <f>'Daily Returns'!AP503*(1+'Daily Returns'!AK504)</f>
        <v>1.483285412</v>
      </c>
      <c r="D504" s="4">
        <f>'Daily Returns'!AQ503 * (1 + 'Daily Returns'!AJ504)</f>
        <v>1.483552353</v>
      </c>
      <c r="F504" s="7">
        <f>'Daily Returns'!AR503 * (1 +'Daily Returns'!AL504)</f>
        <v>1.426658489</v>
      </c>
      <c r="H504" s="7">
        <f>'Daily Returns'!AS503*(1+'Daily Returns'!AM504)</f>
        <v>1.532162483</v>
      </c>
      <c r="J504" s="5">
        <f>'Daily Returns'!AT503*(1+'Daily Returns'!AN504)</f>
        <v>1.342297339</v>
      </c>
      <c r="L504" s="5">
        <f>'Daily Returns'!AU503*(1+'Daily Returns'!AO504)</f>
        <v>1.314255384</v>
      </c>
    </row>
    <row r="505" ht="15.75" customHeight="1">
      <c r="A505" s="9">
        <v>44560.0</v>
      </c>
      <c r="B505" s="6">
        <f>'Daily Returns'!AP504*(1+'Daily Returns'!AK505)</f>
        <v>1.484366979</v>
      </c>
      <c r="D505" s="4">
        <f>'Daily Returns'!AQ504 * (1 + 'Daily Returns'!AJ505)</f>
        <v>1.479116531</v>
      </c>
      <c r="F505" s="7">
        <f>'Daily Returns'!AR504 * (1 +'Daily Returns'!AL505)</f>
        <v>1.427603918</v>
      </c>
      <c r="H505" s="7">
        <f>'Daily Returns'!AS504*(1+'Daily Returns'!AM505)</f>
        <v>1.533047141</v>
      </c>
      <c r="J505" s="5">
        <f>'Daily Returns'!AT504*(1+'Daily Returns'!AN505)</f>
        <v>1.343122989</v>
      </c>
      <c r="L505" s="5">
        <f>'Daily Returns'!AU504*(1+'Daily Returns'!AO505)</f>
        <v>1.314255384</v>
      </c>
    </row>
    <row r="506" ht="15.75" customHeight="1">
      <c r="A506" s="9">
        <v>44561.0</v>
      </c>
      <c r="B506" s="6">
        <f>'Daily Returns'!AP505*(1+'Daily Returns'!AK506)</f>
        <v>1.488511838</v>
      </c>
      <c r="C506" s="6">
        <f>'Daily Returns'!AP505*(1+'Daily Returns'!AK506)</f>
        <v>1.488511838</v>
      </c>
      <c r="D506" s="4">
        <f>'Daily Returns'!AQ505 * (1 + 'Daily Returns'!AJ506)</f>
        <v>1.475232371</v>
      </c>
      <c r="E506" s="4">
        <f>'Daily Returns'!AQ505 * (1 + 'Daily Returns'!AJ506)</f>
        <v>1.475232371</v>
      </c>
      <c r="F506" s="7">
        <f>'Daily Returns'!AR505 * (1 +'Daily Returns'!AL506)</f>
        <v>1.425575497</v>
      </c>
      <c r="G506" s="7">
        <f>'Daily Returns'!AR505 * (1 +'Daily Returns'!AL506)</f>
        <v>1.425575497</v>
      </c>
      <c r="H506" s="7">
        <f>'Daily Returns'!AS505*(1+'Daily Returns'!AM506)</f>
        <v>1.530582694</v>
      </c>
      <c r="I506" s="7">
        <f>'Daily Returns'!AS505*(1+'Daily Returns'!AM506)</f>
        <v>1.530582694</v>
      </c>
      <c r="J506" s="5">
        <f>'Daily Returns'!AT505*(1+'Daily Returns'!AN506)</f>
        <v>1.350965182</v>
      </c>
      <c r="K506" s="5">
        <f>'Daily Returns'!AT505*(1+'Daily Returns'!AN506)</f>
        <v>1.350965182</v>
      </c>
      <c r="L506" s="5">
        <f>'Daily Returns'!AU505*(1+'Daily Returns'!AO506)</f>
        <v>1.320663426</v>
      </c>
      <c r="M506" s="5">
        <f>'Daily Returns'!AU505*(1+'Daily Returns'!AO506)</f>
        <v>1.320663426</v>
      </c>
    </row>
    <row r="507" ht="15.75" customHeight="1">
      <c r="A507" s="9">
        <v>44564.0</v>
      </c>
      <c r="B507" s="6">
        <f>'Daily Returns'!AP506*(1+'Daily Returns'!AK507)</f>
        <v>1.486829995</v>
      </c>
      <c r="D507" s="4">
        <f>'Daily Returns'!AQ506 * (1 + 'Daily Returns'!AJ507)</f>
        <v>1.484635502</v>
      </c>
      <c r="F507" s="7">
        <f>'Daily Returns'!AR506 * (1 +'Daily Returns'!AL507)</f>
        <v>1.422212363</v>
      </c>
      <c r="H507" s="7">
        <f>'Daily Returns'!AS506*(1+'Daily Returns'!AM507)</f>
        <v>1.525716673</v>
      </c>
      <c r="J507" s="5">
        <f>'Daily Returns'!AT506*(1+'Daily Returns'!AN507)</f>
        <v>1.347663279</v>
      </c>
      <c r="L507" s="5">
        <f>'Daily Returns'!AU506*(1+'Daily Returns'!AO507)</f>
        <v>1.318944838</v>
      </c>
    </row>
    <row r="508" ht="15.75" customHeight="1">
      <c r="A508" s="9">
        <v>44565.0</v>
      </c>
      <c r="B508" s="6">
        <f>'Daily Returns'!AP507*(1+'Daily Returns'!AK508)</f>
        <v>1.484603424</v>
      </c>
      <c r="D508" s="4">
        <f>'Daily Returns'!AQ507 * (1 + 'Daily Returns'!AJ508)</f>
        <v>1.483700182</v>
      </c>
      <c r="F508" s="7">
        <f>'Daily Returns'!AR507 * (1 +'Daily Returns'!AL508)</f>
        <v>1.429884566</v>
      </c>
      <c r="H508" s="7">
        <f>'Daily Returns'!AS507*(1+'Daily Returns'!AM508)</f>
        <v>1.535385338</v>
      </c>
      <c r="J508" s="5">
        <f>'Daily Returns'!AT507*(1+'Daily Returns'!AN508)</f>
        <v>1.342297339</v>
      </c>
      <c r="L508" s="5">
        <f>'Daily Returns'!AU507*(1+'Daily Returns'!AO508)</f>
        <v>1.314035085</v>
      </c>
    </row>
    <row r="509" ht="15.75" customHeight="1">
      <c r="A509" s="9">
        <v>44566.0</v>
      </c>
      <c r="B509" s="6">
        <f>'Daily Returns'!AP508*(1+'Daily Returns'!AK509)</f>
        <v>1.486714477</v>
      </c>
      <c r="D509" s="4">
        <f>'Daily Returns'!AQ508 * (1 + 'Daily Returns'!AJ509)</f>
        <v>1.454926784</v>
      </c>
      <c r="F509" s="7">
        <f>'Daily Returns'!AR508 * (1 +'Daily Returns'!AL509)</f>
        <v>1.429884566</v>
      </c>
      <c r="H509" s="7">
        <f>'Daily Returns'!AS508*(1+'Daily Returns'!AM509)</f>
        <v>1.53247836</v>
      </c>
      <c r="J509" s="5">
        <f>'Daily Returns'!AT508*(1+'Daily Returns'!AN509)</f>
        <v>1.343122989</v>
      </c>
      <c r="L509" s="5">
        <f>'Daily Returns'!AU508*(1+'Daily Returns'!AO509)</f>
        <v>1.315569036</v>
      </c>
    </row>
    <row r="510" ht="15.75" customHeight="1">
      <c r="A510" s="9">
        <v>44567.0</v>
      </c>
      <c r="B510" s="6">
        <f>'Daily Returns'!AP509*(1+'Daily Returns'!AK510)</f>
        <v>1.486980313</v>
      </c>
      <c r="D510" s="4">
        <f>'Daily Returns'!AQ509 * (1 + 'Daily Returns'!AJ510)</f>
        <v>1.453524235</v>
      </c>
      <c r="F510" s="7">
        <f>'Daily Returns'!AR509 * (1 +'Daily Returns'!AL510)</f>
        <v>1.405921854</v>
      </c>
      <c r="H510" s="7">
        <f>'Daily Returns'!AS509*(1+'Daily Returns'!AM510)</f>
        <v>1.499239213</v>
      </c>
      <c r="J510" s="5">
        <f>'Daily Returns'!AT509*(1+'Daily Returns'!AN510)</f>
        <v>1.33280376</v>
      </c>
      <c r="L510" s="5">
        <f>'Daily Returns'!AU509*(1+'Daily Returns'!AO510)</f>
        <v>1.304215063</v>
      </c>
    </row>
    <row r="511" ht="15.75" customHeight="1">
      <c r="A511" s="9">
        <v>44568.0</v>
      </c>
      <c r="B511" s="6">
        <f>'Daily Returns'!AP510*(1+'Daily Returns'!AK511)</f>
        <v>1.493732203</v>
      </c>
      <c r="D511" s="4">
        <f>'Daily Returns'!AQ510 * (1 + 'Daily Returns'!AJ511)</f>
        <v>1.447637462</v>
      </c>
      <c r="F511" s="7">
        <f>'Daily Returns'!AR510 * (1 +'Daily Returns'!AL511)</f>
        <v>1.403294185</v>
      </c>
      <c r="H511" s="7">
        <f>'Daily Returns'!AS510*(1+'Daily Returns'!AM511)</f>
        <v>1.498859857</v>
      </c>
      <c r="J511" s="5">
        <f>'Daily Returns'!AT510*(1+'Daily Returns'!AN511)</f>
        <v>1.335693186</v>
      </c>
      <c r="L511" s="5">
        <f>'Daily Returns'!AU510*(1+'Daily Returns'!AO511)</f>
        <v>1.306976742</v>
      </c>
    </row>
    <row r="512" ht="15.75" customHeight="1">
      <c r="A512" s="9">
        <v>44571.0</v>
      </c>
      <c r="B512" s="6">
        <f>'Daily Returns'!AP511*(1+'Daily Returns'!AK512)</f>
        <v>1.489216962</v>
      </c>
      <c r="D512" s="4">
        <f>'Daily Returns'!AQ511 * (1 + 'Daily Returns'!AJ512)</f>
        <v>1.445551416</v>
      </c>
      <c r="F512" s="7">
        <f>'Daily Returns'!AR511 * (1 +'Daily Returns'!AL512)</f>
        <v>1.399826068</v>
      </c>
      <c r="H512" s="7">
        <f>'Daily Returns'!AS511*(1+'Daily Returns'!AM512)</f>
        <v>1.492035197</v>
      </c>
      <c r="J512" s="5">
        <f>'Daily Returns'!AT511*(1+'Daily Returns'!AN512)</f>
        <v>1.337756788</v>
      </c>
      <c r="L512" s="5">
        <f>'Daily Returns'!AU511*(1+'Daily Returns'!AO512)</f>
        <v>1.30851108</v>
      </c>
    </row>
    <row r="513" ht="15.75" customHeight="1">
      <c r="A513" s="9">
        <v>44572.0</v>
      </c>
      <c r="B513" s="6">
        <f>'Daily Returns'!AP512*(1+'Daily Returns'!AK513)</f>
        <v>1.492248859</v>
      </c>
      <c r="D513" s="4">
        <f>'Daily Returns'!AQ512 * (1 + 'Daily Returns'!AJ513)</f>
        <v>1.458792667</v>
      </c>
      <c r="F513" s="7">
        <f>'Daily Returns'!AR512 * (1 +'Daily Returns'!AL513)</f>
        <v>1.394045397</v>
      </c>
      <c r="H513" s="7">
        <f>'Daily Returns'!AS512*(1+'Daily Returns'!AM513)</f>
        <v>1.4894444</v>
      </c>
      <c r="J513" s="5">
        <f>'Daily Returns'!AT512*(1+'Daily Returns'!AN513)</f>
        <v>1.338169439</v>
      </c>
      <c r="L513" s="5">
        <f>'Daily Returns'!AU512*(1+'Daily Returns'!AO513)</f>
        <v>1.307283739</v>
      </c>
    </row>
    <row r="514" ht="15.75" customHeight="1">
      <c r="A514" s="9">
        <v>44573.0</v>
      </c>
      <c r="B514" s="6">
        <f>'Daily Returns'!AP513*(1+'Daily Returns'!AK514)</f>
        <v>1.507630406</v>
      </c>
      <c r="D514" s="4">
        <f>'Daily Returns'!AQ513 * (1 + 'Daily Returns'!AJ514)</f>
        <v>1.462903545</v>
      </c>
      <c r="F514" s="7">
        <f>'Daily Returns'!AR513 * (1 +'Daily Returns'!AL514)</f>
        <v>1.408549187</v>
      </c>
      <c r="H514" s="7">
        <f>'Daily Returns'!AS513*(1+'Daily Returns'!AM514)</f>
        <v>1.504294355</v>
      </c>
      <c r="J514" s="5">
        <f>'Daily Returns'!AT513*(1+'Daily Returns'!AN514)</f>
        <v>1.35055227</v>
      </c>
      <c r="L514" s="5">
        <f>'Daily Returns'!AU513*(1+'Daily Returns'!AO514)</f>
        <v>1.319251964</v>
      </c>
    </row>
    <row r="515" ht="15.75" customHeight="1">
      <c r="A515" s="9">
        <v>44574.0</v>
      </c>
      <c r="B515" s="6">
        <f>'Daily Returns'!AP514*(1+'Daily Returns'!AK515)</f>
        <v>1.504306985</v>
      </c>
      <c r="D515" s="4">
        <f>'Daily Returns'!AQ514 * (1 + 'Daily Returns'!AJ515)</f>
        <v>1.442065947</v>
      </c>
      <c r="F515" s="7">
        <f>'Daily Returns'!AR514 * (1 +'Daily Returns'!AL515)</f>
        <v>1.414750124</v>
      </c>
      <c r="H515" s="7">
        <f>'Daily Returns'!AS514*(1+'Daily Returns'!AM515)</f>
        <v>1.506632653</v>
      </c>
      <c r="J515" s="5">
        <f>'Daily Returns'!AT514*(1+'Daily Returns'!AN515)</f>
        <v>1.357569161</v>
      </c>
      <c r="L515" s="5">
        <f>'Daily Returns'!AU514*(1+'Daily Returns'!AO515)</f>
        <v>1.327230651</v>
      </c>
    </row>
    <row r="516" ht="15.75" customHeight="1">
      <c r="A516" s="9">
        <v>44575.0</v>
      </c>
      <c r="B516" s="6">
        <f>'Daily Returns'!AP515*(1+'Daily Returns'!AK516)</f>
        <v>1.505047728</v>
      </c>
      <c r="D516" s="4">
        <f>'Daily Returns'!AQ515 * (1 + 'Daily Returns'!AJ516)</f>
        <v>1.443248441</v>
      </c>
      <c r="F516" s="7">
        <f>'Daily Returns'!AR515 * (1 +'Daily Returns'!AL516)</f>
        <v>1.39761858</v>
      </c>
      <c r="H516" s="7">
        <f>'Daily Returns'!AS515*(1+'Daily Returns'!AM516)</f>
        <v>1.484578379</v>
      </c>
      <c r="J516" s="5">
        <f>'Daily Returns'!AT515*(1+'Daily Returns'!AN516)</f>
        <v>1.351790657</v>
      </c>
      <c r="L516" s="5">
        <f>'Daily Returns'!AU515*(1+'Daily Returns'!AO516)</f>
        <v>1.320479305</v>
      </c>
    </row>
    <row r="517" ht="15.75" customHeight="1">
      <c r="A517" s="9">
        <v>44579.0</v>
      </c>
      <c r="B517" s="6">
        <f>'Daily Returns'!AP516*(1+'Daily Returns'!AK517)</f>
        <v>1.503302127</v>
      </c>
      <c r="D517" s="4">
        <f>'Daily Returns'!AQ516 * (1 + 'Daily Returns'!AJ517)</f>
        <v>1.416709989</v>
      </c>
      <c r="F517" s="7">
        <f>'Daily Returns'!AR516 * (1 +'Daily Returns'!AL517)</f>
        <v>1.397828965</v>
      </c>
      <c r="H517" s="7">
        <f>'Daily Returns'!AS516*(1+'Daily Returns'!AM517)</f>
        <v>1.485147261</v>
      </c>
      <c r="J517" s="5">
        <f>'Daily Returns'!AT516*(1+'Daily Returns'!AN517)</f>
        <v>1.35715651</v>
      </c>
      <c r="L517" s="5">
        <f>'Daily Returns'!AU516*(1+'Daily Returns'!AO517)</f>
        <v>1.325696313</v>
      </c>
    </row>
    <row r="518" ht="15.75" customHeight="1">
      <c r="A518" s="9">
        <v>44580.0</v>
      </c>
      <c r="B518" s="6">
        <f>'Daily Returns'!AP517*(1+'Daily Returns'!AK518)</f>
        <v>1.507018236</v>
      </c>
      <c r="D518" s="4">
        <f>'Daily Returns'!AQ517 * (1 + 'Daily Returns'!AJ518)</f>
        <v>1.402982069</v>
      </c>
      <c r="F518" s="7">
        <f>'Daily Returns'!AR517 * (1 +'Daily Returns'!AL518)</f>
        <v>1.372710102</v>
      </c>
      <c r="H518" s="7">
        <f>'Daily Returns'!AS517*(1+'Daily Returns'!AM518)</f>
        <v>1.456268226</v>
      </c>
      <c r="J518" s="5">
        <f>'Daily Returns'!AT517*(1+'Daily Returns'!AN518)</f>
        <v>1.368301301</v>
      </c>
      <c r="L518" s="5">
        <f>'Daily Returns'!AU517*(1+'Daily Returns'!AO518)</f>
        <v>1.336743677</v>
      </c>
    </row>
    <row r="519" ht="15.75" customHeight="1">
      <c r="A519" s="9">
        <v>44581.0</v>
      </c>
      <c r="B519" s="6">
        <f>'Daily Returns'!AP518*(1+'Daily Returns'!AK519)</f>
        <v>1.504227847</v>
      </c>
      <c r="D519" s="4">
        <f>'Daily Returns'!AQ518 * (1 + 'Daily Returns'!AJ519)</f>
        <v>1.387497356</v>
      </c>
      <c r="F519" s="7">
        <f>'Daily Returns'!AR518 * (1 +'Daily Returns'!AL519)</f>
        <v>1.362830663</v>
      </c>
      <c r="H519" s="7">
        <f>'Daily Returns'!AS518*(1+'Daily Returns'!AM519)</f>
        <v>1.440975739</v>
      </c>
      <c r="J519" s="5">
        <f>'Daily Returns'!AT518*(1+'Daily Returns'!AN519)</f>
        <v>1.352203221</v>
      </c>
      <c r="L519" s="5">
        <f>'Daily Returns'!AU518*(1+'Daily Returns'!AO519)</f>
        <v>1.320786044</v>
      </c>
    </row>
    <row r="520" ht="15.75" customHeight="1">
      <c r="A520" s="9">
        <v>44582.0</v>
      </c>
      <c r="B520" s="6">
        <f>'Daily Returns'!AP519*(1+'Daily Returns'!AK520)</f>
        <v>1.497328821</v>
      </c>
      <c r="D520" s="4">
        <f>'Daily Returns'!AQ519 * (1 + 'Daily Returns'!AJ520)</f>
        <v>1.361252843</v>
      </c>
      <c r="F520" s="7">
        <f>'Daily Returns'!AR519 * (1 +'Daily Returns'!AL520)</f>
        <v>1.350113675</v>
      </c>
      <c r="H520" s="7">
        <f>'Daily Returns'!AS519*(1+'Daily Returns'!AM520)</f>
        <v>1.424166538</v>
      </c>
      <c r="J520" s="5">
        <f>'Daily Returns'!AT519*(1+'Daily Returns'!AN520)</f>
        <v>1.345599329</v>
      </c>
      <c r="L520" s="5">
        <f>'Daily Returns'!AU519*(1+'Daily Returns'!AO520)</f>
        <v>1.31587642</v>
      </c>
    </row>
    <row r="521" ht="15.75" customHeight="1">
      <c r="A521" s="9">
        <v>44585.0</v>
      </c>
      <c r="B521" s="6">
        <f>'Daily Returns'!AP520*(1+'Daily Returns'!AK521)</f>
        <v>1.489536278</v>
      </c>
      <c r="D521" s="4">
        <f>'Daily Returns'!AQ520 * (1 + 'Daily Returns'!AJ521)</f>
        <v>1.365026236</v>
      </c>
      <c r="F521" s="7">
        <f>'Daily Returns'!AR520 * (1 +'Daily Returns'!AL521)</f>
        <v>1.326255861</v>
      </c>
      <c r="H521" s="7">
        <f>'Daily Returns'!AS520*(1+'Daily Returns'!AM521)</f>
        <v>1.395982634</v>
      </c>
      <c r="J521" s="5">
        <f>'Daily Returns'!AT520*(1+'Daily Returns'!AN521)</f>
        <v>1.336931226</v>
      </c>
      <c r="L521" s="5">
        <f>'Daily Returns'!AU520*(1+'Daily Returns'!AO521)</f>
        <v>1.306670262</v>
      </c>
    </row>
    <row r="522" ht="15.75" customHeight="1">
      <c r="A522" s="9">
        <v>44586.0</v>
      </c>
      <c r="B522" s="6">
        <f>'Daily Returns'!AP521*(1+'Daily Returns'!AK522)</f>
        <v>1.489318123</v>
      </c>
      <c r="D522" s="4">
        <f>'Daily Returns'!AQ521 * (1 + 'Daily Returns'!AJ522)</f>
        <v>1.348411137</v>
      </c>
      <c r="F522" s="7">
        <f>'Daily Returns'!AR521 * (1 +'Daily Returns'!AL522)</f>
        <v>1.325310011</v>
      </c>
      <c r="H522" s="7">
        <f>'Daily Returns'!AS521*(1+'Daily Returns'!AM522)</f>
        <v>1.404956066</v>
      </c>
      <c r="J522" s="5">
        <f>'Daily Returns'!AT521*(1+'Daily Returns'!AN522)</f>
        <v>1.30845075</v>
      </c>
      <c r="L522" s="5">
        <f>'Daily Returns'!AU521*(1+'Daily Returns'!AO522)</f>
        <v>1.27905153</v>
      </c>
    </row>
    <row r="523" ht="15.75" customHeight="1">
      <c r="A523" s="9">
        <v>44587.0</v>
      </c>
      <c r="B523" s="6">
        <f>'Daily Returns'!AP522*(1+'Daily Returns'!AK523)</f>
        <v>1.492234554</v>
      </c>
      <c r="D523" s="4">
        <f>'Daily Returns'!AQ522 * (1 + 'Daily Returns'!AJ523)</f>
        <v>1.346392565</v>
      </c>
      <c r="F523" s="7">
        <f>'Daily Returns'!AR522 * (1 +'Daily Returns'!AL523)</f>
        <v>1.312172588</v>
      </c>
      <c r="H523" s="7">
        <f>'Daily Returns'!AS522*(1+'Daily Returns'!AM523)</f>
        <v>1.385303266</v>
      </c>
      <c r="J523" s="5">
        <f>'Daily Returns'!AT522*(1+'Daily Returns'!AN523)</f>
        <v>1.305561585</v>
      </c>
      <c r="L523" s="5">
        <f>'Daily Returns'!AU522*(1+'Daily Returns'!AO523)</f>
        <v>1.277823672</v>
      </c>
    </row>
    <row r="524" ht="15.75" customHeight="1">
      <c r="A524" s="9">
        <v>44588.0</v>
      </c>
      <c r="B524" s="6">
        <f>'Daily Returns'!AP523*(1+'Daily Returns'!AK524)</f>
        <v>1.494881333</v>
      </c>
      <c r="D524" s="4">
        <f>'Daily Returns'!AQ523 * (1 + 'Daily Returns'!AJ524)</f>
        <v>1.339143588</v>
      </c>
      <c r="F524" s="7">
        <f>'Daily Returns'!AR523 * (1 +'Daily Returns'!AL524)</f>
        <v>1.307653219</v>
      </c>
      <c r="H524" s="7">
        <f>'Daily Returns'!AS523*(1+'Daily Returns'!AM524)</f>
        <v>1.37993174</v>
      </c>
      <c r="J524" s="5">
        <f>'Daily Returns'!AT523*(1+'Daily Returns'!AN524)</f>
        <v>1.308038099</v>
      </c>
      <c r="L524" s="5">
        <f>'Daily Returns'!AU523*(1+'Daily Returns'!AO524)</f>
        <v>1.278744533</v>
      </c>
    </row>
    <row r="525" ht="15.75" customHeight="1">
      <c r="A525" s="9">
        <v>44589.0</v>
      </c>
      <c r="B525" s="6">
        <f>'Daily Returns'!AP524*(1+'Daily Returns'!AK525)</f>
        <v>1.499251349</v>
      </c>
      <c r="D525" s="4">
        <f>'Daily Returns'!AQ524 * (1 + 'Daily Returns'!AJ525)</f>
        <v>1.371749056</v>
      </c>
      <c r="F525" s="7">
        <f>'Daily Returns'!AR524 * (1 +'Daily Returns'!AL525)</f>
        <v>1.300716649</v>
      </c>
      <c r="H525" s="7">
        <f>'Daily Returns'!AS524*(1+'Daily Returns'!AM525)</f>
        <v>1.369694903</v>
      </c>
      <c r="J525" s="5">
        <f>'Daily Returns'!AT524*(1+'Daily Returns'!AN525)</f>
        <v>1.308863575</v>
      </c>
      <c r="L525" s="5">
        <f>'Daily Returns'!AU524*(1+'Daily Returns'!AO525)</f>
        <v>1.280279</v>
      </c>
    </row>
    <row r="526" ht="15.75" customHeight="1">
      <c r="A526" s="9">
        <v>44592.0</v>
      </c>
      <c r="B526" s="6">
        <f>'Daily Returns'!AP525*(1+'Daily Returns'!AK526)</f>
        <v>1.509832836</v>
      </c>
      <c r="D526" s="4">
        <f>'Daily Returns'!AQ525 * (1 + 'Daily Returns'!AJ526)</f>
        <v>1.397655908</v>
      </c>
      <c r="F526" s="7">
        <f>'Daily Returns'!AR525 * (1 +'Daily Returns'!AL526)</f>
        <v>1.323628528</v>
      </c>
      <c r="H526" s="7">
        <f>'Daily Returns'!AS525*(1+'Daily Returns'!AM526)</f>
        <v>1.403439453</v>
      </c>
      <c r="J526" s="5">
        <f>'Daily Returns'!AT525*(1+'Daily Returns'!AN526)</f>
        <v>1.306799712</v>
      </c>
      <c r="L526" s="5">
        <f>'Daily Returns'!AU525*(1+'Daily Returns'!AO526)</f>
        <v>1.277210195</v>
      </c>
    </row>
    <row r="527" ht="15.75" customHeight="1">
      <c r="A527" s="9">
        <v>44593.0</v>
      </c>
      <c r="B527" s="6">
        <f>'Daily Returns'!AP526*(1+'Daily Returns'!AK527)</f>
        <v>1.521520629</v>
      </c>
      <c r="D527" s="4">
        <f>'Daily Returns'!AQ526 * (1 + 'Daily Returns'!AJ527)</f>
        <v>1.407248021</v>
      </c>
      <c r="F527" s="7">
        <f>'Daily Returns'!AR526 * (1 +'Daily Returns'!AL527)</f>
        <v>1.348642324</v>
      </c>
      <c r="H527" s="7">
        <f>'Daily Returns'!AS526*(1+'Daily Returns'!AM527)</f>
        <v>1.433266321</v>
      </c>
      <c r="J527" s="5">
        <f>'Daily Returns'!AT526*(1+'Daily Returns'!AN527)</f>
        <v>1.317531591</v>
      </c>
      <c r="L527" s="5">
        <f>'Daily Returns'!AU526*(1+'Daily Returns'!AO527)</f>
        <v>1.288564426</v>
      </c>
    </row>
    <row r="528" ht="15.75" customHeight="1">
      <c r="A528" s="9">
        <v>44594.0</v>
      </c>
      <c r="B528" s="6">
        <f>'Daily Returns'!AP527*(1+'Daily Returns'!AK528)</f>
        <v>1.531352622</v>
      </c>
      <c r="D528" s="4">
        <f>'Daily Returns'!AQ527 * (1 + 'Daily Returns'!AJ528)</f>
        <v>1.420508519</v>
      </c>
      <c r="F528" s="7">
        <f>'Daily Returns'!AR527 * (1 +'Daily Returns'!AL528)</f>
        <v>1.359677746</v>
      </c>
      <c r="H528" s="7">
        <f>'Daily Returns'!AS527*(1+'Daily Returns'!AM528)</f>
        <v>1.444198594</v>
      </c>
      <c r="J528" s="5">
        <f>'Daily Returns'!AT527*(1+'Daily Returns'!AN528)</f>
        <v>1.338995002</v>
      </c>
      <c r="L528" s="5">
        <f>'Daily Returns'!AU527*(1+'Daily Returns'!AO528)</f>
        <v>1.311887012</v>
      </c>
    </row>
    <row r="529" ht="15.75" customHeight="1">
      <c r="A529" s="9">
        <v>44595.0</v>
      </c>
      <c r="B529" s="6">
        <f>'Daily Returns'!AP528*(1+'Daily Returns'!AK529)</f>
        <v>1.529348101</v>
      </c>
      <c r="D529" s="4">
        <f>'Daily Returns'!AQ528 * (1 + 'Daily Returns'!AJ529)</f>
        <v>1.385860896</v>
      </c>
      <c r="F529" s="7">
        <f>'Daily Returns'!AR528 * (1 +'Daily Returns'!AL529)</f>
        <v>1.371028451</v>
      </c>
      <c r="H529" s="7">
        <f>'Daily Returns'!AS528*(1+'Daily Returns'!AM529)</f>
        <v>1.453740705</v>
      </c>
      <c r="J529" s="5">
        <f>'Daily Returns'!AT528*(1+'Daily Returns'!AN529)</f>
        <v>1.352616307</v>
      </c>
      <c r="L529" s="5">
        <f>'Daily Returns'!AU528*(1+'Daily Returns'!AO529)</f>
        <v>1.324775581</v>
      </c>
    </row>
    <row r="530" ht="15.75" customHeight="1">
      <c r="A530" s="9">
        <v>44596.0</v>
      </c>
      <c r="B530" s="6">
        <f>'Daily Returns'!AP529*(1+'Daily Returns'!AK530)</f>
        <v>1.526876476</v>
      </c>
      <c r="D530" s="4">
        <f>'Daily Returns'!AQ529 * (1 + 'Daily Returns'!AJ530)</f>
        <v>1.39300778</v>
      </c>
      <c r="F530" s="7">
        <f>'Daily Returns'!AR529 * (1 +'Daily Returns'!AL530)</f>
        <v>1.341495453</v>
      </c>
      <c r="H530" s="7">
        <f>'Daily Returns'!AS529*(1+'Daily Returns'!AM530)</f>
        <v>1.41917447</v>
      </c>
      <c r="J530" s="5">
        <f>'Daily Returns'!AT529*(1+'Daily Returns'!AN530)</f>
        <v>1.357982072</v>
      </c>
      <c r="L530" s="5">
        <f>'Daily Returns'!AU529*(1+'Daily Returns'!AO530)</f>
        <v>1.328151125</v>
      </c>
    </row>
    <row r="531" ht="15.75" customHeight="1">
      <c r="A531" s="9">
        <v>44599.0</v>
      </c>
      <c r="B531" s="6">
        <f>'Daily Returns'!AP530*(1+'Daily Returns'!AK531)</f>
        <v>1.532480945</v>
      </c>
      <c r="D531" s="4">
        <f>'Daily Returns'!AQ530 * (1 + 'Daily Returns'!AJ531)</f>
        <v>1.387850866</v>
      </c>
      <c r="F531" s="7">
        <f>'Daily Returns'!AR530 * (1 +'Daily Returns'!AL531)</f>
        <v>1.347591155</v>
      </c>
      <c r="H531" s="7">
        <f>'Daily Returns'!AS530*(1+'Daily Returns'!AM531)</f>
        <v>1.428590028</v>
      </c>
      <c r="J531" s="5">
        <f>'Daily Returns'!AT530*(1+'Daily Returns'!AN531)</f>
        <v>1.339820564</v>
      </c>
      <c r="L531" s="5">
        <f>'Daily Returns'!AU530*(1+'Daily Returns'!AO531)</f>
        <v>1.31096615</v>
      </c>
    </row>
    <row r="532" ht="15.75" customHeight="1">
      <c r="A532" s="9">
        <v>44600.0</v>
      </c>
      <c r="B532" s="6">
        <f>'Daily Returns'!AP531*(1+'Daily Returns'!AK532)</f>
        <v>1.541775735</v>
      </c>
      <c r="D532" s="4">
        <f>'Daily Returns'!AQ531 * (1 + 'Daily Returns'!AJ532)</f>
        <v>1.399510201</v>
      </c>
      <c r="F532" s="7">
        <f>'Daily Returns'!AR531 * (1 +'Daily Returns'!AL532)</f>
        <v>1.345909588</v>
      </c>
      <c r="H532" s="7">
        <f>'Daily Returns'!AS531*(1+'Daily Returns'!AM532)</f>
        <v>1.42498802</v>
      </c>
      <c r="J532" s="5">
        <f>'Daily Returns'!AT531*(1+'Daily Returns'!AN532)</f>
        <v>1.352203221</v>
      </c>
      <c r="L532" s="5">
        <f>'Daily Returns'!AU531*(1+'Daily Returns'!AO532)</f>
        <v>1.322013773</v>
      </c>
    </row>
    <row r="533" ht="15.75" customHeight="1">
      <c r="A533" s="9">
        <v>44601.0</v>
      </c>
      <c r="B533" s="6">
        <f>'Daily Returns'!AP532*(1+'Daily Returns'!AK533)</f>
        <v>1.549555547</v>
      </c>
      <c r="D533" s="4">
        <f>'Daily Returns'!AQ532 * (1 + 'Daily Returns'!AJ533)</f>
        <v>1.41982689</v>
      </c>
      <c r="F533" s="7">
        <f>'Daily Returns'!AR532 * (1 +'Daily Returns'!AL533)</f>
        <v>1.355578726</v>
      </c>
      <c r="H533" s="7">
        <f>'Daily Returns'!AS532*(1+'Daily Returns'!AM533)</f>
        <v>1.438068964</v>
      </c>
      <c r="J533" s="5">
        <f>'Daily Returns'!AT532*(1+'Daily Returns'!AN533)</f>
        <v>1.348901318</v>
      </c>
      <c r="L533" s="5">
        <f>'Daily Returns'!AU532*(1+'Daily Returns'!AO533)</f>
        <v>1.319251964</v>
      </c>
    </row>
    <row r="534" ht="15.75" customHeight="1">
      <c r="A534" s="9">
        <v>44602.0</v>
      </c>
      <c r="B534" s="6">
        <f>'Daily Returns'!AP533*(1+'Daily Returns'!AK534)</f>
        <v>1.541134257</v>
      </c>
      <c r="D534" s="4">
        <f>'Daily Returns'!AQ533 * (1 + 'Daily Returns'!AJ534)</f>
        <v>1.394105306</v>
      </c>
      <c r="F534" s="7">
        <f>'Daily Returns'!AR533 * (1 +'Daily Returns'!AL534)</f>
        <v>1.376283369</v>
      </c>
      <c r="H534" s="7">
        <f>'Daily Returns'!AS533*(1+'Daily Returns'!AM534)</f>
        <v>1.461450225</v>
      </c>
      <c r="J534" s="5">
        <f>'Daily Returns'!AT533*(1+'Daily Returns'!AN534)</f>
        <v>1.357569161</v>
      </c>
      <c r="L534" s="5">
        <f>'Daily Returns'!AU533*(1+'Daily Returns'!AO534)</f>
        <v>1.328458122</v>
      </c>
    </row>
    <row r="535" ht="15.75" customHeight="1">
      <c r="A535" s="9">
        <v>44603.0</v>
      </c>
      <c r="B535" s="6">
        <f>'Daily Returns'!AP534*(1+'Daily Returns'!AK535)</f>
        <v>1.541943405</v>
      </c>
      <c r="D535" s="4">
        <f>'Daily Returns'!AQ534 * (1 + 'Daily Returns'!AJ535)</f>
        <v>1.367660523</v>
      </c>
      <c r="F535" s="7">
        <f>'Daily Returns'!AR534 * (1 +'Daily Returns'!AL535)</f>
        <v>1.354843177</v>
      </c>
      <c r="H535" s="7">
        <f>'Daily Returns'!AS534*(1+'Daily Returns'!AM535)</f>
        <v>1.436678803</v>
      </c>
      <c r="J535" s="5">
        <f>'Daily Returns'!AT534*(1+'Daily Returns'!AN535)</f>
        <v>1.370777728</v>
      </c>
      <c r="L535" s="5">
        <f>'Daily Returns'!AU534*(1+'Daily Returns'!AO535)</f>
        <v>1.342267294</v>
      </c>
    </row>
    <row r="536" ht="15.75" customHeight="1">
      <c r="A536" s="9">
        <v>44606.0</v>
      </c>
      <c r="B536" s="6">
        <f>'Daily Returns'!AP535*(1+'Daily Returns'!AK536)</f>
        <v>1.536488603</v>
      </c>
      <c r="D536" s="4">
        <f>'Daily Returns'!AQ535 * (1 + 'Daily Returns'!AJ536)</f>
        <v>1.362407339</v>
      </c>
      <c r="F536" s="7">
        <f>'Daily Returns'!AR535 * (1 +'Daily Returns'!AL536)</f>
        <v>1.330985364</v>
      </c>
      <c r="H536" s="7">
        <f>'Daily Returns'!AS535*(1+'Daily Returns'!AM536)</f>
        <v>1.408810877</v>
      </c>
      <c r="J536" s="5">
        <f>'Daily Returns'!AT535*(1+'Daily Returns'!AN536)</f>
        <v>1.366237264</v>
      </c>
      <c r="L536" s="5">
        <f>'Daily Returns'!AU535*(1+'Daily Returns'!AO536)</f>
        <v>1.338278144</v>
      </c>
    </row>
    <row r="537" ht="15.75" customHeight="1">
      <c r="A537" s="9">
        <v>44607.0</v>
      </c>
      <c r="B537" s="6">
        <f>'Daily Returns'!AP536*(1+'Daily Returns'!AK537)</f>
        <v>1.530031986</v>
      </c>
      <c r="D537" s="4">
        <f>'Daily Returns'!AQ536 * (1 + 'Daily Returns'!AJ537)</f>
        <v>1.383888415</v>
      </c>
      <c r="F537" s="7">
        <f>'Daily Returns'!AR536 * (1 +'Daily Returns'!AL537)</f>
        <v>1.325415246</v>
      </c>
      <c r="H537" s="7">
        <f>'Daily Returns'!AS536*(1+'Daily Returns'!AM537)</f>
        <v>1.403628979</v>
      </c>
      <c r="J537" s="5">
        <f>'Daily Returns'!AT536*(1+'Daily Returns'!AN537)</f>
        <v>1.366649915</v>
      </c>
      <c r="L537" s="5">
        <f>'Daily Returns'!AU536*(1+'Daily Returns'!AO537)</f>
        <v>1.337664409</v>
      </c>
    </row>
    <row r="538" ht="15.75" customHeight="1">
      <c r="A538" s="9">
        <v>44608.0</v>
      </c>
      <c r="B538" s="6">
        <f>'Daily Returns'!AP537*(1+'Daily Returns'!AK538)</f>
        <v>1.531562278</v>
      </c>
      <c r="D538" s="4">
        <f>'Daily Returns'!AQ537 * (1 + 'Daily Returns'!AJ538)</f>
        <v>1.385107621</v>
      </c>
      <c r="F538" s="7">
        <f>'Daily Returns'!AR537 * (1 +'Daily Returns'!AL538)</f>
        <v>1.348432023</v>
      </c>
      <c r="H538" s="7">
        <f>'Daily Returns'!AS537*(1+'Daily Returns'!AM538)</f>
        <v>1.428590028</v>
      </c>
      <c r="J538" s="5">
        <f>'Daily Returns'!AT537*(1+'Daily Returns'!AN538)</f>
        <v>1.354679909</v>
      </c>
      <c r="L538" s="5">
        <f>'Daily Returns'!AU537*(1+'Daily Returns'!AO538)</f>
        <v>1.32753739</v>
      </c>
    </row>
    <row r="539" ht="15.75" customHeight="1">
      <c r="A539" s="9">
        <v>44609.0</v>
      </c>
      <c r="B539" s="6">
        <f>'Daily Returns'!AP538*(1+'Daily Returns'!AK539)</f>
        <v>1.537487981</v>
      </c>
      <c r="D539" s="4">
        <f>'Daily Returns'!AQ538 * (1 + 'Daily Returns'!AJ539)</f>
        <v>1.355780737</v>
      </c>
      <c r="F539" s="7">
        <f>'Daily Returns'!AR538 * (1 +'Daily Returns'!AL539)</f>
        <v>1.350849223</v>
      </c>
      <c r="H539" s="7">
        <f>'Daily Returns'!AS538*(1+'Daily Returns'!AM539)</f>
        <v>1.429917015</v>
      </c>
      <c r="J539" s="5">
        <f>'Daily Returns'!AT538*(1+'Daily Returns'!AN539)</f>
        <v>1.363347925</v>
      </c>
      <c r="L539" s="5">
        <f>'Daily Returns'!AU538*(1+'Daily Returns'!AO539)</f>
        <v>1.336129813</v>
      </c>
    </row>
    <row r="540" ht="15.75" customHeight="1">
      <c r="A540" s="9">
        <v>44610.0</v>
      </c>
      <c r="B540" s="6">
        <f>'Daily Returns'!AP539*(1+'Daily Returns'!AK540)</f>
        <v>1.539330993</v>
      </c>
      <c r="D540" s="4">
        <f>'Daily Returns'!AQ539 * (1 + 'Daily Returns'!AJ540)</f>
        <v>1.346065212</v>
      </c>
      <c r="F540" s="7">
        <f>'Daily Returns'!AR539 * (1 +'Daily Returns'!AL540)</f>
        <v>1.324679529</v>
      </c>
      <c r="H540" s="7">
        <f>'Daily Returns'!AS539*(1+'Daily Returns'!AM540)</f>
        <v>1.397436174</v>
      </c>
      <c r="J540" s="5">
        <f>'Daily Returns'!AT539*(1+'Daily Returns'!AN540)</f>
        <v>1.354679909</v>
      </c>
      <c r="L540" s="5">
        <f>'Daily Returns'!AU539*(1+'Daily Returns'!AO540)</f>
        <v>1.329685722</v>
      </c>
    </row>
    <row r="541" ht="15.75" customHeight="1">
      <c r="A541" s="9">
        <v>44614.0</v>
      </c>
      <c r="B541" s="6">
        <f>'Daily Returns'!AP540*(1+'Daily Returns'!AK541)</f>
        <v>1.534557118</v>
      </c>
      <c r="D541" s="4">
        <f>'Daily Returns'!AQ540 * (1 + 'Daily Returns'!AJ541)</f>
        <v>1.332412073</v>
      </c>
      <c r="F541" s="7">
        <f>'Daily Returns'!AR540 * (1 +'Daily Returns'!AL541)</f>
        <v>1.314800006</v>
      </c>
      <c r="H541" s="7">
        <f>'Daily Returns'!AS540*(1+'Daily Returns'!AM541)</f>
        <v>1.386251098</v>
      </c>
      <c r="J541" s="5">
        <f>'Daily Returns'!AT540*(1+'Daily Returns'!AN541)</f>
        <v>1.340646127</v>
      </c>
      <c r="L541" s="5">
        <f>'Daily Returns'!AU540*(1+'Daily Returns'!AO541)</f>
        <v>1.316183029</v>
      </c>
    </row>
    <row r="542" ht="15.75" customHeight="1">
      <c r="A542" s="9">
        <v>44615.0</v>
      </c>
      <c r="B542" s="6">
        <f>'Daily Returns'!AP541*(1+'Daily Returns'!AK542)</f>
        <v>1.531833049</v>
      </c>
      <c r="D542" s="4">
        <f>'Daily Returns'!AQ541 * (1 + 'Daily Returns'!AJ542)</f>
        <v>1.307879702</v>
      </c>
      <c r="F542" s="7">
        <f>'Daily Returns'!AR541 * (1 +'Daily Returns'!AL542)</f>
        <v>1.299140232</v>
      </c>
      <c r="H542" s="7">
        <f>'Daily Returns'!AS541*(1+'Daily Returns'!AM542)</f>
        <v>1.370326656</v>
      </c>
      <c r="J542" s="5">
        <f>'Daily Returns'!AT541*(1+'Daily Returns'!AN542)</f>
        <v>1.332390849</v>
      </c>
      <c r="L542" s="5">
        <f>'Daily Returns'!AU541*(1+'Daily Returns'!AO542)</f>
        <v>1.306056139</v>
      </c>
    </row>
    <row r="543" ht="15.75" customHeight="1">
      <c r="A543" s="9">
        <v>44616.0</v>
      </c>
      <c r="B543" s="6">
        <f>'Daily Returns'!AP542*(1+'Daily Returns'!AK543)</f>
        <v>1.525043121</v>
      </c>
      <c r="D543" s="4">
        <f>'Daily Returns'!AQ542 * (1 + 'Daily Returns'!AJ543)</f>
        <v>1.327441659</v>
      </c>
      <c r="F543" s="7">
        <f>'Daily Returns'!AR542 * (1 +'Daily Returns'!AL543)</f>
        <v>1.280327204</v>
      </c>
      <c r="H543" s="7">
        <f>'Daily Returns'!AS542*(1+'Daily Returns'!AM543)</f>
        <v>1.345112804</v>
      </c>
      <c r="J543" s="5">
        <f>'Daily Returns'!AT542*(1+'Daily Returns'!AN543)</f>
        <v>1.326491622</v>
      </c>
      <c r="L543" s="5">
        <f>'Daily Returns'!AU542*(1+'Daily Returns'!AO543)</f>
        <v>1.298998313</v>
      </c>
    </row>
    <row r="544" ht="15.75" customHeight="1">
      <c r="A544" s="9">
        <v>44617.0</v>
      </c>
      <c r="B544" s="6">
        <f>'Daily Returns'!AP543*(1+'Daily Returns'!AK544)</f>
        <v>1.546532583</v>
      </c>
      <c r="D544" s="4">
        <f>'Daily Returns'!AQ543 * (1 + 'Daily Returns'!AJ544)</f>
        <v>1.357140511</v>
      </c>
      <c r="F544" s="7">
        <f>'Daily Returns'!AR543 * (1 +'Daily Returns'!AL544)</f>
        <v>1.286633292</v>
      </c>
      <c r="H544" s="7">
        <f>'Daily Returns'!AS543*(1+'Daily Returns'!AM544)</f>
        <v>1.368683692</v>
      </c>
      <c r="J544" s="5">
        <f>'Daily Returns'!AT543*(1+'Daily Returns'!AN544)</f>
        <v>1.314859501</v>
      </c>
      <c r="L544" s="5">
        <f>'Daily Returns'!AU543*(1+'Daily Returns'!AO544)</f>
        <v>1.288871423</v>
      </c>
    </row>
    <row r="545" ht="15.75" customHeight="1">
      <c r="A545" s="9">
        <v>44620.0</v>
      </c>
      <c r="B545" s="6">
        <f>'Daily Returns'!AP544*(1+'Daily Returns'!AK545)</f>
        <v>1.545955521</v>
      </c>
      <c r="D545" s="4">
        <f>'Daily Returns'!AQ544 * (1 + 'Daily Returns'!AJ545)</f>
        <v>1.353825017</v>
      </c>
      <c r="F545" s="7">
        <f>'Daily Returns'!AR544 * (1 +'Daily Returns'!AL545)</f>
        <v>1.316691874</v>
      </c>
      <c r="H545" s="7">
        <f>'Daily Returns'!AS544*(1+'Daily Returns'!AM545)</f>
        <v>1.399142415</v>
      </c>
      <c r="J545" s="5">
        <f>'Daily Returns'!AT544*(1+'Daily Returns'!AN545)</f>
        <v>1.316105896</v>
      </c>
      <c r="L545" s="5">
        <f>'Daily Returns'!AU544*(1+'Daily Returns'!AO545)</f>
        <v>1.290098764</v>
      </c>
    </row>
    <row r="546" ht="15.75" customHeight="1">
      <c r="A546" s="9">
        <v>44621.0</v>
      </c>
      <c r="B546" s="6">
        <f>'Daily Returns'!AP545*(1+'Daily Returns'!AK546)</f>
        <v>1.547709857</v>
      </c>
      <c r="D546" s="4">
        <f>'Daily Returns'!AQ545 * (1 + 'Daily Returns'!AJ546)</f>
        <v>1.332877282</v>
      </c>
      <c r="F546" s="7">
        <f>'Daily Returns'!AR545 * (1 +'Daily Returns'!AL546)</f>
        <v>1.309334786</v>
      </c>
      <c r="H546" s="7">
        <f>'Daily Returns'!AS545*(1+'Daily Returns'!AM546)</f>
        <v>1.397625801</v>
      </c>
      <c r="J546" s="5">
        <f>'Daily Returns'!AT545*(1+'Daily Returns'!AN546)</f>
        <v>1.3393704</v>
      </c>
      <c r="L546" s="5">
        <f>'Daily Returns'!AU545*(1+'Daily Returns'!AO546)</f>
        <v>1.312500618</v>
      </c>
    </row>
    <row r="547" ht="15.75" customHeight="1">
      <c r="A547" s="9">
        <v>44622.0</v>
      </c>
      <c r="B547" s="6">
        <f>'Daily Returns'!AP546*(1+'Daily Returns'!AK547)</f>
        <v>1.562314352</v>
      </c>
      <c r="D547" s="4">
        <f>'Daily Returns'!AQ546 * (1 + 'Daily Returns'!AJ547)</f>
        <v>1.357726113</v>
      </c>
      <c r="F547" s="7">
        <f>'Daily Returns'!AR546 * (1 +'Daily Returns'!AL547)</f>
        <v>1.288104726</v>
      </c>
      <c r="H547" s="7">
        <f>'Daily Returns'!AS546*(1+'Daily Returns'!AM547)</f>
        <v>1.375824431</v>
      </c>
      <c r="J547" s="5">
        <f>'Daily Returns'!AT546*(1+'Daily Returns'!AN547)</f>
        <v>1.338123831</v>
      </c>
      <c r="L547" s="5">
        <f>'Daily Returns'!AU546*(1+'Daily Returns'!AO547)</f>
        <v>1.312807485</v>
      </c>
    </row>
    <row r="548" ht="15.75" customHeight="1">
      <c r="A548" s="9">
        <v>44623.0</v>
      </c>
      <c r="B548" s="6">
        <f>'Daily Returns'!AP547*(1+'Daily Returns'!AK548)</f>
        <v>1.562204925</v>
      </c>
      <c r="D548" s="4">
        <f>'Daily Returns'!AQ547 * (1 + 'Daily Returns'!AJ548)</f>
        <v>1.350591263</v>
      </c>
      <c r="F548" s="7">
        <f>'Daily Returns'!AR547 * (1 +'Daily Returns'!AL548)</f>
        <v>1.309334786</v>
      </c>
      <c r="H548" s="7">
        <f>'Daily Returns'!AS547*(1+'Daily Returns'!AM548)</f>
        <v>1.40192294</v>
      </c>
      <c r="J548" s="5">
        <f>'Daily Returns'!AT547*(1+'Daily Returns'!AN548)</f>
        <v>1.328153366</v>
      </c>
      <c r="L548" s="5">
        <f>'Daily Returns'!AU547*(1+'Daily Returns'!AO548)</f>
        <v>1.305135795</v>
      </c>
    </row>
    <row r="549" ht="15.75" customHeight="1">
      <c r="A549" s="9">
        <v>44624.0</v>
      </c>
      <c r="B549" s="6">
        <f>'Daily Returns'!AP548*(1+'Daily Returns'!AK549)</f>
        <v>1.578883573</v>
      </c>
      <c r="D549" s="4">
        <f>'Daily Returns'!AQ548 * (1 + 'Daily Returns'!AJ549)</f>
        <v>1.339875671</v>
      </c>
      <c r="F549" s="7">
        <f>'Daily Returns'!AR548 * (1 +'Daily Returns'!AL549)</f>
        <v>1.295251429</v>
      </c>
      <c r="H549" s="7">
        <f>'Daily Returns'!AS548*(1+'Daily Returns'!AM549)</f>
        <v>1.39124347</v>
      </c>
      <c r="J549" s="5">
        <f>'Daily Returns'!AT548*(1+'Daily Returns'!AN549)</f>
        <v>1.346432638</v>
      </c>
      <c r="L549" s="5">
        <f>'Daily Returns'!AU548*(1+'Daily Returns'!AO549)</f>
        <v>1.320786044</v>
      </c>
    </row>
    <row r="550" ht="15.75" customHeight="1">
      <c r="A550" s="9">
        <v>44627.0</v>
      </c>
      <c r="B550" s="6">
        <f>'Daily Returns'!AP549*(1+'Daily Returns'!AK550)</f>
        <v>1.567416233</v>
      </c>
      <c r="D550" s="4">
        <f>'Daily Returns'!AQ549 * (1 + 'Daily Returns'!AJ550)</f>
        <v>1.300325221</v>
      </c>
      <c r="F550" s="7">
        <f>'Daily Returns'!AR549 * (1 +'Daily Returns'!AL550)</f>
        <v>1.27790992</v>
      </c>
      <c r="H550" s="7">
        <f>'Daily Returns'!AS549*(1+'Daily Returns'!AM550)</f>
        <v>1.377341146</v>
      </c>
      <c r="J550" s="5">
        <f>'Daily Returns'!AT549*(1+'Daily Returns'!AN550)</f>
        <v>1.348925428</v>
      </c>
      <c r="L550" s="5">
        <f>'Daily Returns'!AU549*(1+'Daily Returns'!AO550)</f>
        <v>1.32232064</v>
      </c>
    </row>
    <row r="551" ht="15.75" customHeight="1">
      <c r="A551" s="9">
        <v>44628.0</v>
      </c>
      <c r="B551" s="6">
        <f>'Daily Returns'!AP550*(1+'Daily Returns'!AK551)</f>
        <v>1.554616762</v>
      </c>
      <c r="D551" s="4">
        <f>'Daily Returns'!AQ550 * (1 + 'Daily Returns'!AJ551)</f>
        <v>1.290918669</v>
      </c>
      <c r="F551" s="7">
        <f>'Daily Returns'!AR550 * (1 +'Daily Returns'!AL551)</f>
        <v>1.239653466</v>
      </c>
      <c r="H551" s="7">
        <f>'Daily Returns'!AS550*(1+'Daily Returns'!AM551)</f>
        <v>1.334875764</v>
      </c>
      <c r="J551" s="5">
        <f>'Daily Returns'!AT550*(1+'Daily Returns'!AN551)</f>
        <v>1.3601422</v>
      </c>
      <c r="L551" s="5">
        <f>'Daily Returns'!AU550*(1+'Daily Returns'!AO551)</f>
        <v>1.331833666</v>
      </c>
    </row>
    <row r="552" ht="15.75" customHeight="1">
      <c r="A552" s="9">
        <v>44629.0</v>
      </c>
      <c r="B552" s="6">
        <f>'Daily Returns'!AP551*(1+'Daily Returns'!AK552)</f>
        <v>1.557220087</v>
      </c>
      <c r="D552" s="4">
        <f>'Daily Returns'!AQ551 * (1 + 'Daily Returns'!AJ552)</f>
        <v>1.324092697</v>
      </c>
      <c r="F552" s="7">
        <f>'Daily Returns'!AR551 * (1 +'Daily Returns'!AL552)</f>
        <v>1.235449632</v>
      </c>
      <c r="H552" s="7">
        <f>'Daily Returns'!AS551*(1+'Daily Returns'!AM552)</f>
        <v>1.327356074</v>
      </c>
      <c r="J552" s="5">
        <f>'Daily Returns'!AT551*(1+'Daily Returns'!AN552)</f>
        <v>1.354326183</v>
      </c>
      <c r="L552" s="5">
        <f>'Daily Returns'!AU551*(1+'Daily Returns'!AO552)</f>
        <v>1.326310307</v>
      </c>
    </row>
    <row r="553" ht="15.75" customHeight="1">
      <c r="A553" s="9">
        <v>44630.0</v>
      </c>
      <c r="B553" s="6">
        <f>'Daily Returns'!AP552*(1+'Daily Returns'!AK553)</f>
        <v>1.564232018</v>
      </c>
      <c r="D553" s="4">
        <f>'Daily Returns'!AQ552 * (1 + 'Daily Returns'!AJ553)</f>
        <v>1.318409691</v>
      </c>
      <c r="F553" s="7">
        <f>'Daily Returns'!AR552 * (1 +'Daily Returns'!AL553)</f>
        <v>1.273495785</v>
      </c>
      <c r="H553" s="7">
        <f>'Daily Returns'!AS552*(1+'Daily Returns'!AM553)</f>
        <v>1.364197128</v>
      </c>
      <c r="J553" s="5">
        <f>'Daily Returns'!AT552*(1+'Daily Returns'!AN553)</f>
        <v>1.346432638</v>
      </c>
      <c r="L553" s="5">
        <f>'Daily Returns'!AU552*(1+'Daily Returns'!AO553)</f>
        <v>1.319558702</v>
      </c>
    </row>
    <row r="554" ht="15.75" customHeight="1">
      <c r="A554" s="9">
        <v>44631.0</v>
      </c>
      <c r="B554" s="6">
        <f>'Daily Returns'!AP553*(1+'Daily Returns'!AK554)</f>
        <v>1.574373697</v>
      </c>
      <c r="D554" s="4">
        <f>'Daily Returns'!AQ553 * (1 + 'Daily Returns'!AJ554)</f>
        <v>1.301320464</v>
      </c>
      <c r="F554" s="7">
        <f>'Daily Returns'!AR553 * (1 +'Daily Returns'!AL554)</f>
        <v>1.265718347</v>
      </c>
      <c r="H554" s="7">
        <f>'Daily Returns'!AS553*(1+'Daily Returns'!AM554)</f>
        <v>1.358067296</v>
      </c>
      <c r="J554" s="5">
        <f>'Daily Returns'!AT553*(1+'Daily Returns'!AN554)</f>
        <v>1.363881038</v>
      </c>
      <c r="L554" s="5">
        <f>'Daily Returns'!AU553*(1+'Daily Returns'!AO554)</f>
        <v>1.336743677</v>
      </c>
    </row>
    <row r="555" ht="15.75" customHeight="1">
      <c r="A555" s="9">
        <v>44634.0</v>
      </c>
      <c r="B555" s="6">
        <f>'Daily Returns'!AP554*(1+'Daily Returns'!AK555)</f>
        <v>1.56807123</v>
      </c>
      <c r="D555" s="4">
        <f>'Daily Returns'!AQ554 * (1 + 'Daily Returns'!AJ555)</f>
        <v>1.291663365</v>
      </c>
      <c r="F555" s="7">
        <f>'Daily Returns'!AR554 * (1 +'Daily Returns'!AL555)</f>
        <v>1.249638056</v>
      </c>
      <c r="H555" s="7">
        <f>'Daily Returns'!AS554*(1+'Daily Returns'!AM555)</f>
        <v>1.339615232</v>
      </c>
      <c r="J555" s="5">
        <f>'Daily Returns'!AT554*(1+'Daily Returns'!AN555)</f>
        <v>1.368450921</v>
      </c>
      <c r="L555" s="5">
        <f>'Daily Returns'!AU554*(1+'Daily Returns'!AO555)</f>
        <v>1.341960685</v>
      </c>
    </row>
    <row r="556" ht="15.75" customHeight="1">
      <c r="A556" s="9">
        <v>44635.0</v>
      </c>
      <c r="B556" s="6">
        <f>'Daily Returns'!AP555*(1+'Daily Returns'!AK556)</f>
        <v>1.567059774</v>
      </c>
      <c r="D556" s="4">
        <f>'Daily Returns'!AQ555 * (1 + 'Daily Returns'!AJ556)</f>
        <v>1.319315295</v>
      </c>
      <c r="F556" s="7">
        <f>'Daily Returns'!AR555 * (1 +'Daily Returns'!AL556)</f>
        <v>1.24469842</v>
      </c>
      <c r="H556" s="7">
        <f>'Daily Returns'!AS555*(1+'Daily Returns'!AM556)</f>
        <v>1.32640814</v>
      </c>
      <c r="J556" s="5">
        <f>'Daily Returns'!AT555*(1+'Daily Returns'!AN556)</f>
        <v>1.361804032</v>
      </c>
      <c r="L556" s="5">
        <f>'Daily Returns'!AU555*(1+'Daily Returns'!AO556)</f>
        <v>1.334902471</v>
      </c>
    </row>
    <row r="557" ht="15.75" customHeight="1">
      <c r="A557" s="9">
        <v>44636.0</v>
      </c>
      <c r="B557" s="6">
        <f>'Daily Returns'!AP556*(1+'Daily Returns'!AK557)</f>
        <v>1.572826844</v>
      </c>
      <c r="D557" s="4">
        <f>'Daily Returns'!AQ556 * (1 + 'Daily Returns'!AJ557)</f>
        <v>1.348846848</v>
      </c>
      <c r="F557" s="7">
        <f>'Daily Returns'!AR556 * (1 +'Daily Returns'!AL557)</f>
        <v>1.268240782</v>
      </c>
      <c r="H557" s="7">
        <f>'Daily Returns'!AS556*(1+'Daily Returns'!AM557)</f>
        <v>1.354086236</v>
      </c>
      <c r="J557" s="5">
        <f>'Daily Returns'!AT556*(1+'Daily Returns'!AN557)</f>
        <v>1.348925428</v>
      </c>
      <c r="L557" s="5">
        <f>'Daily Returns'!AU556*(1+'Daily Returns'!AO557)</f>
        <v>1.319558702</v>
      </c>
    </row>
    <row r="558" ht="15.75" customHeight="1">
      <c r="A558" s="9">
        <v>44637.0</v>
      </c>
      <c r="B558" s="6">
        <f>'Daily Returns'!AP557*(1+'Daily Returns'!AK558)</f>
        <v>1.580164339</v>
      </c>
      <c r="D558" s="4">
        <f>'Daily Returns'!AQ557 * (1 + 'Daily Returns'!AJ558)</f>
        <v>1.365502409</v>
      </c>
      <c r="F558" s="7">
        <f>'Daily Returns'!AR557 * (1 +'Daily Returns'!AL558)</f>
        <v>1.301452282</v>
      </c>
      <c r="H558" s="7">
        <f>'Daily Returns'!AS557*(1+'Daily Returns'!AM558)</f>
        <v>1.38795744</v>
      </c>
      <c r="J558" s="5">
        <f>'Daily Returns'!AT557*(1+'Daily Returns'!AN558)</f>
        <v>1.348094469</v>
      </c>
      <c r="L558" s="5">
        <f>'Daily Returns'!AU557*(1+'Daily Returns'!AO558)</f>
        <v>1.320479305</v>
      </c>
    </row>
    <row r="559" ht="15.75" customHeight="1">
      <c r="A559" s="9">
        <v>44638.0</v>
      </c>
      <c r="B559" s="6">
        <f>'Daily Returns'!AP558*(1+'Daily Returns'!AK559)</f>
        <v>1.582496425</v>
      </c>
      <c r="D559" s="4">
        <f>'Daily Returns'!AQ558 * (1 + 'Daily Returns'!AJ559)</f>
        <v>1.381426898</v>
      </c>
      <c r="F559" s="7">
        <f>'Daily Returns'!AR558 * (1 +'Daily Returns'!AL559)</f>
        <v>1.315115373</v>
      </c>
      <c r="H559" s="7">
        <f>'Daily Returns'!AS558*(1+'Daily Returns'!AM559)</f>
        <v>1.406535956</v>
      </c>
      <c r="J559" s="5">
        <f>'Daily Returns'!AT558*(1+'Daily Returns'!AN559)</f>
        <v>1.364711822</v>
      </c>
      <c r="L559" s="5">
        <f>'Daily Returns'!AU558*(1+'Daily Returns'!AO559)</f>
        <v>1.337664409</v>
      </c>
    </row>
    <row r="560" ht="15.75" customHeight="1">
      <c r="A560" s="9">
        <v>44641.0</v>
      </c>
      <c r="B560" s="6">
        <f>'Daily Returns'!AP559*(1+'Daily Returns'!AK560)</f>
        <v>1.586203824</v>
      </c>
      <c r="D560" s="4">
        <f>'Daily Returns'!AQ559 * (1 + 'Daily Returns'!AJ560)</f>
        <v>1.380825977</v>
      </c>
      <c r="F560" s="7">
        <f>'Daily Returns'!AR559 * (1 +'Daily Returns'!AL560)</f>
        <v>1.332036448</v>
      </c>
      <c r="H560" s="7">
        <f>'Daily Returns'!AS559*(1+'Daily Returns'!AM560)</f>
        <v>1.422965903</v>
      </c>
      <c r="J560" s="5">
        <f>'Daily Returns'!AT559*(1+'Daily Returns'!AN560)</f>
        <v>1.382991181</v>
      </c>
      <c r="L560" s="5">
        <f>'Daily Returns'!AU559*(1+'Daily Returns'!AO560)</f>
        <v>1.356383464</v>
      </c>
    </row>
    <row r="561" ht="15.75" customHeight="1">
      <c r="A561" s="9">
        <v>44642.0</v>
      </c>
      <c r="B561" s="6">
        <f>'Daily Returns'!AP560*(1+'Daily Returns'!AK561)</f>
        <v>1.586146021</v>
      </c>
      <c r="D561" s="4">
        <f>'Daily Returns'!AQ560 * (1 + 'Daily Returns'!AJ561)</f>
        <v>1.396434834</v>
      </c>
      <c r="F561" s="7">
        <f>'Daily Returns'!AR560 * (1 +'Daily Returns'!AL561)</f>
        <v>1.330670249</v>
      </c>
      <c r="H561" s="7">
        <f>'Daily Returns'!AS560*(1+'Daily Returns'!AM561)</f>
        <v>1.421639018</v>
      </c>
      <c r="J561" s="5">
        <f>'Daily Returns'!AT560*(1+'Daily Returns'!AN561)</f>
        <v>1.386314495</v>
      </c>
      <c r="L561" s="5">
        <f>'Daily Returns'!AU560*(1+'Daily Returns'!AO561)</f>
        <v>1.359759137</v>
      </c>
    </row>
    <row r="562" ht="15.75" customHeight="1">
      <c r="A562" s="9">
        <v>44643.0</v>
      </c>
      <c r="B562" s="6">
        <f>'Daily Returns'!AP561*(1+'Daily Returns'!AK562)</f>
        <v>1.589605121</v>
      </c>
      <c r="D562" s="4">
        <f>'Daily Returns'!AQ561 * (1 + 'Daily Returns'!AJ562)</f>
        <v>1.37929639</v>
      </c>
      <c r="F562" s="7">
        <f>'Daily Returns'!AR561 * (1 +'Daily Returns'!AL562)</f>
        <v>1.346119805</v>
      </c>
      <c r="H562" s="7">
        <f>'Daily Returns'!AS561*(1+'Daily Returns'!AM562)</f>
        <v>1.439080074</v>
      </c>
      <c r="J562" s="5">
        <f>'Daily Returns'!AT561*(1+'Daily Returns'!AN562)</f>
        <v>1.398362401</v>
      </c>
      <c r="L562" s="5">
        <f>'Daily Returns'!AU561*(1+'Daily Returns'!AO562)</f>
        <v>1.3708065</v>
      </c>
    </row>
    <row r="563" ht="15.75" customHeight="1">
      <c r="A563" s="9">
        <v>44644.0</v>
      </c>
      <c r="B563" s="6">
        <f>'Daily Returns'!AP562*(1+'Daily Returns'!AK563)</f>
        <v>1.589964958</v>
      </c>
      <c r="D563" s="4">
        <f>'Daily Returns'!AQ562 * (1 + 'Daily Returns'!AJ563)</f>
        <v>1.399081017</v>
      </c>
      <c r="F563" s="7">
        <f>'Daily Returns'!AR562 * (1 +'Daily Returns'!AL563)</f>
        <v>1.329409031</v>
      </c>
      <c r="H563" s="7">
        <f>'Daily Returns'!AS562*(1+'Daily Returns'!AM563)</f>
        <v>1.419479919</v>
      </c>
      <c r="J563" s="5">
        <f>'Daily Returns'!AT562*(1+'Daily Returns'!AN563)</f>
        <v>1.402516848</v>
      </c>
      <c r="L563" s="5">
        <f>'Daily Returns'!AU562*(1+'Daily Returns'!AO563)</f>
        <v>1.375409773</v>
      </c>
    </row>
    <row r="564" ht="15.75" customHeight="1">
      <c r="A564" s="9">
        <v>44645.0</v>
      </c>
      <c r="B564" s="6">
        <f>'Daily Returns'!AP563*(1+'Daily Returns'!AK564)</f>
        <v>1.587095523</v>
      </c>
      <c r="D564" s="4">
        <f>'Daily Returns'!AQ563 * (1 + 'Daily Returns'!AJ564)</f>
        <v>1.406168761</v>
      </c>
      <c r="F564" s="7">
        <f>'Daily Returns'!AR563 * (1 +'Daily Returns'!AL564)</f>
        <v>1.345804606</v>
      </c>
      <c r="H564" s="7">
        <f>'Daily Returns'!AS563*(1+'Daily Returns'!AM564)</f>
        <v>1.439701298</v>
      </c>
      <c r="J564" s="5">
        <f>'Daily Returns'!AT563*(1+'Daily Returns'!AN564)</f>
        <v>1.390053593</v>
      </c>
      <c r="L564" s="5">
        <f>'Daily Returns'!AU563*(1+'Daily Returns'!AO564)</f>
        <v>1.36558988</v>
      </c>
    </row>
    <row r="565" ht="15.75" customHeight="1">
      <c r="A565" s="9">
        <v>44648.0</v>
      </c>
      <c r="B565" s="6">
        <f>'Daily Returns'!AP564*(1+'Daily Returns'!AK565)</f>
        <v>1.599276301</v>
      </c>
      <c r="D565" s="4">
        <f>'Daily Returns'!AQ564 * (1 + 'Daily Returns'!AJ565)</f>
        <v>1.416215837</v>
      </c>
      <c r="F565" s="7">
        <f>'Daily Returns'!AR564 * (1 +'Daily Returns'!AL565)</f>
        <v>1.349903458</v>
      </c>
      <c r="H565" s="7">
        <f>'Daily Returns'!AS564*(1+'Daily Returns'!AM565)</f>
        <v>1.445850062</v>
      </c>
      <c r="J565" s="5">
        <f>'Daily Returns'!AT564*(1+'Daily Returns'!AN565)</f>
        <v>1.391715337</v>
      </c>
      <c r="L565" s="5">
        <f>'Daily Returns'!AU564*(1+'Daily Returns'!AO565)</f>
        <v>1.366510224</v>
      </c>
    </row>
    <row r="566" ht="15.75" customHeight="1">
      <c r="A566" s="9">
        <v>44649.0</v>
      </c>
      <c r="B566" s="6">
        <f>'Daily Returns'!AP565*(1+'Daily Returns'!AK566)</f>
        <v>1.603005511</v>
      </c>
      <c r="D566" s="4">
        <f>'Daily Returns'!AQ565 * (1 + 'Daily Returns'!AJ566)</f>
        <v>1.433574395</v>
      </c>
      <c r="F566" s="7">
        <f>'Daily Returns'!AR565 * (1 +'Daily Returns'!AL566)</f>
        <v>1.355894009</v>
      </c>
      <c r="H566" s="7">
        <f>'Daily Returns'!AS565*(1+'Daily Returns'!AM566)</f>
        <v>1.455231603</v>
      </c>
      <c r="J566" s="5">
        <f>'Daily Returns'!AT565*(1+'Daily Returns'!AN566)</f>
        <v>1.39711618</v>
      </c>
      <c r="L566" s="5">
        <f>'Daily Returns'!AU565*(1+'Daily Returns'!AO566)</f>
        <v>1.370192765</v>
      </c>
    </row>
    <row r="567" ht="15.75" customHeight="1">
      <c r="A567" s="9">
        <v>44650.0</v>
      </c>
      <c r="B567" s="6">
        <f>'Daily Returns'!AP566*(1+'Daily Returns'!AK567)</f>
        <v>1.603589964</v>
      </c>
      <c r="D567" s="4">
        <f>'Daily Returns'!AQ566 * (1 + 'Daily Returns'!AJ567)</f>
        <v>1.424551477</v>
      </c>
      <c r="F567" s="7">
        <f>'Daily Returns'!AR566 * (1 +'Daily Returns'!AL567)</f>
        <v>1.376914104</v>
      </c>
      <c r="H567" s="7">
        <f>'Daily Returns'!AS566*(1+'Daily Returns'!AM567)</f>
        <v>1.477291142</v>
      </c>
      <c r="J567" s="5">
        <f>'Daily Returns'!AT566*(1+'Daily Returns'!AN567)</f>
        <v>1.39711618</v>
      </c>
      <c r="L567" s="5">
        <f>'Daily Returns'!AU566*(1+'Daily Returns'!AO567)</f>
        <v>1.369886156</v>
      </c>
    </row>
    <row r="568" ht="15.75" customHeight="1">
      <c r="A568" s="9">
        <v>44651.0</v>
      </c>
      <c r="B568" s="6">
        <f>'Daily Returns'!AP567*(1+'Daily Returns'!AK568)</f>
        <v>1.602032633</v>
      </c>
      <c r="D568" s="4">
        <f>'Daily Returns'!AQ567 * (1 + 'Daily Returns'!AJ568)</f>
        <v>1.402252973</v>
      </c>
      <c r="F568" s="7">
        <f>'Daily Returns'!AR567 * (1 +'Daily Returns'!AL568)</f>
        <v>1.368190648</v>
      </c>
      <c r="H568" s="7">
        <f>'Daily Returns'!AS567*(1+'Daily Returns'!AM568)</f>
        <v>1.465310401</v>
      </c>
      <c r="J568" s="5">
        <f>'Daily Returns'!AT567*(1+'Daily Returns'!AN568)</f>
        <v>1.401686237</v>
      </c>
      <c r="L568" s="5">
        <f>'Daily Returns'!AU567*(1+'Daily Returns'!AO568)</f>
        <v>1.375409773</v>
      </c>
    </row>
    <row r="569" ht="15.75" customHeight="1">
      <c r="A569" s="9">
        <v>44652.0</v>
      </c>
      <c r="B569" s="6">
        <f>'Daily Returns'!AP568*(1+'Daily Returns'!AK569)</f>
        <v>1.614736574</v>
      </c>
      <c r="D569" s="4">
        <f>'Daily Returns'!AQ568 * (1 + 'Daily Returns'!AJ569)</f>
        <v>1.407034656</v>
      </c>
      <c r="F569" s="7">
        <f>'Daily Returns'!AR568 * (1 +'Daily Returns'!AL569)</f>
        <v>1.346960757</v>
      </c>
      <c r="H569" s="7">
        <f>'Daily Returns'!AS568*(1+'Daily Returns'!AM569)</f>
        <v>1.443187788</v>
      </c>
      <c r="J569" s="5">
        <f>'Daily Returns'!AT568*(1+'Daily Returns'!AN569)</f>
        <v>1.401270366</v>
      </c>
      <c r="L569" s="5">
        <f>'Daily Returns'!AU568*(1+'Daily Returns'!AO569)</f>
        <v>1.376637373</v>
      </c>
    </row>
    <row r="570" ht="15.75" customHeight="1">
      <c r="A570" s="9">
        <v>44655.0</v>
      </c>
      <c r="B570" s="6">
        <f>'Daily Returns'!AP569*(1+'Daily Returns'!AK570)</f>
        <v>1.617514381</v>
      </c>
      <c r="D570" s="4">
        <f>'Daily Returns'!AQ569 * (1 + 'Daily Returns'!AJ570)</f>
        <v>1.418418973</v>
      </c>
      <c r="F570" s="7">
        <f>'Daily Returns'!AR569 * (1 +'Daily Returns'!AL570)</f>
        <v>1.353792092</v>
      </c>
      <c r="H570" s="7">
        <f>'Daily Returns'!AS569*(1+'Daily Returns'!AM570)</f>
        <v>1.448956184</v>
      </c>
      <c r="J570" s="5">
        <f>'Daily Returns'!AT569*(1+'Daily Returns'!AN570)</f>
        <v>1.390884552</v>
      </c>
      <c r="L570" s="5">
        <f>'Daily Returns'!AU569*(1+'Daily Returns'!AO570)</f>
        <v>1.36581974</v>
      </c>
    </row>
    <row r="571" ht="15.75" customHeight="1">
      <c r="A571" s="9">
        <v>44656.0</v>
      </c>
      <c r="B571" s="6">
        <f>'Daily Returns'!AP570*(1+'Daily Returns'!AK571)</f>
        <v>1.621778898</v>
      </c>
      <c r="D571" s="4">
        <f>'Daily Returns'!AQ570 * (1 + 'Daily Returns'!AJ571)</f>
        <v>1.400614978</v>
      </c>
      <c r="F571" s="7">
        <f>'Daily Returns'!AR570 * (1 +'Daily Returns'!AL571)</f>
        <v>1.36346123</v>
      </c>
      <c r="H571" s="7">
        <f>'Daily Returns'!AS570*(1+'Daily Returns'!AM571)</f>
        <v>1.461253612</v>
      </c>
      <c r="J571" s="5">
        <f>'Daily Returns'!AT570*(1+'Daily Returns'!AN571)</f>
        <v>1.393376994</v>
      </c>
      <c r="L571" s="5">
        <f>'Daily Returns'!AU570*(1+'Daily Returns'!AO571)</f>
        <v>1.367673996</v>
      </c>
    </row>
    <row r="572" ht="15.75" customHeight="1">
      <c r="A572" s="9">
        <v>44657.0</v>
      </c>
      <c r="B572" s="6">
        <f>'Daily Returns'!AP571*(1+'Daily Returns'!AK572)</f>
        <v>1.626206538</v>
      </c>
      <c r="D572" s="4">
        <f>'Daily Returns'!AQ571 * (1 + 'Daily Returns'!AJ572)</f>
        <v>1.387005203</v>
      </c>
      <c r="F572" s="7">
        <f>'Daily Returns'!AR571 * (1 +'Daily Returns'!AL572)</f>
        <v>1.345384088</v>
      </c>
      <c r="H572" s="7">
        <f>'Daily Returns'!AS571*(1+'Daily Returns'!AM572)</f>
        <v>1.439891128</v>
      </c>
      <c r="J572" s="5">
        <f>'Daily Returns'!AT571*(1+'Daily Returns'!AN572)</f>
        <v>1.403762895</v>
      </c>
      <c r="L572" s="5">
        <f>'Daily Returns'!AU571*(1+'Daily Returns'!AO572)</f>
        <v>1.376019115</v>
      </c>
    </row>
    <row r="573" ht="15.75" customHeight="1">
      <c r="A573" s="9">
        <v>44658.0</v>
      </c>
      <c r="B573" s="6">
        <f>'Daily Returns'!AP572*(1+'Daily Returns'!AK573)</f>
        <v>1.626673761</v>
      </c>
      <c r="D573" s="4">
        <f>'Daily Returns'!AQ572 * (1 + 'Daily Returns'!AJ573)</f>
        <v>1.392904136</v>
      </c>
      <c r="F573" s="7">
        <f>'Daily Returns'!AR572 * (1 +'Daily Returns'!AL573)</f>
        <v>1.330670249</v>
      </c>
      <c r="H573" s="7">
        <f>'Daily Returns'!AS572*(1+'Daily Returns'!AM573)</f>
        <v>1.423346474</v>
      </c>
      <c r="J573" s="5">
        <f>'Daily Returns'!AT572*(1+'Daily Returns'!AN573)</f>
        <v>1.39711618</v>
      </c>
      <c r="L573" s="5">
        <f>'Daily Returns'!AU572*(1+'Daily Returns'!AO573)</f>
        <v>1.367365061</v>
      </c>
    </row>
    <row r="574" ht="15.75" customHeight="1">
      <c r="A574" s="9">
        <v>44659.0</v>
      </c>
      <c r="B574" s="6">
        <f>'Daily Returns'!AP573*(1+'Daily Returns'!AK574)</f>
        <v>1.630950041</v>
      </c>
      <c r="D574" s="4">
        <f>'Daily Returns'!AQ573 * (1 + 'Daily Returns'!AJ574)</f>
        <v>1.389211547</v>
      </c>
      <c r="F574" s="7">
        <f>'Daily Returns'!AR573 * (1 +'Daily Returns'!AL574)</f>
        <v>1.336450667</v>
      </c>
      <c r="H574" s="7">
        <f>'Daily Returns'!AS573*(1+'Daily Returns'!AM574)</f>
        <v>1.428734906</v>
      </c>
      <c r="J574" s="5">
        <f>'Daily Returns'!AT573*(1+'Daily Returns'!AN574)</f>
        <v>1.388391762</v>
      </c>
      <c r="L574" s="5">
        <f>'Daily Returns'!AU573*(1+'Daily Returns'!AO574)</f>
        <v>1.358401684</v>
      </c>
    </row>
    <row r="575" ht="15.75" customHeight="1">
      <c r="A575" s="9">
        <v>44662.0</v>
      </c>
      <c r="B575" s="6">
        <f>'Daily Returns'!AP574*(1+'Daily Returns'!AK575)</f>
        <v>1.631991292</v>
      </c>
      <c r="D575" s="4">
        <f>'Daily Returns'!AQ574 * (1 + 'Daily Returns'!AJ575)</f>
        <v>1.365765824</v>
      </c>
      <c r="F575" s="7">
        <f>'Daily Returns'!AR574 * (1 +'Daily Returns'!AL575)</f>
        <v>1.332562033</v>
      </c>
      <c r="H575" s="7">
        <f>'Daily Returns'!AS574*(1+'Daily Returns'!AM575)</f>
        <v>1.424297749</v>
      </c>
      <c r="J575" s="5">
        <f>'Daily Returns'!AT574*(1+'Daily Returns'!AN575)</f>
        <v>1.390469203</v>
      </c>
      <c r="L575" s="5">
        <f>'Daily Returns'!AU574*(1+'Daily Returns'!AO575)</f>
        <v>1.361183261</v>
      </c>
    </row>
    <row r="576" ht="15.75" customHeight="1">
      <c r="A576" s="9">
        <v>44663.0</v>
      </c>
      <c r="B576" s="6">
        <f>'Daily Returns'!AP575*(1+'Daily Returns'!AK576)</f>
        <v>1.633082199</v>
      </c>
      <c r="D576" s="4">
        <f>'Daily Returns'!AQ575 * (1 + 'Daily Returns'!AJ576)</f>
        <v>1.361097636</v>
      </c>
      <c r="F576" s="7">
        <f>'Daily Returns'!AR575 * (1 +'Daily Returns'!AL576)</f>
        <v>1.312592938</v>
      </c>
      <c r="H576" s="7">
        <f>'Daily Returns'!AS575*(1+'Daily Returns'!AM576)</f>
        <v>1.402047773</v>
      </c>
      <c r="J576" s="5">
        <f>'Daily Returns'!AT575*(1+'Daily Returns'!AN576)</f>
        <v>1.392130599</v>
      </c>
      <c r="L576" s="5">
        <f>'Daily Returns'!AU575*(1+'Daily Returns'!AO576)</f>
        <v>1.36427429</v>
      </c>
    </row>
    <row r="577" ht="15.75" customHeight="1">
      <c r="A577" s="9">
        <v>44664.0</v>
      </c>
      <c r="B577" s="6">
        <f>'Daily Returns'!AP576*(1+'Daily Returns'!AK577)</f>
        <v>1.637795125</v>
      </c>
      <c r="D577" s="4">
        <f>'Daily Returns'!AQ576 * (1 + 'Daily Returns'!AJ577)</f>
        <v>1.376307902</v>
      </c>
      <c r="F577" s="7">
        <f>'Daily Returns'!AR576 * (1 +'Daily Returns'!AL577)</f>
        <v>1.306602218</v>
      </c>
      <c r="H577" s="7">
        <f>'Daily Returns'!AS576*(1+'Daily Returns'!AM577)</f>
        <v>1.397737371</v>
      </c>
      <c r="J577" s="5">
        <f>'Daily Returns'!AT576*(1+'Daily Returns'!AN577)</f>
        <v>1.388391762</v>
      </c>
      <c r="L577" s="5">
        <f>'Daily Returns'!AU576*(1+'Daily Returns'!AO577)</f>
        <v>1.359019812</v>
      </c>
    </row>
    <row r="578" ht="15.75" customHeight="1">
      <c r="A578" s="9">
        <v>44665.0</v>
      </c>
      <c r="B578" s="6">
        <f>'Daily Returns'!AP577*(1+'Daily Returns'!AK578)</f>
        <v>1.642198455</v>
      </c>
      <c r="D578" s="4">
        <f>'Daily Returns'!AQ577 * (1 + 'Daily Returns'!AJ578)</f>
        <v>1.359594019</v>
      </c>
      <c r="F578" s="7">
        <f>'Daily Returns'!AR577 * (1 +'Daily Returns'!AL578)</f>
        <v>1.323102944</v>
      </c>
      <c r="H578" s="7">
        <f>'Daily Returns'!AS577*(1+'Daily Returns'!AM578)</f>
        <v>1.416057111</v>
      </c>
      <c r="J578" s="5">
        <f>'Daily Returns'!AT577*(1+'Daily Returns'!AN578)</f>
        <v>1.382575745</v>
      </c>
      <c r="L578" s="5">
        <f>'Daily Returns'!AU577*(1+'Daily Returns'!AO578)</f>
        <v>1.354692655</v>
      </c>
    </row>
    <row r="579" ht="15.75" customHeight="1">
      <c r="A579" s="9">
        <v>44669.0</v>
      </c>
      <c r="B579" s="6">
        <f>'Daily Returns'!AP578*(1+'Daily Returns'!AK579)</f>
        <v>1.645009608</v>
      </c>
      <c r="D579" s="4">
        <f>'Daily Returns'!AQ578 * (1 + 'Daily Returns'!AJ579)</f>
        <v>1.359315302</v>
      </c>
      <c r="F579" s="7">
        <f>'Daily Returns'!AR578 * (1 +'Daily Returns'!AL579)</f>
        <v>1.309650238</v>
      </c>
      <c r="H579" s="7">
        <f>'Daily Returns'!AS578*(1+'Daily Returns'!AM579)</f>
        <v>1.398815098</v>
      </c>
      <c r="J579" s="5">
        <f>'Daily Returns'!AT578*(1+'Daily Returns'!AN579)</f>
        <v>1.386730192</v>
      </c>
      <c r="L579" s="5">
        <f>'Daily Returns'!AU578*(1+'Daily Returns'!AO579)</f>
        <v>1.362110453</v>
      </c>
    </row>
    <row r="580" ht="15.75" customHeight="1">
      <c r="A580" s="9">
        <v>44670.0</v>
      </c>
      <c r="B580" s="6">
        <f>'Daily Returns'!AP579*(1+'Daily Returns'!AK580)</f>
        <v>1.644485838</v>
      </c>
      <c r="D580" s="4">
        <f>'Daily Returns'!AQ579 * (1 + 'Daily Returns'!AJ580)</f>
        <v>1.381143187</v>
      </c>
      <c r="F580" s="7">
        <f>'Daily Returns'!AR579 * (1 +'Daily Returns'!AL580)</f>
        <v>1.305236018</v>
      </c>
      <c r="H580" s="7">
        <f>'Daily Returns'!AS579*(1+'Daily Returns'!AM580)</f>
        <v>1.396406233</v>
      </c>
      <c r="J580" s="5">
        <f>'Daily Returns'!AT579*(1+'Daily Returns'!AN580)</f>
        <v>1.388807198</v>
      </c>
      <c r="L580" s="5">
        <f>'Daily Returns'!AU579*(1+'Daily Returns'!AO580)</f>
        <v>1.362419905</v>
      </c>
    </row>
    <row r="581" ht="15.75" customHeight="1">
      <c r="A581" s="9">
        <v>44671.0</v>
      </c>
      <c r="B581" s="6">
        <f>'Daily Returns'!AP580*(1+'Daily Returns'!AK581)</f>
        <v>1.651156748</v>
      </c>
      <c r="D581" s="4">
        <f>'Daily Returns'!AQ580 * (1 + 'Daily Returns'!AJ581)</f>
        <v>1.38028826</v>
      </c>
      <c r="F581" s="7">
        <f>'Daily Returns'!AR580 * (1 +'Daily Returns'!AL581)</f>
        <v>1.321526527</v>
      </c>
      <c r="H581" s="7">
        <f>'Daily Returns'!AS580*(1+'Daily Returns'!AM581)</f>
        <v>1.42100119</v>
      </c>
      <c r="J581" s="5">
        <f>'Daily Returns'!AT580*(1+'Daily Returns'!AN581)</f>
        <v>1.388807198</v>
      </c>
      <c r="L581" s="5">
        <f>'Daily Returns'!AU580*(1+'Daily Returns'!AO581)</f>
        <v>1.363037775</v>
      </c>
    </row>
    <row r="582" ht="15.75" customHeight="1">
      <c r="A582" s="9">
        <v>44672.0</v>
      </c>
      <c r="B582" s="6">
        <f>'Daily Returns'!AP581*(1+'Daily Returns'!AK582)</f>
        <v>1.64480781</v>
      </c>
      <c r="D582" s="4">
        <f>'Daily Returns'!AQ581 * (1 + 'Daily Returns'!AJ582)</f>
        <v>1.359924867</v>
      </c>
      <c r="F582" s="7">
        <f>'Daily Returns'!AR581 * (1 +'Daily Returns'!AL582)</f>
        <v>1.323418311</v>
      </c>
      <c r="H582" s="7">
        <f>'Daily Returns'!AS581*(1+'Daily Returns'!AM582)</f>
        <v>1.419162929</v>
      </c>
      <c r="J582" s="5">
        <f>'Daily Returns'!AT581*(1+'Daily Returns'!AN582)</f>
        <v>1.399608709</v>
      </c>
      <c r="L582" s="5">
        <f>'Daily Returns'!AU581*(1+'Daily Returns'!AO582)</f>
        <v>1.373855537</v>
      </c>
    </row>
    <row r="583" ht="15.75" customHeight="1">
      <c r="A583" s="9">
        <v>44673.0</v>
      </c>
      <c r="B583" s="6">
        <f>'Daily Returns'!AP582*(1+'Daily Returns'!AK583)</f>
        <v>1.618800871</v>
      </c>
      <c r="D583" s="4">
        <f>'Daily Returns'!AQ582 * (1 + 'Daily Returns'!AJ583)</f>
        <v>1.322200551</v>
      </c>
      <c r="F583" s="7">
        <f>'Daily Returns'!AR582 * (1 +'Daily Returns'!AL583)</f>
        <v>1.303659518</v>
      </c>
      <c r="H583" s="7">
        <f>'Daily Returns'!AS582*(1+'Daily Returns'!AM583)</f>
        <v>1.395962588</v>
      </c>
      <c r="J583" s="5">
        <f>'Daily Returns'!AT582*(1+'Daily Returns'!AN583)</f>
        <v>1.396700656</v>
      </c>
      <c r="L583" s="5">
        <f>'Daily Returns'!AU582*(1+'Daily Returns'!AO583)</f>
        <v>1.372001152</v>
      </c>
    </row>
    <row r="584" ht="15.75" customHeight="1">
      <c r="A584" s="9">
        <v>44676.0</v>
      </c>
      <c r="B584" s="6">
        <f>'Daily Returns'!AP583*(1+'Daily Returns'!AK584)</f>
        <v>1.606710515</v>
      </c>
      <c r="D584" s="4">
        <f>'Daily Returns'!AQ583 * (1 + 'Daily Returns'!AJ584)</f>
        <v>1.32973445</v>
      </c>
      <c r="F584" s="7">
        <f>'Daily Returns'!AR583 * (1 +'Daily Returns'!AL584)</f>
        <v>1.271498934</v>
      </c>
      <c r="H584" s="7">
        <f>'Daily Returns'!AS583*(1+'Daily Returns'!AM584)</f>
        <v>1.357928897</v>
      </c>
      <c r="J584" s="5">
        <f>'Daily Returns'!AT583*(1+'Daily Returns'!AN584)</f>
        <v>1.376759467</v>
      </c>
      <c r="L584" s="5">
        <f>'Daily Returns'!AU583*(1+'Daily Returns'!AO584)</f>
        <v>1.350674563</v>
      </c>
    </row>
    <row r="585" ht="15.75" customHeight="1">
      <c r="A585" s="9">
        <v>44677.0</v>
      </c>
      <c r="B585" s="6">
        <f>'Daily Returns'!AP584*(1+'Daily Returns'!AK585)</f>
        <v>1.590513901</v>
      </c>
      <c r="D585" s="4">
        <f>'Daily Returns'!AQ584 * (1 + 'Daily Returns'!AJ585)</f>
        <v>1.292307744</v>
      </c>
      <c r="F585" s="7">
        <f>'Daily Returns'!AR584 * (1 +'Daily Returns'!AL585)</f>
        <v>1.274546785</v>
      </c>
      <c r="H585" s="7">
        <f>'Daily Returns'!AS584*(1+'Daily Returns'!AM585)</f>
        <v>1.36534532</v>
      </c>
      <c r="J585" s="5">
        <f>'Daily Returns'!AT584*(1+'Daily Returns'!AN585)</f>
        <v>1.34934069</v>
      </c>
      <c r="L585" s="5">
        <f>'Daily Returns'!AU584*(1+'Daily Returns'!AO585)</f>
        <v>1.322857497</v>
      </c>
    </row>
    <row r="586" ht="15.75" customHeight="1">
      <c r="A586" s="9">
        <v>44678.0</v>
      </c>
      <c r="B586" s="6">
        <f>'Daily Returns'!AP585*(1+'Daily Returns'!AK586)</f>
        <v>1.58366063</v>
      </c>
      <c r="D586" s="4">
        <f>'Daily Returns'!AQ585 * (1 + 'Daily Returns'!AJ586)</f>
        <v>1.295019006</v>
      </c>
      <c r="F586" s="7">
        <f>'Daily Returns'!AR585 * (1 +'Daily Returns'!AL586)</f>
        <v>1.240284201</v>
      </c>
      <c r="H586" s="7">
        <f>'Daily Returns'!AS585*(1+'Daily Returns'!AM586)</f>
        <v>1.326424237</v>
      </c>
      <c r="J586" s="5">
        <f>'Daily Returns'!AT585*(1+'Daily Returns'!AN586)</f>
        <v>1.337293133</v>
      </c>
      <c r="L586" s="5">
        <f>'Daily Returns'!AU585*(1+'Daily Returns'!AO586)</f>
        <v>1.312349057</v>
      </c>
    </row>
    <row r="587" ht="15.75" customHeight="1">
      <c r="A587" s="9">
        <v>44679.0</v>
      </c>
      <c r="B587" s="6">
        <f>'Daily Returns'!AP586*(1+'Daily Returns'!AK587)</f>
        <v>1.594526188</v>
      </c>
      <c r="D587" s="4">
        <f>'Daily Returns'!AQ586 * (1 + 'Daily Returns'!AJ587)</f>
        <v>1.327066841</v>
      </c>
      <c r="F587" s="7">
        <f>'Daily Returns'!AR586 * (1 +'Daily Returns'!AL587)</f>
        <v>1.244908553</v>
      </c>
      <c r="H587" s="7">
        <f>'Daily Returns'!AS586*(1+'Daily Returns'!AM587)</f>
        <v>1.329023134</v>
      </c>
      <c r="J587" s="5">
        <f>'Daily Returns'!AT586*(1+'Daily Returns'!AN587)</f>
        <v>1.317767466</v>
      </c>
      <c r="L587" s="5">
        <f>'Daily Returns'!AU586*(1+'Daily Returns'!AO587)</f>
        <v>1.291949661</v>
      </c>
    </row>
    <row r="588" ht="15.75" customHeight="1">
      <c r="A588" s="9">
        <v>44680.0</v>
      </c>
      <c r="B588" s="6">
        <f>'Daily Returns'!AP587*(1+'Daily Returns'!AK588)</f>
        <v>1.579519618</v>
      </c>
      <c r="D588" s="4">
        <f>'Daily Returns'!AQ587 * (1 + 'Daily Returns'!AJ588)</f>
        <v>1.278914221</v>
      </c>
      <c r="F588" s="7">
        <f>'Daily Returns'!AR587 * (1 +'Daily Returns'!AL588)</f>
        <v>1.271709067</v>
      </c>
      <c r="H588" s="7">
        <f>'Daily Returns'!AS587*(1+'Daily Returns'!AM588)</f>
        <v>1.361415185</v>
      </c>
      <c r="J588" s="5">
        <f>'Daily Returns'!AT587*(1+'Daily Returns'!AN588)</f>
        <v>1.321090954</v>
      </c>
      <c r="L588" s="5">
        <f>'Daily Returns'!AU587*(1+'Daily Returns'!AO588)</f>
        <v>1.29504069</v>
      </c>
    </row>
    <row r="589" ht="15.75" customHeight="1">
      <c r="A589" s="9">
        <v>44683.0</v>
      </c>
      <c r="B589" s="6">
        <f>'Daily Returns'!AP588*(1+'Daily Returns'!AK589)</f>
        <v>1.575537458</v>
      </c>
      <c r="D589" s="4">
        <f>'Daily Returns'!AQ588 * (1 + 'Daily Returns'!AJ589)</f>
        <v>1.286172059</v>
      </c>
      <c r="F589" s="7">
        <f>'Daily Returns'!AR588 * (1 +'Daily Returns'!AL589)</f>
        <v>1.234083348</v>
      </c>
      <c r="H589" s="7">
        <f>'Daily Returns'!AS588*(1+'Daily Returns'!AM589)</f>
        <v>1.311400955</v>
      </c>
      <c r="J589" s="5">
        <f>'Daily Returns'!AT588*(1+'Daily Returns'!AN589)</f>
        <v>1.344355632</v>
      </c>
      <c r="L589" s="5">
        <f>'Daily Returns'!AU588*(1+'Daily Returns'!AO589)</f>
        <v>1.318221535</v>
      </c>
    </row>
    <row r="590" ht="15.75" customHeight="1">
      <c r="A590" s="9">
        <v>44684.0</v>
      </c>
      <c r="B590" s="6">
        <f>'Daily Returns'!AP589*(1+'Daily Returns'!AK590)</f>
        <v>1.581524635</v>
      </c>
      <c r="D590" s="4">
        <f>'Daily Returns'!AQ589 * (1 + 'Daily Returns'!AJ590)</f>
        <v>1.292393273</v>
      </c>
      <c r="F590" s="7">
        <f>'Daily Returns'!AR589 * (1 +'Daily Returns'!AL590)</f>
        <v>1.238497483</v>
      </c>
      <c r="H590" s="7">
        <f>'Daily Returns'!AS589*(1+'Daily Returns'!AM590)</f>
        <v>1.321289721</v>
      </c>
      <c r="J590" s="5">
        <f>'Daily Returns'!AT589*(1+'Daily Returns'!AN590)</f>
        <v>1.321090954</v>
      </c>
      <c r="L590" s="5">
        <f>'Daily Returns'!AU589*(1+'Daily Returns'!AO590)</f>
        <v>1.296276559</v>
      </c>
    </row>
    <row r="591" ht="15.75" customHeight="1">
      <c r="A591" s="9">
        <v>44685.0</v>
      </c>
      <c r="B591" s="6">
        <f>'Daily Returns'!AP590*(1+'Daily Returns'!AK591)</f>
        <v>1.597030694</v>
      </c>
      <c r="D591" s="4">
        <f>'Daily Returns'!AQ590 * (1 + 'Daily Returns'!AJ591)</f>
        <v>1.330986721</v>
      </c>
      <c r="F591" s="7">
        <f>'Daily Returns'!AR590 * (1 +'Daily Returns'!AL591)</f>
        <v>1.245118854</v>
      </c>
      <c r="H591" s="7">
        <f>'Daily Returns'!AS590*(1+'Daily Returns'!AM591)</f>
        <v>1.327564937</v>
      </c>
      <c r="J591" s="5">
        <f>'Daily Returns'!AT590*(1+'Daily Returns'!AN591)</f>
        <v>1.320260256</v>
      </c>
      <c r="L591" s="5">
        <f>'Daily Returns'!AU590*(1+'Daily Returns'!AO591)</f>
        <v>1.293186046</v>
      </c>
    </row>
    <row r="592" ht="15.75" customHeight="1">
      <c r="A592" s="9">
        <v>44686.0</v>
      </c>
      <c r="B592" s="6">
        <f>'Daily Returns'!AP591*(1+'Daily Returns'!AK592)</f>
        <v>1.580810111</v>
      </c>
      <c r="D592" s="4">
        <f>'Daily Returns'!AQ591 * (1 + 'Daily Returns'!AJ592)</f>
        <v>1.283537044</v>
      </c>
      <c r="F592" s="7">
        <f>'Daily Returns'!AR591 * (1 +'Daily Returns'!AL592)</f>
        <v>1.277279522</v>
      </c>
      <c r="H592" s="7">
        <f>'Daily Returns'!AS591*(1+'Daily Returns'!AM592)</f>
        <v>1.366486425</v>
      </c>
      <c r="J592" s="5">
        <f>'Daily Returns'!AT591*(1+'Daily Returns'!AN592)</f>
        <v>1.333554209</v>
      </c>
      <c r="L592" s="5">
        <f>'Daily Returns'!AU591*(1+'Daily Returns'!AO592)</f>
        <v>1.306167258</v>
      </c>
    </row>
    <row r="593" ht="15.75" customHeight="1">
      <c r="A593" s="9">
        <v>44687.0</v>
      </c>
      <c r="B593" s="6">
        <f>'Daily Returns'!AP592*(1+'Daily Returns'!AK593)</f>
        <v>1.575360285</v>
      </c>
      <c r="D593" s="4">
        <f>'Daily Returns'!AQ592 * (1 + 'Daily Returns'!AJ593)</f>
        <v>1.276254255</v>
      </c>
      <c r="F593" s="7">
        <f>'Daily Returns'!AR592 * (1 +'Daily Returns'!AL593)</f>
        <v>1.23072013</v>
      </c>
      <c r="H593" s="7">
        <f>'Daily Returns'!AS592*(1+'Daily Returns'!AM593)</f>
        <v>1.316091928</v>
      </c>
      <c r="J593" s="5">
        <f>'Daily Returns'!AT592*(1+'Daily Returns'!AN593)</f>
        <v>1.34934069</v>
      </c>
      <c r="L593" s="5">
        <f>'Daily Returns'!AU592*(1+'Daily Returns'!AO593)</f>
        <v>1.323475755</v>
      </c>
    </row>
    <row r="594" ht="15.75" customHeight="1">
      <c r="A594" s="9">
        <v>44690.0</v>
      </c>
      <c r="B594" s="6">
        <f>'Daily Returns'!AP593*(1+'Daily Returns'!AK594)</f>
        <v>1.552333471</v>
      </c>
      <c r="D594" s="4">
        <f>'Daily Returns'!AQ593 * (1 + 'Daily Returns'!AJ594)</f>
        <v>1.235366898</v>
      </c>
      <c r="F594" s="7">
        <f>'Daily Returns'!AR593 * (1 +'Daily Returns'!AL594)</f>
        <v>1.222732391</v>
      </c>
      <c r="H594" s="7">
        <f>'Daily Returns'!AS593*(1+'Daily Returns'!AM594)</f>
        <v>1.305505601</v>
      </c>
      <c r="J594" s="5">
        <f>'Daily Returns'!AT593*(1+'Daily Returns'!AN594)</f>
        <v>1.319844646</v>
      </c>
      <c r="L594" s="5">
        <f>'Daily Returns'!AU593*(1+'Daily Returns'!AO594)</f>
        <v>1.293186046</v>
      </c>
    </row>
    <row r="595" ht="15.75" customHeight="1">
      <c r="A595" s="9">
        <v>44691.0</v>
      </c>
      <c r="B595" s="6">
        <f>'Daily Returns'!AP594*(1+'Daily Returns'!AK595)</f>
        <v>1.54820594</v>
      </c>
      <c r="D595" s="4">
        <f>'Daily Returns'!AQ594 * (1 + 'Daily Returns'!AJ595)</f>
        <v>1.238403429</v>
      </c>
      <c r="F595" s="7">
        <f>'Daily Returns'!AR594 * (1 +'Daily Returns'!AL595)</f>
        <v>1.183109906</v>
      </c>
      <c r="H595" s="7">
        <f>'Daily Returns'!AS594*(1+'Daily Returns'!AM595)</f>
        <v>1.259231474</v>
      </c>
      <c r="J595" s="5">
        <f>'Daily Returns'!AT594*(1+'Daily Returns'!AN595)</f>
        <v>1.316105896</v>
      </c>
      <c r="L595" s="5">
        <f>'Daily Returns'!AU594*(1+'Daily Returns'!AO595)</f>
        <v>1.289167825</v>
      </c>
    </row>
    <row r="596" ht="15.75" customHeight="1">
      <c r="A596" s="9">
        <v>44692.0</v>
      </c>
      <c r="B596" s="6">
        <f>'Daily Returns'!AP595*(1+'Daily Returns'!AK596)</f>
        <v>1.549230483</v>
      </c>
      <c r="D596" s="4">
        <f>'Daily Returns'!AQ595 * (1 + 'Daily Returns'!AJ596)</f>
        <v>1.218015594</v>
      </c>
      <c r="F596" s="7">
        <f>'Daily Returns'!AR595 * (1 +'Daily Returns'!AL596)</f>
        <v>1.185842474</v>
      </c>
      <c r="H596" s="7">
        <f>'Daily Returns'!AS595*(1+'Daily Returns'!AM596)</f>
        <v>1.261767094</v>
      </c>
      <c r="J596" s="5">
        <f>'Daily Returns'!AT595*(1+'Daily Returns'!AN596)</f>
        <v>1.279131917</v>
      </c>
      <c r="L596" s="5">
        <f>'Daily Returns'!AU595*(1+'Daily Returns'!AO596)</f>
        <v>1.251151254</v>
      </c>
    </row>
    <row r="597" ht="15.75" customHeight="1">
      <c r="A597" s="9">
        <v>44693.0</v>
      </c>
      <c r="B597" s="6">
        <f>'Daily Returns'!AP596*(1+'Daily Returns'!AK597)</f>
        <v>1.533226088</v>
      </c>
      <c r="D597" s="4">
        <f>'Daily Returns'!AQ596 * (1 + 'Daily Returns'!AJ597)</f>
        <v>1.216437046</v>
      </c>
      <c r="F597" s="7">
        <f>'Daily Returns'!AR596 * (1 +'Daily Returns'!AL597)</f>
        <v>1.170182532</v>
      </c>
      <c r="H597" s="7">
        <f>'Daily Returns'!AS596*(1+'Daily Returns'!AM597)</f>
        <v>1.238946717</v>
      </c>
      <c r="J597" s="5">
        <f>'Daily Returns'!AT596*(1+'Daily Returns'!AN597)</f>
        <v>1.272484854</v>
      </c>
      <c r="L597" s="5">
        <f>'Daily Returns'!AU596*(1+'Daily Returns'!AO597)</f>
        <v>1.244351326</v>
      </c>
    </row>
    <row r="598" ht="15.75" customHeight="1">
      <c r="A598" s="9">
        <v>44694.0</v>
      </c>
      <c r="B598" s="6">
        <f>'Daily Returns'!AP597*(1+'Daily Returns'!AK598)</f>
        <v>1.550021525</v>
      </c>
      <c r="D598" s="4">
        <f>'Daily Returns'!AQ597 * (1 + 'Daily Returns'!AJ598)</f>
        <v>1.245473398</v>
      </c>
      <c r="F598" s="7">
        <f>'Daily Returns'!AR597 * (1 +'Daily Returns'!AL598)</f>
        <v>1.169762266</v>
      </c>
      <c r="H598" s="7">
        <f>'Daily Returns'!AS597*(1+'Daily Returns'!AM598)</f>
        <v>1.240278057</v>
      </c>
      <c r="J598" s="5">
        <f>'Daily Returns'!AT597*(1+'Daily Returns'!AN598)</f>
        <v>1.269992151</v>
      </c>
      <c r="L598" s="5">
        <f>'Daily Returns'!AU597*(1+'Daily Returns'!AO598)</f>
        <v>1.240951879</v>
      </c>
    </row>
    <row r="599" ht="15.75" customHeight="1">
      <c r="A599" s="9">
        <v>44697.0</v>
      </c>
      <c r="B599" s="6">
        <f>'Daily Returns'!AP598*(1+'Daily Returns'!AK599)</f>
        <v>1.558842251</v>
      </c>
      <c r="D599" s="4">
        <f>'Daily Returns'!AQ598 * (1 + 'Daily Returns'!AJ599)</f>
        <v>1.24055876</v>
      </c>
      <c r="F599" s="7">
        <f>'Daily Returns'!AR598 * (1 +'Daily Returns'!AL599)</f>
        <v>1.199820764</v>
      </c>
      <c r="H599" s="7">
        <f>'Daily Returns'!AS598*(1+'Daily Returns'!AM599)</f>
        <v>1.273494121</v>
      </c>
      <c r="J599" s="5">
        <f>'Daily Returns'!AT598*(1+'Daily Returns'!AN599)</f>
        <v>1.264176308</v>
      </c>
      <c r="L599" s="5">
        <f>'Daily Returns'!AU598*(1+'Daily Returns'!AO599)</f>
        <v>1.231988502</v>
      </c>
    </row>
    <row r="600" ht="15.75" customHeight="1">
      <c r="A600" s="9">
        <v>44698.0</v>
      </c>
      <c r="B600" s="6">
        <f>'Daily Returns'!AP599*(1+'Daily Returns'!AK600)</f>
        <v>1.57304757</v>
      </c>
      <c r="D600" s="4">
        <f>'Daily Returns'!AQ599 * (1 + 'Daily Returns'!AJ600)</f>
        <v>1.26558083</v>
      </c>
      <c r="F600" s="7">
        <f>'Daily Returns'!AR599 * (1 +'Daily Returns'!AL600)</f>
        <v>1.196247329</v>
      </c>
      <c r="H600" s="7">
        <f>'Daily Returns'!AS599*(1+'Daily Returns'!AM600)</f>
        <v>1.267218398</v>
      </c>
      <c r="J600" s="5">
        <f>'Daily Returns'!AT599*(1+'Daily Returns'!AN600)</f>
        <v>1.28577898</v>
      </c>
      <c r="L600" s="5">
        <f>'Daily Returns'!AU599*(1+'Daily Returns'!AO600)</f>
        <v>1.258260117</v>
      </c>
    </row>
    <row r="601" ht="15.75" customHeight="1">
      <c r="A601" s="9">
        <v>44699.0</v>
      </c>
      <c r="B601" s="6">
        <f>'Daily Returns'!AP600*(1+'Daily Returns'!AK601)</f>
        <v>1.548211086</v>
      </c>
      <c r="D601" s="4">
        <f>'Daily Returns'!AQ600 * (1 + 'Daily Returns'!AJ601)</f>
        <v>1.214457692</v>
      </c>
      <c r="F601" s="7">
        <f>'Daily Returns'!AR600 * (1 +'Daily Returns'!AL601)</f>
        <v>1.220525408</v>
      </c>
      <c r="H601" s="7">
        <f>'Daily Returns'!AS600*(1+'Daily Returns'!AM601)</f>
        <v>1.294285698</v>
      </c>
      <c r="J601" s="5">
        <f>'Daily Returns'!AT600*(1+'Daily Returns'!AN601)</f>
        <v>1.291179387</v>
      </c>
      <c r="L601" s="5">
        <f>'Daily Returns'!AU600*(1+'Daily Returns'!AO601)</f>
        <v>1.263823531</v>
      </c>
    </row>
    <row r="602" ht="15.75" customHeight="1">
      <c r="A602" s="9">
        <v>44700.0</v>
      </c>
      <c r="B602" s="6">
        <f>'Daily Returns'!AP601*(1+'Daily Returns'!AK602)</f>
        <v>1.540743852</v>
      </c>
      <c r="D602" s="4">
        <f>'Daily Returns'!AQ601 * (1 + 'Daily Returns'!AJ602)</f>
        <v>1.207372546</v>
      </c>
      <c r="F602" s="7">
        <f>'Daily Returns'!AR601 * (1 +'Daily Returns'!AL602)</f>
        <v>1.177539536</v>
      </c>
      <c r="H602" s="7">
        <f>'Daily Returns'!AS601*(1+'Daily Returns'!AM602)</f>
        <v>1.243637588</v>
      </c>
      <c r="J602" s="5">
        <f>'Daily Returns'!AT601*(1+'Daily Returns'!AN602)</f>
        <v>1.30738174</v>
      </c>
      <c r="L602" s="5">
        <f>'Daily Returns'!AU601*(1+'Daily Returns'!AO602)</f>
        <v>1.280204577</v>
      </c>
    </row>
    <row r="603" ht="15.75" customHeight="1">
      <c r="A603" s="9">
        <v>44701.0</v>
      </c>
      <c r="B603" s="6">
        <f>'Daily Returns'!AP602*(1+'Daily Returns'!AK603)</f>
        <v>1.54319301</v>
      </c>
      <c r="D603" s="4">
        <f>'Daily Returns'!AQ602 * (1 + 'Daily Returns'!AJ603)</f>
        <v>1.207548823</v>
      </c>
      <c r="F603" s="7">
        <f>'Daily Returns'!AR602 * (1 +'Daily Returns'!AL603)</f>
        <v>1.177013951</v>
      </c>
      <c r="H603" s="7">
        <f>'Daily Returns'!AS602*(1+'Daily Returns'!AM603)</f>
        <v>1.238122704</v>
      </c>
      <c r="J603" s="5">
        <f>'Daily Returns'!AT602*(1+'Daily Returns'!AN603)</f>
        <v>1.282870667</v>
      </c>
      <c r="L603" s="5">
        <f>'Daily Returns'!AU602*(1+'Daily Returns'!AO603)</f>
        <v>1.256714667</v>
      </c>
    </row>
    <row r="604" ht="15.75" customHeight="1">
      <c r="A604" s="9">
        <v>44704.0</v>
      </c>
      <c r="B604" s="6">
        <f>'Daily Returns'!AP603*(1+'Daily Returns'!AK604)</f>
        <v>1.556334243</v>
      </c>
      <c r="D604" s="4">
        <f>'Daily Returns'!AQ603 * (1 + 'Daily Returns'!AJ604)</f>
        <v>1.229954891</v>
      </c>
      <c r="F604" s="7">
        <f>'Daily Returns'!AR603 * (1 +'Daily Returns'!AL604)</f>
        <v>1.18048232</v>
      </c>
      <c r="H604" s="7">
        <f>'Daily Returns'!AS603*(1+'Daily Returns'!AM604)</f>
        <v>1.238122704</v>
      </c>
      <c r="J604" s="5">
        <f>'Daily Returns'!AT603*(1+'Daily Returns'!AN604)</f>
        <v>1.28577898</v>
      </c>
      <c r="L604" s="5">
        <f>'Daily Returns'!AU603*(1+'Daily Returns'!AO604)</f>
        <v>1.262587016</v>
      </c>
    </row>
    <row r="605" ht="15.75" customHeight="1">
      <c r="A605" s="9">
        <v>44705.0</v>
      </c>
      <c r="B605" s="6">
        <f>'Daily Returns'!AP604*(1+'Daily Returns'!AK605)</f>
        <v>1.559315278</v>
      </c>
      <c r="D605" s="4">
        <f>'Daily Returns'!AQ604 * (1 + 'Daily Returns'!AJ605)</f>
        <v>1.219966427</v>
      </c>
      <c r="F605" s="7">
        <f>'Daily Returns'!AR604 * (1 +'Daily Returns'!AL605)</f>
        <v>1.200766698</v>
      </c>
      <c r="H605" s="7">
        <f>'Daily Returns'!AS604*(1+'Daily Returns'!AM605)</f>
        <v>1.259294852</v>
      </c>
      <c r="J605" s="5">
        <f>'Daily Returns'!AT604*(1+'Daily Returns'!AN605)</f>
        <v>1.288271509</v>
      </c>
      <c r="L605" s="5">
        <f>'Daily Returns'!AU604*(1+'Daily Returns'!AO605)</f>
        <v>1.261659952</v>
      </c>
    </row>
    <row r="606" ht="15.75" customHeight="1">
      <c r="A606" s="9">
        <v>44706.0</v>
      </c>
      <c r="B606" s="6">
        <f>'Daily Returns'!AP605*(1+'Daily Returns'!AK606)</f>
        <v>1.563158674</v>
      </c>
      <c r="D606" s="4">
        <f>'Daily Returns'!AQ605 * (1 + 'Daily Returns'!AJ606)</f>
        <v>1.23149633</v>
      </c>
      <c r="F606" s="7">
        <f>'Daily Returns'!AR605 * (1 +'Daily Returns'!AL606)</f>
        <v>1.192148477</v>
      </c>
      <c r="H606" s="7">
        <f>'Daily Returns'!AS605*(1+'Daily Returns'!AM606)</f>
        <v>1.246680231</v>
      </c>
      <c r="J606" s="5">
        <f>'Daily Returns'!AT605*(1+'Daily Returns'!AN606)</f>
        <v>1.295845013</v>
      </c>
      <c r="L606" s="5">
        <f>'Daily Returns'!AU605*(1+'Daily Returns'!AO606)</f>
        <v>1.270005072</v>
      </c>
    </row>
    <row r="607" ht="15.75" customHeight="1">
      <c r="A607" s="9">
        <v>44707.0</v>
      </c>
      <c r="B607" s="6">
        <f>'Daily Returns'!AP606*(1+'Daily Returns'!AK607)</f>
        <v>1.568860697</v>
      </c>
      <c r="D607" s="4">
        <f>'Daily Returns'!AQ606 * (1 + 'Daily Returns'!AJ607)</f>
        <v>1.255982172</v>
      </c>
      <c r="F607" s="7">
        <f>'Daily Returns'!AR606 * (1 +'Daily Returns'!AL607)</f>
        <v>1.200976915</v>
      </c>
      <c r="H607" s="7">
        <f>'Daily Returns'!AS606*(1+'Daily Returns'!AM607)</f>
        <v>1.26056251</v>
      </c>
      <c r="J607" s="5">
        <f>'Daily Returns'!AT606*(1+'Daily Returns'!AN607)</f>
        <v>1.300865757</v>
      </c>
      <c r="L607" s="5">
        <f>'Daily Returns'!AU606*(1+'Daily Returns'!AO607)</f>
        <v>1.276186484</v>
      </c>
    </row>
    <row r="608" ht="15.75" customHeight="1">
      <c r="A608" s="9">
        <v>44708.0</v>
      </c>
      <c r="B608" s="6">
        <f>'Daily Returns'!AP607*(1+'Daily Returns'!AK608)</f>
        <v>1.580537831</v>
      </c>
      <c r="D608" s="4">
        <f>'Daily Returns'!AQ607 * (1 + 'Daily Returns'!AJ608)</f>
        <v>1.287057682</v>
      </c>
      <c r="F608" s="7">
        <f>'Daily Returns'!AR607 * (1 +'Daily Returns'!AL608)</f>
        <v>1.221996758</v>
      </c>
      <c r="H608" s="7">
        <f>'Daily Returns'!AS607*(1+'Daily Returns'!AM608)</f>
        <v>1.286362151</v>
      </c>
      <c r="J608" s="5">
        <f>'Daily Returns'!AT607*(1+'Daily Returns'!AN608)</f>
        <v>1.308816052</v>
      </c>
      <c r="L608" s="5">
        <f>'Daily Returns'!AU607*(1+'Daily Returns'!AO608)</f>
        <v>1.28515012</v>
      </c>
    </row>
    <row r="609" ht="15.75" customHeight="1">
      <c r="A609" s="9">
        <v>44712.0</v>
      </c>
      <c r="B609" s="6">
        <f>'Daily Returns'!AP608*(1+'Daily Returns'!AK609)</f>
        <v>1.567022867</v>
      </c>
      <c r="D609" s="4">
        <f>'Daily Returns'!AQ608 * (1 + 'Daily Returns'!AJ609)</f>
        <v>1.278982683</v>
      </c>
      <c r="F609" s="7">
        <f>'Daily Returns'!AR608 * (1 +'Daily Returns'!AL609)</f>
        <v>1.247220855</v>
      </c>
      <c r="H609" s="7">
        <f>'Daily Returns'!AS608*(1+'Daily Returns'!AM609)</f>
        <v>1.318944538</v>
      </c>
      <c r="J609" s="5">
        <f>'Daily Returns'!AT608*(1+'Daily Returns'!AN609)</f>
        <v>1.32387898</v>
      </c>
      <c r="L609" s="5">
        <f>'Daily Returns'!AU608*(1+'Daily Returns'!AO609)</f>
        <v>1.29874946</v>
      </c>
    </row>
    <row r="610" ht="15.75" customHeight="1">
      <c r="A610" s="9">
        <v>44713.0</v>
      </c>
      <c r="B610" s="6">
        <f>'Daily Returns'!AP609*(1+'Daily Returns'!AK610)</f>
        <v>1.571045483</v>
      </c>
      <c r="D610" s="4">
        <f>'Daily Returns'!AQ609 * (1 + 'Daily Returns'!AJ610)</f>
        <v>1.269412055</v>
      </c>
      <c r="F610" s="7">
        <f>'Daily Returns'!AR609 * (1 +'Daily Returns'!AL610)</f>
        <v>1.239548568</v>
      </c>
      <c r="H610" s="7">
        <f>'Daily Returns'!AS609*(1+'Daily Returns'!AM610)</f>
        <v>1.308104801</v>
      </c>
      <c r="J610" s="5">
        <f>'Daily Returns'!AT609*(1+'Daily Returns'!AN610)</f>
        <v>1.333502682</v>
      </c>
      <c r="L610" s="5">
        <f>'Daily Returns'!AU609*(1+'Daily Returns'!AO610)</f>
        <v>1.309258158</v>
      </c>
    </row>
    <row r="611" ht="15.75" customHeight="1">
      <c r="A611" s="9">
        <v>44714.0</v>
      </c>
      <c r="B611" s="6">
        <f>'Daily Returns'!AP610*(1+'Daily Returns'!AK611)</f>
        <v>1.580014703</v>
      </c>
      <c r="D611" s="4">
        <f>'Daily Returns'!AQ610 * (1 + 'Daily Returns'!AJ611)</f>
        <v>1.292808589</v>
      </c>
      <c r="F611" s="7">
        <f>'Daily Returns'!AR610 * (1 +'Daily Returns'!AL611)</f>
        <v>1.229774196</v>
      </c>
      <c r="H611" s="7">
        <f>'Daily Returns'!AS610*(1+'Daily Returns'!AM611)</f>
        <v>1.299483491</v>
      </c>
      <c r="J611" s="5">
        <f>'Daily Returns'!AT610*(1+'Daily Returns'!AN611)</f>
        <v>1.322623881</v>
      </c>
      <c r="L611" s="5">
        <f>'Daily Returns'!AU610*(1+'Daily Returns'!AO611)</f>
        <v>1.297822267</v>
      </c>
    </row>
    <row r="612" ht="15.75" customHeight="1">
      <c r="A612" s="9">
        <v>44715.0</v>
      </c>
      <c r="B612" s="6">
        <f>'Daily Returns'!AP611*(1+'Daily Returns'!AK612)</f>
        <v>1.576447499</v>
      </c>
      <c r="D612" s="4">
        <f>'Daily Returns'!AQ611 * (1 + 'Daily Returns'!AJ612)</f>
        <v>1.271675047</v>
      </c>
      <c r="F612" s="7">
        <f>'Daily Returns'!AR611 * (1 +'Daily Returns'!AL612)</f>
        <v>1.254682841</v>
      </c>
      <c r="H612" s="7">
        <f>'Daily Returns'!AS611*(1+'Daily Returns'!AM612)</f>
        <v>1.325980491</v>
      </c>
      <c r="J612" s="5">
        <f>'Daily Returns'!AT611*(1+'Daily Returns'!AN612)</f>
        <v>1.321786916</v>
      </c>
      <c r="L612" s="5">
        <f>'Daily Returns'!AU611*(1+'Daily Returns'!AO612)</f>
        <v>1.297822267</v>
      </c>
    </row>
    <row r="613" ht="15.75" customHeight="1">
      <c r="A613" s="9">
        <v>44718.0</v>
      </c>
      <c r="B613" s="6">
        <f>'Daily Returns'!AP612*(1+'Daily Returns'!AK613)</f>
        <v>1.569855882</v>
      </c>
      <c r="D613" s="4">
        <f>'Daily Returns'!AQ612 * (1 + 'Daily Returns'!AJ613)</f>
        <v>1.275664291</v>
      </c>
      <c r="F613" s="7">
        <f>'Daily Returns'!AR612 * (1 +'Daily Returns'!AL613)</f>
        <v>1.233978282</v>
      </c>
      <c r="H613" s="7">
        <f>'Daily Returns'!AS612*(1+'Daily Returns'!AM613)</f>
        <v>1.304808445</v>
      </c>
      <c r="J613" s="5">
        <f>'Daily Returns'!AT612*(1+'Daily Returns'!AN613)</f>
        <v>1.341452715</v>
      </c>
      <c r="L613" s="5">
        <f>'Daily Returns'!AU612*(1+'Daily Returns'!AO613)</f>
        <v>1.316058086</v>
      </c>
    </row>
    <row r="614" ht="15.75" customHeight="1">
      <c r="A614" s="9">
        <v>44719.0</v>
      </c>
      <c r="B614" s="6">
        <f>'Daily Returns'!AP613*(1+'Daily Returns'!AK614)</f>
        <v>1.568595923</v>
      </c>
      <c r="D614" s="4">
        <f>'Daily Returns'!AQ613 * (1 + 'Daily Returns'!AJ614)</f>
        <v>1.287812442</v>
      </c>
      <c r="F614" s="7">
        <f>'Daily Returns'!AR613 * (1 +'Daily Returns'!AL614)</f>
        <v>1.238392417</v>
      </c>
      <c r="H614" s="7">
        <f>'Daily Returns'!AS613*(1+'Daily Returns'!AM614)</f>
        <v>1.3086751</v>
      </c>
      <c r="J614" s="5">
        <f>'Daily Returns'!AT613*(1+'Daily Returns'!AN614)</f>
        <v>1.325971131</v>
      </c>
      <c r="L614" s="5">
        <f>'Daily Returns'!AU613*(1+'Daily Returns'!AO614)</f>
        <v>1.301531295</v>
      </c>
    </row>
    <row r="615" ht="15.75" customHeight="1">
      <c r="A615" s="9">
        <v>44720.0</v>
      </c>
      <c r="B615" s="6">
        <f>'Daily Returns'!AP614*(1+'Daily Returns'!AK615)</f>
        <v>1.555988684</v>
      </c>
      <c r="D615" s="4">
        <f>'Daily Returns'!AQ614 * (1 + 'Daily Returns'!AJ615)</f>
        <v>1.273911795</v>
      </c>
      <c r="F615" s="7">
        <f>'Daily Returns'!AR614 * (1 +'Daily Returns'!AL615)</f>
        <v>1.248692206</v>
      </c>
      <c r="H615" s="7">
        <f>'Daily Returns'!AS614*(1+'Daily Returns'!AM615)</f>
        <v>1.322874369</v>
      </c>
      <c r="J615" s="5">
        <f>'Daily Returns'!AT614*(1+'Daily Returns'!AN615)</f>
        <v>1.327226404</v>
      </c>
      <c r="L615" s="5">
        <f>'Daily Returns'!AU614*(1+'Daily Returns'!AO615)</f>
        <v>1.302458229</v>
      </c>
    </row>
    <row r="616" ht="15.75" customHeight="1">
      <c r="A616" s="9">
        <v>44721.0</v>
      </c>
      <c r="B616" s="6">
        <f>'Daily Returns'!AP615*(1+'Daily Returns'!AK616)</f>
        <v>1.525432514</v>
      </c>
      <c r="D616" s="4">
        <f>'Daily Returns'!AQ615 * (1 + 'Daily Returns'!AJ616)</f>
        <v>1.243593968</v>
      </c>
      <c r="F616" s="7">
        <f>'Daily Returns'!AR615 * (1 +'Daily Returns'!AL616)</f>
        <v>1.234398548</v>
      </c>
      <c r="H616" s="7">
        <f>'Daily Returns'!AS615*(1+'Daily Returns'!AM616)</f>
        <v>1.308041221</v>
      </c>
      <c r="J616" s="5">
        <f>'Daily Returns'!AT615*(1+'Daily Returns'!AN616)</f>
        <v>1.333084286</v>
      </c>
      <c r="L616" s="5">
        <f>'Daily Returns'!AU615*(1+'Daily Returns'!AO616)</f>
        <v>1.3086399</v>
      </c>
    </row>
    <row r="617" ht="15.75" customHeight="1">
      <c r="A617" s="9">
        <v>44722.0</v>
      </c>
      <c r="B617" s="6">
        <f>'Daily Returns'!AP616*(1+'Daily Returns'!AK617)</f>
        <v>1.528404985</v>
      </c>
      <c r="D617" s="4">
        <f>'Daily Returns'!AQ616 * (1 + 'Daily Returns'!AJ617)</f>
        <v>1.207392948</v>
      </c>
      <c r="F617" s="7">
        <f>'Daily Returns'!AR616 * (1 +'Daily Returns'!AL617)</f>
        <v>1.205638478</v>
      </c>
      <c r="H617" s="7">
        <f>'Daily Returns'!AS616*(1+'Daily Returns'!AM617)</f>
        <v>1.276726897</v>
      </c>
      <c r="J617" s="5">
        <f>'Daily Returns'!AT616*(1+'Daily Returns'!AN617)</f>
        <v>1.323460585</v>
      </c>
      <c r="L617" s="5">
        <f>'Daily Returns'!AU616*(1+'Daily Returns'!AO617)</f>
        <v>1.299985975</v>
      </c>
    </row>
    <row r="618" ht="15.75" customHeight="1">
      <c r="A618" s="9">
        <v>44725.0</v>
      </c>
      <c r="B618" s="6">
        <f>'Daily Returns'!AP617*(1+'Daily Returns'!AK618)</f>
        <v>1.499232644</v>
      </c>
      <c r="D618" s="4">
        <f>'Daily Returns'!AQ617 * (1 + 'Daily Returns'!AJ618)</f>
        <v>1.160584738</v>
      </c>
      <c r="F618" s="7">
        <f>'Daily Returns'!AR617 * (1 +'Daily Returns'!AL618)</f>
        <v>1.171397614</v>
      </c>
      <c r="H618" s="7">
        <f>'Daily Returns'!AS617*(1+'Daily Returns'!AM618)</f>
        <v>1.238819961</v>
      </c>
      <c r="J618" s="5">
        <f>'Daily Returns'!AT617*(1+'Daily Returns'!AN618)</f>
        <v>1.310070977</v>
      </c>
      <c r="L618" s="5">
        <f>'Daily Returns'!AU617*(1+'Daily Returns'!AO618)</f>
        <v>1.288549696</v>
      </c>
    </row>
    <row r="619" ht="15.75" customHeight="1">
      <c r="A619" s="9">
        <v>44726.0</v>
      </c>
      <c r="B619" s="6">
        <f>'Daily Returns'!AP618*(1+'Daily Returns'!AK619)</f>
        <v>1.493404791</v>
      </c>
      <c r="D619" s="4">
        <f>'Daily Returns'!AQ618 * (1 + 'Daily Returns'!AJ619)</f>
        <v>1.156204691</v>
      </c>
      <c r="F619" s="7">
        <f>'Daily Returns'!AR618 * (1 +'Daily Returns'!AL619)</f>
        <v>1.126343921</v>
      </c>
      <c r="H619" s="7">
        <f>'Daily Returns'!AS618*(1+'Daily Returns'!AM619)</f>
        <v>1.18823523</v>
      </c>
      <c r="J619" s="5">
        <f>'Daily Returns'!AT618*(1+'Daily Returns'!AN619)</f>
        <v>1.290405352</v>
      </c>
      <c r="L619" s="5">
        <f>'Daily Returns'!AU618*(1+'Daily Returns'!AO619)</f>
        <v>1.270005072</v>
      </c>
    </row>
    <row r="620" ht="15.75" customHeight="1">
      <c r="A620" s="9">
        <v>44727.0</v>
      </c>
      <c r="B620" s="6">
        <f>'Daily Returns'!AP619*(1+'Daily Returns'!AK620)</f>
        <v>1.484450879</v>
      </c>
      <c r="D620" s="4">
        <f>'Daily Returns'!AQ619 * (1 + 'Daily Returns'!AJ620)</f>
        <v>1.173077186</v>
      </c>
      <c r="F620" s="7">
        <f>'Daily Returns'!AR619 * (1 +'Daily Returns'!AL620)</f>
        <v>1.120725396</v>
      </c>
      <c r="H620" s="7">
        <f>'Daily Returns'!AS619*(1+'Daily Returns'!AM620)</f>
        <v>1.184875597</v>
      </c>
      <c r="J620" s="5">
        <f>'Daily Returns'!AT619*(1+'Daily Returns'!AN620)</f>
        <v>1.261115938</v>
      </c>
      <c r="L620" s="5">
        <f>'Daily Returns'!AU619*(1+'Daily Returns'!AO620)</f>
        <v>1.235388336</v>
      </c>
    </row>
    <row r="621" ht="15.75" customHeight="1">
      <c r="A621" s="9">
        <v>44728.0</v>
      </c>
      <c r="B621" s="6">
        <f>'Daily Returns'!AP620*(1+'Daily Returns'!AK621)</f>
        <v>1.466341431</v>
      </c>
      <c r="D621" s="4">
        <f>'Daily Returns'!AQ620 * (1 + 'Daily Returns'!AJ621)</f>
        <v>1.134938101</v>
      </c>
      <c r="F621" s="7">
        <f>'Daily Returns'!AR620 * (1 +'Daily Returns'!AL621)</f>
        <v>1.139276936</v>
      </c>
      <c r="H621" s="7">
        <f>'Daily Returns'!AS620*(1+'Daily Returns'!AM621)</f>
        <v>1.202117812</v>
      </c>
      <c r="J621" s="5">
        <f>'Daily Returns'!AT620*(1+'Daily Returns'!AN621)</f>
        <v>1.251492497</v>
      </c>
      <c r="L621" s="5">
        <f>'Daily Returns'!AU620*(1+'Daily Returns'!AO621)</f>
        <v>1.225806831</v>
      </c>
    </row>
    <row r="622" ht="15.75" customHeight="1">
      <c r="A622" s="9">
        <v>44729.0</v>
      </c>
      <c r="B622" s="6">
        <f>'Daily Returns'!AP621*(1+'Daily Returns'!AK622)</f>
        <v>1.46382665</v>
      </c>
      <c r="D622" s="4">
        <f>'Daily Returns'!AQ621 * (1 + 'Daily Returns'!AJ622)</f>
        <v>1.137436099</v>
      </c>
      <c r="F622" s="7">
        <f>'Daily Returns'!AR621 * (1 +'Daily Returns'!AL622)</f>
        <v>1.105142065</v>
      </c>
      <c r="H622" s="7">
        <f>'Daily Returns'!AS621*(1+'Daily Returns'!AM622)</f>
        <v>1.160153885</v>
      </c>
      <c r="J622" s="5">
        <f>'Daily Returns'!AT621*(1+'Daily Returns'!AN622)</f>
        <v>1.253166166</v>
      </c>
      <c r="L622" s="5">
        <f>'Daily Returns'!AU621*(1+'Daily Returns'!AO622)</f>
        <v>1.229515859</v>
      </c>
    </row>
    <row r="623" ht="15.75" customHeight="1">
      <c r="A623" s="9">
        <v>44733.0</v>
      </c>
      <c r="B623" s="6">
        <f>'Daily Returns'!AP622*(1+'Daily Returns'!AK623)</f>
        <v>1.48228013</v>
      </c>
      <c r="D623" s="4">
        <f>'Daily Returns'!AQ622 * (1 + 'Daily Returns'!AJ623)</f>
        <v>1.165277123</v>
      </c>
      <c r="F623" s="7">
        <f>'Daily Returns'!AR622 * (1 +'Daily Returns'!AL623)</f>
        <v>1.106096165</v>
      </c>
      <c r="H623" s="7">
        <f>'Daily Returns'!AS622*(1+'Daily Returns'!AM623)</f>
        <v>1.164527664</v>
      </c>
      <c r="J623" s="5">
        <f>'Daily Returns'!AT622*(1+'Daily Returns'!AN623)</f>
        <v>1.216345201</v>
      </c>
      <c r="L623" s="5">
        <f>'Daily Returns'!AU622*(1+'Daily Returns'!AO623)</f>
        <v>1.19149903</v>
      </c>
    </row>
    <row r="624" ht="15.75" customHeight="1">
      <c r="A624" s="9">
        <v>44734.0</v>
      </c>
      <c r="B624" s="6">
        <f>'Daily Returns'!AP623*(1+'Daily Returns'!AK624)</f>
        <v>1.473577758</v>
      </c>
      <c r="D624" s="4">
        <f>'Daily Returns'!AQ623 * (1 + 'Daily Returns'!AJ624)</f>
        <v>1.163759932</v>
      </c>
      <c r="F624" s="7">
        <f>'Daily Returns'!AR623 * (1 +'Daily Returns'!AL624)</f>
        <v>1.129100146</v>
      </c>
      <c r="H624" s="7">
        <f>'Daily Returns'!AS623*(1+'Daily Returns'!AM624)</f>
        <v>1.192735765</v>
      </c>
      <c r="J624" s="5">
        <f>'Daily Returns'!AT623*(1+'Daily Returns'!AN624)</f>
        <v>1.213834655</v>
      </c>
      <c r="L624" s="5">
        <f>'Daily Returns'!AU623*(1+'Daily Returns'!AO624)</f>
        <v>1.186863068</v>
      </c>
    </row>
    <row r="625" ht="15.75" customHeight="1">
      <c r="A625" s="9">
        <v>44735.0</v>
      </c>
      <c r="B625" s="6">
        <f>'Daily Returns'!AP624*(1+'Daily Returns'!AK625)</f>
        <v>1.470576235</v>
      </c>
      <c r="D625" s="4">
        <f>'Daily Returns'!AQ624 * (1 + 'Daily Returns'!AJ625)</f>
        <v>1.174852892</v>
      </c>
      <c r="F625" s="7">
        <f>'Daily Returns'!AR624 * (1 +'Daily Returns'!AL625)</f>
        <v>1.125389821</v>
      </c>
      <c r="H625" s="7">
        <f>'Daily Returns'!AS624*(1+'Daily Returns'!AM625)</f>
        <v>1.192545531</v>
      </c>
      <c r="J625" s="5">
        <f>'Daily Returns'!AT624*(1+'Daily Returns'!AN625)</f>
        <v>1.230989908</v>
      </c>
      <c r="L625" s="5">
        <f>'Daily Returns'!AU624*(1+'Daily Returns'!AO625)</f>
        <v>1.203553049</v>
      </c>
    </row>
    <row r="626" ht="15.75" customHeight="1">
      <c r="A626" s="9">
        <v>44736.0</v>
      </c>
      <c r="B626" s="6">
        <f>'Daily Returns'!AP625*(1+'Daily Returns'!AK626)</f>
        <v>1.492437465</v>
      </c>
      <c r="D626" s="4">
        <f>'Daily Returns'!AQ625 * (1 + 'Daily Returns'!AJ626)</f>
        <v>1.210759921</v>
      </c>
      <c r="F626" s="7">
        <f>'Daily Returns'!AR625 * (1 +'Daily Returns'!AL626)</f>
        <v>1.132386333</v>
      </c>
      <c r="H626" s="7">
        <f>'Daily Returns'!AS625*(1+'Daily Returns'!AM626)</f>
        <v>1.203358742</v>
      </c>
      <c r="J626" s="5">
        <f>'Daily Returns'!AT625*(1+'Daily Returns'!AN626)</f>
        <v>1.233918675</v>
      </c>
      <c r="L626" s="5">
        <f>'Daily Returns'!AU625*(1+'Daily Returns'!AO626)</f>
        <v>1.207880464</v>
      </c>
    </row>
    <row r="627" ht="15.75" customHeight="1">
      <c r="A627" s="9">
        <v>44739.0</v>
      </c>
      <c r="B627" s="6">
        <f>'Daily Returns'!AP626*(1+'Daily Returns'!AK627)</f>
        <v>1.498259839</v>
      </c>
      <c r="D627" s="4">
        <f>'Daily Returns'!AQ626 * (1 + 'Daily Returns'!AJ627)</f>
        <v>1.207160331</v>
      </c>
      <c r="F627" s="7">
        <f>'Daily Returns'!AR626 * (1 +'Daily Returns'!AL627)</f>
        <v>1.166733105</v>
      </c>
      <c r="H627" s="7">
        <f>'Daily Returns'!AS626*(1+'Daily Returns'!AM627)</f>
        <v>1.242244491</v>
      </c>
      <c r="J627" s="5">
        <f>'Daily Returns'!AT626*(1+'Daily Returns'!AN627)</f>
        <v>1.220529415</v>
      </c>
      <c r="L627" s="5">
        <f>'Daily Returns'!AU626*(1+'Daily Returns'!AO627)</f>
        <v>1.192735287</v>
      </c>
    </row>
    <row r="628" ht="15.75" customHeight="1">
      <c r="A628" s="9">
        <v>44740.0</v>
      </c>
      <c r="B628" s="6">
        <f>'Daily Returns'!AP627*(1+'Daily Returns'!AK628)</f>
        <v>1.497563615</v>
      </c>
      <c r="D628" s="4">
        <f>'Daily Returns'!AQ627 * (1 + 'Daily Returns'!AJ628)</f>
        <v>1.182844501</v>
      </c>
      <c r="F628" s="7">
        <f>'Daily Returns'!AR627 * (1 +'Daily Returns'!AL628)</f>
        <v>1.163870972</v>
      </c>
      <c r="H628" s="7">
        <f>'Daily Returns'!AS627*(1+'Daily Returns'!AM628)</f>
        <v>1.238425723</v>
      </c>
      <c r="J628" s="5">
        <f>'Daily Returns'!AT627*(1+'Daily Returns'!AN628)</f>
        <v>1.20421104</v>
      </c>
      <c r="L628" s="5">
        <f>'Daily Returns'!AU627*(1+'Daily Returns'!AO628)</f>
        <v>1.175117984</v>
      </c>
    </row>
    <row r="629" ht="15.75" customHeight="1">
      <c r="A629" s="9">
        <v>44741.0</v>
      </c>
      <c r="B629" s="6">
        <f>'Daily Returns'!AP628*(1+'Daily Returns'!AK629)</f>
        <v>1.494586811</v>
      </c>
      <c r="D629" s="4">
        <f>'Daily Returns'!AQ628 * (1 + 'Daily Returns'!AJ629)</f>
        <v>1.182002316</v>
      </c>
      <c r="F629" s="7">
        <f>'Daily Returns'!AR628 * (1 +'Daily Returns'!AL629)</f>
        <v>1.144153346</v>
      </c>
      <c r="H629" s="7">
        <f>'Daily Returns'!AS628*(1+'Daily Returns'!AM629)</f>
        <v>1.212905106</v>
      </c>
      <c r="J629" s="5">
        <f>'Daily Returns'!AT628*(1+'Daily Returns'!AN629)</f>
        <v>1.225132025</v>
      </c>
      <c r="L629" s="5">
        <f>'Daily Returns'!AU628*(1+'Daily Returns'!AO629)</f>
        <v>1.196444315</v>
      </c>
    </row>
    <row r="630" ht="15.75" customHeight="1">
      <c r="A630" s="9">
        <v>44742.0</v>
      </c>
      <c r="B630" s="6">
        <f>'Daily Returns'!AP629*(1+'Daily Returns'!AK630)</f>
        <v>1.488079781</v>
      </c>
      <c r="D630" s="4">
        <f>'Daily Returns'!AQ629 * (1 + 'Daily Returns'!AJ630)</f>
        <v>1.171649157</v>
      </c>
      <c r="F630" s="7">
        <f>'Daily Returns'!AR629 * (1 +'Daily Returns'!AL630)</f>
        <v>1.142139153</v>
      </c>
      <c r="H630" s="7">
        <f>'Daily Returns'!AS629*(1+'Daily Returns'!AM630)</f>
        <v>1.210868409</v>
      </c>
      <c r="J630" s="5">
        <f>'Daily Returns'!AT629*(1+'Daily Returns'!AN630)</f>
        <v>1.236847703</v>
      </c>
      <c r="L630" s="5">
        <f>'Daily Returns'!AU629*(1+'Daily Returns'!AO630)</f>
        <v>1.209116462</v>
      </c>
    </row>
    <row r="631" ht="15.75" customHeight="1">
      <c r="A631" s="9">
        <v>44743.0</v>
      </c>
      <c r="B631" s="6">
        <f>'Daily Returns'!AP630*(1+'Daily Returns'!AK631)</f>
        <v>1.503062394</v>
      </c>
      <c r="D631" s="4">
        <f>'Daily Returns'!AQ630 * (1 + 'Daily Returns'!AJ631)</f>
        <v>1.184014742</v>
      </c>
      <c r="F631" s="7">
        <f>'Daily Returns'!AR630 * (1 +'Daily Returns'!AL631)</f>
        <v>1.133022372</v>
      </c>
      <c r="H631" s="7">
        <f>'Daily Returns'!AS630*(1+'Daily Returns'!AM631)</f>
        <v>1.20043101</v>
      </c>
      <c r="J631" s="5">
        <f>'Daily Returns'!AT630*(1+'Daily Returns'!AN631)</f>
        <v>1.232663402</v>
      </c>
      <c r="L631" s="5">
        <f>'Daily Returns'!AU630*(1+'Daily Returns'!AO631)</f>
        <v>1.206953142</v>
      </c>
    </row>
    <row r="632" ht="15.75" customHeight="1">
      <c r="A632" s="9">
        <v>44747.0</v>
      </c>
      <c r="B632" s="6">
        <f>'Daily Returns'!AP631*(1+'Daily Returns'!AK632)</f>
        <v>1.479984826</v>
      </c>
      <c r="D632" s="4">
        <f>'Daily Returns'!AQ631 * (1 + 'Daily Returns'!AJ632)</f>
        <v>1.185890222</v>
      </c>
      <c r="F632" s="7">
        <f>'Daily Returns'!AR631 * (1 +'Daily Returns'!AL632)</f>
        <v>1.142351138</v>
      </c>
      <c r="H632" s="7">
        <f>'Daily Returns'!AS631*(1+'Daily Returns'!AM632)</f>
        <v>1.213096049</v>
      </c>
      <c r="J632" s="5">
        <f>'Daily Returns'!AT631*(1+'Daily Returns'!AN632)</f>
        <v>1.226805606</v>
      </c>
      <c r="L632" s="5">
        <f>'Daily Returns'!AU631*(1+'Daily Returns'!AO632)</f>
        <v>1.199226022</v>
      </c>
    </row>
    <row r="633" ht="15.75" customHeight="1">
      <c r="A633" s="9">
        <v>44748.0</v>
      </c>
      <c r="B633" s="6">
        <f>'Daily Returns'!AP632*(1+'Daily Returns'!AK633)</f>
        <v>1.483269098</v>
      </c>
      <c r="D633" s="4">
        <f>'Daily Returns'!AQ632 * (1 + 'Daily Returns'!AJ633)</f>
        <v>1.190127408</v>
      </c>
      <c r="F633" s="7">
        <f>'Daily Returns'!AR632 * (1 +'Daily Returns'!AL633)</f>
        <v>1.137474812</v>
      </c>
      <c r="H633" s="7">
        <f>'Daily Returns'!AS632*(1+'Daily Returns'!AM633)</f>
        <v>1.217423561</v>
      </c>
      <c r="J633" s="5">
        <f>'Daily Returns'!AT632*(1+'Daily Returns'!AN633)</f>
        <v>1.213834655</v>
      </c>
      <c r="L633" s="5">
        <f>'Daily Returns'!AU632*(1+'Daily Returns'!AO633)</f>
        <v>1.186239255</v>
      </c>
    </row>
    <row r="634" ht="15.75" customHeight="1">
      <c r="A634" s="9">
        <v>44749.0</v>
      </c>
      <c r="B634" s="6">
        <f>'Daily Returns'!AP633*(1+'Daily Returns'!AK634)</f>
        <v>1.493169143</v>
      </c>
      <c r="D634" s="4">
        <f>'Daily Returns'!AQ633 * (1 + 'Daily Returns'!AJ634)</f>
        <v>1.207937664</v>
      </c>
      <c r="F634" s="7">
        <f>'Daily Returns'!AR633 * (1 +'Daily Returns'!AL634)</f>
        <v>1.140230952</v>
      </c>
      <c r="H634" s="7">
        <f>'Daily Returns'!AS633*(1+'Daily Returns'!AM634)</f>
        <v>1.219842043</v>
      </c>
      <c r="J634" s="5">
        <f>'Daily Returns'!AT633*(1+'Daily Returns'!AN634)</f>
        <v>1.223458182</v>
      </c>
      <c r="L634" s="5">
        <f>'Daily Returns'!AU633*(1+'Daily Returns'!AO634)</f>
        <v>1.196205281</v>
      </c>
    </row>
    <row r="635" ht="15.75" customHeight="1">
      <c r="A635" s="9">
        <v>44750.0</v>
      </c>
      <c r="B635" s="6">
        <f>'Daily Returns'!AP634*(1+'Daily Returns'!AK635)</f>
        <v>1.487777381</v>
      </c>
      <c r="D635" s="4">
        <f>'Daily Returns'!AQ634 * (1 + 'Daily Returns'!AJ635)</f>
        <v>1.206935076</v>
      </c>
      <c r="F635" s="7">
        <f>'Daily Returns'!AR634 * (1 +'Daily Returns'!AL635)</f>
        <v>1.157722484</v>
      </c>
      <c r="H635" s="7">
        <f>'Daily Returns'!AS634*(1+'Daily Returns'!AM635)</f>
        <v>1.239953169</v>
      </c>
      <c r="J635" s="5">
        <f>'Daily Returns'!AT634*(1+'Daily Returns'!AN635)</f>
        <v>1.214671619</v>
      </c>
      <c r="L635" s="5">
        <f>'Daily Returns'!AU634*(1+'Daily Returns'!AO635)</f>
        <v>1.185305085</v>
      </c>
    </row>
    <row r="636" ht="15.75" customHeight="1">
      <c r="A636" s="9">
        <v>44753.0</v>
      </c>
      <c r="B636" s="6">
        <f>'Daily Returns'!AP635*(1+'Daily Returns'!AK636)</f>
        <v>1.479431364</v>
      </c>
      <c r="D636" s="4">
        <f>'Daily Returns'!AQ635 * (1 + 'Daily Returns'!AJ636)</f>
        <v>1.193022735</v>
      </c>
      <c r="F636" s="7">
        <f>'Daily Returns'!AR635 * (1 +'Daily Returns'!AL636)</f>
        <v>1.158146454</v>
      </c>
      <c r="H636" s="7">
        <f>'Daily Returns'!AS635*(1+'Daily Returns'!AM636)</f>
        <v>1.23868055</v>
      </c>
      <c r="J636" s="5">
        <f>'Daily Returns'!AT635*(1+'Daily Returns'!AN636)</f>
        <v>1.207558551</v>
      </c>
      <c r="L636" s="5">
        <f>'Daily Returns'!AU635*(1+'Daily Returns'!AO636)</f>
        <v>1.179699421</v>
      </c>
    </row>
    <row r="637" ht="15.75" customHeight="1">
      <c r="A637" s="9">
        <v>44754.0</v>
      </c>
      <c r="B637" s="6">
        <f>'Daily Returns'!AP636*(1+'Daily Returns'!AK637)</f>
        <v>1.470420014</v>
      </c>
      <c r="D637" s="4">
        <f>'Daily Returns'!AQ636 * (1 + 'Daily Returns'!AJ637)</f>
        <v>1.181994433</v>
      </c>
      <c r="F637" s="7">
        <f>'Daily Returns'!AR636 * (1 +'Daily Returns'!AL637)</f>
        <v>1.141397122</v>
      </c>
      <c r="H637" s="7">
        <f>'Daily Returns'!AS636*(1+'Daily Returns'!AM637)</f>
        <v>1.2230243</v>
      </c>
      <c r="J637" s="5">
        <f>'Daily Returns'!AT636*(1+'Daily Returns'!AN637)</f>
        <v>1.226387211</v>
      </c>
      <c r="L637" s="5">
        <f>'Daily Returns'!AU636*(1+'Daily Returns'!AO637)</f>
        <v>1.200253867</v>
      </c>
    </row>
    <row r="638" ht="15.75" customHeight="1">
      <c r="A638" s="9">
        <v>44755.0</v>
      </c>
      <c r="B638" s="6">
        <f>'Daily Returns'!AP637*(1+'Daily Returns'!AK638)</f>
        <v>1.468098868</v>
      </c>
      <c r="D638" s="4">
        <f>'Daily Returns'!AQ637 * (1 + 'Daily Returns'!AJ638)</f>
        <v>1.176726284</v>
      </c>
      <c r="F638" s="7">
        <f>'Daily Returns'!AR637 * (1 +'Daily Returns'!AL638)</f>
        <v>1.135566695</v>
      </c>
      <c r="H638" s="7">
        <f>'Daily Returns'!AS637*(1+'Daily Returns'!AM638)</f>
        <v>1.212459638</v>
      </c>
      <c r="J638" s="5">
        <f>'Daily Returns'!AT637*(1+'Daily Returns'!AN638)</f>
        <v>1.224295147</v>
      </c>
      <c r="L638" s="5">
        <f>'Daily Returns'!AU637*(1+'Daily Returns'!AO638)</f>
        <v>1.197762231</v>
      </c>
    </row>
    <row r="639" ht="15.75" customHeight="1">
      <c r="A639" s="9">
        <v>44756.0</v>
      </c>
      <c r="B639" s="6">
        <f>'Daily Returns'!AP638*(1+'Daily Returns'!AK639)</f>
        <v>1.449570139</v>
      </c>
      <c r="D639" s="4">
        <f>'Daily Returns'!AQ638 * (1 + 'Daily Returns'!AJ639)</f>
        <v>1.173197282</v>
      </c>
      <c r="F639" s="7">
        <f>'Daily Returns'!AR638 * (1 +'Daily Returns'!AL639)</f>
        <v>1.131856202</v>
      </c>
      <c r="H639" s="7">
        <f>'Daily Returns'!AS638*(1+'Daily Returns'!AM639)</f>
        <v>1.207177004</v>
      </c>
      <c r="J639" s="5">
        <f>'Daily Returns'!AT638*(1+'Daily Returns'!AN639)</f>
        <v>1.211742678</v>
      </c>
      <c r="L639" s="5">
        <f>'Daily Returns'!AU638*(1+'Daily Returns'!AO639)</f>
        <v>1.184682305</v>
      </c>
    </row>
    <row r="640" ht="15.75" customHeight="1">
      <c r="A640" s="9">
        <v>44757.0</v>
      </c>
      <c r="B640" s="6">
        <f>'Daily Returns'!AP639*(1+'Daily Returns'!AK640)</f>
        <v>1.454385066</v>
      </c>
      <c r="D640" s="4">
        <f>'Daily Returns'!AQ639 * (1 + 'Daily Returns'!AJ640)</f>
        <v>1.195723843</v>
      </c>
      <c r="F640" s="7">
        <f>'Daily Returns'!AR639 * (1 +'Daily Returns'!AL640)</f>
        <v>1.123587613</v>
      </c>
      <c r="H640" s="7">
        <f>'Daily Returns'!AS639*(1+'Daily Returns'!AM640)</f>
        <v>1.201831296</v>
      </c>
      <c r="J640" s="5">
        <f>'Daily Returns'!AT639*(1+'Daily Returns'!AN640)</f>
        <v>1.203374162</v>
      </c>
      <c r="L640" s="5">
        <f>'Daily Returns'!AU639*(1+'Daily Returns'!AO640)</f>
        <v>1.176585134</v>
      </c>
    </row>
    <row r="641" ht="15.75" customHeight="1">
      <c r="A641" s="9">
        <v>44760.0</v>
      </c>
      <c r="B641" s="6">
        <f>'Daily Returns'!AP640*(1+'Daily Returns'!AK641)</f>
        <v>1.448076483</v>
      </c>
      <c r="D641" s="4">
        <f>'Daily Returns'!AQ640 * (1 + 'Daily Returns'!AJ641)</f>
        <v>1.185722809</v>
      </c>
      <c r="F641" s="7">
        <f>'Daily Returns'!AR640 * (1 +'Daily Returns'!AL641)</f>
        <v>1.142669284</v>
      </c>
      <c r="H641" s="7">
        <f>'Daily Returns'!AS640*(1+'Daily Returns'!AM641)</f>
        <v>1.225188056</v>
      </c>
      <c r="J641" s="5">
        <f>'Daily Returns'!AT640*(1+'Daily Returns'!AN641)</f>
        <v>1.19960843</v>
      </c>
      <c r="L641" s="5">
        <f>'Daily Returns'!AU640*(1+'Daily Returns'!AO641)</f>
        <v>1.173159329</v>
      </c>
    </row>
    <row r="642" ht="15.75" customHeight="1">
      <c r="A642" s="9">
        <v>44761.0</v>
      </c>
      <c r="B642" s="6">
        <f>'Daily Returns'!AP641*(1+'Daily Returns'!AK642)</f>
        <v>1.456862743</v>
      </c>
      <c r="D642" s="4">
        <f>'Daily Returns'!AQ641 * (1 + 'Daily Returns'!AJ642)</f>
        <v>1.218481958</v>
      </c>
      <c r="F642" s="7">
        <f>'Daily Returns'!AR641 * (1 +'Daily Returns'!AL642)</f>
        <v>1.139064783</v>
      </c>
      <c r="H642" s="7">
        <f>'Daily Returns'!AS641*(1+'Daily Returns'!AM642)</f>
        <v>1.21672357</v>
      </c>
      <c r="J642" s="5">
        <f>'Daily Returns'!AT641*(1+'Daily Returns'!AN642)</f>
        <v>1.178687532</v>
      </c>
      <c r="L642" s="5">
        <f>'Daily Returns'!AU641*(1+'Daily Returns'!AO642)</f>
        <v>1.154784871</v>
      </c>
    </row>
    <row r="643" ht="15.75" customHeight="1">
      <c r="A643" s="9">
        <v>44762.0</v>
      </c>
      <c r="B643" s="6">
        <f>'Daily Returns'!AP642*(1+'Daily Returns'!AK643)</f>
        <v>1.453390283</v>
      </c>
      <c r="D643" s="4">
        <f>'Daily Returns'!AQ642 * (1 + 'Daily Returns'!AJ643)</f>
        <v>1.225666128</v>
      </c>
      <c r="F643" s="7">
        <f>'Daily Returns'!AR642 * (1 +'Daily Returns'!AL643)</f>
        <v>1.170019628</v>
      </c>
      <c r="H643" s="7">
        <f>'Daily Returns'!AS642*(1+'Daily Returns'!AM643)</f>
        <v>1.250709078</v>
      </c>
      <c r="J643" s="5">
        <f>'Daily Returns'!AT642*(1+'Daily Returns'!AN643)</f>
        <v>1.182453177</v>
      </c>
      <c r="L643" s="5">
        <f>'Daily Returns'!AU642*(1+'Daily Returns'!AO643)</f>
        <v>1.157899157</v>
      </c>
    </row>
    <row r="644" ht="15.75" customHeight="1">
      <c r="A644" s="9">
        <v>44763.0</v>
      </c>
      <c r="B644" s="6">
        <f>'Daily Returns'!AP643*(1+'Daily Returns'!AK644)</f>
        <v>1.46461859</v>
      </c>
      <c r="D644" s="4">
        <f>'Daily Returns'!AQ643 * (1 + 'Daily Returns'!AJ644)</f>
        <v>1.237752422</v>
      </c>
      <c r="F644" s="7">
        <f>'Daily Returns'!AR643 * (1 +'Daily Returns'!AL644)</f>
        <v>1.17319957</v>
      </c>
      <c r="H644" s="7">
        <f>'Daily Returns'!AS643*(1+'Daily Returns'!AM644)</f>
        <v>1.26082817</v>
      </c>
      <c r="J644" s="5">
        <f>'Daily Returns'!AT643*(1+'Daily Returns'!AN644)</f>
        <v>1.192913583</v>
      </c>
      <c r="L644" s="5">
        <f>'Daily Returns'!AU643*(1+'Daily Returns'!AO644)</f>
        <v>1.170045042</v>
      </c>
    </row>
    <row r="645" ht="15.75" customHeight="1">
      <c r="A645" s="9">
        <v>44764.0</v>
      </c>
      <c r="B645" s="6">
        <f>'Daily Returns'!AP644*(1+'Daily Returns'!AK645)</f>
        <v>1.452681621</v>
      </c>
      <c r="D645" s="4">
        <f>'Daily Returns'!AQ644 * (1 + 'Daily Returns'!AJ645)</f>
        <v>1.226201716</v>
      </c>
      <c r="F645" s="7">
        <f>'Daily Returns'!AR644 * (1 +'Daily Returns'!AL645)</f>
        <v>1.185814776</v>
      </c>
      <c r="H645" s="7">
        <f>'Daily Returns'!AS644*(1+'Daily Returns'!AM645)</f>
        <v>1.273302165</v>
      </c>
      <c r="J645" s="5">
        <f>'Daily Returns'!AT644*(1+'Daily Returns'!AN645)</f>
        <v>1.213834655</v>
      </c>
      <c r="L645" s="5">
        <f>'Daily Returns'!AU644*(1+'Daily Returns'!AO645)</f>
        <v>1.192467957</v>
      </c>
    </row>
    <row r="646" ht="15.75" customHeight="1">
      <c r="A646" s="9">
        <v>44767.0</v>
      </c>
      <c r="B646" s="6">
        <f>'Daily Returns'!AP645*(1+'Daily Returns'!AK646)</f>
        <v>1.449960137</v>
      </c>
      <c r="D646" s="4">
        <f>'Daily Returns'!AQ645 * (1 + 'Daily Returns'!AJ646)</f>
        <v>1.227814171</v>
      </c>
      <c r="F646" s="7">
        <f>'Daily Returns'!AR645 * (1 +'Daily Returns'!AL646)</f>
        <v>1.17606204</v>
      </c>
      <c r="H646" s="7">
        <f>'Daily Returns'!AS645*(1+'Daily Returns'!AM646)</f>
        <v>1.259491566</v>
      </c>
      <c r="J646" s="5">
        <f>'Daily Returns'!AT645*(1+'Daily Returns'!AN646)</f>
        <v>1.218437264</v>
      </c>
      <c r="L646" s="5">
        <f>'Daily Returns'!AU645*(1+'Daily Returns'!AO646)</f>
        <v>1.197762231</v>
      </c>
    </row>
    <row r="647" ht="15.75" customHeight="1">
      <c r="A647" s="9">
        <v>44768.0</v>
      </c>
      <c r="B647" s="6">
        <f>'Daily Returns'!AP646*(1+'Daily Returns'!AK647)</f>
        <v>1.456921181</v>
      </c>
      <c r="D647" s="4">
        <f>'Daily Returns'!AQ646 * (1 + 'Daily Returns'!AJ647)</f>
        <v>1.213641512</v>
      </c>
      <c r="F647" s="7">
        <f>'Daily Returns'!AR646 * (1 +'Daily Returns'!AL647)</f>
        <v>1.180090342</v>
      </c>
      <c r="H647" s="7">
        <f>'Daily Returns'!AS646*(1+'Daily Returns'!AM647)</f>
        <v>1.261209956</v>
      </c>
      <c r="J647" s="5">
        <f>'Daily Returns'!AT646*(1+'Daily Returns'!AN647)</f>
        <v>1.222203083</v>
      </c>
      <c r="L647" s="5">
        <f>'Daily Returns'!AU646*(1+'Daily Returns'!AO647)</f>
        <v>1.199319309</v>
      </c>
    </row>
    <row r="648" ht="15.75" customHeight="1">
      <c r="A648" s="9">
        <v>44769.0</v>
      </c>
      <c r="B648" s="6">
        <f>'Daily Returns'!AP647*(1+'Daily Returns'!AK648)</f>
        <v>1.466975338</v>
      </c>
      <c r="D648" s="4">
        <f>'Daily Returns'!AQ647 * (1 + 'Daily Returns'!AJ648)</f>
        <v>1.24538552</v>
      </c>
      <c r="F648" s="7">
        <f>'Daily Returns'!AR647 * (1 +'Daily Returns'!AL648)</f>
        <v>1.164400934</v>
      </c>
      <c r="H648" s="7">
        <f>'Daily Returns'!AS647*(1+'Daily Returns'!AM648)</f>
        <v>1.245617387</v>
      </c>
      <c r="J648" s="5">
        <f>'Daily Returns'!AT647*(1+'Daily Returns'!AN648)</f>
        <v>1.217600387</v>
      </c>
      <c r="L648" s="5">
        <f>'Daily Returns'!AU647*(1+'Daily Returns'!AO648)</f>
        <v>1.195582243</v>
      </c>
    </row>
    <row r="649" ht="15.75" customHeight="1">
      <c r="A649" s="9">
        <v>44770.0</v>
      </c>
      <c r="B649" s="6">
        <f>'Daily Returns'!AP648*(1+'Daily Returns'!AK649)</f>
        <v>1.474774266</v>
      </c>
      <c r="D649" s="4">
        <f>'Daily Returns'!AQ648 * (1 + 'Daily Returns'!AJ649)</f>
        <v>1.260495782</v>
      </c>
      <c r="F649" s="7">
        <f>'Daily Returns'!AR648 * (1 +'Daily Returns'!AL649)</f>
        <v>1.194401511</v>
      </c>
      <c r="H649" s="7">
        <f>'Daily Returns'!AS648*(1+'Daily Returns'!AM649)</f>
        <v>1.27832987</v>
      </c>
      <c r="J649" s="5">
        <f>'Daily Returns'!AT648*(1+'Daily Returns'!AN649)</f>
        <v>1.226387211</v>
      </c>
      <c r="L649" s="5">
        <f>'Daily Returns'!AU648*(1+'Daily Returns'!AO649)</f>
        <v>1.203368153</v>
      </c>
    </row>
    <row r="650" ht="15.75" customHeight="1">
      <c r="A650" s="9">
        <v>44771.0</v>
      </c>
      <c r="B650" s="6">
        <f>'Daily Returns'!AP649*(1+'Daily Returns'!AK650)</f>
        <v>1.48184877</v>
      </c>
      <c r="D650" s="4">
        <f>'Daily Returns'!AQ649 * (1 + 'Daily Returns'!AJ650)</f>
        <v>1.278404906</v>
      </c>
      <c r="F650" s="7">
        <f>'Daily Returns'!AR649 * (1 +'Daily Returns'!AL650)</f>
        <v>1.207546679</v>
      </c>
      <c r="H650" s="7">
        <f>'Daily Returns'!AS649*(1+'Daily Returns'!AM650)</f>
        <v>1.295004317</v>
      </c>
      <c r="J650" s="5">
        <f>'Daily Returns'!AT649*(1+'Daily Returns'!AN650)</f>
        <v>1.217600387</v>
      </c>
      <c r="L650" s="5">
        <f>'Daily Returns'!AU649*(1+'Daily Returns'!AO650)</f>
        <v>1.194959334</v>
      </c>
    </row>
    <row r="651" ht="15.75" customHeight="1">
      <c r="A651" s="9">
        <v>44774.0</v>
      </c>
      <c r="B651" s="6">
        <f>'Daily Returns'!AP650*(1+'Daily Returns'!AK651)</f>
        <v>1.469871298</v>
      </c>
      <c r="D651" s="4">
        <f>'Daily Returns'!AQ650 * (1 + 'Daily Returns'!AJ651)</f>
        <v>1.274795969</v>
      </c>
      <c r="F651" s="7">
        <f>'Daily Returns'!AR650 * (1 +'Daily Returns'!AL651)</f>
        <v>1.225144035</v>
      </c>
      <c r="H651" s="7">
        <f>'Daily Returns'!AS650*(1+'Daily Returns'!AM651)</f>
        <v>1.312633482</v>
      </c>
      <c r="J651" s="5">
        <f>'Daily Returns'!AT650*(1+'Daily Returns'!AN651)</f>
        <v>1.235592517</v>
      </c>
      <c r="L651" s="5">
        <f>'Daily Returns'!AU650*(1+'Daily Returns'!AO651)</f>
        <v>1.212710883</v>
      </c>
    </row>
    <row r="652" ht="15.75" customHeight="1">
      <c r="A652" s="9">
        <v>44775.0</v>
      </c>
      <c r="B652" s="6">
        <f>'Daily Returns'!AP651*(1+'Daily Returns'!AK652)</f>
        <v>1.459800235</v>
      </c>
      <c r="D652" s="4">
        <f>'Daily Returns'!AQ651 * (1 + 'Daily Returns'!AJ652)</f>
        <v>1.266303279</v>
      </c>
      <c r="F652" s="7">
        <f>'Daily Returns'!AR651 * (1 +'Daily Returns'!AL652)</f>
        <v>1.223129926</v>
      </c>
      <c r="H652" s="7">
        <f>'Daily Returns'!AS651*(1+'Daily Returns'!AM652)</f>
        <v>1.309578589</v>
      </c>
      <c r="J652" s="5">
        <f>'Daily Returns'!AT651*(1+'Daily Returns'!AN652)</f>
        <v>1.246053097</v>
      </c>
      <c r="L652" s="5">
        <f>'Daily Returns'!AU651*(1+'Daily Returns'!AO652)</f>
        <v>1.224545508</v>
      </c>
    </row>
    <row r="653" ht="15.75" customHeight="1">
      <c r="A653" s="9">
        <v>44776.0</v>
      </c>
      <c r="B653" s="6">
        <f>'Daily Returns'!AP652*(1+'Daily Returns'!AK653)</f>
        <v>1.46390519</v>
      </c>
      <c r="D653" s="4">
        <f>'Daily Returns'!AQ652 * (1 + 'Daily Returns'!AJ653)</f>
        <v>1.286105729</v>
      </c>
      <c r="F653" s="7">
        <f>'Daily Returns'!AR652 * (1 +'Daily Returns'!AL653)</f>
        <v>1.212423005</v>
      </c>
      <c r="H653" s="7">
        <f>'Daily Returns'!AS652*(1+'Daily Returns'!AM653)</f>
        <v>1.302513984</v>
      </c>
      <c r="J653" s="5">
        <f>'Daily Returns'!AT652*(1+'Daily Returns'!AN653)</f>
        <v>1.26069763</v>
      </c>
      <c r="L653" s="5">
        <f>'Daily Returns'!AU652*(1+'Daily Returns'!AO653)</f>
        <v>1.240116682</v>
      </c>
    </row>
    <row r="654" ht="15.75" customHeight="1">
      <c r="A654" s="9">
        <v>44777.0</v>
      </c>
      <c r="B654" s="6">
        <f>'Daily Returns'!AP653*(1+'Daily Returns'!AK654)</f>
        <v>1.459739208</v>
      </c>
      <c r="D654" s="4">
        <f>'Daily Returns'!AQ653 * (1 + 'Daily Returns'!AJ654)</f>
        <v>1.285106425</v>
      </c>
      <c r="F654" s="7">
        <f>'Daily Returns'!AR653 * (1 +'Daily Returns'!AL654)</f>
        <v>1.227794267</v>
      </c>
      <c r="H654" s="7">
        <f>'Daily Returns'!AS653*(1+'Daily Returns'!AM654)</f>
        <v>1.323452566</v>
      </c>
      <c r="J654" s="5">
        <f>'Daily Returns'!AT653*(1+'Daily Returns'!AN654)</f>
        <v>1.249400346</v>
      </c>
      <c r="L654" s="5">
        <f>'Daily Returns'!AU653*(1+'Daily Returns'!AO654)</f>
        <v>1.227971055</v>
      </c>
    </row>
    <row r="655" ht="15.75" customHeight="1">
      <c r="A655" s="9">
        <v>44778.0</v>
      </c>
      <c r="B655" s="6">
        <f>'Daily Returns'!AP654*(1+'Daily Returns'!AK655)</f>
        <v>1.464960223</v>
      </c>
      <c r="D655" s="4">
        <f>'Daily Returns'!AQ654 * (1 + 'Daily Returns'!AJ655)</f>
        <v>1.283016842</v>
      </c>
      <c r="F655" s="7">
        <f>'Daily Returns'!AR654 * (1 +'Daily Returns'!AL655)</f>
        <v>1.229702468</v>
      </c>
      <c r="H655" s="7">
        <f>'Daily Returns'!AS654*(1+'Daily Returns'!AM655)</f>
        <v>1.322179845</v>
      </c>
      <c r="J655" s="5">
        <f>'Daily Returns'!AT654*(1+'Daily Returns'!AN655)</f>
        <v>1.25274777</v>
      </c>
      <c r="L655" s="5">
        <f>'Daily Returns'!AU654*(1+'Daily Returns'!AO655)</f>
        <v>1.23170838</v>
      </c>
    </row>
    <row r="656" ht="15.75" customHeight="1">
      <c r="A656" s="9">
        <v>44781.0</v>
      </c>
      <c r="B656" s="6">
        <f>'Daily Returns'!AP655*(1+'Daily Returns'!AK656)</f>
        <v>1.474605123</v>
      </c>
      <c r="D656" s="4">
        <f>'Daily Returns'!AQ655 * (1 + 'Daily Returns'!AJ656)</f>
        <v>1.281428467</v>
      </c>
      <c r="F656" s="7">
        <f>'Daily Returns'!AR655 * (1 +'Daily Returns'!AL656)</f>
        <v>1.22588615</v>
      </c>
      <c r="H656" s="7">
        <f>'Daily Returns'!AS655*(1+'Daily Returns'!AM656)</f>
        <v>1.321734176</v>
      </c>
      <c r="J656" s="5">
        <f>'Daily Returns'!AT655*(1+'Daily Returns'!AN656)</f>
        <v>1.256513502</v>
      </c>
      <c r="L656" s="5">
        <f>'Daily Returns'!AU655*(1+'Daily Returns'!AO656)</f>
        <v>1.233576719</v>
      </c>
    </row>
    <row r="657" ht="15.75" customHeight="1">
      <c r="A657" s="9">
        <v>44782.0</v>
      </c>
      <c r="B657" s="6">
        <f>'Daily Returns'!AP656*(1+'Daily Returns'!AK657)</f>
        <v>1.47687819</v>
      </c>
      <c r="D657" s="4">
        <f>'Daily Returns'!AQ656 * (1 + 'Daily Returns'!AJ657)</f>
        <v>1.275983678</v>
      </c>
      <c r="F657" s="7">
        <f>'Daily Returns'!AR656 * (1 +'Daily Returns'!AL657)</f>
        <v>1.225462181</v>
      </c>
      <c r="H657" s="7">
        <f>'Daily Returns'!AS656*(1+'Daily Returns'!AM657)</f>
        <v>1.322943417</v>
      </c>
      <c r="J657" s="5">
        <f>'Daily Returns'!AT656*(1+'Daily Returns'!AN657)</f>
        <v>1.258187084</v>
      </c>
      <c r="L657" s="5">
        <f>'Daily Returns'!AU656*(1+'Daily Returns'!AO657)</f>
        <v>1.235756965</v>
      </c>
    </row>
    <row r="658" ht="15.75" customHeight="1">
      <c r="A658" s="9">
        <v>44783.0</v>
      </c>
      <c r="B658" s="6">
        <f>'Daily Returns'!AP657*(1+'Daily Returns'!AK658)</f>
        <v>1.483476773</v>
      </c>
      <c r="D658" s="4">
        <f>'Daily Returns'!AQ657 * (1 + 'Daily Returns'!AJ658)</f>
        <v>1.303150646</v>
      </c>
      <c r="F658" s="7">
        <f>'Daily Returns'!AR657 * (1 +'Daily Returns'!AL658)</f>
        <v>1.219313608</v>
      </c>
      <c r="H658" s="7">
        <f>'Daily Returns'!AS657*(1+'Daily Returns'!AM658)</f>
        <v>1.314606396</v>
      </c>
      <c r="J658" s="5">
        <f>'Daily Returns'!AT657*(1+'Daily Returns'!AN658)</f>
        <v>1.257768601</v>
      </c>
      <c r="L658" s="5">
        <f>'Daily Returns'!AU657*(1+'Daily Returns'!AO658)</f>
        <v>1.238871252</v>
      </c>
    </row>
    <row r="659" ht="15.75" customHeight="1">
      <c r="A659" s="9">
        <v>44784.0</v>
      </c>
      <c r="B659" s="6">
        <f>'Daily Returns'!AP658*(1+'Daily Returns'!AK659)</f>
        <v>1.482193092</v>
      </c>
      <c r="D659" s="4">
        <f>'Daily Returns'!AQ658 * (1 + 'Daily Returns'!AJ659)</f>
        <v>1.302231925</v>
      </c>
      <c r="F659" s="7">
        <f>'Daily Returns'!AR658 * (1 +'Daily Returns'!AL659)</f>
        <v>1.246345807</v>
      </c>
      <c r="H659" s="7">
        <f>'Daily Returns'!AS658*(1+'Daily Returns'!AM659)</f>
        <v>1.344582293</v>
      </c>
      <c r="J659" s="5">
        <f>'Daily Returns'!AT658*(1+'Daily Returns'!AN659)</f>
        <v>1.25274777</v>
      </c>
      <c r="L659" s="5">
        <f>'Daily Returns'!AU658*(1+'Daily Returns'!AO659)</f>
        <v>1.23233116</v>
      </c>
    </row>
    <row r="660" ht="15.75" customHeight="1">
      <c r="A660" s="9">
        <v>44785.0</v>
      </c>
      <c r="B660" s="6">
        <f>'Daily Returns'!AP659*(1+'Daily Returns'!AK660)</f>
        <v>1.485675309</v>
      </c>
      <c r="D660" s="4">
        <f>'Daily Returns'!AQ659 * (1 + 'Daily Returns'!AJ660)</f>
        <v>1.324789186</v>
      </c>
      <c r="F660" s="7">
        <f>'Daily Returns'!AR659 * (1 +'Daily Returns'!AL660)</f>
        <v>1.246663785</v>
      </c>
      <c r="H660" s="7">
        <f>'Daily Returns'!AS659*(1+'Daily Returns'!AM660)</f>
        <v>1.34464557</v>
      </c>
      <c r="J660" s="5">
        <f>'Daily Returns'!AT659*(1+'Daily Returns'!AN660)</f>
        <v>1.272831877</v>
      </c>
      <c r="L660" s="5">
        <f>'Daily Returns'!AU659*(1+'Daily Returns'!AO660)</f>
        <v>1.251328527</v>
      </c>
    </row>
    <row r="661" ht="15.75" customHeight="1">
      <c r="A661" s="9">
        <v>44788.0</v>
      </c>
      <c r="B661" s="6">
        <f>'Daily Returns'!AP660*(1+'Daily Returns'!AK661)</f>
        <v>1.477143508</v>
      </c>
      <c r="D661" s="4">
        <f>'Daily Returns'!AQ660 * (1 + 'Daily Returns'!AJ661)</f>
        <v>1.330047275</v>
      </c>
      <c r="F661" s="7">
        <f>'Daily Returns'!AR660 * (1 +'Daily Returns'!AL661)</f>
        <v>1.263943332</v>
      </c>
      <c r="H661" s="7">
        <f>'Daily Returns'!AS660*(1+'Daily Returns'!AM661)</f>
        <v>1.367938952</v>
      </c>
      <c r="J661" s="5">
        <f>'Daily Returns'!AT660*(1+'Daily Returns'!AN661)</f>
        <v>1.279945033</v>
      </c>
      <c r="L661" s="5">
        <f>'Daily Returns'!AU660*(1+'Daily Returns'!AO661)</f>
        <v>1.25849114</v>
      </c>
    </row>
    <row r="662" ht="15.75" customHeight="1">
      <c r="A662" s="9">
        <v>44789.0</v>
      </c>
      <c r="B662" s="6">
        <f>'Daily Returns'!AP661*(1+'Daily Returns'!AK662)</f>
        <v>1.487147102</v>
      </c>
      <c r="D662" s="4">
        <f>'Daily Returns'!AQ661 * (1 + 'Daily Returns'!AJ662)</f>
        <v>1.332542443</v>
      </c>
      <c r="F662" s="7">
        <f>'Daily Returns'!AR661 * (1 +'Daily Returns'!AL662)</f>
        <v>1.265321402</v>
      </c>
      <c r="H662" s="7">
        <f>'Daily Returns'!AS661*(1+'Daily Returns'!AM662)</f>
        <v>1.373284964</v>
      </c>
      <c r="J662" s="5">
        <f>'Daily Returns'!AT661*(1+'Daily Returns'!AN662)</f>
        <v>1.293334206</v>
      </c>
      <c r="L662" s="5">
        <f>'Daily Returns'!AU661*(1+'Daily Returns'!AO662)</f>
        <v>1.270636896</v>
      </c>
    </row>
    <row r="663" ht="15.75" customHeight="1">
      <c r="A663" s="9">
        <v>44790.0</v>
      </c>
      <c r="B663" s="6">
        <f>'Daily Returns'!AP662*(1+'Daily Returns'!AK663)</f>
        <v>1.482003607</v>
      </c>
      <c r="D663" s="4">
        <f>'Daily Returns'!AQ662 * (1 + 'Daily Returns'!AJ663)</f>
        <v>1.322897501</v>
      </c>
      <c r="F663" s="7">
        <f>'Daily Returns'!AR662 * (1 +'Daily Returns'!AL663)</f>
        <v>1.267865557</v>
      </c>
      <c r="H663" s="7">
        <f>'Daily Returns'!AS662*(1+'Daily Returns'!AM663)</f>
        <v>1.376212494</v>
      </c>
      <c r="J663" s="5">
        <f>'Daily Returns'!AT662*(1+'Daily Returns'!AN663)</f>
        <v>1.294589827</v>
      </c>
      <c r="L663" s="5">
        <f>'Daily Returns'!AU662*(1+'Daily Returns'!AO663)</f>
        <v>1.271882843</v>
      </c>
    </row>
    <row r="664" ht="15.75" customHeight="1">
      <c r="A664" s="9">
        <v>44791.0</v>
      </c>
      <c r="B664" s="6">
        <f>'Daily Returns'!AP663*(1+'Daily Returns'!AK664)</f>
        <v>1.488658607</v>
      </c>
      <c r="D664" s="4">
        <f>'Daily Returns'!AQ663 * (1 + 'Daily Returns'!AJ664)</f>
        <v>1.325900478</v>
      </c>
      <c r="F664" s="7">
        <f>'Daily Returns'!AR663 * (1 +'Daily Returns'!AL664)</f>
        <v>1.257900836</v>
      </c>
      <c r="H664" s="7">
        <f>'Daily Returns'!AS663*(1+'Daily Returns'!AM664)</f>
        <v>1.363865862</v>
      </c>
      <c r="J664" s="5">
        <f>'Daily Returns'!AT663*(1+'Daily Returns'!AN664)</f>
        <v>1.301284414</v>
      </c>
      <c r="L664" s="5">
        <f>'Daily Returns'!AU663*(1+'Daily Returns'!AO664)</f>
        <v>1.278422936</v>
      </c>
    </row>
    <row r="665" ht="15.75" customHeight="1">
      <c r="A665" s="9">
        <v>44792.0</v>
      </c>
      <c r="B665" s="6">
        <f>'Daily Returns'!AP664*(1+'Daily Returns'!AK665)</f>
        <v>1.482002622</v>
      </c>
      <c r="D665" s="4">
        <f>'Daily Returns'!AQ664 * (1 + 'Daily Returns'!AJ665)</f>
        <v>1.308796362</v>
      </c>
      <c r="F665" s="7">
        <f>'Daily Returns'!AR664 * (1 +'Daily Returns'!AL665)</f>
        <v>1.258006913</v>
      </c>
      <c r="H665" s="7">
        <f>'Daily Returns'!AS664*(1+'Daily Returns'!AM665)</f>
        <v>1.367429904</v>
      </c>
      <c r="J665" s="5">
        <f>'Daily Returns'!AT664*(1+'Daily Returns'!AN665)</f>
        <v>1.296681804</v>
      </c>
      <c r="L665" s="5">
        <f>'Daily Returns'!AU664*(1+'Daily Returns'!AO665)</f>
        <v>1.273439922</v>
      </c>
    </row>
    <row r="666" ht="15.75" customHeight="1">
      <c r="A666" s="9">
        <v>44795.0</v>
      </c>
      <c r="B666" s="6">
        <f>'Daily Returns'!AP665*(1+'Daily Returns'!AK666)</f>
        <v>1.472110057</v>
      </c>
      <c r="D666" s="4">
        <f>'Daily Returns'!AQ665 * (1 + 'Daily Returns'!AJ666)</f>
        <v>1.28078812</v>
      </c>
      <c r="F666" s="7">
        <f>'Daily Returns'!AR665 * (1 +'Daily Returns'!AL666)</f>
        <v>1.24115142</v>
      </c>
      <c r="H666" s="7">
        <f>'Daily Returns'!AS665*(1+'Daily Returns'!AM666)</f>
        <v>1.347891406</v>
      </c>
      <c r="J666" s="5">
        <f>'Daily Returns'!AT665*(1+'Daily Returns'!AN666)</f>
        <v>1.302121204</v>
      </c>
      <c r="L666" s="5">
        <f>'Daily Returns'!AU665*(1+'Daily Returns'!AO666)</f>
        <v>1.278422936</v>
      </c>
    </row>
    <row r="667" ht="15.75" customHeight="1">
      <c r="A667" s="9">
        <v>44796.0</v>
      </c>
      <c r="B667" s="6">
        <f>'Daily Returns'!AP666*(1+'Daily Returns'!AK667)</f>
        <v>1.473959353</v>
      </c>
      <c r="D667" s="4">
        <f>'Daily Returns'!AQ666 * (1 + 'Daily Returns'!AJ667)</f>
        <v>1.277921716</v>
      </c>
      <c r="F667" s="7">
        <f>'Daily Returns'!AR666 * (1 +'Daily Returns'!AL667)</f>
        <v>1.216239322</v>
      </c>
      <c r="H667" s="7">
        <f>'Daily Returns'!AS666*(1+'Daily Returns'!AM667)</f>
        <v>1.319061271</v>
      </c>
      <c r="J667" s="5">
        <f>'Daily Returns'!AT666*(1+'Daily Returns'!AN667)</f>
        <v>1.293334206</v>
      </c>
      <c r="L667" s="5">
        <f>'Daily Returns'!AU666*(1+'Daily Returns'!AO667)</f>
        <v>1.268768557</v>
      </c>
    </row>
    <row r="668" ht="15.75" customHeight="1">
      <c r="A668" s="9">
        <v>44797.0</v>
      </c>
      <c r="B668" s="6">
        <f>'Daily Returns'!AP667*(1+'Daily Returns'!AK668)</f>
        <v>1.475046445</v>
      </c>
      <c r="D668" s="4">
        <f>'Daily Returns'!AQ667 * (1 + 'Daily Returns'!AJ668)</f>
        <v>1.281648136</v>
      </c>
      <c r="F668" s="7">
        <f>'Daily Returns'!AR667 * (1 +'Daily Returns'!AL668)</f>
        <v>1.216239322</v>
      </c>
      <c r="H668" s="7">
        <f>'Daily Returns'!AS667*(1+'Daily Returns'!AM668)</f>
        <v>1.316579208</v>
      </c>
      <c r="J668" s="5">
        <f>'Daily Returns'!AT667*(1+'Daily Returns'!AN668)</f>
        <v>1.286221224</v>
      </c>
      <c r="L668" s="5">
        <f>'Daily Returns'!AU667*(1+'Daily Returns'!AO668)</f>
        <v>1.259737087</v>
      </c>
    </row>
    <row r="669" ht="15.75" customHeight="1">
      <c r="A669" s="9">
        <v>44798.0</v>
      </c>
      <c r="B669" s="6">
        <f>'Daily Returns'!AP668*(1+'Daily Returns'!AK669)</f>
        <v>1.485039207</v>
      </c>
      <c r="D669" s="4">
        <f>'Daily Returns'!AQ668 * (1 + 'Daily Returns'!AJ669)</f>
        <v>1.299709122</v>
      </c>
      <c r="F669" s="7">
        <f>'Daily Returns'!AR668 * (1 +'Daily Returns'!AL669)</f>
        <v>1.219631586</v>
      </c>
      <c r="H669" s="7">
        <f>'Daily Returns'!AS668*(1+'Daily Returns'!AM669)</f>
        <v>1.322116265</v>
      </c>
      <c r="J669" s="5">
        <f>'Daily Returns'!AT668*(1+'Daily Returns'!AN669)</f>
        <v>1.283710678</v>
      </c>
      <c r="L669" s="5">
        <f>'Daily Returns'!AU668*(1+'Daily Returns'!AO669)</f>
        <v>1.260982647</v>
      </c>
    </row>
    <row r="670" ht="15.75" customHeight="1">
      <c r="A670" s="9">
        <v>44799.0</v>
      </c>
      <c r="B670" s="6">
        <f>'Daily Returns'!AP669*(1+'Daily Returns'!AK670)</f>
        <v>1.471118965</v>
      </c>
      <c r="D670" s="4">
        <f>'Daily Returns'!AQ669 * (1 + 'Daily Returns'!AJ670)</f>
        <v>1.255924521</v>
      </c>
      <c r="F670" s="7">
        <f>'Daily Returns'!AR669 * (1 +'Daily Returns'!AL670)</f>
        <v>1.235532978</v>
      </c>
      <c r="H670" s="7">
        <f>'Daily Returns'!AS669*(1+'Daily Returns'!AM670)</f>
        <v>1.341272572</v>
      </c>
      <c r="J670" s="5">
        <f>'Daily Returns'!AT669*(1+'Daily Returns'!AN670)</f>
        <v>1.282873888</v>
      </c>
      <c r="L670" s="5">
        <f>'Daily Returns'!AU669*(1+'Daily Returns'!AO670)</f>
        <v>1.261605556</v>
      </c>
    </row>
    <row r="671" ht="15.75" customHeight="1">
      <c r="A671" s="9">
        <v>44802.0</v>
      </c>
      <c r="B671" s="6">
        <f>'Daily Returns'!AP670*(1+'Daily Returns'!AK671)</f>
        <v>1.473095083</v>
      </c>
      <c r="D671" s="4">
        <f>'Daily Returns'!AQ670 * (1 + 'Daily Returns'!AJ671)</f>
        <v>1.247552528</v>
      </c>
      <c r="F671" s="7">
        <f>'Daily Returns'!AR670 * (1 +'Daily Returns'!AL671)</f>
        <v>1.196945835</v>
      </c>
      <c r="H671" s="7">
        <f>'Daily Returns'!AS670*(1+'Daily Returns'!AM671)</f>
        <v>1.296850071</v>
      </c>
      <c r="J671" s="5">
        <f>'Daily Returns'!AT670*(1+'Daily Returns'!AN671)</f>
        <v>1.29383494</v>
      </c>
      <c r="L671" s="5">
        <f>'Daily Returns'!AU670*(1+'Daily Returns'!AO671)</f>
        <v>1.271882843</v>
      </c>
    </row>
    <row r="672" ht="15.75" customHeight="1">
      <c r="A672" s="9">
        <v>44803.0</v>
      </c>
      <c r="B672" s="6">
        <f>'Daily Returns'!AP671*(1+'Daily Returns'!AK672)</f>
        <v>1.465773945</v>
      </c>
      <c r="D672" s="4">
        <f>'Daily Returns'!AQ671 * (1 + 'Daily Returns'!AJ672)</f>
        <v>1.233794519</v>
      </c>
      <c r="F672" s="7">
        <f>'Daily Returns'!AR671 * (1 +'Daily Returns'!AL672)</f>
        <v>1.190267132</v>
      </c>
      <c r="H672" s="7">
        <f>'Daily Returns'!AS671*(1+'Daily Returns'!AM672)</f>
        <v>1.287367186</v>
      </c>
      <c r="J672" s="5">
        <f>'Daily Returns'!AT671*(1+'Daily Returns'!AN672)</f>
        <v>1.275706942</v>
      </c>
      <c r="L672" s="5">
        <f>'Daily Returns'!AU671*(1+'Daily Returns'!AO672)</f>
        <v>1.253508514</v>
      </c>
    </row>
    <row r="673" ht="15.75" customHeight="1">
      <c r="A673" s="9">
        <v>44804.0</v>
      </c>
      <c r="B673" s="6">
        <f>'Daily Returns'!AP672*(1+'Daily Returns'!AK673)</f>
        <v>1.454046257</v>
      </c>
      <c r="D673" s="4">
        <f>'Daily Returns'!AQ672 * (1 + 'Daily Returns'!AJ673)</f>
        <v>1.224149947</v>
      </c>
      <c r="F673" s="7">
        <f>'Daily Returns'!AR672 * (1 +'Daily Returns'!AL673)</f>
        <v>1.178182141</v>
      </c>
      <c r="H673" s="7">
        <f>'Daily Returns'!AS672*(1+'Daily Returns'!AM673)</f>
        <v>1.273047742</v>
      </c>
      <c r="J673" s="5">
        <f>'Daily Returns'!AT672*(1+'Daily Returns'!AN673)</f>
        <v>1.273177595</v>
      </c>
      <c r="L673" s="5">
        <f>'Daily Returns'!AU672*(1+'Daily Returns'!AO673)</f>
        <v>1.251328527</v>
      </c>
    </row>
    <row r="674" ht="15.75" customHeight="1">
      <c r="A674" s="9">
        <v>44805.0</v>
      </c>
      <c r="B674" s="6">
        <f>'Daily Returns'!AP673*(1+'Daily Returns'!AK674)</f>
        <v>1.443644219</v>
      </c>
      <c r="D674" s="4">
        <f>'Daily Returns'!AQ673 * (1 + 'Daily Returns'!AJ674)</f>
        <v>1.2278175</v>
      </c>
      <c r="F674" s="7">
        <f>'Daily Returns'!AR673 * (1 +'Daily Returns'!AL674)</f>
        <v>1.16906536</v>
      </c>
      <c r="H674" s="7">
        <f>'Daily Returns'!AS673*(1+'Daily Returns'!AM674)</f>
        <v>1.263692019</v>
      </c>
      <c r="J674" s="5">
        <f>'Daily Returns'!AT673*(1+'Daily Returns'!AN674)</f>
        <v>1.252519903</v>
      </c>
      <c r="L674" s="5">
        <f>'Daily Returns'!AU673*(1+'Daily Returns'!AO674)</f>
        <v>1.229839911</v>
      </c>
    </row>
    <row r="675" ht="15.75" customHeight="1">
      <c r="A675" s="9">
        <v>44806.0</v>
      </c>
      <c r="B675" s="6">
        <f>'Daily Returns'!AP674*(1+'Daily Returns'!AK675)</f>
        <v>1.453759328</v>
      </c>
      <c r="D675" s="4">
        <f>'Daily Returns'!AQ674 * (1 + 'Daily Returns'!AJ675)</f>
        <v>1.214635651</v>
      </c>
      <c r="F675" s="7">
        <f>'Daily Returns'!AR674 * (1 +'Daily Returns'!AL675)</f>
        <v>1.165673096</v>
      </c>
      <c r="H675" s="7">
        <f>'Daily Returns'!AS674*(1+'Daily Returns'!AM675)</f>
        <v>1.264455792</v>
      </c>
      <c r="J675" s="5">
        <f>'Daily Returns'!AT674*(1+'Daily Returns'!AN675)</f>
        <v>1.239872648</v>
      </c>
      <c r="L675" s="5">
        <f>'Daily Returns'!AU674*(1+'Daily Returns'!AO675)</f>
        <v>1.221742611</v>
      </c>
    </row>
    <row r="676" ht="15.75" customHeight="1">
      <c r="A676" s="9">
        <v>44810.0</v>
      </c>
      <c r="B676" s="6">
        <f>'Daily Returns'!AP675*(1+'Daily Returns'!AK676)</f>
        <v>1.450506833</v>
      </c>
      <c r="D676" s="4">
        <f>'Daily Returns'!AQ675 * (1 + 'Daily Returns'!AJ676)</f>
        <v>1.209661718</v>
      </c>
      <c r="F676" s="7">
        <f>'Daily Returns'!AR675 * (1 +'Daily Returns'!AL676)</f>
        <v>1.155284237</v>
      </c>
      <c r="H676" s="7">
        <f>'Daily Returns'!AS675*(1+'Daily Returns'!AM676)</f>
        <v>1.251918319</v>
      </c>
      <c r="J676" s="5">
        <f>'Daily Returns'!AT675*(1+'Daily Returns'!AN676)</f>
        <v>1.231019327</v>
      </c>
      <c r="L676" s="5">
        <f>'Daily Returns'!AU675*(1+'Daily Returns'!AO676)</f>
        <v>1.208662427</v>
      </c>
    </row>
    <row r="677" ht="15.75" customHeight="1">
      <c r="A677" s="9">
        <v>44811.0</v>
      </c>
      <c r="B677" s="6">
        <f>'Daily Returns'!AP676*(1+'Daily Returns'!AK677)</f>
        <v>1.466198947</v>
      </c>
      <c r="D677" s="4">
        <f>'Daily Returns'!AQ676 * (1 + 'Daily Returns'!AJ677)</f>
        <v>1.231848124</v>
      </c>
      <c r="F677" s="7">
        <f>'Daily Returns'!AR676 * (1 +'Daily Returns'!AL677)</f>
        <v>1.150301919</v>
      </c>
      <c r="H677" s="7">
        <f>'Daily Returns'!AS676*(1+'Daily Returns'!AM677)</f>
        <v>1.24682683</v>
      </c>
      <c r="J677" s="5">
        <f>'Daily Returns'!AT676*(1+'Daily Returns'!AN677)</f>
        <v>1.23902933</v>
      </c>
      <c r="L677" s="5">
        <f>'Daily Returns'!AU676*(1+'Daily Returns'!AO677)</f>
        <v>1.217071246</v>
      </c>
    </row>
    <row r="678" ht="15.75" customHeight="1">
      <c r="A678" s="9">
        <v>44812.0</v>
      </c>
      <c r="B678" s="6">
        <f>'Daily Returns'!AP677*(1+'Daily Returns'!AK678)</f>
        <v>1.472909488</v>
      </c>
      <c r="D678" s="4">
        <f>'Daily Returns'!AQ677 * (1 + 'Daily Returns'!AJ678)</f>
        <v>1.239991872</v>
      </c>
      <c r="F678" s="7">
        <f>'Daily Returns'!AR677 * (1 +'Daily Returns'!AL678)</f>
        <v>1.168005267</v>
      </c>
      <c r="H678" s="7">
        <f>'Daily Returns'!AS677*(1+'Daily Returns'!AM678)</f>
        <v>1.269865385</v>
      </c>
      <c r="J678" s="5">
        <f>'Daily Returns'!AT677*(1+'Daily Returns'!AN678)</f>
        <v>1.227225046</v>
      </c>
      <c r="L678" s="5">
        <f>'Daily Returns'!AU677*(1+'Daily Returns'!AO678)</f>
        <v>1.205236493</v>
      </c>
    </row>
    <row r="679" ht="15.75" customHeight="1">
      <c r="A679" s="9">
        <v>44813.0</v>
      </c>
      <c r="B679" s="6">
        <f>'Daily Returns'!AP678*(1+'Daily Returns'!AK679)</f>
        <v>1.48654306</v>
      </c>
      <c r="D679" s="4">
        <f>'Daily Returns'!AQ678 * (1 + 'Daily Returns'!AJ679)</f>
        <v>1.258927788</v>
      </c>
      <c r="F679" s="7">
        <f>'Daily Returns'!AR678 * (1 +'Daily Returns'!AL679)</f>
        <v>1.174047846</v>
      </c>
      <c r="H679" s="7">
        <f>'Daily Returns'!AS678*(1+'Daily Returns'!AM679)</f>
        <v>1.279920998</v>
      </c>
      <c r="J679" s="5">
        <f>'Daily Returns'!AT678*(1+'Daily Returns'!AN679)</f>
        <v>1.237343128</v>
      </c>
      <c r="L679" s="5">
        <f>'Daily Returns'!AU678*(1+'Daily Returns'!AO679)</f>
        <v>1.216136818</v>
      </c>
    </row>
    <row r="680" ht="15.75" customHeight="1">
      <c r="A680" s="9">
        <v>44816.0</v>
      </c>
      <c r="B680" s="6">
        <f>'Daily Returns'!AP679*(1+'Daily Returns'!AK680)</f>
        <v>1.500179344</v>
      </c>
      <c r="D680" s="4">
        <f>'Daily Returns'!AQ679 * (1 + 'Daily Returns'!AJ680)</f>
        <v>1.272252279</v>
      </c>
      <c r="F680" s="7">
        <f>'Daily Returns'!AR679 * (1 +'Daily Returns'!AL680)</f>
        <v>1.196839758</v>
      </c>
      <c r="H680" s="7">
        <f>'Daily Returns'!AS679*(1+'Daily Returns'!AM680)</f>
        <v>1.301177684</v>
      </c>
      <c r="J680" s="5">
        <f>'Daily Returns'!AT679*(1+'Daily Returns'!AN680)</f>
        <v>1.249147325</v>
      </c>
      <c r="L680" s="5">
        <f>'Daily Returns'!AU679*(1+'Daily Returns'!AO680)</f>
        <v>1.226725496</v>
      </c>
    </row>
    <row r="681" ht="15.75" customHeight="1">
      <c r="A681" s="9">
        <v>44817.0</v>
      </c>
      <c r="B681" s="6">
        <f>'Daily Returns'!AP680*(1+'Daily Returns'!AK681)</f>
        <v>1.482078384</v>
      </c>
      <c r="D681" s="4">
        <f>'Daily Returns'!AQ680 * (1 + 'Daily Returns'!AJ681)</f>
        <v>1.217243908</v>
      </c>
      <c r="F681" s="7">
        <f>'Daily Returns'!AR680 * (1 +'Daily Returns'!AL681)</f>
        <v>1.210726873</v>
      </c>
      <c r="H681" s="7">
        <f>'Daily Returns'!AS680*(1+'Daily Returns'!AM681)</f>
        <v>1.315179125</v>
      </c>
      <c r="J681" s="5">
        <f>'Daily Returns'!AT680*(1+'Daily Returns'!AN681)</f>
        <v>1.273177595</v>
      </c>
      <c r="L681" s="5">
        <f>'Daily Returns'!AU680*(1+'Daily Returns'!AO681)</f>
        <v>1.2494598</v>
      </c>
    </row>
    <row r="682" ht="15.75" customHeight="1">
      <c r="A682" s="9">
        <v>44818.0</v>
      </c>
      <c r="B682" s="6">
        <f>'Daily Returns'!AP681*(1+'Daily Returns'!AK682)</f>
        <v>1.477180205</v>
      </c>
      <c r="D682" s="4">
        <f>'Daily Returns'!AQ681 * (1 + 'Daily Returns'!AJ682)</f>
        <v>1.221366713</v>
      </c>
      <c r="F682" s="7">
        <f>'Daily Returns'!AR681 * (1 +'Daily Returns'!AL682)</f>
        <v>1.16122074</v>
      </c>
      <c r="H682" s="7">
        <f>'Daily Returns'!AS681*(1+'Daily Returns'!AM682)</f>
        <v>1.258664212</v>
      </c>
      <c r="J682" s="5">
        <f>'Daily Returns'!AT681*(1+'Daily Returns'!AN682)</f>
        <v>1.285403234</v>
      </c>
      <c r="L682" s="5">
        <f>'Daily Returns'!AU681*(1+'Daily Returns'!AO682)</f>
        <v>1.262851503</v>
      </c>
    </row>
    <row r="683" ht="15.75" customHeight="1">
      <c r="A683" s="9">
        <v>44819.0</v>
      </c>
      <c r="B683" s="6">
        <f>'Daily Returns'!AP682*(1+'Daily Returns'!AK683)</f>
        <v>1.466515934</v>
      </c>
      <c r="D683" s="4">
        <f>'Daily Returns'!AQ682 * (1 + 'Daily Returns'!AJ683)</f>
        <v>1.207543284</v>
      </c>
      <c r="F683" s="7">
        <f>'Daily Returns'!AR682 * (1 +'Daily Returns'!AL683)</f>
        <v>1.165779089</v>
      </c>
      <c r="H683" s="7">
        <f>'Daily Returns'!AS682*(1+'Daily Returns'!AM683)</f>
        <v>1.263564757</v>
      </c>
      <c r="J683" s="5">
        <f>'Daily Returns'!AT682*(1+'Daily Returns'!AN683)</f>
        <v>1.263059513</v>
      </c>
      <c r="L683" s="5">
        <f>'Daily Returns'!AU682*(1+'Daily Returns'!AO683)</f>
        <v>1.241674148</v>
      </c>
    </row>
    <row r="684" ht="15.75" customHeight="1">
      <c r="A684" s="9">
        <v>44820.0</v>
      </c>
      <c r="B684" s="6">
        <f>'Daily Returns'!AP683*(1+'Daily Returns'!AK684)</f>
        <v>1.470383794</v>
      </c>
      <c r="D684" s="4">
        <f>'Daily Returns'!AQ683 * (1 + 'Daily Returns'!AJ684)</f>
        <v>1.198870708</v>
      </c>
      <c r="F684" s="7">
        <f>'Daily Returns'!AR683 * (1 +'Daily Returns'!AL684)</f>
        <v>1.153906167</v>
      </c>
      <c r="H684" s="7">
        <f>'Daily Returns'!AS683*(1+'Daily Returns'!AM684)</f>
        <v>1.250072566</v>
      </c>
      <c r="J684" s="5">
        <f>'Daily Returns'!AT683*(1+'Daily Returns'!AN684)</f>
        <v>1.268118554</v>
      </c>
      <c r="L684" s="5">
        <f>'Daily Returns'!AU683*(1+'Daily Returns'!AO684)</f>
        <v>1.246345643</v>
      </c>
    </row>
    <row r="685" ht="15.75" customHeight="1">
      <c r="A685" s="9">
        <v>44823.0</v>
      </c>
      <c r="B685" s="6">
        <f>'Daily Returns'!AP684*(1+'Daily Returns'!AK685)</f>
        <v>1.47916541</v>
      </c>
      <c r="D685" s="4">
        <f>'Daily Returns'!AQ684 * (1 + 'Daily Returns'!AJ685)</f>
        <v>1.207091365</v>
      </c>
      <c r="F685" s="7">
        <f>'Daily Returns'!AR684 * (1 +'Daily Returns'!AL685)</f>
        <v>1.145001454</v>
      </c>
      <c r="H685" s="7">
        <f>'Daily Returns'!AS684*(1+'Daily Returns'!AM685)</f>
        <v>1.23868055</v>
      </c>
      <c r="J685" s="5">
        <f>'Daily Returns'!AT684*(1+'Daily Returns'!AN685)</f>
        <v>1.25926532</v>
      </c>
      <c r="L685" s="5">
        <f>'Daily Returns'!AU684*(1+'Daily Returns'!AO685)</f>
        <v>1.236379745</v>
      </c>
    </row>
    <row r="686" ht="15.75" customHeight="1">
      <c r="A686" s="9">
        <v>44824.0</v>
      </c>
      <c r="B686" s="6">
        <f>'Daily Returns'!AP685*(1+'Daily Returns'!AK686)</f>
        <v>1.460645538</v>
      </c>
      <c r="D686" s="4">
        <f>'Daily Returns'!AQ685 * (1 + 'Daily Returns'!AJ686)</f>
        <v>1.193485031</v>
      </c>
      <c r="F686" s="7">
        <f>'Daily Returns'!AR685 * (1 +'Daily Returns'!AL686)</f>
        <v>1.151679989</v>
      </c>
      <c r="H686" s="7">
        <f>'Daily Returns'!AS685*(1+'Daily Returns'!AM686)</f>
        <v>1.247463241</v>
      </c>
      <c r="J686" s="5">
        <f>'Daily Returns'!AT685*(1+'Daily Returns'!AN686)</f>
        <v>1.248725796</v>
      </c>
      <c r="L686" s="5">
        <f>'Daily Returns'!AU685*(1+'Daily Returns'!AO686)</f>
        <v>1.225168288</v>
      </c>
    </row>
    <row r="687" ht="15.75" customHeight="1">
      <c r="A687" s="9">
        <v>44825.0</v>
      </c>
      <c r="B687" s="6">
        <f>'Daily Returns'!AP686*(1+'Daily Returns'!AK687)</f>
        <v>1.453998067</v>
      </c>
      <c r="D687" s="4">
        <f>'Daily Returns'!AQ686 * (1 + 'Daily Returns'!AJ687)</f>
        <v>1.173057341</v>
      </c>
      <c r="F687" s="7">
        <f>'Daily Returns'!AR686 * (1 +'Daily Returns'!AL687)</f>
        <v>1.13758072</v>
      </c>
      <c r="H687" s="7">
        <f>'Daily Returns'!AS686*(1+'Daily Returns'!AM687)</f>
        <v>1.23295255</v>
      </c>
      <c r="J687" s="5">
        <f>'Daily Returns'!AT686*(1+'Daily Returns'!AN687)</f>
        <v>1.26053008</v>
      </c>
      <c r="L687" s="5">
        <f>'Daily Returns'!AU686*(1+'Daily Returns'!AO687)</f>
        <v>1.237314044</v>
      </c>
    </row>
    <row r="688" ht="15.75" customHeight="1">
      <c r="A688" s="9">
        <v>44826.0</v>
      </c>
      <c r="B688" s="6">
        <f>'Daily Returns'!AP687*(1+'Daily Returns'!AK688)</f>
        <v>1.444412709</v>
      </c>
      <c r="D688" s="4">
        <f>'Daily Returns'!AQ687 * (1 + 'Daily Returns'!AJ688)</f>
        <v>1.163170814</v>
      </c>
      <c r="F688" s="7">
        <f>'Daily Returns'!AR687 * (1 +'Daily Returns'!AL688)</f>
        <v>1.119347157</v>
      </c>
      <c r="H688" s="7">
        <f>'Daily Returns'!AS687*(1+'Daily Returns'!AM688)</f>
        <v>1.211886808</v>
      </c>
      <c r="J688" s="5">
        <f>'Daily Returns'!AT687*(1+'Daily Returns'!AN688)</f>
        <v>1.249568941</v>
      </c>
      <c r="L688" s="5">
        <f>'Daily Returns'!AU687*(1+'Daily Returns'!AO688)</f>
        <v>1.225168288</v>
      </c>
    </row>
    <row r="689" ht="15.75" customHeight="1">
      <c r="A689" s="9">
        <v>44827.0</v>
      </c>
      <c r="B689" s="6">
        <f>'Daily Returns'!AP688*(1+'Daily Returns'!AK689)</f>
        <v>1.420556467</v>
      </c>
      <c r="D689" s="4">
        <f>'Daily Returns'!AQ688 * (1 + 'Daily Returns'!AJ689)</f>
        <v>1.143125891</v>
      </c>
      <c r="F689" s="7">
        <f>'Daily Returns'!AR688 * (1 +'Daily Returns'!AL689)</f>
        <v>1.110018475</v>
      </c>
      <c r="H689" s="7">
        <f>'Daily Returns'!AS688*(1+'Daily Returns'!AM689)</f>
        <v>1.198330935</v>
      </c>
      <c r="J689" s="5">
        <f>'Daily Returns'!AT688*(1+'Daily Returns'!AN689)</f>
        <v>1.236078281</v>
      </c>
      <c r="L689" s="5">
        <f>'Daily Returns'!AU688*(1+'Daily Returns'!AO689)</f>
        <v>1.213645312</v>
      </c>
    </row>
    <row r="690" ht="15.75" customHeight="1">
      <c r="A690" s="9">
        <v>44830.0</v>
      </c>
      <c r="B690" s="6">
        <f>'Daily Returns'!AP689*(1+'Daily Returns'!AK690)</f>
        <v>1.412043786</v>
      </c>
      <c r="D690" s="4">
        <f>'Daily Returns'!AQ689 * (1 + 'Daily Returns'!AJ690)</f>
        <v>1.131304827</v>
      </c>
      <c r="F690" s="7">
        <f>'Daily Returns'!AR689 * (1 +'Daily Returns'!AL690)</f>
        <v>1.085424355</v>
      </c>
      <c r="H690" s="7">
        <f>'Daily Returns'!AS689*(1+'Daily Returns'!AM690)</f>
        <v>1.177661254</v>
      </c>
      <c r="J690" s="5">
        <f>'Daily Returns'!AT689*(1+'Daily Returns'!AN690)</f>
        <v>1.227646749</v>
      </c>
      <c r="L690" s="5">
        <f>'Daily Returns'!AU689*(1+'Daily Returns'!AO690)</f>
        <v>1.202745244</v>
      </c>
    </row>
    <row r="691" ht="15.75" customHeight="1">
      <c r="A691" s="9">
        <v>44831.0</v>
      </c>
      <c r="B691" s="6">
        <f>'Daily Returns'!AP690*(1+'Daily Returns'!AK691)</f>
        <v>1.409754941</v>
      </c>
      <c r="D691" s="4">
        <f>'Daily Returns'!AQ690 * (1 + 'Daily Returns'!AJ691)</f>
        <v>1.12890646</v>
      </c>
      <c r="F691" s="7">
        <f>'Daily Returns'!AR690 * (1 +'Daily Returns'!AL691)</f>
        <v>1.072279355</v>
      </c>
      <c r="H691" s="7">
        <f>'Daily Returns'!AS690*(1+'Daily Returns'!AM691)</f>
        <v>1.164751006</v>
      </c>
      <c r="J691" s="5">
        <f>'Daily Returns'!AT690*(1+'Daily Returns'!AN691)</f>
        <v>1.196449532</v>
      </c>
      <c r="L691" s="5">
        <f>'Daily Returns'!AU690*(1+'Daily Returns'!AO691)</f>
        <v>1.17035682</v>
      </c>
    </row>
    <row r="692" ht="15.75" customHeight="1">
      <c r="A692" s="9">
        <v>44832.0</v>
      </c>
      <c r="B692" s="6">
        <f>'Daily Returns'!AP691*(1+'Daily Returns'!AK692)</f>
        <v>1.422844215</v>
      </c>
      <c r="D692" s="4">
        <f>'Daily Returns'!AQ691 * (1 + 'Daily Returns'!AJ692)</f>
        <v>1.151114308</v>
      </c>
      <c r="F692" s="7">
        <f>'Daily Returns'!AR691 * (1 +'Daily Returns'!AL692)</f>
        <v>1.069417054</v>
      </c>
      <c r="H692" s="7">
        <f>'Daily Returns'!AS691*(1+'Daily Returns'!AM692)</f>
        <v>1.163025326</v>
      </c>
      <c r="J692" s="5">
        <f>'Daily Returns'!AT691*(1+'Daily Returns'!AN692)</f>
        <v>1.188017913</v>
      </c>
      <c r="L692" s="5">
        <f>'Daily Returns'!AU691*(1+'Daily Returns'!AO692)</f>
        <v>1.162570651</v>
      </c>
    </row>
    <row r="693" ht="15.75" customHeight="1">
      <c r="A693" s="9">
        <v>44833.0</v>
      </c>
      <c r="B693" s="6">
        <f>'Daily Returns'!AP692*(1+'Daily Returns'!AK693)</f>
        <v>1.410990129</v>
      </c>
      <c r="D693" s="4">
        <f>'Daily Returns'!AQ692 * (1 + 'Daily Returns'!AJ693)</f>
        <v>1.126795867</v>
      </c>
      <c r="F693" s="7">
        <f>'Daily Returns'!AR692 * (1 +'Daily Returns'!AL693)</f>
        <v>1.091360942</v>
      </c>
      <c r="H693" s="7">
        <f>'Daily Returns'!AS692*(1+'Daily Returns'!AM693)</f>
        <v>1.187503854</v>
      </c>
      <c r="J693" s="5">
        <f>'Daily Returns'!AT692*(1+'Daily Returns'!AN693)</f>
        <v>1.186331537</v>
      </c>
      <c r="L693" s="5">
        <f>'Daily Returns'!AU692*(1+'Daily Returns'!AO693)</f>
        <v>1.159767884</v>
      </c>
    </row>
    <row r="694" ht="15.75" customHeight="1">
      <c r="A694" s="9">
        <v>44834.0</v>
      </c>
      <c r="B694" s="6">
        <f>'Daily Returns'!AP693*(1+'Daily Returns'!AK694)</f>
        <v>1.398833697</v>
      </c>
      <c r="D694" s="4">
        <f>'Daily Returns'!AQ693 * (1 + 'Daily Returns'!AJ694)</f>
        <v>1.109818434</v>
      </c>
      <c r="F694" s="7">
        <f>'Daily Returns'!AR693 * (1 +'Daily Returns'!AL694)</f>
        <v>1.07249134</v>
      </c>
      <c r="H694" s="7">
        <f>'Daily Returns'!AS693*(1+'Daily Returns'!AM694)</f>
        <v>1.162833471</v>
      </c>
      <c r="J694" s="5">
        <f>'Daily Returns'!AT693*(1+'Daily Returns'!AN694)</f>
        <v>1.206567527</v>
      </c>
      <c r="L694" s="5">
        <f>'Daily Returns'!AU693*(1+'Daily Returns'!AO694)</f>
        <v>1.183747748</v>
      </c>
    </row>
    <row r="695" ht="15.75" customHeight="1">
      <c r="A695" s="9">
        <v>44837.0</v>
      </c>
      <c r="B695" s="6">
        <f>'Daily Returns'!AP694*(1+'Daily Returns'!AK695)</f>
        <v>1.421436091</v>
      </c>
      <c r="D695" s="4">
        <f>'Daily Returns'!AQ694 * (1 + 'Daily Returns'!AJ695)</f>
        <v>1.138544974</v>
      </c>
      <c r="F695" s="7">
        <f>'Daily Returns'!AR694 * (1 +'Daily Returns'!AL695)</f>
        <v>1.059558241</v>
      </c>
      <c r="H695" s="7">
        <f>'Daily Returns'!AS694*(1+'Daily Returns'!AM695)</f>
        <v>1.147047023</v>
      </c>
      <c r="J695" s="5">
        <f>'Daily Returns'!AT694*(1+'Daily Returns'!AN695)</f>
        <v>1.193498483</v>
      </c>
      <c r="L695" s="5">
        <f>'Daily Returns'!AU694*(1+'Daily Returns'!AO695)</f>
        <v>1.169645662</v>
      </c>
    </row>
    <row r="696" ht="15.75" customHeight="1">
      <c r="A696" s="9">
        <v>44838.0</v>
      </c>
      <c r="B696" s="6">
        <f>'Daily Returns'!AP695*(1+'Daily Returns'!AK696)</f>
        <v>1.444717597</v>
      </c>
      <c r="D696" s="4">
        <f>'Daily Returns'!AQ695 * (1 + 'Daily Returns'!AJ696)</f>
        <v>1.173366234</v>
      </c>
      <c r="F696" s="7">
        <f>'Daily Returns'!AR695 * (1 +'Daily Returns'!AL696)</f>
        <v>1.085530432</v>
      </c>
      <c r="H696" s="7">
        <f>'Daily Returns'!AS695*(1+'Daily Returns'!AM696)</f>
        <v>1.176191212</v>
      </c>
      <c r="J696" s="5">
        <f>'Daily Returns'!AT695*(1+'Daily Returns'!AN696)</f>
        <v>1.192233723</v>
      </c>
      <c r="L696" s="5">
        <f>'Daily Returns'!AU695*(1+'Daily Returns'!AO696)</f>
        <v>1.168703482</v>
      </c>
    </row>
    <row r="697" ht="15.75" customHeight="1">
      <c r="A697" s="9">
        <v>44839.0</v>
      </c>
      <c r="B697" s="6">
        <f>'Daily Returns'!AP696*(1+'Daily Returns'!AK697)</f>
        <v>1.435535302</v>
      </c>
      <c r="D697" s="4">
        <f>'Daily Returns'!AQ696 * (1 + 'Daily Returns'!AJ697)</f>
        <v>1.170998381</v>
      </c>
      <c r="F697" s="7">
        <f>'Daily Returns'!AR696 * (1 +'Daily Returns'!AL697)</f>
        <v>1.122527604</v>
      </c>
      <c r="H697" s="7">
        <f>'Daily Returns'!AS696*(1+'Daily Returns'!AM697)</f>
        <v>1.213964103</v>
      </c>
      <c r="J697" s="5">
        <f>'Daily Returns'!AT696*(1+'Daily Returns'!AN697)</f>
        <v>1.21879334</v>
      </c>
      <c r="L697" s="5">
        <f>'Daily Returns'!AU696*(1+'Daily Returns'!AO697)</f>
        <v>1.196656732</v>
      </c>
    </row>
    <row r="698" ht="15.75" customHeight="1">
      <c r="A698" s="9">
        <v>44840.0</v>
      </c>
      <c r="B698" s="6">
        <f>'Daily Returns'!AP697*(1+'Daily Returns'!AK698)</f>
        <v>1.416811328</v>
      </c>
      <c r="D698" s="4">
        <f>'Daily Returns'!AQ697 * (1 + 'Daily Returns'!AJ698)</f>
        <v>1.159001502</v>
      </c>
      <c r="F698" s="7">
        <f>'Daily Returns'!AR697 * (1 +'Daily Returns'!AL698)</f>
        <v>1.118287149</v>
      </c>
      <c r="H698" s="7">
        <f>'Daily Returns'!AS697*(1+'Daily Returns'!AM698)</f>
        <v>1.211663163</v>
      </c>
      <c r="J698" s="5">
        <f>'Daily Returns'!AT697*(1+'Daily Returns'!AN698)</f>
        <v>1.250411998</v>
      </c>
      <c r="L698" s="5">
        <f>'Daily Returns'!AU697*(1+'Daily Returns'!AO698)</f>
        <v>1.228693195</v>
      </c>
    </row>
    <row r="699" ht="15.75" customHeight="1">
      <c r="A699" s="9">
        <v>44841.0</v>
      </c>
      <c r="B699" s="6">
        <f>'Daily Returns'!AP698*(1+'Daily Returns'!AK699)</f>
        <v>1.40346732</v>
      </c>
      <c r="D699" s="4">
        <f>'Daily Returns'!AQ698 * (1 + 'Daily Returns'!AJ699)</f>
        <v>1.126544824</v>
      </c>
      <c r="F699" s="7">
        <f>'Daily Returns'!AR698 * (1 +'Daily Returns'!AL699)</f>
        <v>1.10450611</v>
      </c>
      <c r="H699" s="7">
        <f>'Daily Returns'!AS698*(1+'Daily Returns'!AM699)</f>
        <v>1.200094885</v>
      </c>
      <c r="J699" s="5">
        <f>'Daily Returns'!AT698*(1+'Daily Returns'!AN699)</f>
        <v>1.240294177</v>
      </c>
      <c r="L699" s="5">
        <f>'Daily Returns'!AU698*(1+'Daily Returns'!AO699)</f>
        <v>1.219270744</v>
      </c>
    </row>
    <row r="700" ht="15.75" customHeight="1">
      <c r="A700" s="9">
        <v>44844.0</v>
      </c>
      <c r="B700" s="6">
        <f>'Daily Returns'!AP699*(1+'Daily Returns'!AK700)</f>
        <v>1.399630919</v>
      </c>
      <c r="D700" s="4">
        <f>'Daily Returns'!AQ699 * (1 + 'Daily Returns'!AJ700)</f>
        <v>1.11810475</v>
      </c>
      <c r="F700" s="7">
        <f>'Daily Returns'!AR699 * (1 +'Daily Returns'!AL700)</f>
        <v>1.076519727</v>
      </c>
      <c r="H700" s="7">
        <f>'Daily Returns'!AS699*(1+'Daily Returns'!AM700)</f>
        <v>1.165773555</v>
      </c>
      <c r="J700" s="5">
        <f>'Daily Returns'!AT699*(1+'Daily Returns'!AN700)</f>
        <v>1.223009149</v>
      </c>
      <c r="L700" s="5">
        <f>'Daily Returns'!AU699*(1+'Daily Returns'!AO700)</f>
        <v>1.203252513</v>
      </c>
    </row>
    <row r="701" ht="15.75" customHeight="1">
      <c r="A701" s="9">
        <v>44845.0</v>
      </c>
      <c r="B701" s="6">
        <f>'Daily Returns'!AP700*(1+'Daily Returns'!AK701)</f>
        <v>1.397057861</v>
      </c>
      <c r="D701" s="4">
        <f>'Daily Returns'!AQ700 * (1 + 'Daily Returns'!AJ701)</f>
        <v>1.110815826</v>
      </c>
      <c r="F701" s="7">
        <f>'Daily Returns'!AR700 * (1 +'Daily Returns'!AL701)</f>
        <v>1.0697352</v>
      </c>
      <c r="H701" s="7">
        <f>'Daily Returns'!AS700*(1+'Daily Returns'!AM701)</f>
        <v>1.156506115</v>
      </c>
      <c r="J701" s="5">
        <f>'Daily Returns'!AT700*(1+'Daily Returns'!AN701)</f>
        <v>1.199400581</v>
      </c>
      <c r="L701" s="5">
        <f>'Daily Returns'!AU700*(1+'Daily Returns'!AO701)</f>
        <v>1.178439907</v>
      </c>
    </row>
    <row r="702" ht="15.75" customHeight="1">
      <c r="A702" s="9">
        <v>44846.0</v>
      </c>
      <c r="B702" s="6">
        <f>'Daily Returns'!AP701*(1+'Daily Returns'!AK702)</f>
        <v>1.397451282</v>
      </c>
      <c r="D702" s="4">
        <f>'Daily Returns'!AQ701 * (1 + 'Daily Returns'!AJ702)</f>
        <v>1.107160131</v>
      </c>
      <c r="F702" s="7">
        <f>'Daily Returns'!AR701 * (1 +'Daily Returns'!AL702)</f>
        <v>1.06061825</v>
      </c>
      <c r="H702" s="7">
        <f>'Daily Returns'!AS701*(1+'Daily Returns'!AM702)</f>
        <v>1.149092325</v>
      </c>
      <c r="J702" s="5">
        <f>'Daily Returns'!AT701*(1+'Daily Returns'!AN702)</f>
        <v>1.175792014</v>
      </c>
      <c r="L702" s="5">
        <f>'Daily Returns'!AU701*(1+'Daily Returns'!AO702)</f>
        <v>1.155197818</v>
      </c>
    </row>
    <row r="703" ht="15.75" customHeight="1">
      <c r="A703" s="9">
        <v>44847.0</v>
      </c>
      <c r="B703" s="6">
        <f>'Daily Returns'!AP702*(1+'Daily Returns'!AK703)</f>
        <v>1.423596893</v>
      </c>
      <c r="D703" s="4">
        <f>'Daily Returns'!AQ702 * (1 + 'Daily Returns'!AJ703)</f>
        <v>1.135908651</v>
      </c>
      <c r="F703" s="7">
        <f>'Daily Returns'!AR702 * (1 +'Daily Returns'!AL703)</f>
        <v>1.057332063</v>
      </c>
      <c r="H703" s="7">
        <f>'Daily Returns'!AS702*(1+'Daily Returns'!AM703)</f>
        <v>1.145960589</v>
      </c>
      <c r="J703" s="5">
        <f>'Daily Returns'!AT702*(1+'Daily Returns'!AN703)</f>
        <v>1.174105812</v>
      </c>
      <c r="L703" s="5">
        <f>'Daily Returns'!AU702*(1+'Daily Returns'!AO703)</f>
        <v>1.154883843</v>
      </c>
    </row>
    <row r="704" ht="15.75" customHeight="1">
      <c r="A704" s="9">
        <v>44848.0</v>
      </c>
      <c r="B704" s="6">
        <f>'Daily Returns'!AP703*(1+'Daily Returns'!AK704)</f>
        <v>1.403077067</v>
      </c>
      <c r="D704" s="4">
        <f>'Daily Returns'!AQ703 * (1 + 'Daily Returns'!AJ704)</f>
        <v>1.109029644</v>
      </c>
      <c r="F704" s="7">
        <f>'Daily Returns'!AR703 * (1 +'Daily Returns'!AL704)</f>
        <v>1.084576247</v>
      </c>
      <c r="H704" s="7">
        <f>'Daily Returns'!AS703*(1+'Daily Returns'!AM704)</f>
        <v>1.174401649</v>
      </c>
      <c r="J704" s="5">
        <f>'Daily Returns'!AT703*(1+'Daily Returns'!AN704)</f>
        <v>1.202351631</v>
      </c>
      <c r="L704" s="5">
        <f>'Daily Returns'!AU703*(1+'Daily Returns'!AO704)</f>
        <v>1.180324785</v>
      </c>
    </row>
    <row r="705" ht="15.75" customHeight="1">
      <c r="A705" s="9">
        <v>44851.0</v>
      </c>
      <c r="B705" s="6">
        <f>'Daily Returns'!AP704*(1+'Daily Returns'!AK705)</f>
        <v>1.419679139</v>
      </c>
      <c r="D705" s="4">
        <f>'Daily Returns'!AQ704 * (1 + 'Daily Returns'!AJ705)</f>
        <v>1.138396749</v>
      </c>
      <c r="F705" s="7">
        <f>'Daily Returns'!AR704 * (1 +'Daily Returns'!AL705)</f>
        <v>1.059664318</v>
      </c>
      <c r="H705" s="7">
        <f>'Daily Returns'!AS704*(1+'Daily Returns'!AM705)</f>
        <v>1.146727501</v>
      </c>
      <c r="J705" s="5">
        <f>'Daily Returns'!AT704*(1+'Daily Returns'!AN705)</f>
        <v>1.184645248</v>
      </c>
      <c r="L705" s="5">
        <f>'Daily Returns'!AU704*(1+'Daily Returns'!AO705)</f>
        <v>1.162421675</v>
      </c>
    </row>
    <row r="706" ht="15.75" customHeight="1">
      <c r="A706" s="9">
        <v>44852.0</v>
      </c>
      <c r="B706" s="6">
        <f>'Daily Returns'!AP705*(1+'Daily Returns'!AK706)</f>
        <v>1.419521999</v>
      </c>
      <c r="D706" s="4">
        <f>'Daily Returns'!AQ705 * (1 + 'Daily Returns'!AJ706)</f>
        <v>1.151406347</v>
      </c>
      <c r="F706" s="7">
        <f>'Daily Returns'!AR705 * (1 +'Daily Returns'!AL706)</f>
        <v>1.086908502</v>
      </c>
      <c r="H706" s="7">
        <f>'Daily Returns'!AS705*(1+'Daily Returns'!AM706)</f>
        <v>1.177341935</v>
      </c>
      <c r="J706" s="5">
        <f>'Daily Returns'!AT705*(1+'Daily Returns'!AN706)</f>
        <v>1.203194862</v>
      </c>
      <c r="L706" s="5">
        <f>'Daily Returns'!AU705*(1+'Daily Returns'!AO706)</f>
        <v>1.18158081</v>
      </c>
    </row>
    <row r="707" ht="15.75" customHeight="1">
      <c r="A707" s="9">
        <v>44853.0</v>
      </c>
      <c r="B707" s="6">
        <f>'Daily Returns'!AP706*(1+'Daily Returns'!AK707)</f>
        <v>1.409429293</v>
      </c>
      <c r="D707" s="4">
        <f>'Daily Returns'!AQ706 * (1 + 'Daily Returns'!AJ707)</f>
        <v>1.143724164</v>
      </c>
      <c r="F707" s="7">
        <f>'Daily Returns'!AR706 * (1 +'Daily Returns'!AL707)</f>
        <v>1.098569607</v>
      </c>
      <c r="H707" s="7">
        <f>'Daily Returns'!AS706*(1+'Daily Returns'!AM707)</f>
        <v>1.191722226</v>
      </c>
      <c r="J707" s="5">
        <f>'Daily Returns'!AT706*(1+'Daily Returns'!AN707)</f>
        <v>1.215420762</v>
      </c>
      <c r="L707" s="5">
        <f>'Daily Returns'!AU706*(1+'Daily Returns'!AO707)</f>
        <v>1.192887752</v>
      </c>
    </row>
    <row r="708" ht="15.75" customHeight="1">
      <c r="A708" s="9">
        <v>44854.0</v>
      </c>
      <c r="B708" s="6">
        <f>'Daily Returns'!AP707*(1+'Daily Returns'!AK708)</f>
        <v>1.409208224</v>
      </c>
      <c r="D708" s="4">
        <f>'Daily Returns'!AQ707 * (1 + 'Daily Returns'!AJ708)</f>
        <v>1.134630413</v>
      </c>
      <c r="F708" s="7">
        <f>'Daily Returns'!AR707 * (1 +'Daily Returns'!AL708)</f>
        <v>1.089240672</v>
      </c>
      <c r="H708" s="7">
        <f>'Daily Returns'!AS707*(1+'Daily Returns'!AM708)</f>
        <v>1.181560105</v>
      </c>
      <c r="J708" s="5">
        <f>'Daily Returns'!AT707*(1+'Daily Returns'!AN708)</f>
        <v>1.209097135</v>
      </c>
      <c r="L708" s="5">
        <f>'Daily Returns'!AU707*(1+'Daily Returns'!AO708)</f>
        <v>1.185035687</v>
      </c>
    </row>
    <row r="709" ht="15.75" customHeight="1">
      <c r="A709" s="9">
        <v>44855.0</v>
      </c>
      <c r="B709" s="6">
        <f>'Daily Returns'!AP708*(1+'Daily Returns'!AK709)</f>
        <v>1.428103861</v>
      </c>
      <c r="D709" s="4">
        <f>'Daily Returns'!AQ708 * (1 + 'Daily Returns'!AJ709)</f>
        <v>1.16154952</v>
      </c>
      <c r="F709" s="7">
        <f>'Daily Returns'!AR708 * (1 +'Daily Returns'!AL709)</f>
        <v>1.082138252</v>
      </c>
      <c r="H709" s="7">
        <f>'Daily Returns'!AS708*(1+'Daily Returns'!AM709)</f>
        <v>1.171333898</v>
      </c>
      <c r="J709" s="5">
        <f>'Daily Returns'!AT708*(1+'Daily Returns'!AN709)</f>
        <v>1.202773333</v>
      </c>
      <c r="L709" s="5">
        <f>'Daily Returns'!AU708*(1+'Daily Returns'!AO709)</f>
        <v>1.180010552</v>
      </c>
    </row>
    <row r="710" ht="15.75" customHeight="1">
      <c r="A710" s="9">
        <v>44858.0</v>
      </c>
      <c r="B710" s="6">
        <f>'Daily Returns'!AP709*(1+'Daily Returns'!AK710)</f>
        <v>1.426177391</v>
      </c>
      <c r="D710" s="4">
        <f>'Daily Returns'!AQ709 * (1 + 'Daily Returns'!AJ710)</f>
        <v>1.175351051</v>
      </c>
      <c r="F710" s="7">
        <f>'Daily Returns'!AR709 * (1 +'Daily Returns'!AL710)</f>
        <v>1.105460126</v>
      </c>
      <c r="H710" s="7">
        <f>'Daily Returns'!AS709*(1+'Daily Returns'!AM710)</f>
        <v>1.198305422</v>
      </c>
      <c r="J710" s="5">
        <f>'Daily Returns'!AT709*(1+'Daily Returns'!AN710)</f>
        <v>1.221744389</v>
      </c>
      <c r="L710" s="5">
        <f>'Daily Returns'!AU709*(1+'Daily Returns'!AO710)</f>
        <v>1.196970835</v>
      </c>
    </row>
    <row r="711" ht="15.75" customHeight="1">
      <c r="A711" s="9">
        <v>44859.0</v>
      </c>
      <c r="B711" s="6">
        <f>'Daily Returns'!AP710*(1+'Daily Returns'!AK711)</f>
        <v>1.43980516</v>
      </c>
      <c r="D711" s="4">
        <f>'Daily Returns'!AQ710 * (1 + 'Daily Returns'!AJ711)</f>
        <v>1.194470487</v>
      </c>
      <c r="F711" s="7">
        <f>'Daily Returns'!AR710 * (1 +'Daily Returns'!AL711)</f>
        <v>1.113834792</v>
      </c>
      <c r="H711" s="7">
        <f>'Daily Returns'!AS710*(1+'Daily Returns'!AM711)</f>
        <v>1.21121557</v>
      </c>
      <c r="J711" s="5">
        <f>'Daily Returns'!AT710*(1+'Daily Returns'!AN711)</f>
        <v>1.22427391</v>
      </c>
      <c r="L711" s="5">
        <f>'Daily Returns'!AU710*(1+'Daily Returns'!AO711)</f>
        <v>1.200425583</v>
      </c>
    </row>
    <row r="712" ht="15.75" customHeight="1">
      <c r="A712" s="9">
        <v>44860.0</v>
      </c>
      <c r="B712" s="6">
        <f>'Daily Returns'!AP711*(1+'Daily Returns'!AK712)</f>
        <v>1.442374608</v>
      </c>
      <c r="D712" s="4">
        <f>'Daily Returns'!AQ711 * (1 + 'Daily Returns'!AJ712)</f>
        <v>1.185645739</v>
      </c>
      <c r="F712" s="7">
        <f>'Daily Returns'!AR711 * (1 +'Daily Returns'!AL712)</f>
        <v>1.134930572</v>
      </c>
      <c r="H712" s="7">
        <f>'Daily Returns'!AS711*(1+'Daily Returns'!AM712)</f>
        <v>1.233137925</v>
      </c>
      <c r="J712" s="5">
        <f>'Daily Returns'!AT711*(1+'Daily Returns'!AN712)</f>
        <v>1.235235136</v>
      </c>
      <c r="L712" s="5">
        <f>'Daily Returns'!AU711*(1+'Daily Returns'!AO712)</f>
        <v>1.212360731</v>
      </c>
    </row>
    <row r="713" ht="15.75" customHeight="1">
      <c r="A713" s="9">
        <v>44861.0</v>
      </c>
      <c r="B713" s="6">
        <f>'Daily Returns'!AP712*(1+'Daily Returns'!AK713)</f>
        <v>1.441809959</v>
      </c>
      <c r="D713" s="4">
        <f>'Daily Returns'!AQ712 * (1 + 'Daily Returns'!AJ713)</f>
        <v>1.178433456</v>
      </c>
      <c r="F713" s="7">
        <f>'Daily Returns'!AR712 * (1 +'Daily Returns'!AL713)</f>
        <v>1.132174348</v>
      </c>
      <c r="H713" s="7">
        <f>'Daily Returns'!AS712*(1+'Daily Returns'!AM713)</f>
        <v>1.225532381</v>
      </c>
      <c r="J713" s="5">
        <f>'Daily Returns'!AT712*(1+'Daily Returns'!AN713)</f>
        <v>1.246617804</v>
      </c>
      <c r="L713" s="5">
        <f>'Daily Returns'!AU712*(1+'Daily Returns'!AO713)</f>
        <v>1.223982034</v>
      </c>
    </row>
    <row r="714" ht="15.75" customHeight="1">
      <c r="A714" s="9">
        <v>44862.0</v>
      </c>
      <c r="B714" s="6">
        <f>'Daily Returns'!AP713*(1+'Daily Returns'!AK714)</f>
        <v>1.44144317</v>
      </c>
      <c r="D714" s="4">
        <f>'Daily Returns'!AQ713 * (1 + 'Daily Returns'!AJ714)</f>
        <v>1.207453558</v>
      </c>
      <c r="F714" s="7">
        <f>'Daily Returns'!AR713 * (1 +'Daily Returns'!AL714)</f>
        <v>1.126343921</v>
      </c>
      <c r="H714" s="7">
        <f>'Daily Returns'!AS713*(1+'Daily Returns'!AM714)</f>
        <v>1.219780083</v>
      </c>
      <c r="J714" s="5">
        <f>'Daily Returns'!AT713*(1+'Daily Returns'!AN714)</f>
        <v>1.253363047</v>
      </c>
      <c r="L714" s="5">
        <f>'Daily Returns'!AU713*(1+'Daily Returns'!AO714)</f>
        <v>1.227751144</v>
      </c>
    </row>
    <row r="715" ht="15.75" customHeight="1">
      <c r="A715" s="9">
        <v>44865.0</v>
      </c>
      <c r="B715" s="6">
        <f>'Daily Returns'!AP714*(1+'Daily Returns'!AK715)</f>
        <v>1.43754641</v>
      </c>
      <c r="D715" s="4">
        <f>'Daily Returns'!AQ714 * (1 + 'Daily Returns'!AJ715)</f>
        <v>1.198453199</v>
      </c>
      <c r="F715" s="7">
        <f>'Daily Returns'!AR714 * (1 +'Daily Returns'!AL715)</f>
        <v>1.147863587</v>
      </c>
      <c r="H715" s="7">
        <f>'Daily Returns'!AS714*(1+'Daily Returns'!AM715)</f>
        <v>1.24815736</v>
      </c>
      <c r="J715" s="5">
        <f>'Daily Returns'!AT714*(1+'Daily Returns'!AN715)</f>
        <v>1.261373137</v>
      </c>
      <c r="L715" s="5">
        <f>'Daily Returns'!AU714*(1+'Daily Returns'!AO715)</f>
        <v>1.236231415</v>
      </c>
    </row>
    <row r="716" ht="15.75" customHeight="1">
      <c r="A716" s="9">
        <v>44866.0</v>
      </c>
      <c r="B716" s="6">
        <f>'Daily Returns'!AP715*(1+'Daily Returns'!AK716)</f>
        <v>1.438147228</v>
      </c>
      <c r="D716" s="4">
        <f>'Daily Returns'!AQ715 * (1 + 'Daily Returns'!AJ716)</f>
        <v>1.193538343</v>
      </c>
      <c r="F716" s="7">
        <f>'Daily Returns'!AR715 * (1 +'Daily Returns'!AL716)</f>
        <v>1.13874689</v>
      </c>
      <c r="H716" s="7">
        <f>'Daily Returns'!AS715*(1+'Daily Returns'!AM716)</f>
        <v>1.240104527</v>
      </c>
      <c r="J716" s="5">
        <f>'Daily Returns'!AT715*(1+'Daily Returns'!AN716)</f>
        <v>1.258843704</v>
      </c>
      <c r="L716" s="5">
        <f>'Daily Returns'!AU715*(1+'Daily Returns'!AO716)</f>
        <v>1.234032692</v>
      </c>
    </row>
    <row r="717" ht="15.75" customHeight="1">
      <c r="A717" s="9">
        <v>44867.0</v>
      </c>
      <c r="B717" s="6">
        <f>'Daily Returns'!AP716*(1+'Daily Returns'!AK717)</f>
        <v>1.423001835</v>
      </c>
      <c r="D717" s="4">
        <f>'Daily Returns'!AQ716 * (1 + 'Daily Returns'!AJ717)</f>
        <v>1.163697497</v>
      </c>
      <c r="F717" s="7">
        <f>'Daily Returns'!AR716 * (1 +'Daily Returns'!AL717)</f>
        <v>1.138958875</v>
      </c>
      <c r="H717" s="7">
        <f>'Daily Returns'!AS716*(1+'Daily Returns'!AM717)</f>
        <v>1.23626956</v>
      </c>
      <c r="J717" s="5">
        <f>'Daily Returns'!AT716*(1+'Daily Returns'!AN717)</f>
        <v>1.263902571</v>
      </c>
      <c r="L717" s="5">
        <f>'Daily Returns'!AU716*(1+'Daily Returns'!AO717)</f>
        <v>1.240000266</v>
      </c>
    </row>
    <row r="718" ht="15.75" customHeight="1">
      <c r="A718" s="9">
        <v>44868.0</v>
      </c>
      <c r="B718" s="6">
        <f>'Daily Returns'!AP717*(1+'Daily Returns'!AK718)</f>
        <v>1.42882507</v>
      </c>
      <c r="D718" s="4">
        <f>'Daily Returns'!AQ717 * (1 + 'Daily Returns'!AJ718)</f>
        <v>1.151378595</v>
      </c>
      <c r="F718" s="7">
        <f>'Daily Returns'!AR717 * (1 +'Daily Returns'!AL718)</f>
        <v>1.112774784</v>
      </c>
      <c r="H718" s="7">
        <f>'Daily Returns'!AS717*(1+'Daily Returns'!AM718)</f>
        <v>1.203737794</v>
      </c>
      <c r="J718" s="5">
        <f>'Daily Returns'!AT717*(1+'Daily Returns'!AN718)</f>
        <v>1.250833701</v>
      </c>
      <c r="L718" s="5">
        <f>'Daily Returns'!AU717*(1+'Daily Returns'!AO718)</f>
        <v>1.224924215</v>
      </c>
    </row>
    <row r="719" ht="15.75" customHeight="1">
      <c r="A719" s="9">
        <v>44869.0</v>
      </c>
      <c r="B719" s="6">
        <f>'Daily Returns'!AP718*(1+'Daily Returns'!AK719)</f>
        <v>1.470918941</v>
      </c>
      <c r="D719" s="4">
        <f>'Daily Returns'!AQ718 * (1 + 'Daily Returns'!AJ719)</f>
        <v>1.16705922</v>
      </c>
      <c r="F719" s="7">
        <f>'Daily Returns'!AR718 * (1 +'Daily Returns'!AL719)</f>
        <v>1.101855878</v>
      </c>
      <c r="H719" s="7">
        <f>'Daily Returns'!AS718*(1+'Daily Returns'!AM719)</f>
        <v>1.192233501</v>
      </c>
      <c r="J719" s="5">
        <f>'Daily Returns'!AT718*(1+'Daily Returns'!AN719)</f>
        <v>1.248304267</v>
      </c>
      <c r="L719" s="5">
        <f>'Daily Returns'!AU718*(1+'Daily Returns'!AO719)</f>
        <v>1.221783312</v>
      </c>
    </row>
    <row r="720" ht="15.75" customHeight="1">
      <c r="A720" s="9">
        <v>44872.0</v>
      </c>
      <c r="B720" s="6">
        <f>'Daily Returns'!AP719*(1+'Daily Returns'!AK720)</f>
        <v>1.472738046</v>
      </c>
      <c r="D720" s="4">
        <f>'Daily Returns'!AQ719 * (1 + 'Daily Returns'!AJ720)</f>
        <v>1.178279328</v>
      </c>
      <c r="F720" s="7">
        <f>'Daily Returns'!AR719 * (1 +'Daily Returns'!AL720)</f>
        <v>1.124965683</v>
      </c>
      <c r="H720" s="7">
        <f>'Daily Returns'!AS719*(1+'Daily Returns'!AM720)</f>
        <v>1.207572761</v>
      </c>
      <c r="J720" s="5">
        <f>'Daily Returns'!AT719*(1+'Daily Returns'!AN720)</f>
        <v>1.26053008</v>
      </c>
      <c r="L720" s="5">
        <f>'Daily Returns'!AU719*(1+'Daily Returns'!AO720)</f>
        <v>1.233718589</v>
      </c>
    </row>
    <row r="721" ht="15.75" customHeight="1">
      <c r="A721" s="9">
        <v>44873.0</v>
      </c>
      <c r="B721" s="6">
        <f>'Daily Returns'!AP720*(1+'Daily Returns'!AK721)</f>
        <v>1.47758203</v>
      </c>
      <c r="D721" s="4">
        <f>'Daily Returns'!AQ720 * (1 + 'Daily Returns'!AJ721)</f>
        <v>1.184875335</v>
      </c>
      <c r="F721" s="7">
        <f>'Daily Returns'!AR720 * (1 +'Daily Returns'!AL721)</f>
        <v>1.133552334</v>
      </c>
      <c r="H721" s="7">
        <f>'Daily Returns'!AS720*(1+'Daily Returns'!AM721)</f>
        <v>1.218565881</v>
      </c>
      <c r="J721" s="5">
        <f>'Daily Returns'!AT720*(1+'Daily Returns'!AN721)</f>
        <v>1.264745889</v>
      </c>
      <c r="L721" s="5">
        <f>'Daily Returns'!AU720*(1+'Daily Returns'!AO721)</f>
        <v>1.24078546</v>
      </c>
    </row>
    <row r="722" ht="15.75" customHeight="1">
      <c r="A722" s="9">
        <v>44874.0</v>
      </c>
      <c r="B722" s="6">
        <f>'Daily Returns'!AP721*(1+'Daily Returns'!AK722)</f>
        <v>1.457485216</v>
      </c>
      <c r="D722" s="4">
        <f>'Daily Returns'!AQ721 * (1 + 'Daily Returns'!AJ722)</f>
        <v>1.160255996</v>
      </c>
      <c r="F722" s="7">
        <f>'Daily Returns'!AR721 * (1 +'Daily Returns'!AL722)</f>
        <v>1.141715099</v>
      </c>
      <c r="H722" s="7">
        <f>'Daily Returns'!AS721*(1+'Daily Returns'!AM722)</f>
        <v>1.224957121</v>
      </c>
      <c r="J722" s="5">
        <f>'Daily Returns'!AT721*(1+'Daily Returns'!AN722)</f>
        <v>1.27275598</v>
      </c>
      <c r="L722" s="5">
        <f>'Daily Returns'!AU721*(1+'Daily Returns'!AO722)</f>
        <v>1.247538356</v>
      </c>
    </row>
    <row r="723" ht="15.75" customHeight="1">
      <c r="A723" s="9">
        <v>44875.0</v>
      </c>
      <c r="B723" s="6">
        <f>'Daily Returns'!AP722*(1+'Daily Returns'!AK723)</f>
        <v>1.494591808</v>
      </c>
      <c r="D723" s="4">
        <f>'Daily Returns'!AQ722 * (1 + 'Daily Returns'!AJ723)</f>
        <v>1.224573627</v>
      </c>
      <c r="F723" s="7">
        <f>'Daily Returns'!AR722 * (1 +'Daily Returns'!AL723)</f>
        <v>1.120089357</v>
      </c>
      <c r="H723" s="7">
        <f>'Daily Returns'!AS722*(1+'Daily Returns'!AM723)</f>
        <v>1.198560857</v>
      </c>
      <c r="J723" s="5">
        <f>'Daily Returns'!AT722*(1+'Daily Returns'!AN723)</f>
        <v>1.254206366</v>
      </c>
      <c r="L723" s="5">
        <f>'Daily Returns'!AU722*(1+'Daily Returns'!AO723)</f>
        <v>1.229007428</v>
      </c>
    </row>
    <row r="724" ht="15.75" customHeight="1">
      <c r="A724" s="9">
        <v>44876.0</v>
      </c>
      <c r="B724" s="6">
        <f>'Daily Returns'!AP723*(1+'Daily Returns'!AK724)</f>
        <v>1.493066847</v>
      </c>
      <c r="D724" s="4">
        <f>'Daily Returns'!AQ723 * (1 + 'Daily Returns'!AJ724)</f>
        <v>1.235889911</v>
      </c>
      <c r="F724" s="7">
        <f>'Daily Returns'!AR723 * (1 +'Daily Returns'!AL724)</f>
        <v>1.181892466</v>
      </c>
      <c r="H724" s="7">
        <f>'Daily Returns'!AS723*(1+'Daily Returns'!AM724)</f>
        <v>1.266372618</v>
      </c>
      <c r="J724" s="5">
        <f>'Daily Returns'!AT723*(1+'Daily Returns'!AN724)</f>
        <v>1.295942758</v>
      </c>
      <c r="L724" s="5">
        <f>'Daily Returns'!AU723*(1+'Daily Returns'!AO724)</f>
        <v>1.26920993</v>
      </c>
    </row>
    <row r="725" ht="15.75" customHeight="1">
      <c r="A725" s="9">
        <v>44879.0</v>
      </c>
      <c r="B725" s="6">
        <f>'Daily Returns'!AP724*(1+'Daily Returns'!AK725)</f>
        <v>1.48088133</v>
      </c>
      <c r="D725" s="4">
        <f>'Daily Returns'!AQ724 * (1 + 'Daily Returns'!AJ725)</f>
        <v>1.224845999</v>
      </c>
      <c r="F725" s="7">
        <f>'Daily Returns'!AR724 * (1 +'Daily Returns'!AL725)</f>
        <v>1.198111836</v>
      </c>
      <c r="H725" s="7">
        <f>'Daily Returns'!AS724*(1+'Daily Returns'!AM725)</f>
        <v>1.27928317</v>
      </c>
      <c r="J725" s="5">
        <f>'Daily Returns'!AT724*(1+'Daily Returns'!AN725)</f>
        <v>1.301423502</v>
      </c>
      <c r="L725" s="5">
        <f>'Daily Returns'!AU724*(1+'Daily Returns'!AO725)</f>
        <v>1.276747891</v>
      </c>
    </row>
    <row r="726" ht="15.75" customHeight="1">
      <c r="A726" s="9">
        <v>44880.0</v>
      </c>
      <c r="B726" s="6">
        <f>'Daily Returns'!AP725*(1+'Daily Returns'!AK726)</f>
        <v>1.489905041</v>
      </c>
      <c r="D726" s="4">
        <f>'Daily Returns'!AQ725 * (1 + 'Daily Returns'!AJ726)</f>
        <v>1.235518082</v>
      </c>
      <c r="F726" s="7">
        <f>'Daily Returns'!AR725 * (1 +'Daily Returns'!AL726)</f>
        <v>1.186132922</v>
      </c>
      <c r="H726" s="7">
        <f>'Daily Returns'!AS725*(1+'Daily Returns'!AM726)</f>
        <v>1.26771479</v>
      </c>
      <c r="J726" s="5">
        <f>'Daily Returns'!AT725*(1+'Daily Returns'!AN726)</f>
        <v>1.291305594</v>
      </c>
      <c r="L726" s="5">
        <f>'Daily Returns'!AU725*(1+'Daily Returns'!AO726)</f>
        <v>1.265441078</v>
      </c>
    </row>
    <row r="727" ht="15.75" customHeight="1">
      <c r="A727" s="9">
        <v>44881.0</v>
      </c>
      <c r="B727" s="6">
        <f>'Daily Returns'!AP726*(1+'Daily Returns'!AK727)</f>
        <v>1.483573569</v>
      </c>
      <c r="D727" s="4">
        <f>'Daily Returns'!AQ726 * (1 + 'Daily Returns'!AJ727)</f>
        <v>1.225322587</v>
      </c>
      <c r="F727" s="7">
        <f>'Daily Returns'!AR726 * (1 +'Daily Returns'!AL727)</f>
        <v>1.196415704</v>
      </c>
      <c r="H727" s="7">
        <f>'Daily Returns'!AS726*(1+'Daily Returns'!AM727)</f>
        <v>1.280561256</v>
      </c>
      <c r="J727" s="5">
        <f>'Daily Returns'!AT726*(1+'Daily Returns'!AN727)</f>
        <v>1.296364374</v>
      </c>
      <c r="L727" s="5">
        <f>'Daily Returns'!AU726*(1+'Daily Returns'!AO727)</f>
        <v>1.270151981</v>
      </c>
    </row>
    <row r="728" ht="15.75" customHeight="1">
      <c r="A728" s="9">
        <v>44882.0</v>
      </c>
      <c r="B728" s="6">
        <f>'Daily Returns'!AP727*(1+'Daily Returns'!AK728)</f>
        <v>1.493697943</v>
      </c>
      <c r="D728" s="4">
        <f>'Daily Returns'!AQ727 * (1 + 'Daily Returns'!AJ728)</f>
        <v>1.221537566</v>
      </c>
      <c r="F728" s="7">
        <f>'Daily Returns'!AR727 * (1 +'Daily Returns'!AL728)</f>
        <v>1.188676993</v>
      </c>
      <c r="H728" s="7">
        <f>'Daily Returns'!AS727*(1+'Daily Returns'!AM728)</f>
        <v>1.267523138</v>
      </c>
      <c r="J728" s="5">
        <f>'Daily Returns'!AT727*(1+'Daily Returns'!AN728)</f>
        <v>1.296364374</v>
      </c>
      <c r="L728" s="5">
        <f>'Daily Returns'!AU727*(1+'Daily Returns'!AO728)</f>
        <v>1.268581723</v>
      </c>
    </row>
    <row r="729" ht="15.75" customHeight="1">
      <c r="A729" s="9">
        <v>44883.0</v>
      </c>
      <c r="B729" s="6">
        <f>'Daily Returns'!AP728*(1+'Daily Returns'!AK729)</f>
        <v>1.50594007</v>
      </c>
      <c r="D729" s="4">
        <f>'Daily Returns'!AQ728 * (1 + 'Daily Returns'!AJ729)</f>
        <v>1.227350863</v>
      </c>
      <c r="F729" s="7">
        <f>'Daily Returns'!AR728 * (1 +'Daily Returns'!AL729)</f>
        <v>1.185602707</v>
      </c>
      <c r="H729" s="7">
        <f>'Daily Returns'!AS728*(1+'Daily Returns'!AM729)</f>
        <v>1.262218433</v>
      </c>
      <c r="J729" s="5">
        <f>'Daily Returns'!AT728*(1+'Daily Returns'!AN729)</f>
        <v>1.292991796</v>
      </c>
      <c r="L729" s="5">
        <f>'Daily Returns'!AU728*(1+'Daily Returns'!AO729)</f>
        <v>1.264184665</v>
      </c>
    </row>
    <row r="730" ht="15.75" customHeight="1">
      <c r="A730" s="9">
        <v>44886.0</v>
      </c>
      <c r="B730" s="6">
        <f>'Daily Returns'!AP729*(1+'Daily Returns'!AK730)</f>
        <v>1.501055811</v>
      </c>
      <c r="D730" s="4">
        <f>'Daily Returns'!AQ729 * (1 + 'Daily Returns'!AJ730)</f>
        <v>1.222583832</v>
      </c>
      <c r="F730" s="7">
        <f>'Daily Returns'!AR729 * (1 +'Daily Returns'!AL730)</f>
        <v>1.190055147</v>
      </c>
      <c r="H730" s="7">
        <f>'Daily Returns'!AS729*(1+'Daily Returns'!AM730)</f>
        <v>1.268162283</v>
      </c>
      <c r="J730" s="5">
        <f>'Daily Returns'!AT729*(1+'Daily Returns'!AN730)</f>
        <v>1.299315423</v>
      </c>
      <c r="L730" s="5">
        <f>'Daily Returns'!AU729*(1+'Daily Returns'!AO730)</f>
        <v>1.271094549</v>
      </c>
    </row>
    <row r="731" ht="15.75" customHeight="1">
      <c r="A731" s="9">
        <v>44887.0</v>
      </c>
      <c r="B731" s="6">
        <f>'Daily Returns'!AP730*(1+'Daily Returns'!AK731)</f>
        <v>1.512138273</v>
      </c>
      <c r="D731" s="4">
        <f>'Daily Returns'!AQ730 * (1 + 'Daily Returns'!AJ731)</f>
        <v>1.239186521</v>
      </c>
      <c r="F731" s="7">
        <f>'Daily Returns'!AR730 * (1 +'Daily Returns'!AL731)</f>
        <v>1.182952559</v>
      </c>
      <c r="H731" s="7">
        <f>'Daily Returns'!AS730*(1+'Daily Returns'!AM731)</f>
        <v>1.262793491</v>
      </c>
      <c r="J731" s="5">
        <f>'Daily Returns'!AT730*(1+'Daily Returns'!AN731)</f>
        <v>1.299570446</v>
      </c>
      <c r="L731" s="5">
        <f>'Daily Returns'!AU730*(1+'Daily Returns'!AO731)</f>
        <v>1.271094549</v>
      </c>
    </row>
    <row r="732" ht="15.75" customHeight="1">
      <c r="A732" s="9">
        <v>44888.0</v>
      </c>
      <c r="B732" s="6">
        <f>'Daily Returns'!AP731*(1+'Daily Returns'!AK732)</f>
        <v>1.523601446</v>
      </c>
      <c r="D732" s="4">
        <f>'Daily Returns'!AQ731 * (1 + 'Daily Returns'!AJ732)</f>
        <v>1.246516309</v>
      </c>
      <c r="F732" s="7">
        <f>'Daily Returns'!AR731 * (1 +'Daily Returns'!AL732)</f>
        <v>1.199808052</v>
      </c>
      <c r="H732" s="7">
        <f>'Daily Returns'!AS731*(1+'Daily Returns'!AM732)</f>
        <v>1.279347156</v>
      </c>
      <c r="J732" s="5">
        <f>'Daily Returns'!AT731*(1+'Daily Returns'!AN732)</f>
        <v>1.314864462</v>
      </c>
      <c r="L732" s="5">
        <f>'Daily Returns'!AU731*(1+'Daily Returns'!AO732)</f>
        <v>1.286798807</v>
      </c>
    </row>
    <row r="733" ht="15.75" customHeight="1">
      <c r="A733" s="9">
        <v>44890.0</v>
      </c>
      <c r="B733" s="6">
        <f>'Daily Returns'!AP732*(1+'Daily Returns'!AK733)</f>
        <v>1.530616922</v>
      </c>
      <c r="D733" s="4">
        <f>'Daily Returns'!AQ732 * (1 + 'Daily Returns'!AJ733)</f>
        <v>1.246163545</v>
      </c>
      <c r="F733" s="7">
        <f>'Daily Returns'!AR732 * (1 +'Daily Returns'!AL733)</f>
        <v>1.209030826</v>
      </c>
      <c r="H733" s="7">
        <f>'Daily Returns'!AS732*(1+'Daily Returns'!AM733)</f>
        <v>1.28714425</v>
      </c>
      <c r="J733" s="5">
        <f>'Daily Returns'!AT732*(1+'Daily Returns'!AN733)</f>
        <v>1.319112911</v>
      </c>
      <c r="L733" s="5">
        <f>'Daily Returns'!AU732*(1+'Daily Returns'!AO733)</f>
        <v>1.28993971</v>
      </c>
    </row>
    <row r="734" ht="15.75" customHeight="1">
      <c r="A734" s="9">
        <v>44893.0</v>
      </c>
      <c r="B734" s="6">
        <f>'Daily Returns'!AP733*(1+'Daily Returns'!AK734)</f>
        <v>1.516793288</v>
      </c>
      <c r="D734" s="4">
        <f>'Daily Returns'!AQ733 * (1 + 'Daily Returns'!AJ734)</f>
        <v>1.226917795</v>
      </c>
      <c r="F734" s="7">
        <f>'Daily Returns'!AR733 * (1 +'Daily Returns'!AL734)</f>
        <v>1.210620881</v>
      </c>
      <c r="H734" s="7">
        <f>'Daily Returns'!AS733*(1+'Daily Returns'!AM734)</f>
        <v>1.288102815</v>
      </c>
      <c r="J734" s="5">
        <f>'Daily Returns'!AT733*(1+'Daily Returns'!AN734)</f>
        <v>1.322086678</v>
      </c>
      <c r="L734" s="5">
        <f>'Daily Returns'!AU733*(1+'Daily Returns'!AO734)</f>
        <v>1.294022664</v>
      </c>
    </row>
    <row r="735" ht="15.75" customHeight="1">
      <c r="A735" s="9">
        <v>44894.0</v>
      </c>
      <c r="B735" s="6">
        <f>'Daily Returns'!AP734*(1+'Daily Returns'!AK735)</f>
        <v>1.517548304</v>
      </c>
      <c r="D735" s="4">
        <f>'Daily Returns'!AQ734 * (1 + 'Daily Returns'!AJ735)</f>
        <v>1.224964542</v>
      </c>
      <c r="F735" s="7">
        <f>'Daily Returns'!AR734 * (1 +'Daily Returns'!AL735)</f>
        <v>1.192705379</v>
      </c>
      <c r="H735" s="7">
        <f>'Daily Returns'!AS734*(1+'Daily Returns'!AM735)</f>
        <v>1.267203414</v>
      </c>
      <c r="J735" s="5">
        <f>'Daily Returns'!AT734*(1+'Daily Returns'!AN735)</f>
        <v>1.325060531</v>
      </c>
      <c r="L735" s="5">
        <f>'Daily Returns'!AU734*(1+'Daily Returns'!AO735)</f>
        <v>1.296849077</v>
      </c>
    </row>
    <row r="736" ht="15.75" customHeight="1">
      <c r="A736" s="9">
        <v>44895.0</v>
      </c>
      <c r="B736" s="6">
        <f>'Daily Returns'!AP735*(1+'Daily Returns'!AK736)</f>
        <v>1.534406728</v>
      </c>
      <c r="D736" s="4">
        <f>'Daily Returns'!AQ735 * (1 + 'Daily Returns'!AJ736)</f>
        <v>1.262874745</v>
      </c>
      <c r="F736" s="7">
        <f>'Daily Returns'!AR735 * (1 +'Daily Returns'!AL736)</f>
        <v>1.191645455</v>
      </c>
      <c r="H736" s="7">
        <f>'Daily Returns'!AS735*(1+'Daily Returns'!AM736)</f>
        <v>1.265222097</v>
      </c>
      <c r="J736" s="5">
        <f>'Daily Returns'!AT735*(1+'Daily Returns'!AN736)</f>
        <v>1.316138971</v>
      </c>
      <c r="L736" s="5">
        <f>'Daily Returns'!AU735*(1+'Daily Returns'!AO736)</f>
        <v>1.288054832</v>
      </c>
    </row>
    <row r="737" ht="15.75" customHeight="1">
      <c r="A737" s="9">
        <v>44896.0</v>
      </c>
      <c r="B737" s="6">
        <f>'Daily Returns'!AP736*(1+'Daily Returns'!AK737)</f>
        <v>1.541116135</v>
      </c>
      <c r="D737" s="4">
        <f>'Daily Returns'!AQ736 * (1 + 'Daily Returns'!AJ737)</f>
        <v>1.261778569</v>
      </c>
      <c r="F737" s="7">
        <f>'Daily Returns'!AR736 * (1 +'Daily Returns'!AL737)</f>
        <v>1.223766049</v>
      </c>
      <c r="H737" s="7">
        <f>'Daily Returns'!AS736*(1+'Daily Returns'!AM737)</f>
        <v>1.30420919</v>
      </c>
      <c r="J737" s="5">
        <f>'Daily Returns'!AT736*(1+'Daily Returns'!AN737)</f>
        <v>1.319112911</v>
      </c>
      <c r="L737" s="5">
        <f>'Daily Returns'!AU736*(1+'Daily Returns'!AO737)</f>
        <v>1.291195735</v>
      </c>
    </row>
    <row r="738" ht="15.75" customHeight="1">
      <c r="A738" s="9">
        <v>44897.0</v>
      </c>
      <c r="B738" s="6">
        <f>'Daily Returns'!AP737*(1+'Daily Returns'!AK738)</f>
        <v>1.545429783</v>
      </c>
      <c r="D738" s="4">
        <f>'Daily Returns'!AQ737 * (1 + 'Daily Returns'!AJ738)</f>
        <v>1.260270744</v>
      </c>
      <c r="F738" s="7">
        <f>'Daily Returns'!AR737 * (1 +'Daily Returns'!AL738)</f>
        <v>1.227794267</v>
      </c>
      <c r="H738" s="7">
        <f>'Daily Returns'!AS737*(1+'Daily Returns'!AM738)</f>
        <v>1.304976102</v>
      </c>
      <c r="J738" s="5">
        <f>'Daily Returns'!AT737*(1+'Daily Returns'!AN738)</f>
        <v>1.328034559</v>
      </c>
      <c r="L738" s="5">
        <f>'Daily Returns'!AU737*(1+'Daily Returns'!AO738)</f>
        <v>1.30187447</v>
      </c>
    </row>
    <row r="739" ht="15.75" customHeight="1">
      <c r="A739" s="9">
        <v>44900.0</v>
      </c>
      <c r="B739" s="6">
        <f>'Daily Returns'!AP738*(1+'Daily Returns'!AK739)</f>
        <v>1.533520387</v>
      </c>
      <c r="D739" s="4">
        <f>'Daily Returns'!AQ738 * (1 + 'Daily Returns'!AJ739)</f>
        <v>1.237719459</v>
      </c>
      <c r="F739" s="7">
        <f>'Daily Returns'!AR738 * (1 +'Daily Returns'!AL739)</f>
        <v>1.226416281</v>
      </c>
      <c r="H739" s="7">
        <f>'Daily Returns'!AS738*(1+'Daily Returns'!AM739)</f>
        <v>1.303761799</v>
      </c>
      <c r="J739" s="5">
        <f>'Daily Returns'!AT738*(1+'Daily Returns'!AN739)</f>
        <v>1.33185791</v>
      </c>
      <c r="L739" s="5">
        <f>'Daily Returns'!AU738*(1+'Daily Returns'!AO739)</f>
        <v>1.30752807</v>
      </c>
    </row>
    <row r="740" ht="15.75" customHeight="1">
      <c r="A740" s="9">
        <v>44901.0</v>
      </c>
      <c r="B740" s="6">
        <f>'Daily Returns'!AP739*(1+'Daily Returns'!AK740)</f>
        <v>1.527799826</v>
      </c>
      <c r="D740" s="4">
        <f>'Daily Returns'!AQ739 * (1 + 'Daily Returns'!AJ740)</f>
        <v>1.219897537</v>
      </c>
      <c r="F740" s="7">
        <f>'Daily Returns'!AR739 * (1 +'Daily Returns'!AL740)</f>
        <v>1.204578385</v>
      </c>
      <c r="H740" s="7">
        <f>'Daily Returns'!AS739*(1+'Daily Returns'!AM740)</f>
        <v>1.278132751</v>
      </c>
      <c r="J740" s="5">
        <f>'Daily Returns'!AT739*(1+'Daily Returns'!AN740)</f>
        <v>1.32888397</v>
      </c>
      <c r="L740" s="5">
        <f>'Daily Returns'!AU739*(1+'Daily Returns'!AO740)</f>
        <v>1.30470127</v>
      </c>
    </row>
    <row r="741" ht="15.75" customHeight="1">
      <c r="A741" s="9">
        <v>44902.0</v>
      </c>
      <c r="B741" s="6">
        <f>'Daily Returns'!AP740*(1+'Daily Returns'!AK741)</f>
        <v>1.522428927</v>
      </c>
      <c r="D741" s="4">
        <f>'Daily Returns'!AQ740 * (1 + 'Daily Returns'!AJ741)</f>
        <v>1.217626088</v>
      </c>
      <c r="F741" s="7">
        <f>'Daily Returns'!AR740 * (1 +'Daily Returns'!AL741)</f>
        <v>1.190585194</v>
      </c>
      <c r="H741" s="7">
        <f>'Daily Returns'!AS740*(1+'Daily Returns'!AM741)</f>
        <v>1.258958625</v>
      </c>
      <c r="J741" s="5">
        <f>'Daily Returns'!AT740*(1+'Daily Returns'!AN741)</f>
        <v>1.315289299</v>
      </c>
      <c r="L741" s="5">
        <f>'Daily Returns'!AU740*(1+'Daily Returns'!AO741)</f>
        <v>1.289625348</v>
      </c>
    </row>
    <row r="742" ht="15.75" customHeight="1">
      <c r="A742" s="9">
        <v>44903.0</v>
      </c>
      <c r="B742" s="6">
        <f>'Daily Returns'!AP741*(1+'Daily Returns'!AK742)</f>
        <v>1.535517728</v>
      </c>
      <c r="D742" s="4">
        <f>'Daily Returns'!AQ741 * (1 + 'Daily Returns'!AJ742)</f>
        <v>1.226785071</v>
      </c>
      <c r="F742" s="7">
        <f>'Daily Returns'!AR741 * (1 +'Daily Returns'!AL742)</f>
        <v>1.189101047</v>
      </c>
      <c r="H742" s="7">
        <f>'Daily Returns'!AS741*(1+'Daily Returns'!AM742)</f>
        <v>1.256913728</v>
      </c>
      <c r="J742" s="5">
        <f>'Daily Returns'!AT741*(1+'Daily Returns'!AN742)</f>
        <v>1.299570446</v>
      </c>
      <c r="L742" s="5">
        <f>'Daily Returns'!AU741*(1+'Daily Returns'!AO742)</f>
        <v>1.273921478</v>
      </c>
    </row>
    <row r="743" ht="15.75" customHeight="1">
      <c r="A743" s="9">
        <v>44904.0</v>
      </c>
      <c r="B743" s="6">
        <f>'Daily Returns'!AP742*(1+'Daily Returns'!AK743)</f>
        <v>1.533675513</v>
      </c>
      <c r="D743" s="4">
        <f>'Daily Returns'!AQ742 * (1 + 'Daily Returns'!AJ743)</f>
        <v>1.217768201</v>
      </c>
      <c r="F743" s="7">
        <f>'Daily Returns'!AR742 * (1 +'Daily Returns'!AL743)</f>
        <v>1.197687782</v>
      </c>
      <c r="H743" s="7">
        <f>'Daily Returns'!AS742*(1+'Daily Returns'!AM743)</f>
        <v>1.267778674</v>
      </c>
      <c r="J743" s="5">
        <f>'Daily Returns'!AT742*(1+'Daily Returns'!AN743)</f>
        <v>1.297446352</v>
      </c>
      <c r="L743" s="5">
        <f>'Daily Returns'!AU742*(1+'Daily Returns'!AO743)</f>
        <v>1.274235194</v>
      </c>
    </row>
    <row r="744" ht="15.75" customHeight="1">
      <c r="A744" s="9">
        <v>44907.0</v>
      </c>
      <c r="B744" s="6">
        <f>'Daily Returns'!AP743*(1+'Daily Returns'!AK744)</f>
        <v>1.540691596</v>
      </c>
      <c r="D744" s="4">
        <f>'Daily Returns'!AQ743 * (1 + 'Daily Returns'!AJ744)</f>
        <v>1.235156713</v>
      </c>
      <c r="F744" s="7">
        <f>'Daily Returns'!AR743 * (1 +'Daily Returns'!AL744)</f>
        <v>1.191539294</v>
      </c>
      <c r="H744" s="7">
        <f>'Daily Returns'!AS743*(1+'Daily Returns'!AM744)</f>
        <v>1.257169163</v>
      </c>
      <c r="J744" s="5">
        <f>'Daily Returns'!AT743*(1+'Daily Returns'!AN744)</f>
        <v>1.297446352</v>
      </c>
      <c r="L744" s="5">
        <f>'Daily Returns'!AU743*(1+'Daily Returns'!AO744)</f>
        <v>1.273292884</v>
      </c>
    </row>
    <row r="745" ht="15.75" customHeight="1">
      <c r="A745" s="9">
        <v>44908.0</v>
      </c>
      <c r="B745" s="6">
        <f>'Daily Returns'!AP744*(1+'Daily Returns'!AK745)</f>
        <v>1.5391679</v>
      </c>
      <c r="D745" s="4">
        <f>'Daily Returns'!AQ744 * (1 + 'Daily Returns'!AJ745)</f>
        <v>1.244161005</v>
      </c>
      <c r="F745" s="7">
        <f>'Daily Returns'!AR744 * (1 +'Daily Returns'!AL745)</f>
        <v>1.203624285</v>
      </c>
      <c r="H745" s="7">
        <f>'Daily Returns'!AS744*(1+'Daily Returns'!AM745)</f>
        <v>1.275256551</v>
      </c>
      <c r="J745" s="5">
        <f>'Daily Returns'!AT744*(1+'Daily Returns'!AN745)</f>
        <v>1.296596593</v>
      </c>
      <c r="L745" s="5">
        <f>'Daily Returns'!AU744*(1+'Daily Returns'!AO745)</f>
        <v>1.272350704</v>
      </c>
    </row>
    <row r="746" ht="15.75" customHeight="1">
      <c r="A746" s="9">
        <v>44909.0</v>
      </c>
      <c r="B746" s="6">
        <f>'Daily Returns'!AP745*(1+'Daily Returns'!AK746)</f>
        <v>1.542905164</v>
      </c>
      <c r="D746" s="4">
        <f>'Daily Returns'!AQ745 * (1 + 'Daily Returns'!AJ746)</f>
        <v>1.236630099</v>
      </c>
      <c r="F746" s="7">
        <f>'Daily Returns'!AR745 * (1 +'Daily Returns'!AL746)</f>
        <v>1.215894237</v>
      </c>
      <c r="H746" s="7">
        <f>'Daily Returns'!AS745*(1+'Daily Returns'!AM746)</f>
        <v>1.284779629</v>
      </c>
      <c r="J746" s="5">
        <f>'Daily Returns'!AT745*(1+'Daily Returns'!AN746)</f>
        <v>1.299570446</v>
      </c>
      <c r="L746" s="5">
        <f>'Daily Returns'!AU745*(1+'Daily Returns'!AO746)</f>
        <v>1.277375968</v>
      </c>
    </row>
    <row r="747" ht="15.75" customHeight="1">
      <c r="A747" s="9">
        <v>44910.0</v>
      </c>
      <c r="B747" s="6">
        <f>'Daily Returns'!AP746*(1+'Daily Returns'!AK747)</f>
        <v>1.524301805</v>
      </c>
      <c r="D747" s="4">
        <f>'Daily Returns'!AQ746 * (1 + 'Daily Returns'!AJ747)</f>
        <v>1.205810803</v>
      </c>
      <c r="F747" s="7">
        <f>'Daily Returns'!AR746 * (1 +'Daily Returns'!AL747)</f>
        <v>1.210234459</v>
      </c>
      <c r="H747" s="7">
        <f>'Daily Returns'!AS746*(1+'Daily Returns'!AM747)</f>
        <v>1.277621172</v>
      </c>
      <c r="J747" s="5">
        <f>'Daily Returns'!AT746*(1+'Daily Returns'!AN747)</f>
        <v>1.297446352</v>
      </c>
      <c r="L747" s="5">
        <f>'Daily Returns'!AU746*(1+'Daily Returns'!AO747)</f>
        <v>1.277062123</v>
      </c>
    </row>
    <row r="748" ht="15.75" customHeight="1">
      <c r="A748" s="9">
        <v>44911.0</v>
      </c>
      <c r="B748" s="6">
        <f>'Daily Returns'!AP747*(1+'Daily Returns'!AK748)</f>
        <v>1.516357125</v>
      </c>
      <c r="D748" s="4">
        <f>'Daily Returns'!AQ747 * (1 + 'Daily Returns'!AJ748)</f>
        <v>1.192380483</v>
      </c>
      <c r="F748" s="7">
        <f>'Daily Returns'!AR747 * (1 +'Daily Returns'!AL748)</f>
        <v>1.179265891</v>
      </c>
      <c r="H748" s="7">
        <f>'Daily Returns'!AS747*(1+'Daily Returns'!AM748)</f>
        <v>1.245792638</v>
      </c>
      <c r="J748" s="5">
        <f>'Daily Returns'!AT747*(1+'Daily Returns'!AN748)</f>
        <v>1.288949541</v>
      </c>
      <c r="L748" s="5">
        <f>'Daily Returns'!AU747*(1+'Daily Returns'!AO748)</f>
        <v>1.26920993</v>
      </c>
    </row>
    <row r="749" ht="15.75" customHeight="1">
      <c r="A749" s="9">
        <v>44914.0</v>
      </c>
      <c r="B749" s="6">
        <f>'Daily Returns'!AP748*(1+'Daily Returns'!AK749)</f>
        <v>1.508678637</v>
      </c>
      <c r="D749" s="4">
        <f>'Daily Returns'!AQ748 * (1 + 'Daily Returns'!AJ749)</f>
        <v>1.181640712</v>
      </c>
      <c r="F749" s="7">
        <f>'Daily Returns'!AR748 * (1 +'Daily Returns'!AL749)</f>
        <v>1.166878329</v>
      </c>
      <c r="H749" s="7">
        <f>'Daily Returns'!AS748*(1+'Daily Returns'!AM749)</f>
        <v>1.231540014</v>
      </c>
      <c r="J749" s="5">
        <f>'Daily Returns'!AT748*(1+'Daily Returns'!AN749)</f>
        <v>1.270681672</v>
      </c>
      <c r="L749" s="5">
        <f>'Daily Returns'!AU748*(1+'Daily Returns'!AO749)</f>
        <v>1.250993234</v>
      </c>
    </row>
    <row r="750" ht="15.75" customHeight="1">
      <c r="A750" s="9">
        <v>44915.0</v>
      </c>
      <c r="B750" s="6">
        <f>'Daily Returns'!AP749*(1+'Daily Returns'!AK750)</f>
        <v>1.516281812</v>
      </c>
      <c r="D750" s="4">
        <f>'Daily Returns'!AQ749 * (1 + 'Daily Returns'!AJ750)</f>
        <v>1.182866073</v>
      </c>
      <c r="F750" s="7">
        <f>'Daily Returns'!AR749 * (1 +'Daily Returns'!AL750)</f>
        <v>1.158548787</v>
      </c>
      <c r="H750" s="7">
        <f>'Daily Returns'!AS749*(1+'Daily Returns'!AM750)</f>
        <v>1.219140837</v>
      </c>
      <c r="J750" s="5">
        <f>'Daily Returns'!AT749*(1+'Daily Returns'!AN750)</f>
        <v>1.259211182</v>
      </c>
      <c r="L750" s="5">
        <f>'Daily Returns'!AU749*(1+'Daily Returns'!AO750)</f>
        <v>1.240628473</v>
      </c>
    </row>
    <row r="751" ht="15.75" customHeight="1">
      <c r="A751" s="9">
        <v>44916.0</v>
      </c>
      <c r="B751" s="6">
        <f>'Daily Returns'!AP750*(1+'Daily Returns'!AK751)</f>
        <v>1.5240455</v>
      </c>
      <c r="D751" s="4">
        <f>'Daily Returns'!AQ750 * (1 + 'Daily Returns'!AJ751)</f>
        <v>1.200452926</v>
      </c>
      <c r="F751" s="7">
        <f>'Daily Returns'!AR750 * (1 +'Daily Returns'!AL751)</f>
        <v>1.161432136</v>
      </c>
      <c r="H751" s="7">
        <f>'Daily Returns'!AS750*(1+'Daily Returns'!AM751)</f>
        <v>1.221697212</v>
      </c>
      <c r="J751" s="5">
        <f>'Daily Returns'!AT750*(1+'Daily Returns'!AN751)</f>
        <v>1.246466009</v>
      </c>
      <c r="L751" s="5">
        <f>'Daily Returns'!AU750*(1+'Daily Returns'!AO751)</f>
        <v>1.226808834</v>
      </c>
    </row>
    <row r="752" ht="15.75" customHeight="1">
      <c r="A752" s="9">
        <v>44917.0</v>
      </c>
      <c r="B752" s="6">
        <f>'Daily Returns'!AP751*(1+'Daily Returns'!AK752)</f>
        <v>1.525125491</v>
      </c>
      <c r="D752" s="4">
        <f>'Daily Returns'!AQ751 * (1 + 'Daily Returns'!AJ752)</f>
        <v>1.18310398</v>
      </c>
      <c r="F752" s="7">
        <f>'Daily Returns'!AR751 * (1 +'Daily Returns'!AL752)</f>
        <v>1.177450465</v>
      </c>
      <c r="H752" s="7">
        <f>'Daily Returns'!AS751*(1+'Daily Returns'!AM752)</f>
        <v>1.24016831</v>
      </c>
      <c r="J752" s="5">
        <f>'Daily Returns'!AT751*(1+'Daily Returns'!AN752)</f>
        <v>1.253263301</v>
      </c>
      <c r="L752" s="5">
        <f>'Daily Returns'!AU751*(1+'Daily Returns'!AO752)</f>
        <v>1.232776538</v>
      </c>
    </row>
    <row r="753" ht="15.75" customHeight="1">
      <c r="A753" s="9">
        <v>44918.0</v>
      </c>
      <c r="B753" s="6">
        <f>'Daily Returns'!AP752*(1+'Daily Returns'!AK753)</f>
        <v>1.53116395</v>
      </c>
      <c r="D753" s="4">
        <f>'Daily Returns'!AQ752 * (1 + 'Daily Returns'!AJ753)</f>
        <v>1.190046434</v>
      </c>
      <c r="F753" s="7">
        <f>'Daily Returns'!AR752 * (1 +'Daily Returns'!AL753)</f>
        <v>1.162820392</v>
      </c>
      <c r="H753" s="7">
        <f>'Daily Returns'!AS752*(1+'Daily Returns'!AM753)</f>
        <v>1.222578124</v>
      </c>
      <c r="J753" s="5">
        <f>'Daily Returns'!AT752*(1+'Daily Returns'!AN753)</f>
        <v>1.269407076</v>
      </c>
      <c r="L753" s="5">
        <f>'Daily Returns'!AU752*(1+'Daily Returns'!AO753)</f>
        <v>1.249422847</v>
      </c>
    </row>
    <row r="754" ht="15.75" customHeight="1">
      <c r="A754" s="9">
        <v>44922.0</v>
      </c>
      <c r="B754" s="6">
        <f>'Daily Returns'!AP753*(1+'Daily Returns'!AK754)</f>
        <v>1.539616888</v>
      </c>
      <c r="D754" s="4">
        <f>'Daily Returns'!AQ753 * (1 + 'Daily Returns'!AJ754)</f>
        <v>1.185226746</v>
      </c>
      <c r="F754" s="7">
        <f>'Daily Returns'!AR753 * (1 +'Daily Returns'!AL754)</f>
        <v>1.168693755</v>
      </c>
      <c r="H754" s="7">
        <f>'Daily Returns'!AS753*(1+'Daily Returns'!AM754)</f>
        <v>1.229321384</v>
      </c>
      <c r="J754" s="5">
        <f>'Daily Returns'!AT753*(1+'Daily Returns'!AN754)</f>
        <v>1.255387482</v>
      </c>
      <c r="L754" s="5">
        <f>'Daily Returns'!AU753*(1+'Daily Returns'!AO754)</f>
        <v>1.234661028</v>
      </c>
    </row>
    <row r="755" ht="15.75" customHeight="1">
      <c r="A755" s="9">
        <v>44923.0</v>
      </c>
      <c r="B755" s="6">
        <f>'Daily Returns'!AP754*(1+'Daily Returns'!AK755)</f>
        <v>1.52902393</v>
      </c>
      <c r="D755" s="4">
        <f>'Daily Returns'!AQ754 * (1 + 'Daily Returns'!AJ755)</f>
        <v>1.170979136</v>
      </c>
      <c r="F755" s="7">
        <f>'Daily Returns'!AR754 * (1 +'Daily Returns'!AL755)</f>
        <v>1.165917325</v>
      </c>
      <c r="H755" s="7">
        <f>'Daily Returns'!AS754*(1+'Daily Returns'!AM755)</f>
        <v>1.224183628</v>
      </c>
      <c r="J755" s="5">
        <f>'Daily Returns'!AT754*(1+'Daily Returns'!AN755)</f>
        <v>1.265583725</v>
      </c>
      <c r="L755" s="5">
        <f>'Daily Returns'!AU754*(1+'Daily Returns'!AO755)</f>
        <v>1.245653737</v>
      </c>
    </row>
    <row r="756" ht="15.75" customHeight="1">
      <c r="A756" s="9">
        <v>44924.0</v>
      </c>
      <c r="B756" s="6">
        <f>'Daily Returns'!AP755*(1+'Daily Returns'!AK756)</f>
        <v>1.538402428</v>
      </c>
      <c r="D756" s="4">
        <f>'Daily Returns'!AQ755 * (1 + 'Daily Returns'!AJ756)</f>
        <v>1.191425602</v>
      </c>
      <c r="F756" s="7">
        <f>'Daily Returns'!AR755 * (1 +'Daily Returns'!AL756)</f>
        <v>1.151928006</v>
      </c>
      <c r="H756" s="7">
        <f>'Daily Returns'!AS755*(1+'Daily Returns'!AM756)</f>
        <v>1.208770562</v>
      </c>
      <c r="J756" s="5">
        <f>'Daily Returns'!AT755*(1+'Daily Returns'!AN756)</f>
        <v>1.25156413</v>
      </c>
      <c r="L756" s="5">
        <f>'Daily Returns'!AU755*(1+'Daily Returns'!AO756)</f>
        <v>1.231834228</v>
      </c>
    </row>
    <row r="757" ht="15.75" customHeight="1">
      <c r="A757" s="9">
        <v>44925.0</v>
      </c>
      <c r="B757" s="6">
        <f>'Daily Returns'!AP756*(1+'Daily Returns'!AK757)</f>
        <v>1.535417126</v>
      </c>
      <c r="C757" s="6">
        <f>'Daily Returns'!AP756*(1+'Daily Returns'!AK757)</f>
        <v>1.535417126</v>
      </c>
      <c r="D757" s="4">
        <f>'Daily Returns'!AQ756 * (1 + 'Daily Returns'!AJ757)</f>
        <v>1.18839819</v>
      </c>
      <c r="E757" s="4">
        <f>'Daily Returns'!AQ756 * (1 + 'Daily Returns'!AJ757)</f>
        <v>1.18839819</v>
      </c>
      <c r="F757" s="7">
        <f>'Daily Returns'!AR756 * (1 +'Daily Returns'!AL757)</f>
        <v>1.171897353</v>
      </c>
      <c r="G757" s="7">
        <f>'Daily Returns'!AR756 * (1 +'Daily Returns'!AL757)</f>
        <v>1.171897353</v>
      </c>
      <c r="H757" s="7">
        <f>'Daily Returns'!AS756*(1+'Daily Returns'!AM757)</f>
        <v>1.230991077</v>
      </c>
      <c r="I757" s="7">
        <f>'Daily Returns'!AS756*(1+'Daily Returns'!AM757)</f>
        <v>1.230991077</v>
      </c>
      <c r="J757" s="5">
        <f>'Daily Returns'!AT756*(1+'Daily Returns'!AN757)</f>
        <v>1.265583725</v>
      </c>
      <c r="K757" s="5">
        <f>'Daily Returns'!AT756*(1+'Daily Returns'!AN757)</f>
        <v>1.265583725</v>
      </c>
      <c r="L757" s="5">
        <f>'Daily Returns'!AU756*(1+'Daily Returns'!AO757)</f>
        <v>1.246236979</v>
      </c>
      <c r="M757" s="5">
        <f>'Daily Returns'!AU756*(1+'Daily Returns'!AO757)</f>
        <v>1.246236979</v>
      </c>
    </row>
    <row r="758" ht="15.75" customHeight="1">
      <c r="A758" s="9">
        <v>44929.0</v>
      </c>
      <c r="B758" s="6">
        <f>'Daily Returns'!AP757*(1+'Daily Returns'!AK758)</f>
        <v>1.536994258</v>
      </c>
      <c r="D758" s="4">
        <f>'Daily Returns'!AQ757 * (1 + 'Daily Returns'!AJ758)</f>
        <v>1.183643409</v>
      </c>
      <c r="F758" s="7">
        <f>'Daily Returns'!AR757 * (1 +'Daily Returns'!AL758)</f>
        <v>1.166664744</v>
      </c>
      <c r="H758" s="7">
        <f>'Daily Returns'!AS757*(1+'Daily Returns'!AM758)</f>
        <v>1.227844357</v>
      </c>
      <c r="J758" s="5">
        <f>'Daily Returns'!AT757*(1+'Daily Returns'!AN758)</f>
        <v>1.257087001</v>
      </c>
      <c r="L758" s="5">
        <f>'Daily Returns'!AU757*(1+'Daily Returns'!AO758)</f>
        <v>1.238323154</v>
      </c>
    </row>
    <row r="759" ht="15.75" customHeight="1">
      <c r="A759" s="9">
        <v>44930.0</v>
      </c>
      <c r="B759" s="6">
        <f>'Daily Returns'!AP758*(1+'Daily Returns'!AK759)</f>
        <v>1.55816588</v>
      </c>
      <c r="D759" s="4">
        <f>'Daily Returns'!AQ758 * (1 + 'Daily Returns'!AJ759)</f>
        <v>1.192566896</v>
      </c>
      <c r="F759" s="7">
        <f>'Daily Returns'!AR758 * (1 +'Daily Returns'!AL759)</f>
        <v>1.165062987</v>
      </c>
      <c r="H759" s="7">
        <f>'Daily Returns'!AS758*(1+'Daily Returns'!AM759)</f>
        <v>1.222835077</v>
      </c>
      <c r="J759" s="5">
        <f>'Daily Returns'!AT758*(1+'Daily Returns'!AN759)</f>
        <v>1.263034533</v>
      </c>
      <c r="L759" s="5">
        <f>'Daily Returns'!AU758*(1+'Daily Returns'!AO759)</f>
        <v>1.243704514</v>
      </c>
    </row>
    <row r="760" ht="15.75" customHeight="1">
      <c r="A760" s="9">
        <v>44931.0</v>
      </c>
      <c r="B760" s="6">
        <f>'Daily Returns'!AP759*(1+'Daily Returns'!AK760)</f>
        <v>1.552148559</v>
      </c>
      <c r="D760" s="4">
        <f>'Daily Returns'!AQ759 * (1 + 'Daily Returns'!AJ760)</f>
        <v>1.178678262</v>
      </c>
      <c r="F760" s="7">
        <f>'Daily Returns'!AR759 * (1 +'Daily Returns'!AL760)</f>
        <v>1.176489209</v>
      </c>
      <c r="H760" s="7">
        <f>'Daily Returns'!AS759*(1+'Daily Returns'!AM760)</f>
        <v>1.233688482</v>
      </c>
      <c r="J760" s="5">
        <f>'Daily Returns'!AT759*(1+'Daily Returns'!AN760)</f>
        <v>1.271531344</v>
      </c>
      <c r="L760" s="5">
        <f>'Daily Returns'!AU759*(1+'Daily Returns'!AO760)</f>
        <v>1.252884313</v>
      </c>
    </row>
    <row r="761" ht="15.75" customHeight="1">
      <c r="A761" s="9">
        <v>44932.0</v>
      </c>
      <c r="B761" s="6">
        <f>'Daily Returns'!AP760*(1+'Daily Returns'!AK761)</f>
        <v>1.568988907</v>
      </c>
      <c r="D761" s="4">
        <f>'Daily Returns'!AQ760 * (1 + 'Daily Returns'!AJ761)</f>
        <v>1.205600452</v>
      </c>
      <c r="F761" s="7">
        <f>'Daily Returns'!AR760 * (1 +'Daily Returns'!AL761)</f>
        <v>1.162713558</v>
      </c>
      <c r="H761" s="7">
        <f>'Daily Returns'!AS760*(1+'Daily Returns'!AM761)</f>
        <v>1.219238638</v>
      </c>
      <c r="J761" s="5">
        <f>'Daily Returns'!AT760*(1+'Daily Returns'!AN761)</f>
        <v>1.267282982</v>
      </c>
      <c r="L761" s="5">
        <f>'Daily Returns'!AU760*(1+'Daily Returns'!AO761)</f>
        <v>1.24813607</v>
      </c>
    </row>
    <row r="762" ht="15.75" customHeight="1">
      <c r="A762" s="9">
        <v>44935.0</v>
      </c>
      <c r="B762" s="6">
        <f>'Daily Returns'!AP761*(1+'Daily Returns'!AK762)</f>
        <v>1.5684132</v>
      </c>
      <c r="D762" s="4">
        <f>'Daily Returns'!AQ761 * (1 + 'Daily Returns'!AJ762)</f>
        <v>1.204674551</v>
      </c>
      <c r="F762" s="7">
        <f>'Daily Returns'!AR761 * (1 +'Daily Returns'!AL762)</f>
        <v>1.190158277</v>
      </c>
      <c r="H762" s="7">
        <f>'Daily Returns'!AS761*(1+'Daily Returns'!AM762)</f>
        <v>1.246147392</v>
      </c>
      <c r="J762" s="5">
        <f>'Daily Returns'!AT761*(1+'Daily Returns'!AN762)</f>
        <v>1.287674946</v>
      </c>
      <c r="L762" s="5">
        <f>'Daily Returns'!AU761*(1+'Daily Returns'!AO762)</f>
        <v>1.26807846</v>
      </c>
    </row>
    <row r="763" ht="15.75" customHeight="1">
      <c r="A763" s="9">
        <v>44936.0</v>
      </c>
      <c r="B763" s="6">
        <f>'Daily Returns'!AP762*(1+'Daily Returns'!AK763)</f>
        <v>1.568347202</v>
      </c>
      <c r="D763" s="4">
        <f>'Daily Returns'!AQ762 * (1 + 'Daily Returns'!AJ763)</f>
        <v>1.21308077</v>
      </c>
      <c r="F763" s="7">
        <f>'Daily Returns'!AR762 * (1 +'Daily Returns'!AL763)</f>
        <v>1.191546618</v>
      </c>
      <c r="H763" s="7">
        <f>'Daily Returns'!AS762*(1+'Daily Returns'!AM763)</f>
        <v>1.246660995</v>
      </c>
      <c r="J763" s="5">
        <f>'Daily Returns'!AT762*(1+'Daily Returns'!AN763)</f>
        <v>1.289799214</v>
      </c>
      <c r="L763" s="5">
        <f>'Daily Returns'!AU762*(1+'Daily Returns'!AO763)</f>
        <v>1.270610796</v>
      </c>
    </row>
    <row r="764" ht="15.75" customHeight="1">
      <c r="A764" s="9">
        <v>44937.0</v>
      </c>
      <c r="B764" s="6">
        <f>'Daily Returns'!AP763*(1+'Daily Returns'!AK764)</f>
        <v>1.572518184</v>
      </c>
      <c r="D764" s="4">
        <f>'Daily Returns'!AQ763 * (1 + 'Daily Returns'!AJ764)</f>
        <v>1.228667645</v>
      </c>
      <c r="F764" s="7">
        <f>'Daily Returns'!AR763 * (1 +'Daily Returns'!AL764)</f>
        <v>1.19806065</v>
      </c>
      <c r="H764" s="7">
        <f>'Daily Returns'!AS763*(1+'Daily Returns'!AM764)</f>
        <v>1.256486889</v>
      </c>
      <c r="J764" s="5">
        <f>'Daily Returns'!AT763*(1+'Daily Returns'!AN764)</f>
        <v>1.290648886</v>
      </c>
      <c r="L764" s="5">
        <f>'Daily Returns'!AU763*(1+'Daily Returns'!AO764)</f>
        <v>1.273459562</v>
      </c>
    </row>
    <row r="765" ht="15.75" customHeight="1">
      <c r="A765" s="9">
        <v>44938.0</v>
      </c>
      <c r="B765" s="6">
        <f>'Daily Returns'!AP764*(1+'Daily Returns'!AK765)</f>
        <v>1.573108702</v>
      </c>
      <c r="D765" s="4">
        <f>'Daily Returns'!AQ764 * (1 + 'Daily Returns'!AJ765)</f>
        <v>1.232864774</v>
      </c>
      <c r="F765" s="7">
        <f>'Daily Returns'!AR764 * (1 +'Daily Returns'!AL765)</f>
        <v>1.211088881</v>
      </c>
      <c r="H765" s="7">
        <f>'Daily Returns'!AS764*(1+'Daily Returns'!AM765)</f>
        <v>1.273055842</v>
      </c>
      <c r="J765" s="5">
        <f>'Daily Returns'!AT764*(1+'Daily Returns'!AN765)</f>
        <v>1.297871102</v>
      </c>
      <c r="L765" s="5">
        <f>'Daily Returns'!AU764*(1+'Daily Returns'!AO765)</f>
        <v>1.281373258</v>
      </c>
    </row>
    <row r="766" ht="15.75" customHeight="1">
      <c r="A766" s="9">
        <v>44939.0</v>
      </c>
      <c r="B766" s="6">
        <f>'Daily Returns'!AP765*(1+'Daily Returns'!AK766)</f>
        <v>1.580366951</v>
      </c>
      <c r="D766" s="4">
        <f>'Daily Returns'!AQ765 * (1 + 'Daily Returns'!AJ766)</f>
        <v>1.237792534</v>
      </c>
      <c r="F766" s="7">
        <f>'Daily Returns'!AR765 * (1 +'Daily Returns'!AL766)</f>
        <v>1.220486176</v>
      </c>
      <c r="H766" s="7">
        <f>'Daily Returns'!AS765*(1+'Daily Returns'!AM766)</f>
        <v>1.279221311</v>
      </c>
      <c r="J766" s="5">
        <f>'Daily Returns'!AT765*(1+'Daily Returns'!AN766)</f>
        <v>1.308916756</v>
      </c>
      <c r="L766" s="5">
        <f>'Daily Returns'!AU765*(1+'Daily Returns'!AO766)</f>
        <v>1.292452407</v>
      </c>
    </row>
    <row r="767" ht="15.75" customHeight="1">
      <c r="A767" s="9">
        <v>44943.0</v>
      </c>
      <c r="B767" s="6">
        <f>'Daily Returns'!AP766*(1+'Daily Returns'!AK767)</f>
        <v>1.580714666</v>
      </c>
      <c r="D767" s="4">
        <f>'Daily Returns'!AQ766 * (1 + 'Daily Returns'!AJ767)</f>
        <v>1.235279815</v>
      </c>
      <c r="F767" s="7">
        <f>'Daily Returns'!AR766 * (1 +'Daily Returns'!AL767)</f>
        <v>1.225932454</v>
      </c>
      <c r="H767" s="7">
        <f>'Daily Returns'!AS766*(1+'Daily Returns'!AM767)</f>
        <v>1.284680006</v>
      </c>
      <c r="J767" s="5">
        <f>'Daily Returns'!AT766*(1+'Daily Returns'!AN767)</f>
        <v>1.32038742</v>
      </c>
      <c r="L767" s="5">
        <f>'Daily Returns'!AU766*(1+'Daily Returns'!AO767)</f>
        <v>1.302265064</v>
      </c>
    </row>
    <row r="768" ht="15.75" customHeight="1">
      <c r="A768" s="9">
        <v>44944.0</v>
      </c>
      <c r="B768" s="6">
        <f>'Daily Returns'!AP767*(1+'Daily Returns'!AK768)</f>
        <v>1.56712188</v>
      </c>
      <c r="D768" s="4">
        <f>'Daily Returns'!AQ767 * (1 + 'Daily Returns'!AJ768)</f>
        <v>1.216055156</v>
      </c>
      <c r="F768" s="7">
        <f>'Daily Returns'!AR767 * (1 +'Daily Returns'!AL768)</f>
        <v>1.225825619</v>
      </c>
      <c r="H768" s="7">
        <f>'Daily Returns'!AS767*(1+'Daily Returns'!AM768)</f>
        <v>1.282946025</v>
      </c>
      <c r="J768" s="5">
        <f>'Daily Returns'!AT767*(1+'Daily Returns'!AN768)</f>
        <v>1.322511514</v>
      </c>
      <c r="L768" s="5">
        <f>'Daily Returns'!AU767*(1+'Daily Returns'!AO768)</f>
        <v>1.304797788</v>
      </c>
    </row>
    <row r="769" ht="15.75" customHeight="1">
      <c r="A769" s="9">
        <v>44945.0</v>
      </c>
      <c r="B769" s="6">
        <f>'Daily Returns'!AP768*(1+'Daily Returns'!AK769)</f>
        <v>1.568440804</v>
      </c>
      <c r="D769" s="4">
        <f>'Daily Returns'!AQ768 * (1 + 'Daily Returns'!AJ769)</f>
        <v>1.206766926</v>
      </c>
      <c r="F769" s="7">
        <f>'Daily Returns'!AR768 * (1 +'Daily Returns'!AL769)</f>
        <v>1.21172955</v>
      </c>
      <c r="H769" s="7">
        <f>'Daily Returns'!AS768*(1+'Daily Returns'!AM769)</f>
        <v>1.262716344</v>
      </c>
      <c r="J769" s="5">
        <f>'Daily Returns'!AT768*(1+'Daily Returns'!AN769)</f>
        <v>1.327184712</v>
      </c>
      <c r="L769" s="5">
        <f>'Daily Returns'!AU768*(1+'Daily Returns'!AO769)</f>
        <v>1.308912657</v>
      </c>
    </row>
    <row r="770" ht="15.75" customHeight="1">
      <c r="A770" s="9">
        <v>44946.0</v>
      </c>
      <c r="B770" s="6">
        <f>'Daily Returns'!AP769*(1+'Daily Returns'!AK770)</f>
        <v>1.5721348</v>
      </c>
      <c r="D770" s="4">
        <f>'Daily Returns'!AQ769 * (1 + 'Daily Returns'!AJ770)</f>
        <v>1.229596543</v>
      </c>
      <c r="F770" s="7">
        <f>'Daily Returns'!AR769 * (1 +'Daily Returns'!AL770)</f>
        <v>1.204040846</v>
      </c>
      <c r="H770" s="7">
        <f>'Daily Returns'!AS769*(1+'Daily Returns'!AM770)</f>
        <v>1.252440933</v>
      </c>
      <c r="J770" s="5">
        <f>'Daily Returns'!AT769*(1+'Daily Returns'!AN770)</f>
        <v>1.321661929</v>
      </c>
      <c r="L770" s="5">
        <f>'Daily Returns'!AU769*(1+'Daily Returns'!AO770)</f>
        <v>1.304164543</v>
      </c>
    </row>
    <row r="771" ht="15.75" customHeight="1">
      <c r="A771" s="9">
        <v>44949.0</v>
      </c>
      <c r="B771" s="6">
        <f>'Daily Returns'!AP770*(1+'Daily Returns'!AK771)</f>
        <v>1.564455812</v>
      </c>
      <c r="D771" s="4">
        <f>'Daily Returns'!AQ770 * (1 + 'Daily Returns'!AJ771)</f>
        <v>1.24420538</v>
      </c>
      <c r="F771" s="7">
        <f>'Daily Returns'!AR770 * (1 +'Daily Returns'!AL771)</f>
        <v>1.22336944</v>
      </c>
      <c r="H771" s="7">
        <f>'Daily Returns'!AS770*(1+'Daily Returns'!AM771)</f>
        <v>1.276459414</v>
      </c>
      <c r="J771" s="5">
        <f>'Daily Returns'!AT770*(1+'Daily Returns'!AN771)</f>
        <v>1.32038742</v>
      </c>
      <c r="L771" s="5">
        <f>'Daily Returns'!AU770*(1+'Daily Returns'!AO771)</f>
        <v>1.301632077</v>
      </c>
    </row>
    <row r="772" ht="15.75" customHeight="1">
      <c r="A772" s="9">
        <v>44950.0</v>
      </c>
      <c r="B772" s="6">
        <f>'Daily Returns'!AP771*(1+'Daily Returns'!AK772)</f>
        <v>1.563200567</v>
      </c>
      <c r="D772" s="4">
        <f>'Daily Returns'!AQ771 * (1 + 'Daily Returns'!AJ772)</f>
        <v>1.24332075</v>
      </c>
      <c r="F772" s="7">
        <f>'Daily Returns'!AR771 * (1 +'Daily Returns'!AL772)</f>
        <v>1.235543333</v>
      </c>
      <c r="H772" s="7">
        <f>'Daily Returns'!AS771*(1+'Daily Returns'!AM772)</f>
        <v>1.292643442</v>
      </c>
      <c r="J772" s="5">
        <f>'Daily Returns'!AT771*(1+'Daily Returns'!AN772)</f>
        <v>1.330583402</v>
      </c>
      <c r="L772" s="5">
        <f>'Daily Returns'!AU771*(1+'Daily Returns'!AO772)</f>
        <v>1.311761422</v>
      </c>
    </row>
    <row r="773" ht="15.75" customHeight="1">
      <c r="A773" s="9">
        <v>44951.0</v>
      </c>
      <c r="B773" s="6">
        <f>'Daily Returns'!AP772*(1+'Daily Returns'!AK773)</f>
        <v>1.565425448</v>
      </c>
      <c r="D773" s="4">
        <f>'Daily Returns'!AQ772 * (1 + 'Daily Returns'!AJ773)</f>
        <v>1.243094465</v>
      </c>
      <c r="F773" s="7">
        <f>'Daily Returns'!AR772 * (1 +'Daily Returns'!AL773)</f>
        <v>1.234368745</v>
      </c>
      <c r="H773" s="7">
        <f>'Daily Returns'!AS772*(1+'Daily Returns'!AM773)</f>
        <v>1.290524132</v>
      </c>
      <c r="J773" s="5">
        <f>'Daily Returns'!AT772*(1+'Daily Returns'!AN773)</f>
        <v>1.338230279</v>
      </c>
      <c r="L773" s="5">
        <f>'Daily Returns'!AU772*(1+'Daily Returns'!AO773)</f>
        <v>1.320308105</v>
      </c>
    </row>
    <row r="774" ht="15.75" customHeight="1">
      <c r="A774" s="9">
        <v>44952.0</v>
      </c>
      <c r="B774" s="6">
        <f>'Daily Returns'!AP773*(1+'Daily Returns'!AK774)</f>
        <v>1.573506713</v>
      </c>
      <c r="D774" s="4">
        <f>'Daily Returns'!AQ773 * (1 + 'Daily Returns'!AJ774)</f>
        <v>1.256778449</v>
      </c>
      <c r="F774" s="7">
        <f>'Daily Returns'!AR773 * (1 +'Daily Returns'!AL774)</f>
        <v>1.23682484</v>
      </c>
      <c r="H774" s="7">
        <f>'Daily Returns'!AS773*(1+'Daily Returns'!AM774)</f>
        <v>1.291166516</v>
      </c>
      <c r="J774" s="5">
        <f>'Daily Returns'!AT773*(1+'Daily Returns'!AN774)</f>
        <v>1.338230279</v>
      </c>
      <c r="L774" s="5">
        <f>'Daily Returns'!AU773*(1+'Daily Returns'!AO774)</f>
        <v>1.319674989</v>
      </c>
    </row>
    <row r="775" ht="15.75" customHeight="1">
      <c r="A775" s="9">
        <v>44953.0</v>
      </c>
      <c r="B775" s="6">
        <f>'Daily Returns'!AP774*(1+'Daily Returns'!AK775)</f>
        <v>1.577017798</v>
      </c>
      <c r="D775" s="4">
        <f>'Daily Returns'!AQ774 * (1 + 'Daily Returns'!AJ775)</f>
        <v>1.259914111</v>
      </c>
      <c r="F775" s="7">
        <f>'Daily Returns'!AR774 * (1 +'Daily Returns'!AL775)</f>
        <v>1.247076557</v>
      </c>
      <c r="H775" s="7">
        <f>'Daily Returns'!AS774*(1+'Daily Returns'!AM775)</f>
        <v>1.304460069</v>
      </c>
      <c r="J775" s="5">
        <f>'Daily Returns'!AT774*(1+'Daily Returns'!AN775)</f>
        <v>1.337380694</v>
      </c>
      <c r="L775" s="5">
        <f>'Daily Returns'!AU774*(1+'Daily Returns'!AO775)</f>
        <v>1.318409144</v>
      </c>
    </row>
    <row r="776" ht="15.75" customHeight="1">
      <c r="A776" s="9">
        <v>44956.0</v>
      </c>
      <c r="B776" s="6">
        <f>'Daily Returns'!AP775*(1+'Daily Returns'!AK776)</f>
        <v>1.567298633</v>
      </c>
      <c r="D776" s="4">
        <f>'Daily Returns'!AQ775 * (1 + 'Daily Returns'!AJ776)</f>
        <v>1.243574285</v>
      </c>
      <c r="F776" s="7">
        <f>'Daily Returns'!AR775 * (1 +'Daily Returns'!AL776)</f>
        <v>1.248891899</v>
      </c>
      <c r="H776" s="7">
        <f>'Daily Returns'!AS775*(1+'Daily Returns'!AM776)</f>
        <v>1.309726302</v>
      </c>
      <c r="J776" s="5">
        <f>'Daily Returns'!AT775*(1+'Daily Returns'!AN776)</f>
        <v>1.344178073</v>
      </c>
      <c r="L776" s="5">
        <f>'Daily Returns'!AU775*(1+'Daily Returns'!AO776)</f>
        <v>1.325056478</v>
      </c>
    </row>
    <row r="777" ht="15.75" customHeight="1">
      <c r="A777" s="9">
        <v>44957.0</v>
      </c>
      <c r="B777" s="6">
        <f>'Daily Returns'!AP776*(1+'Daily Returns'!AK777)</f>
        <v>1.580272939</v>
      </c>
      <c r="D777" s="4">
        <f>'Daily Returns'!AQ776 * (1 + 'Daily Returns'!AJ777)</f>
        <v>1.2617827</v>
      </c>
      <c r="F777" s="7">
        <f>'Daily Returns'!AR776 * (1 +'Daily Returns'!AL777)</f>
        <v>1.23479583</v>
      </c>
      <c r="H777" s="7">
        <f>'Daily Returns'!AS776*(1+'Daily Returns'!AM777)</f>
        <v>1.292193925</v>
      </c>
      <c r="J777" s="5">
        <f>'Daily Returns'!AT776*(1+'Daily Returns'!AN777)</f>
        <v>1.345027745</v>
      </c>
      <c r="L777" s="5">
        <f>'Daily Returns'!AU776*(1+'Daily Returns'!AO777)</f>
        <v>1.326955698</v>
      </c>
    </row>
    <row r="778" ht="15.75" customHeight="1">
      <c r="A778" s="9">
        <v>44958.0</v>
      </c>
      <c r="B778" s="6">
        <f>'Daily Returns'!AP777*(1+'Daily Returns'!AK778)</f>
        <v>1.584800729</v>
      </c>
      <c r="D778" s="4">
        <f>'Daily Returns'!AQ777 * (1 + 'Daily Returns'!AJ778)</f>
        <v>1.274970853</v>
      </c>
      <c r="F778" s="7">
        <f>'Daily Returns'!AR777 * (1 +'Daily Returns'!AL778)</f>
        <v>1.249532737</v>
      </c>
      <c r="H778" s="7">
        <f>'Daily Returns'!AS777*(1+'Daily Returns'!AM778)</f>
        <v>1.312873123</v>
      </c>
      <c r="J778" s="5">
        <f>'Daily Returns'!AT777*(1+'Daily Returns'!AN778)</f>
        <v>1.336531021</v>
      </c>
      <c r="L778" s="5">
        <f>'Daily Returns'!AU777*(1+'Daily Returns'!AO778)</f>
        <v>1.317776028</v>
      </c>
    </row>
    <row r="779" ht="15.75" customHeight="1">
      <c r="A779" s="9">
        <v>44959.0</v>
      </c>
      <c r="B779" s="6">
        <f>'Daily Returns'!AP778*(1+'Daily Returns'!AK779)</f>
        <v>1.582009265</v>
      </c>
      <c r="D779" s="4">
        <f>'Daily Returns'!AQ778 * (1 + 'Daily Returns'!AJ779)</f>
        <v>1.293711649</v>
      </c>
      <c r="F779" s="7">
        <f>'Daily Returns'!AR778 * (1 +'Daily Returns'!AL779)</f>
        <v>1.26266755</v>
      </c>
      <c r="H779" s="7">
        <f>'Daily Returns'!AS778*(1+'Daily Returns'!AM779)</f>
        <v>1.328864082</v>
      </c>
      <c r="J779" s="5">
        <f>'Daily Returns'!AT778*(1+'Daily Returns'!AN779)</f>
        <v>1.35012578</v>
      </c>
      <c r="L779" s="5">
        <f>'Daily Returns'!AU778*(1+'Daily Returns'!AO779)</f>
        <v>1.331070954</v>
      </c>
    </row>
    <row r="780" ht="15.75" customHeight="1">
      <c r="A780" s="9">
        <v>44960.0</v>
      </c>
      <c r="B780" s="6">
        <f>'Daily Returns'!AP779*(1+'Daily Returns'!AK780)</f>
        <v>1.580428263</v>
      </c>
      <c r="D780" s="4">
        <f>'Daily Returns'!AQ779 * (1 + 'Daily Returns'!AJ780)</f>
        <v>1.280315265</v>
      </c>
      <c r="F780" s="7">
        <f>'Daily Returns'!AR779 * (1 +'Daily Returns'!AL780)</f>
        <v>1.27537553</v>
      </c>
      <c r="H780" s="7">
        <f>'Daily Returns'!AS779*(1+'Daily Returns'!AM780)</f>
        <v>1.348708535</v>
      </c>
      <c r="J780" s="5">
        <f>'Daily Returns'!AT779*(1+'Daily Returns'!AN780)</f>
        <v>1.347151926</v>
      </c>
      <c r="L780" s="5">
        <f>'Daily Returns'!AU779*(1+'Daily Returns'!AO780)</f>
        <v>1.329488034</v>
      </c>
    </row>
    <row r="781" ht="15.75" customHeight="1">
      <c r="A781" s="9">
        <v>44963.0</v>
      </c>
      <c r="B781" s="6">
        <f>'Daily Returns'!AP780*(1+'Daily Returns'!AK781)</f>
        <v>1.57537545</v>
      </c>
      <c r="D781" s="4">
        <f>'Daily Returns'!AQ780 * (1 + 'Daily Returns'!AJ781)</f>
        <v>1.272454129</v>
      </c>
      <c r="F781" s="7">
        <f>'Daily Returns'!AR780 * (1 +'Daily Returns'!AL781)</f>
        <v>1.26192013</v>
      </c>
      <c r="H781" s="7">
        <f>'Daily Returns'!AS780*(1+'Daily Returns'!AM781)</f>
        <v>1.334772496</v>
      </c>
      <c r="J781" s="5">
        <f>'Daily Returns'!AT780*(1+'Daily Returns'!AN781)</f>
        <v>1.34672709</v>
      </c>
      <c r="L781" s="5">
        <f>'Daily Returns'!AU780*(1+'Daily Returns'!AO781)</f>
        <v>1.329804593</v>
      </c>
    </row>
    <row r="782" ht="15.75" customHeight="1">
      <c r="A782" s="9">
        <v>44964.0</v>
      </c>
      <c r="B782" s="6">
        <f>'Daily Returns'!AP781*(1+'Daily Returns'!AK782)</f>
        <v>1.573961385</v>
      </c>
      <c r="D782" s="4">
        <f>'Daily Returns'!AQ781 * (1 + 'Daily Returns'!AJ782)</f>
        <v>1.288834431</v>
      </c>
      <c r="F782" s="7">
        <f>'Daily Returns'!AR781 * (1 +'Daily Returns'!AL782)</f>
        <v>1.252629585</v>
      </c>
      <c r="H782" s="7">
        <f>'Daily Returns'!AS781*(1+'Daily Returns'!AM782)</f>
        <v>1.324753938</v>
      </c>
      <c r="J782" s="5">
        <f>'Daily Returns'!AT781*(1+'Daily Returns'!AN782)</f>
        <v>1.349276194</v>
      </c>
      <c r="L782" s="5">
        <f>'Daily Returns'!AU781*(1+'Daily Returns'!AO782)</f>
        <v>1.330754396</v>
      </c>
    </row>
    <row r="783" ht="15.75" customHeight="1">
      <c r="A783" s="9">
        <v>44965.0</v>
      </c>
      <c r="B783" s="6">
        <f>'Daily Returns'!AP782*(1+'Daily Returns'!AK783)</f>
        <v>1.567737351</v>
      </c>
      <c r="D783" s="4">
        <f>'Daily Returns'!AQ782 * (1 + 'Daily Returns'!AJ783)</f>
        <v>1.274552857</v>
      </c>
      <c r="F783" s="7">
        <f>'Daily Returns'!AR782 * (1 +'Daily Returns'!AL783)</f>
        <v>1.267046073</v>
      </c>
      <c r="H783" s="7">
        <f>'Daily Returns'!AS782*(1+'Daily Returns'!AM783)</f>
        <v>1.341451569</v>
      </c>
      <c r="J783" s="5">
        <f>'Daily Returns'!AT782*(1+'Daily Returns'!AN783)</f>
        <v>1.341629056</v>
      </c>
      <c r="L783" s="5">
        <f>'Daily Returns'!AU782*(1+'Daily Returns'!AO783)</f>
        <v>1.323157258</v>
      </c>
    </row>
    <row r="784" ht="15.75" customHeight="1">
      <c r="A784" s="9">
        <v>44966.0</v>
      </c>
      <c r="B784" s="6">
        <f>'Daily Returns'!AP783*(1+'Daily Returns'!AK784)</f>
        <v>1.563057223</v>
      </c>
      <c r="D784" s="4">
        <f>'Daily Returns'!AQ783 * (1 + 'Daily Returns'!AJ784)</f>
        <v>1.263298555</v>
      </c>
      <c r="F784" s="7">
        <f>'Daily Returns'!AR783 * (1 +'Daily Returns'!AL784)</f>
        <v>1.25508568</v>
      </c>
      <c r="H784" s="7">
        <f>'Daily Returns'!AS783*(1+'Daily Returns'!AM784)</f>
        <v>1.327130303</v>
      </c>
      <c r="J784" s="5">
        <f>'Daily Returns'!AT783*(1+'Daily Returns'!AN784)</f>
        <v>1.346302254</v>
      </c>
      <c r="L784" s="5">
        <f>'Daily Returns'!AU783*(1+'Daily Returns'!AO784)</f>
        <v>1.328538618</v>
      </c>
    </row>
    <row r="785" ht="15.75" customHeight="1">
      <c r="A785" s="9">
        <v>44967.0</v>
      </c>
      <c r="B785" s="6">
        <f>'Daily Returns'!AP784*(1+'Daily Returns'!AK785)</f>
        <v>1.570298029</v>
      </c>
      <c r="D785" s="4">
        <f>'Daily Returns'!AQ784 * (1 + 'Daily Returns'!AJ785)</f>
        <v>1.266071496</v>
      </c>
      <c r="F785" s="7">
        <f>'Daily Returns'!AR784 * (1 +'Daily Returns'!AL785)</f>
        <v>1.247503726</v>
      </c>
      <c r="H785" s="7">
        <f>'Daily Returns'!AS784*(1+'Daily Returns'!AM785)</f>
        <v>1.314221877</v>
      </c>
      <c r="J785" s="5">
        <f>'Daily Returns'!AT784*(1+'Daily Returns'!AN785)</f>
        <v>1.342903651</v>
      </c>
      <c r="L785" s="5">
        <f>'Daily Returns'!AU784*(1+'Daily Returns'!AO785)</f>
        <v>1.325689465</v>
      </c>
    </row>
    <row r="786" ht="15.75" customHeight="1">
      <c r="A786" s="9">
        <v>44970.0</v>
      </c>
      <c r="B786" s="6">
        <f>'Daily Returns'!AP785*(1+'Daily Returns'!AK786)</f>
        <v>1.571035112</v>
      </c>
      <c r="D786" s="4">
        <f>'Daily Returns'!AQ785 * (1 + 'Daily Returns'!AJ786)</f>
        <v>1.280566748</v>
      </c>
      <c r="F786" s="7">
        <f>'Daily Returns'!AR785 * (1 +'Daily Returns'!AL786)</f>
        <v>1.247610561</v>
      </c>
      <c r="H786" s="7">
        <f>'Daily Returns'!AS785*(1+'Daily Returns'!AM786)</f>
        <v>1.316598039</v>
      </c>
      <c r="J786" s="5">
        <f>'Daily Returns'!AT785*(1+'Daily Returns'!AN786)</f>
        <v>1.338655202</v>
      </c>
      <c r="L786" s="5">
        <f>'Daily Returns'!AU785*(1+'Daily Returns'!AO786)</f>
        <v>1.320941351</v>
      </c>
    </row>
    <row r="787" ht="15.75" customHeight="1">
      <c r="A787" s="9">
        <v>44971.0</v>
      </c>
      <c r="B787" s="6">
        <f>'Daily Returns'!AP786*(1+'Daily Returns'!AK787)</f>
        <v>1.57803793</v>
      </c>
      <c r="D787" s="4">
        <f>'Daily Returns'!AQ786 * (1 + 'Daily Returns'!AJ787)</f>
        <v>1.280208189</v>
      </c>
      <c r="F787" s="7">
        <f>'Daily Returns'!AR786 * (1 +'Daily Returns'!AL787)</f>
        <v>1.261493045</v>
      </c>
      <c r="H787" s="7">
        <f>'Daily Returns'!AS786*(1+'Daily Returns'!AM787)</f>
        <v>1.332267958</v>
      </c>
      <c r="J787" s="5">
        <f>'Daily Returns'!AT786*(1+'Daily Returns'!AN787)</f>
        <v>1.342053979</v>
      </c>
      <c r="L787" s="5">
        <f>'Daily Returns'!AU786*(1+'Daily Returns'!AO787)</f>
        <v>1.322840829</v>
      </c>
    </row>
    <row r="788" ht="15.75" customHeight="1">
      <c r="A788" s="9">
        <v>44972.0</v>
      </c>
      <c r="B788" s="6">
        <f>'Daily Returns'!AP787*(1+'Daily Returns'!AK788)</f>
        <v>1.572502248</v>
      </c>
      <c r="D788" s="4">
        <f>'Daily Returns'!AQ787 * (1 + 'Daily Returns'!AJ788)</f>
        <v>1.283758207</v>
      </c>
      <c r="F788" s="7">
        <f>'Daily Returns'!AR787 * (1 +'Daily Returns'!AL788)</f>
        <v>1.263094803</v>
      </c>
      <c r="H788" s="7">
        <f>'Daily Returns'!AS787*(1+'Daily Returns'!AM788)</f>
        <v>1.332781663</v>
      </c>
      <c r="J788" s="5">
        <f>'Daily Returns'!AT787*(1+'Daily Returns'!AN788)</f>
        <v>1.34757685</v>
      </c>
      <c r="L788" s="5">
        <f>'Daily Returns'!AU787*(1+'Daily Returns'!AO788)</f>
        <v>1.328538618</v>
      </c>
    </row>
    <row r="789" ht="15.75" customHeight="1">
      <c r="A789" s="9">
        <v>44973.0</v>
      </c>
      <c r="B789" s="6">
        <f>'Daily Returns'!AP788*(1+'Daily Returns'!AK789)</f>
        <v>1.572102215</v>
      </c>
      <c r="D789" s="4">
        <f>'Daily Returns'!AQ788 * (1 + 'Daily Returns'!AJ789)</f>
        <v>1.266056465</v>
      </c>
      <c r="F789" s="7">
        <f>'Daily Returns'!AR788 * (1 +'Daily Returns'!AL789)</f>
        <v>1.26491006</v>
      </c>
      <c r="H789" s="7">
        <f>'Daily Returns'!AS788*(1+'Daily Returns'!AM789)</f>
        <v>1.338754164</v>
      </c>
      <c r="J789" s="5">
        <f>'Daily Returns'!AT788*(1+'Daily Returns'!AN789)</f>
        <v>1.348001512</v>
      </c>
      <c r="L789" s="5">
        <f>'Daily Returns'!AU788*(1+'Daily Returns'!AO789)</f>
        <v>1.329171605</v>
      </c>
    </row>
    <row r="790" ht="15.75" customHeight="1">
      <c r="A790" s="9">
        <v>44974.0</v>
      </c>
      <c r="B790" s="6">
        <f>'Daily Returns'!AP789*(1+'Daily Returns'!AK790)</f>
        <v>1.575951664</v>
      </c>
      <c r="D790" s="4">
        <f>'Daily Returns'!AQ789 * (1 + 'Daily Returns'!AJ790)</f>
        <v>1.262553287</v>
      </c>
      <c r="F790" s="7">
        <f>'Daily Returns'!AR789 * (1 +'Daily Returns'!AL790)</f>
        <v>1.251134494</v>
      </c>
      <c r="H790" s="7">
        <f>'Daily Returns'!AS789*(1+'Daily Returns'!AM790)</f>
        <v>1.320900747</v>
      </c>
      <c r="J790" s="5">
        <f>'Daily Returns'!AT789*(1+'Daily Returns'!AN790)</f>
        <v>1.349276194</v>
      </c>
      <c r="L790" s="5">
        <f>'Daily Returns'!AU789*(1+'Daily Returns'!AO790)</f>
        <v>1.329488034</v>
      </c>
    </row>
    <row r="791" ht="15.75" customHeight="1">
      <c r="A791" s="9">
        <v>44978.0</v>
      </c>
      <c r="B791" s="6">
        <f>'Daily Returns'!AP790*(1+'Daily Returns'!AK791)</f>
        <v>1.567049128</v>
      </c>
      <c r="D791" s="4">
        <f>'Daily Returns'!AQ790 * (1 + 'Daily Returns'!AJ791)</f>
        <v>1.237250456</v>
      </c>
      <c r="F791" s="7">
        <f>'Daily Returns'!AR790 * (1 +'Daily Returns'!AL791)</f>
        <v>1.248144396</v>
      </c>
      <c r="H791" s="7">
        <f>'Daily Returns'!AS790*(1+'Daily Returns'!AM791)</f>
        <v>1.317047455</v>
      </c>
      <c r="J791" s="5">
        <f>'Daily Returns'!AT790*(1+'Daily Returns'!AN791)</f>
        <v>1.339929885</v>
      </c>
      <c r="L791" s="5">
        <f>'Daily Returns'!AU790*(1+'Daily Returns'!AO791)</f>
        <v>1.323157258</v>
      </c>
    </row>
    <row r="792" ht="15.75" customHeight="1">
      <c r="A792" s="9">
        <v>44979.0</v>
      </c>
      <c r="B792" s="6">
        <f>'Daily Returns'!AP791*(1+'Daily Returns'!AK792)</f>
        <v>1.565275575</v>
      </c>
      <c r="D792" s="4">
        <f>'Daily Returns'!AQ791 * (1 + 'Daily Returns'!AJ792)</f>
        <v>1.235303024</v>
      </c>
      <c r="F792" s="7">
        <f>'Daily Returns'!AR791 * (1 +'Daily Returns'!AL792)</f>
        <v>1.226786707</v>
      </c>
      <c r="H792" s="7">
        <f>'Daily Returns'!AS791*(1+'Daily Returns'!AM792)</f>
        <v>1.289753575</v>
      </c>
      <c r="J792" s="5">
        <f>'Daily Returns'!AT791*(1+'Daily Returns'!AN792)</f>
        <v>1.333557168</v>
      </c>
      <c r="L792" s="5">
        <f>'Daily Returns'!AU791*(1+'Daily Returns'!AO792)</f>
        <v>1.318092457</v>
      </c>
    </row>
    <row r="793" ht="15.75" customHeight="1">
      <c r="A793" s="9">
        <v>44980.0</v>
      </c>
      <c r="B793" s="6">
        <f>'Daily Returns'!AP792*(1+'Daily Returns'!AK793)</f>
        <v>1.558321252</v>
      </c>
      <c r="D793" s="4">
        <f>'Daily Returns'!AQ792 * (1 + 'Daily Returns'!AJ793)</f>
        <v>1.241885954</v>
      </c>
      <c r="F793" s="7">
        <f>'Daily Returns'!AR792 * (1 +'Daily Returns'!AL793)</f>
        <v>1.224010193</v>
      </c>
      <c r="H793" s="7">
        <f>'Daily Returns'!AS792*(1+'Daily Returns'!AM793)</f>
        <v>1.288661876</v>
      </c>
      <c r="J793" s="5">
        <f>'Daily Returns'!AT792*(1+'Daily Returns'!AN793)</f>
        <v>1.318688162</v>
      </c>
      <c r="L793" s="5">
        <f>'Daily Returns'!AU792*(1+'Daily Returns'!AO793)</f>
        <v>1.30099909</v>
      </c>
    </row>
    <row r="794" ht="15.75" customHeight="1">
      <c r="A794" s="9">
        <v>44981.0</v>
      </c>
      <c r="B794" s="6">
        <f>'Daily Returns'!AP793*(1+'Daily Returns'!AK794)</f>
        <v>1.555447471</v>
      </c>
      <c r="D794" s="4">
        <f>'Daily Returns'!AQ793 * (1 + 'Daily Returns'!AJ794)</f>
        <v>1.22879896</v>
      </c>
      <c r="F794" s="7">
        <f>'Daily Returns'!AR793 * (1 +'Daily Returns'!AL794)</f>
        <v>1.22988364</v>
      </c>
      <c r="H794" s="7">
        <f>'Daily Returns'!AS793*(1+'Daily Returns'!AM794)</f>
        <v>1.295533411</v>
      </c>
      <c r="J794" s="5">
        <f>'Daily Returns'!AT793*(1+'Daily Returns'!AN794)</f>
        <v>1.313932712</v>
      </c>
      <c r="L794" s="5">
        <f>'Daily Returns'!AU793*(1+'Daily Returns'!AO794)</f>
        <v>1.296884092</v>
      </c>
    </row>
    <row r="795" ht="15.75" customHeight="1">
      <c r="A795" s="9">
        <v>44984.0</v>
      </c>
      <c r="B795" s="6">
        <f>'Daily Returns'!AP794*(1+'Daily Returns'!AK795)</f>
        <v>1.555957139</v>
      </c>
      <c r="D795" s="4">
        <f>'Daily Returns'!AQ794 * (1 + 'Daily Returns'!AJ795)</f>
        <v>1.232575059</v>
      </c>
      <c r="F795" s="7">
        <f>'Daily Returns'!AR794 * (1 +'Daily Returns'!AL795)</f>
        <v>1.213651726</v>
      </c>
      <c r="H795" s="7">
        <f>'Daily Returns'!AS794*(1+'Daily Returns'!AM795)</f>
        <v>1.281083668</v>
      </c>
      <c r="J795" s="5">
        <f>'Daily Returns'!AT794*(1+'Daily Returns'!AN795)</f>
        <v>1.312647324</v>
      </c>
      <c r="L795" s="5">
        <f>'Daily Returns'!AU794*(1+'Daily Returns'!AO795)</f>
        <v>1.297517208</v>
      </c>
    </row>
    <row r="796" ht="15.75" customHeight="1">
      <c r="A796" s="9">
        <v>44985.0</v>
      </c>
      <c r="B796" s="6">
        <f>'Daily Returns'!AP795*(1+'Daily Returns'!AK796)</f>
        <v>1.549471864</v>
      </c>
      <c r="D796" s="4">
        <f>'Daily Returns'!AQ795 * (1 + 'Daily Returns'!AJ796)</f>
        <v>1.228832961</v>
      </c>
      <c r="F796" s="7">
        <f>'Daily Returns'!AR795 * (1 +'Daily Returns'!AL796)</f>
        <v>1.22123368</v>
      </c>
      <c r="H796" s="7">
        <f>'Daily Returns'!AS795*(1+'Daily Returns'!AM796)</f>
        <v>1.285643329</v>
      </c>
      <c r="J796" s="5">
        <f>'Daily Returns'!AT795*(1+'Daily Returns'!AN796)</f>
        <v>1.314789522</v>
      </c>
      <c r="L796" s="5">
        <f>'Daily Returns'!AU795*(1+'Daily Returns'!AO796)</f>
        <v>1.298150325</v>
      </c>
    </row>
    <row r="797" ht="15.75" customHeight="1">
      <c r="A797" s="9">
        <v>44986.0</v>
      </c>
      <c r="B797" s="6">
        <f>'Daily Returns'!AP796*(1+'Daily Returns'!AK797)</f>
        <v>1.555608606</v>
      </c>
      <c r="D797" s="4">
        <f>'Daily Returns'!AQ796 * (1 + 'Daily Returns'!AJ797)</f>
        <v>1.223026725</v>
      </c>
      <c r="F797" s="7">
        <f>'Daily Returns'!AR796 * (1 +'Daily Returns'!AL797)</f>
        <v>1.217175827</v>
      </c>
      <c r="H797" s="7">
        <f>'Daily Returns'!AS796*(1+'Daily Returns'!AM797)</f>
        <v>1.281340419</v>
      </c>
      <c r="J797" s="5">
        <f>'Daily Returns'!AT796*(1+'Daily Returns'!AN797)</f>
        <v>1.31821676</v>
      </c>
      <c r="L797" s="5">
        <f>'Daily Returns'!AU796*(1+'Daily Returns'!AO797)</f>
        <v>1.301948764</v>
      </c>
    </row>
    <row r="798" ht="15.75" customHeight="1">
      <c r="A798" s="9">
        <v>44987.0</v>
      </c>
      <c r="B798" s="6">
        <f>'Daily Returns'!AP797*(1+'Daily Returns'!AK798)</f>
        <v>1.560784454</v>
      </c>
      <c r="D798" s="4">
        <f>'Daily Returns'!AQ797 * (1 + 'Daily Returns'!AJ798)</f>
        <v>1.232299714</v>
      </c>
      <c r="F798" s="7">
        <f>'Daily Returns'!AR797 * (1 +'Daily Returns'!AL798)</f>
        <v>1.215573986</v>
      </c>
      <c r="H798" s="7">
        <f>'Daily Returns'!AS797*(1+'Daily Returns'!AM798)</f>
        <v>1.284423154</v>
      </c>
      <c r="J798" s="5">
        <f>'Daily Returns'!AT797*(1+'Daily Returns'!AN798)</f>
        <v>1.31436103</v>
      </c>
      <c r="L798" s="5">
        <f>'Daily Returns'!AU797*(1+'Daily Returns'!AO798)</f>
        <v>1.299416299</v>
      </c>
    </row>
    <row r="799" ht="15.75" customHeight="1">
      <c r="A799" s="9">
        <v>44988.0</v>
      </c>
      <c r="B799" s="6">
        <f>'Daily Returns'!AP798*(1+'Daily Returns'!AK799)</f>
        <v>1.567609131</v>
      </c>
      <c r="D799" s="4">
        <f>'Daily Returns'!AQ798 * (1 + 'Daily Returns'!AJ799)</f>
        <v>1.25219889</v>
      </c>
      <c r="F799" s="7">
        <f>'Daily Returns'!AR798 * (1 +'Daily Returns'!AL799)</f>
        <v>1.222515186</v>
      </c>
      <c r="H799" s="7">
        <f>'Daily Returns'!AS798*(1+'Daily Returns'!AM799)</f>
        <v>1.286413988</v>
      </c>
      <c r="J799" s="5">
        <f>'Daily Returns'!AT798*(1+'Daily Returns'!AN799)</f>
        <v>1.316503141</v>
      </c>
      <c r="L799" s="5">
        <f>'Daily Returns'!AU798*(1+'Daily Returns'!AO799)</f>
        <v>1.301948764</v>
      </c>
    </row>
    <row r="800" ht="15.75" customHeight="1">
      <c r="A800" s="9">
        <v>44991.0</v>
      </c>
      <c r="B800" s="6">
        <f>'Daily Returns'!AP799*(1+'Daily Returns'!AK800)</f>
        <v>1.56105559</v>
      </c>
      <c r="D800" s="4">
        <f>'Daily Returns'!AQ799 * (1 + 'Daily Returns'!AJ800)</f>
        <v>1.25305915</v>
      </c>
      <c r="F800" s="7">
        <f>'Daily Returns'!AR799 * (1 +'Daily Returns'!AL800)</f>
        <v>1.241630364</v>
      </c>
      <c r="H800" s="7">
        <f>'Daily Returns'!AS799*(1+'Daily Returns'!AM800)</f>
        <v>1.307350139</v>
      </c>
      <c r="J800" s="5">
        <f>'Daily Returns'!AT799*(1+'Daily Returns'!AN800)</f>
        <v>1.322500808</v>
      </c>
      <c r="L800" s="5">
        <f>'Daily Returns'!AU799*(1+'Daily Returns'!AO800)</f>
        <v>1.307646683</v>
      </c>
    </row>
    <row r="801" ht="15.75" customHeight="1">
      <c r="A801" s="9">
        <v>44992.0</v>
      </c>
      <c r="B801" s="6">
        <f>'Daily Returns'!AP800*(1+'Daily Returns'!AK801)</f>
        <v>1.547624778</v>
      </c>
      <c r="D801" s="4">
        <f>'Daily Returns'!AQ800 * (1 + 'Daily Returns'!AJ801)</f>
        <v>1.233853513</v>
      </c>
      <c r="F801" s="7">
        <f>'Daily Returns'!AR800 * (1 +'Daily Returns'!AL801)</f>
        <v>1.241096445</v>
      </c>
      <c r="H801" s="7">
        <f>'Daily Returns'!AS800*(1+'Daily Returns'!AM801)</f>
        <v>1.305616056</v>
      </c>
      <c r="J801" s="5">
        <f>'Daily Returns'!AT800*(1+'Daily Returns'!AN801)</f>
        <v>1.337923555</v>
      </c>
      <c r="L801" s="5">
        <f>'Daily Returns'!AU800*(1+'Daily Returns'!AO801)</f>
        <v>1.322840829</v>
      </c>
    </row>
    <row r="802" ht="15.75" customHeight="1">
      <c r="A802" s="9">
        <v>44993.0</v>
      </c>
      <c r="B802" s="6">
        <f>'Daily Returns'!AP801*(1+'Daily Returns'!AK802)</f>
        <v>1.548406663</v>
      </c>
      <c r="D802" s="4">
        <f>'Daily Returns'!AQ801 * (1 + 'Daily Returns'!AJ802)</f>
        <v>1.235599415</v>
      </c>
      <c r="F802" s="7">
        <f>'Daily Returns'!AR801 * (1 +'Daily Returns'!AL802)</f>
        <v>1.221447264</v>
      </c>
      <c r="H802" s="7">
        <f>'Daily Returns'!AS801*(1+'Daily Returns'!AM802)</f>
        <v>1.286157135</v>
      </c>
      <c r="J802" s="5">
        <f>'Daily Returns'!AT801*(1+'Daily Returns'!AN802)</f>
        <v>1.334496316</v>
      </c>
      <c r="L802" s="5">
        <f>'Daily Returns'!AU801*(1+'Daily Returns'!AO802)</f>
        <v>1.319674989</v>
      </c>
    </row>
    <row r="803" ht="15.75" customHeight="1">
      <c r="A803" s="9">
        <v>44994.0</v>
      </c>
      <c r="B803" s="6">
        <f>'Daily Returns'!AP802*(1+'Daily Returns'!AK803)</f>
        <v>1.534418285</v>
      </c>
      <c r="D803" s="4">
        <f>'Daily Returns'!AQ802 * (1 + 'Daily Returns'!AJ803)</f>
        <v>1.212791486</v>
      </c>
      <c r="F803" s="7">
        <f>'Daily Returns'!AR802 * (1 +'Daily Returns'!AL803)</f>
        <v>1.224330612</v>
      </c>
      <c r="H803" s="7">
        <f>'Daily Returns'!AS802*(1+'Daily Returns'!AM803)</f>
        <v>1.287826827</v>
      </c>
      <c r="J803" s="5">
        <f>'Daily Returns'!AT802*(1+'Daily Returns'!AN803)</f>
        <v>1.317788181</v>
      </c>
      <c r="L803" s="5">
        <f>'Daily Returns'!AU802*(1+'Daily Returns'!AO803)</f>
        <v>1.304481101</v>
      </c>
    </row>
    <row r="804" ht="15.75" customHeight="1">
      <c r="A804" s="9">
        <v>44995.0</v>
      </c>
      <c r="B804" s="6">
        <f>'Daily Returns'!AP803*(1+'Daily Returns'!AK804)</f>
        <v>1.526757668</v>
      </c>
      <c r="D804" s="4">
        <f>'Daily Returns'!AQ803 * (1 + 'Daily Returns'!AJ804)</f>
        <v>1.195232691</v>
      </c>
      <c r="F804" s="7">
        <f>'Daily Returns'!AR803 * (1 +'Daily Returns'!AL804)</f>
        <v>1.2051086</v>
      </c>
      <c r="H804" s="7">
        <f>'Daily Returns'!AS803*(1+'Daily Returns'!AM804)</f>
        <v>1.262395405</v>
      </c>
      <c r="J804" s="5">
        <f>'Daily Returns'!AT803*(1+'Daily Returns'!AN804)</f>
        <v>1.322500808</v>
      </c>
      <c r="L804" s="5">
        <f>'Daily Returns'!AU803*(1+'Daily Returns'!AO804)</f>
        <v>1.309229344</v>
      </c>
    </row>
    <row r="805" ht="15.75" customHeight="1">
      <c r="A805" s="9">
        <v>44998.0</v>
      </c>
      <c r="B805" s="6">
        <f>'Daily Returns'!AP804*(1+'Daily Returns'!AK805)</f>
        <v>1.531412554</v>
      </c>
      <c r="D805" s="4">
        <f>'Daily Returns'!AQ804 * (1 + 'Daily Returns'!AJ805)</f>
        <v>1.193427889</v>
      </c>
      <c r="F805" s="7">
        <f>'Daily Returns'!AR804 * (1 +'Daily Returns'!AL805)</f>
        <v>1.188022433</v>
      </c>
      <c r="H805" s="7">
        <f>'Daily Returns'!AS804*(1+'Daily Returns'!AM805)</f>
        <v>1.241138011</v>
      </c>
      <c r="J805" s="5">
        <f>'Daily Returns'!AT804*(1+'Daily Returns'!AN805)</f>
        <v>1.306221339</v>
      </c>
      <c r="L805" s="5">
        <f>'Daily Returns'!AU804*(1+'Daily Returns'!AO805)</f>
        <v>1.292768836</v>
      </c>
    </row>
    <row r="806" ht="15.75" customHeight="1">
      <c r="A806" s="9">
        <v>44999.0</v>
      </c>
      <c r="B806" s="6">
        <f>'Daily Returns'!AP805*(1+'Daily Returns'!AK806)</f>
        <v>1.537646448</v>
      </c>
      <c r="D806" s="4">
        <f>'Daily Returns'!AQ805 * (1 + 'Daily Returns'!AJ806)</f>
        <v>1.213092001</v>
      </c>
      <c r="F806" s="7">
        <f>'Daily Returns'!AR805 * (1 +'Daily Returns'!AL806)</f>
        <v>1.18460525</v>
      </c>
      <c r="H806" s="7">
        <f>'Daily Returns'!AS805*(1+'Daily Returns'!AM806)</f>
        <v>1.236000457</v>
      </c>
      <c r="J806" s="5">
        <f>'Daily Returns'!AT805*(1+'Daily Returns'!AN806)</f>
        <v>1.286942863</v>
      </c>
      <c r="L806" s="5">
        <f>'Daily Returns'!AU805*(1+'Daily Returns'!AO806)</f>
        <v>1.272826704</v>
      </c>
    </row>
    <row r="807" ht="15.75" customHeight="1">
      <c r="A807" s="9">
        <v>45000.0</v>
      </c>
      <c r="B807" s="6">
        <f>'Daily Returns'!AP806*(1+'Daily Returns'!AK807)</f>
        <v>1.5264367</v>
      </c>
      <c r="D807" s="4">
        <f>'Daily Returns'!AQ806 * (1 + 'Daily Returns'!AJ807)</f>
        <v>1.204623405</v>
      </c>
      <c r="F807" s="7">
        <f>'Daily Returns'!AR806 * (1 +'Daily Returns'!AL807)</f>
        <v>1.202652505</v>
      </c>
      <c r="H807" s="7">
        <f>'Daily Returns'!AS806*(1+'Daily Returns'!AM807)</f>
        <v>1.258028307</v>
      </c>
      <c r="J807" s="5">
        <f>'Daily Returns'!AT806*(1+'Daily Returns'!AN807)</f>
        <v>1.273662053</v>
      </c>
      <c r="L807" s="5">
        <f>'Daily Returns'!AU806*(1+'Daily Returns'!AO807)</f>
        <v>1.26079788</v>
      </c>
    </row>
    <row r="808" ht="15.75" customHeight="1">
      <c r="A808" s="9">
        <v>45001.0</v>
      </c>
      <c r="B808" s="6">
        <f>'Daily Returns'!AP807*(1+'Daily Returns'!AK808)</f>
        <v>1.531893972</v>
      </c>
      <c r="D808" s="4">
        <f>'Daily Returns'!AQ807 * (1 + 'Daily Returns'!AJ808)</f>
        <v>1.225779002</v>
      </c>
      <c r="F808" s="7">
        <f>'Daily Returns'!AR807 * (1 +'Daily Returns'!AL808)</f>
        <v>1.185779922</v>
      </c>
      <c r="H808" s="7">
        <f>'Daily Returns'!AS807*(1+'Daily Returns'!AM808)</f>
        <v>1.24833089</v>
      </c>
      <c r="J808" s="5">
        <f>'Daily Returns'!AT807*(1+'Daily Returns'!AN808)</f>
        <v>1.280088299</v>
      </c>
      <c r="L808" s="5">
        <f>'Daily Returns'!AU807*(1+'Daily Returns'!AO808)</f>
        <v>1.266812227</v>
      </c>
    </row>
    <row r="809" ht="15.75" customHeight="1">
      <c r="A809" s="9">
        <v>45002.0</v>
      </c>
      <c r="B809" s="6">
        <f>'Daily Returns'!AP808*(1+'Daily Returns'!AK809)</f>
        <v>1.526056918</v>
      </c>
      <c r="D809" s="4">
        <f>'Daily Returns'!AQ808 * (1 + 'Daily Returns'!AJ809)</f>
        <v>1.212272143</v>
      </c>
      <c r="F809" s="7">
        <f>'Daily Returns'!AR808 * (1 +'Daily Returns'!AL809)</f>
        <v>1.205535853</v>
      </c>
      <c r="H809" s="7">
        <f>'Daily Returns'!AS808*(1+'Daily Returns'!AM809)</f>
        <v>1.269909324</v>
      </c>
      <c r="J809" s="5">
        <f>'Daily Returns'!AT808*(1+'Daily Returns'!AN809)</f>
        <v>1.260809823</v>
      </c>
      <c r="L809" s="5">
        <f>'Daily Returns'!AU808*(1+'Daily Returns'!AO809)</f>
        <v>1.248452628</v>
      </c>
    </row>
    <row r="810" ht="15.75" customHeight="1">
      <c r="A810" s="9">
        <v>45005.0</v>
      </c>
      <c r="B810" s="6">
        <f>'Daily Returns'!AP809*(1+'Daily Returns'!AK810)</f>
        <v>1.539899829</v>
      </c>
      <c r="D810" s="4">
        <f>'Daily Returns'!AQ809 * (1 + 'Daily Returns'!AJ810)</f>
        <v>1.223083186</v>
      </c>
      <c r="F810" s="7">
        <f>'Daily Returns'!AR809 * (1 +'Daily Returns'!AL810)</f>
        <v>1.19133295</v>
      </c>
      <c r="H810" s="7">
        <f>'Daily Returns'!AS809*(1+'Daily Returns'!AM810)</f>
        <v>1.253532935</v>
      </c>
      <c r="J810" s="5">
        <f>'Daily Returns'!AT809*(1+'Daily Returns'!AN810)</f>
        <v>1.272376926</v>
      </c>
      <c r="L810" s="5">
        <f>'Daily Returns'!AU809*(1+'Daily Returns'!AO810)</f>
        <v>1.259848335</v>
      </c>
    </row>
    <row r="811" ht="15.75" customHeight="1">
      <c r="A811" s="9">
        <v>45006.0</v>
      </c>
      <c r="B811" s="6">
        <f>'Daily Returns'!AP810*(1+'Daily Returns'!AK811)</f>
        <v>1.53615624</v>
      </c>
      <c r="D811" s="4">
        <f>'Daily Returns'!AQ810 * (1 + 'Daily Returns'!AJ811)</f>
        <v>1.238961252</v>
      </c>
      <c r="F811" s="7">
        <f>'Daily Returns'!AR810 * (1 +'Daily Returns'!AL811)</f>
        <v>1.204361097</v>
      </c>
      <c r="H811" s="7">
        <f>'Daily Returns'!AS810*(1+'Daily Returns'!AM811)</f>
        <v>1.264450325</v>
      </c>
      <c r="J811" s="5">
        <f>'Daily Returns'!AT810*(1+'Daily Returns'!AN811)</f>
        <v>1.261238227</v>
      </c>
      <c r="L811" s="5">
        <f>'Daily Returns'!AU810*(1+'Daily Returns'!AO811)</f>
        <v>1.248769186</v>
      </c>
    </row>
    <row r="812" ht="15.75" customHeight="1">
      <c r="A812" s="9">
        <v>45007.0</v>
      </c>
      <c r="B812" s="6">
        <f>'Daily Returns'!AP811*(1+'Daily Returns'!AK812)</f>
        <v>1.533056982</v>
      </c>
      <c r="D812" s="4">
        <f>'Daily Returns'!AQ811 * (1 + 'Daily Returns'!AJ812)</f>
        <v>1.218564233</v>
      </c>
      <c r="F812" s="7">
        <f>'Daily Returns'!AR811 * (1 +'Daily Returns'!AL812)</f>
        <v>1.221554014</v>
      </c>
      <c r="H812" s="7">
        <f>'Daily Returns'!AS811*(1+'Daily Returns'!AM812)</f>
        <v>1.282496508</v>
      </c>
      <c r="J812" s="5">
        <f>'Daily Returns'!AT811*(1+'Daily Returns'!AN812)</f>
        <v>1.269806497</v>
      </c>
      <c r="L812" s="5">
        <f>'Daily Returns'!AU811*(1+'Daily Returns'!AO812)</f>
        <v>1.258265544</v>
      </c>
    </row>
    <row r="813" ht="15.75" customHeight="1">
      <c r="A813" s="9">
        <v>45008.0</v>
      </c>
      <c r="B813" s="6">
        <f>'Daily Returns'!AP812*(1+'Daily Returns'!AK813)</f>
        <v>1.539750164</v>
      </c>
      <c r="D813" s="4">
        <f>'Daily Returns'!AQ812 * (1 + 'Daily Returns'!AJ813)</f>
        <v>1.222201647</v>
      </c>
      <c r="F813" s="7">
        <f>'Daily Returns'!AR812 * (1 +'Daily Returns'!AL813)</f>
        <v>1.205749438</v>
      </c>
      <c r="H813" s="7">
        <f>'Daily Returns'!AS812*(1+'Daily Returns'!AM813)</f>
        <v>1.259569523</v>
      </c>
      <c r="J813" s="5">
        <f>'Daily Returns'!AT812*(1+'Daily Returns'!AN813)</f>
        <v>1.279659807</v>
      </c>
      <c r="L813" s="5">
        <f>'Daily Returns'!AU812*(1+'Daily Returns'!AO813)</f>
        <v>1.266495798</v>
      </c>
    </row>
    <row r="814" ht="15.75" customHeight="1">
      <c r="A814" s="9">
        <v>45009.0</v>
      </c>
      <c r="B814" s="6">
        <f>'Daily Returns'!AP813*(1+'Daily Returns'!AK814)</f>
        <v>1.544960972</v>
      </c>
      <c r="D814" s="4">
        <f>'Daily Returns'!AQ813 * (1 + 'Daily Returns'!AJ814)</f>
        <v>1.229094864</v>
      </c>
      <c r="F814" s="7">
        <f>'Daily Returns'!AR813 * (1 +'Daily Returns'!AL814)</f>
        <v>1.207671529</v>
      </c>
      <c r="H814" s="7">
        <f>'Daily Returns'!AS813*(1+'Daily Returns'!AM814)</f>
        <v>1.261864894</v>
      </c>
      <c r="J814" s="5">
        <f>'Daily Returns'!AT813*(1+'Daily Returns'!AN814)</f>
        <v>1.270234902</v>
      </c>
      <c r="L814" s="5">
        <f>'Daily Returns'!AU813*(1+'Daily Returns'!AO814)</f>
        <v>1.259531906</v>
      </c>
    </row>
    <row r="815" ht="15.75" customHeight="1">
      <c r="A815" s="9">
        <v>45012.0</v>
      </c>
      <c r="B815" s="6">
        <f>'Daily Returns'!AP814*(1+'Daily Returns'!AK815)</f>
        <v>1.55257309</v>
      </c>
      <c r="D815" s="4">
        <f>'Daily Returns'!AQ814 * (1 + 'Daily Returns'!AJ815)</f>
        <v>1.231119183</v>
      </c>
      <c r="F815" s="7">
        <f>'Daily Returns'!AR814 * (1 +'Daily Returns'!AL815)</f>
        <v>1.211195631</v>
      </c>
      <c r="H815" s="7">
        <f>'Daily Returns'!AS814*(1+'Daily Returns'!AM815)</f>
        <v>1.269796034</v>
      </c>
      <c r="J815" s="5">
        <f>'Daily Returns'!AT814*(1+'Daily Returns'!AN815)</f>
        <v>1.26509387</v>
      </c>
      <c r="L815" s="5">
        <f>'Daily Returns'!AU814*(1+'Daily Returns'!AO815)</f>
        <v>1.254308696</v>
      </c>
    </row>
    <row r="816" ht="15.75" customHeight="1">
      <c r="A816" s="9">
        <v>45013.0</v>
      </c>
      <c r="B816" s="6">
        <f>'Daily Returns'!AP815*(1+'Daily Returns'!AK816)</f>
        <v>1.553527597</v>
      </c>
      <c r="D816" s="4">
        <f>'Daily Returns'!AQ815 * (1 + 'Daily Returns'!AJ816)</f>
        <v>1.229181402</v>
      </c>
      <c r="F816" s="7">
        <f>'Daily Returns'!AR815 * (1 +'Daily Returns'!AL816)</f>
        <v>1.216962159</v>
      </c>
      <c r="H816" s="7">
        <f>'Daily Returns'!AS815*(1+'Daily Returns'!AM816)</f>
        <v>1.273019901</v>
      </c>
      <c r="J816" s="5">
        <f>'Daily Returns'!AT815*(1+'Daily Returns'!AN816)</f>
        <v>1.268949688</v>
      </c>
      <c r="L816" s="5">
        <f>'Daily Returns'!AU815*(1+'Daily Returns'!AO816)</f>
        <v>1.257315999</v>
      </c>
    </row>
    <row r="817" ht="15.75" customHeight="1">
      <c r="A817" s="9">
        <v>45014.0</v>
      </c>
      <c r="B817" s="6">
        <f>'Daily Returns'!AP816*(1+'Daily Returns'!AK817)</f>
        <v>1.560830006</v>
      </c>
      <c r="D817" s="4">
        <f>'Daily Returns'!AQ816 * (1 + 'Daily Returns'!AJ817)</f>
        <v>1.246681257</v>
      </c>
      <c r="F817" s="7">
        <f>'Daily Returns'!AR816 * (1 +'Daily Returns'!AL817)</f>
        <v>1.216001155</v>
      </c>
      <c r="H817" s="7">
        <f>'Daily Returns'!AS816*(1+'Daily Returns'!AM817)</f>
        <v>1.271214442</v>
      </c>
      <c r="J817" s="5">
        <f>'Daily Returns'!AT816*(1+'Daily Returns'!AN817)</f>
        <v>1.277946188</v>
      </c>
      <c r="L817" s="5">
        <f>'Daily Returns'!AU816*(1+'Daily Returns'!AO817)</f>
        <v>1.264913008</v>
      </c>
    </row>
    <row r="818" ht="15.75" customHeight="1">
      <c r="A818" s="9">
        <v>45015.0</v>
      </c>
      <c r="B818" s="6">
        <f>'Daily Returns'!AP817*(1+'Daily Returns'!AK818)</f>
        <v>1.566805951</v>
      </c>
      <c r="D818" s="4">
        <f>'Daily Returns'!AQ817 * (1 + 'Daily Returns'!AJ818)</f>
        <v>1.253806041</v>
      </c>
      <c r="F818" s="7">
        <f>'Daily Returns'!AR817 * (1 +'Daily Returns'!AL818)</f>
        <v>1.232446485</v>
      </c>
      <c r="H818" s="7">
        <f>'Daily Returns'!AS817*(1+'Daily Returns'!AM818)</f>
        <v>1.28952669</v>
      </c>
      <c r="J818" s="5">
        <f>'Daily Returns'!AT817*(1+'Daily Returns'!AN818)</f>
        <v>1.27923149</v>
      </c>
      <c r="L818" s="5">
        <f>'Daily Returns'!AU817*(1+'Daily Returns'!AO818)</f>
        <v>1.266812227</v>
      </c>
    </row>
    <row r="819" ht="15.75" customHeight="1">
      <c r="A819" s="9">
        <v>45016.0</v>
      </c>
      <c r="B819" s="6">
        <f>'Daily Returns'!AP818*(1+'Daily Returns'!AK819)</f>
        <v>1.569186775</v>
      </c>
      <c r="D819" s="4">
        <f>'Daily Returns'!AQ818 * (1 + 'Daily Returns'!AJ819)</f>
        <v>1.271907239</v>
      </c>
      <c r="F819" s="7">
        <f>'Daily Returns'!AR818 * (1 +'Daily Returns'!AL819)</f>
        <v>1.241416696</v>
      </c>
      <c r="H819" s="7">
        <f>'Daily Returns'!AS818*(1+'Daily Returns'!AM819)</f>
        <v>1.296490558</v>
      </c>
      <c r="J819" s="5">
        <f>'Daily Returns'!AT818*(1+'Daily Returns'!AN819)</f>
        <v>1.291226824</v>
      </c>
      <c r="L819" s="5">
        <f>'Daily Returns'!AU818*(1+'Daily Returns'!AO819)</f>
        <v>1.278841051</v>
      </c>
    </row>
    <row r="820" ht="15.75" customHeight="1">
      <c r="A820" s="9">
        <v>45019.0</v>
      </c>
      <c r="B820" s="6">
        <f>'Daily Returns'!AP819*(1+'Daily Returns'!AK820)</f>
        <v>1.576838375</v>
      </c>
      <c r="D820" s="4">
        <f>'Daily Returns'!AQ819 * (1 + 'Daily Returns'!AJ820)</f>
        <v>1.276612023</v>
      </c>
      <c r="F820" s="7">
        <f>'Daily Returns'!AR819 * (1 +'Daily Returns'!AL820)</f>
        <v>1.256580771</v>
      </c>
      <c r="H820" s="7">
        <f>'Daily Returns'!AS819*(1+'Daily Returns'!AM820)</f>
        <v>1.316027841</v>
      </c>
      <c r="J820" s="5">
        <f>'Daily Returns'!AT819*(1+'Daily Returns'!AN820)</f>
        <v>1.298509792</v>
      </c>
      <c r="L820" s="5">
        <f>'Daily Returns'!AU819*(1+'Daily Returns'!AO820)</f>
        <v>1.286754489</v>
      </c>
    </row>
    <row r="821" ht="15.75" customHeight="1">
      <c r="A821" s="9">
        <v>45020.0</v>
      </c>
      <c r="B821" s="6">
        <f>'Daily Returns'!AP820*(1+'Daily Returns'!AK821)</f>
        <v>1.575644199</v>
      </c>
      <c r="D821" s="4">
        <f>'Daily Returns'!AQ820 * (1 + 'Daily Returns'!AJ821)</f>
        <v>1.269211504</v>
      </c>
      <c r="F821" s="7">
        <f>'Daily Returns'!AR820 * (1 +'Daily Returns'!AL821)</f>
        <v>1.262454133</v>
      </c>
      <c r="H821" s="7">
        <f>'Daily Returns'!AS820*(1+'Daily Returns'!AM821)</f>
        <v>1.319509877</v>
      </c>
      <c r="J821" s="5">
        <f>'Daily Returns'!AT820*(1+'Daily Returns'!AN821)</f>
        <v>1.307506554</v>
      </c>
      <c r="L821" s="5">
        <f>'Daily Returns'!AU820*(1+'Daily Returns'!AO821)</f>
        <v>1.296838223</v>
      </c>
    </row>
    <row r="822" ht="15.75" customHeight="1">
      <c r="A822" s="9">
        <v>45021.0</v>
      </c>
      <c r="B822" s="6">
        <f>'Daily Returns'!AP821*(1+'Daily Returns'!AK822)</f>
        <v>1.581072554</v>
      </c>
      <c r="D822" s="4">
        <f>'Daily Returns'!AQ821 * (1 + 'Daily Returns'!AJ822)</f>
        <v>1.266048628</v>
      </c>
      <c r="F822" s="7">
        <f>'Daily Returns'!AR821 * (1 +'Daily Returns'!AL822)</f>
        <v>1.257648609</v>
      </c>
      <c r="H822" s="7">
        <f>'Daily Returns'!AS821*(1+'Daily Returns'!AM822)</f>
        <v>1.310676058</v>
      </c>
      <c r="J822" s="5">
        <f>'Daily Returns'!AT821*(1+'Daily Returns'!AN822)</f>
        <v>1.322500808</v>
      </c>
      <c r="L822" s="5">
        <f>'Daily Returns'!AU821*(1+'Daily Returns'!AO822)</f>
        <v>1.310240651</v>
      </c>
    </row>
    <row r="823" ht="15.75" customHeight="1">
      <c r="A823" s="9">
        <v>45022.0</v>
      </c>
      <c r="B823" s="6">
        <f>'Daily Returns'!AP822*(1+'Daily Returns'!AK823)</f>
        <v>1.58055069</v>
      </c>
      <c r="D823" s="4">
        <f>'Daily Returns'!AQ822 * (1 + 'Daily Returns'!AJ823)</f>
        <v>1.270579817</v>
      </c>
      <c r="F823" s="7">
        <f>'Daily Returns'!AR822 * (1 +'Daily Returns'!AL823)</f>
        <v>1.252202332</v>
      </c>
      <c r="H823" s="7">
        <f>'Daily Returns'!AS822*(1+'Daily Returns'!AM823)</f>
        <v>1.305904496</v>
      </c>
      <c r="J823" s="5">
        <f>'Daily Returns'!AT822*(1+'Daily Returns'!AN823)</f>
        <v>1.324214427</v>
      </c>
      <c r="L823" s="5">
        <f>'Daily Returns'!AU822*(1+'Daily Returns'!AO823)</f>
        <v>1.309602625</v>
      </c>
    </row>
    <row r="824" ht="15.75" customHeight="1">
      <c r="A824" s="9">
        <v>45026.0</v>
      </c>
      <c r="B824" s="6">
        <f>'Daily Returns'!AP823*(1+'Daily Returns'!AK824)</f>
        <v>1.580209004</v>
      </c>
      <c r="D824" s="4">
        <f>'Daily Returns'!AQ823 * (1 + 'Daily Returns'!AJ824)</f>
        <v>1.271845314</v>
      </c>
      <c r="F824" s="7">
        <f>'Daily Returns'!AR823 * (1 +'Daily Returns'!AL824)</f>
        <v>1.256687521</v>
      </c>
      <c r="H824" s="7">
        <f>'Daily Returns'!AS823*(1+'Daily Returns'!AM824)</f>
        <v>1.310224618</v>
      </c>
      <c r="J824" s="5">
        <f>'Daily Returns'!AT823*(1+'Daily Returns'!AN824)</f>
        <v>1.317788181</v>
      </c>
      <c r="L824" s="5">
        <f>'Daily Returns'!AU823*(1+'Daily Returns'!AO824)</f>
        <v>1.303539308</v>
      </c>
    </row>
    <row r="825" ht="15.75" customHeight="1">
      <c r="A825" s="9">
        <v>45027.0</v>
      </c>
      <c r="B825" s="6">
        <f>'Daily Returns'!AP824*(1+'Daily Returns'!AK825)</f>
        <v>1.59325646</v>
      </c>
      <c r="D825" s="4">
        <f>'Daily Returns'!AQ824 * (1 + 'Daily Returns'!AJ825)</f>
        <v>1.271793168</v>
      </c>
      <c r="F825" s="7">
        <f>'Daily Returns'!AR824 * (1 +'Daily Returns'!AL825)</f>
        <v>1.257862194</v>
      </c>
      <c r="H825" s="7">
        <f>'Daily Returns'!AS824*(1+'Daily Returns'!AM825)</f>
        <v>1.313190721</v>
      </c>
      <c r="J825" s="5">
        <f>'Daily Returns'!AT824*(1+'Daily Returns'!AN825)</f>
        <v>1.320787189</v>
      </c>
      <c r="L825" s="5">
        <f>'Daily Returns'!AU824*(1+'Daily Returns'!AO825)</f>
        <v>1.305773046</v>
      </c>
    </row>
    <row r="826" ht="15.75" customHeight="1">
      <c r="A826" s="9">
        <v>45028.0</v>
      </c>
      <c r="B826" s="6">
        <f>'Daily Returns'!AP825*(1+'Daily Returns'!AK826)</f>
        <v>1.598949174</v>
      </c>
      <c r="D826" s="4">
        <f>'Daily Returns'!AQ825 * (1 + 'Daily Returns'!AJ826)</f>
        <v>1.266534304</v>
      </c>
      <c r="F826" s="7">
        <f>'Daily Returns'!AR825 * (1 +'Daily Returns'!AL826)</f>
        <v>1.259464035</v>
      </c>
      <c r="H826" s="7">
        <f>'Daily Returns'!AS825*(1+'Daily Returns'!AM826)</f>
        <v>1.31454484</v>
      </c>
      <c r="J826" s="5">
        <f>'Daily Returns'!AT825*(1+'Daily Returns'!AN826)</f>
        <v>1.324214427</v>
      </c>
      <c r="L826" s="5">
        <f>'Daily Returns'!AU825*(1+'Daily Returns'!AO826)</f>
        <v>1.309921379</v>
      </c>
    </row>
    <row r="827" ht="15.75" customHeight="1">
      <c r="A827" s="9">
        <v>45029.0</v>
      </c>
      <c r="B827" s="6">
        <f>'Daily Returns'!AP826*(1+'Daily Returns'!AK827)</f>
        <v>1.612280519</v>
      </c>
      <c r="D827" s="4">
        <f>'Daily Returns'!AQ826 * (1 + 'Daily Returns'!AJ827)</f>
        <v>1.283332348</v>
      </c>
      <c r="F827" s="7">
        <f>'Daily Returns'!AR826 * (1 +'Daily Returns'!AL827)</f>
        <v>1.258396113</v>
      </c>
      <c r="H827" s="7">
        <f>'Daily Returns'!AS826*(1+'Daily Returns'!AM827)</f>
        <v>1.308999583</v>
      </c>
      <c r="J827" s="5">
        <f>'Daily Returns'!AT826*(1+'Daily Returns'!AN827)</f>
        <v>1.334496316</v>
      </c>
      <c r="L827" s="5">
        <f>'Daily Returns'!AU826*(1+'Daily Returns'!AO827)</f>
        <v>1.319813758</v>
      </c>
    </row>
    <row r="828" ht="15.75" customHeight="1">
      <c r="A828" s="9">
        <v>45030.0</v>
      </c>
      <c r="B828" s="6">
        <f>'Daily Returns'!AP827*(1+'Daily Returns'!AK828)</f>
        <v>1.608185012</v>
      </c>
      <c r="D828" s="4">
        <f>'Daily Returns'!AQ827 * (1 + 'Daily Returns'!AJ828)</f>
        <v>1.280677133</v>
      </c>
      <c r="F828" s="7">
        <f>'Daily Returns'!AR827 * (1 +'Daily Returns'!AL828)</f>
        <v>1.275268696</v>
      </c>
      <c r="H828" s="7">
        <f>'Daily Returns'!AS827*(1+'Daily Returns'!AM828)</f>
        <v>1.326022102</v>
      </c>
      <c r="J828" s="5">
        <f>'Daily Returns'!AT827*(1+'Daily Returns'!AN828)</f>
        <v>1.33663834</v>
      </c>
      <c r="L828" s="5">
        <f>'Daily Returns'!AU827*(1+'Daily Returns'!AO828)</f>
        <v>1.322047496</v>
      </c>
    </row>
    <row r="829" ht="15.75" customHeight="1">
      <c r="A829" s="9">
        <v>45033.0</v>
      </c>
      <c r="B829" s="6">
        <f>'Daily Returns'!AP828*(1+'Daily Returns'!AK829)</f>
        <v>1.603195048</v>
      </c>
      <c r="D829" s="4">
        <f>'Daily Returns'!AQ828 * (1 + 'Daily Returns'!AJ829)</f>
        <v>1.284911052</v>
      </c>
      <c r="F829" s="7">
        <f>'Daily Returns'!AR828 * (1 +'Daily Returns'!AL829)</f>
        <v>1.272278682</v>
      </c>
      <c r="H829" s="7">
        <f>'Daily Returns'!AS828*(1+'Daily Returns'!AM829)</f>
        <v>1.322346794</v>
      </c>
      <c r="J829" s="5">
        <f>'Daily Returns'!AT828*(1+'Daily Returns'!AN829)</f>
        <v>1.343921309</v>
      </c>
      <c r="L829" s="5">
        <f>'Daily Returns'!AU828*(1+'Daily Returns'!AO829)</f>
        <v>1.328429696</v>
      </c>
    </row>
    <row r="830" ht="15.75" customHeight="1">
      <c r="A830" s="9">
        <v>45034.0</v>
      </c>
      <c r="B830" s="6">
        <f>'Daily Returns'!AP829*(1+'Daily Returns'!AK830)</f>
        <v>1.605727729</v>
      </c>
      <c r="D830" s="4">
        <f>'Daily Returns'!AQ829 * (1 + 'Daily Returns'!AJ830)</f>
        <v>1.286009651</v>
      </c>
      <c r="F830" s="7">
        <f>'Daily Returns'!AR829 * (1 +'Daily Returns'!AL830)</f>
        <v>1.274094023</v>
      </c>
      <c r="H830" s="7">
        <f>'Daily Returns'!AS829*(1+'Daily Returns'!AM830)</f>
        <v>1.327633985</v>
      </c>
      <c r="J830" s="5">
        <f>'Daily Returns'!AT829*(1+'Daily Returns'!AN830)</f>
        <v>1.345634928</v>
      </c>
      <c r="L830" s="5">
        <f>'Daily Returns'!AU829*(1+'Daily Returns'!AO830)</f>
        <v>1.33002515</v>
      </c>
    </row>
    <row r="831" ht="15.75" customHeight="1">
      <c r="A831" s="9">
        <v>45035.0</v>
      </c>
      <c r="B831" s="6">
        <f>'Daily Returns'!AP830*(1+'Daily Returns'!AK831)</f>
        <v>1.594300155</v>
      </c>
      <c r="D831" s="4">
        <f>'Daily Returns'!AQ830 * (1 + 'Daily Returns'!AJ831)</f>
        <v>1.285901626</v>
      </c>
      <c r="F831" s="7">
        <f>'Daily Returns'!AR830 * (1 +'Daily Returns'!AL831)</f>
        <v>1.277404541</v>
      </c>
      <c r="H831" s="7">
        <f>'Daily Returns'!AS830*(1+'Daily Returns'!AM831)</f>
        <v>1.328279001</v>
      </c>
      <c r="J831" s="5">
        <f>'Daily Returns'!AT830*(1+'Daily Returns'!AN831)</f>
        <v>1.350775959</v>
      </c>
      <c r="L831" s="5">
        <f>'Daily Returns'!AU830*(1+'Daily Returns'!AO831)</f>
        <v>1.334173483</v>
      </c>
    </row>
    <row r="832" ht="15.75" customHeight="1">
      <c r="A832" s="9">
        <v>45036.0</v>
      </c>
      <c r="B832" s="6">
        <f>'Daily Returns'!AP831*(1+'Daily Returns'!AK832)</f>
        <v>1.586561087</v>
      </c>
      <c r="D832" s="4">
        <f>'Daily Returns'!AQ831 * (1 + 'Daily Returns'!AJ832)</f>
        <v>1.278246654</v>
      </c>
      <c r="F832" s="7">
        <f>'Daily Returns'!AR831 * (1 +'Daily Returns'!AL832)</f>
        <v>1.27548228</v>
      </c>
      <c r="H832" s="7">
        <f>'Daily Returns'!AS831*(1+'Daily Returns'!AM832)</f>
        <v>1.328923815</v>
      </c>
      <c r="J832" s="5">
        <f>'Daily Returns'!AT831*(1+'Daily Returns'!AN832)</f>
        <v>1.353346301</v>
      </c>
      <c r="L832" s="5">
        <f>'Daily Returns'!AU831*(1+'Daily Returns'!AO832)</f>
        <v>1.336726105</v>
      </c>
    </row>
    <row r="833" ht="15.75" customHeight="1">
      <c r="A833" s="9">
        <v>45037.0</v>
      </c>
      <c r="B833" s="6">
        <f>'Daily Returns'!AP832*(1+'Daily Returns'!AK833)</f>
        <v>1.57695373</v>
      </c>
      <c r="D833" s="4">
        <f>'Daily Returns'!AQ832 * (1 + 'Daily Returns'!AJ833)</f>
        <v>1.279400911</v>
      </c>
      <c r="F833" s="7">
        <f>'Daily Returns'!AR832 * (1 +'Daily Returns'!AL833)</f>
        <v>1.27046334</v>
      </c>
      <c r="H833" s="7">
        <f>'Daily Returns'!AS832*(1+'Daily Returns'!AM833)</f>
        <v>1.32067042</v>
      </c>
      <c r="J833" s="5">
        <f>'Daily Returns'!AT832*(1+'Daily Returns'!AN833)</f>
        <v>1.353774793</v>
      </c>
      <c r="L833" s="5">
        <f>'Daily Returns'!AU832*(1+'Daily Returns'!AO833)</f>
        <v>1.336407092</v>
      </c>
    </row>
    <row r="834" ht="15.75" customHeight="1">
      <c r="A834" s="9">
        <v>45040.0</v>
      </c>
      <c r="B834" s="6">
        <f>'Daily Returns'!AP833*(1+'Daily Returns'!AK834)</f>
        <v>1.580387196</v>
      </c>
      <c r="D834" s="4">
        <f>'Daily Returns'!AQ833 * (1 + 'Daily Returns'!AJ834)</f>
        <v>1.28049096</v>
      </c>
      <c r="F834" s="7">
        <f>'Daily Returns'!AR833 * (1 +'Daily Returns'!AL834)</f>
        <v>1.27313302</v>
      </c>
      <c r="H834" s="7">
        <f>'Daily Returns'!AS833*(1+'Daily Returns'!AM834)</f>
        <v>1.321830964</v>
      </c>
      <c r="J834" s="5">
        <f>'Daily Returns'!AT833*(1+'Daily Returns'!AN834)</f>
        <v>1.351204364</v>
      </c>
      <c r="L834" s="5">
        <f>'Daily Returns'!AU833*(1+'Daily Returns'!AO834)</f>
        <v>1.333216185</v>
      </c>
    </row>
    <row r="835" ht="15.75" customHeight="1">
      <c r="A835" s="9">
        <v>45041.0</v>
      </c>
      <c r="B835" s="6">
        <f>'Daily Returns'!AP834*(1+'Daily Returns'!AK835)</f>
        <v>1.565346262</v>
      </c>
      <c r="D835" s="4">
        <f>'Daily Returns'!AQ834 * (1 + 'Daily Returns'!AJ835)</f>
        <v>1.260245118</v>
      </c>
      <c r="F835" s="7">
        <f>'Daily Returns'!AR834 * (1 +'Daily Returns'!AL835)</f>
        <v>1.274628027</v>
      </c>
      <c r="H835" s="7">
        <f>'Daily Returns'!AS834*(1+'Daily Returns'!AM835)</f>
        <v>1.322346794</v>
      </c>
      <c r="J835" s="5">
        <f>'Daily Returns'!AT834*(1+'Daily Returns'!AN835)</f>
        <v>1.355488325</v>
      </c>
      <c r="L835" s="5">
        <f>'Daily Returns'!AU834*(1+'Daily Returns'!AO835)</f>
        <v>1.337683661</v>
      </c>
    </row>
    <row r="836" ht="15.75" customHeight="1">
      <c r="A836" s="9">
        <v>45042.0</v>
      </c>
      <c r="B836" s="6">
        <f>'Daily Returns'!AP835*(1+'Daily Returns'!AK836)</f>
        <v>1.566343613</v>
      </c>
      <c r="D836" s="4">
        <f>'Daily Returns'!AQ835 * (1 + 'Daily Returns'!AJ836)</f>
        <v>1.255404516</v>
      </c>
      <c r="F836" s="7">
        <f>'Daily Returns'!AR835 * (1 +'Daily Returns'!AL836)</f>
        <v>1.254658595</v>
      </c>
      <c r="H836" s="7">
        <f>'Daily Returns'!AS835*(1+'Daily Returns'!AM836)</f>
        <v>1.300294849</v>
      </c>
      <c r="J836" s="5">
        <f>'Daily Returns'!AT835*(1+'Daily Returns'!AN836)</f>
        <v>1.355488325</v>
      </c>
      <c r="L836" s="5">
        <f>'Daily Returns'!AU835*(1+'Daily Returns'!AO836)</f>
        <v>1.337683661</v>
      </c>
    </row>
    <row r="837" ht="15.75" customHeight="1">
      <c r="A837" s="9">
        <v>45043.0</v>
      </c>
      <c r="B837" s="6">
        <f>'Daily Returns'!AP836*(1+'Daily Returns'!AK837)</f>
        <v>1.566914395</v>
      </c>
      <c r="D837" s="4">
        <f>'Daily Returns'!AQ836 * (1 + 'Daily Returns'!AJ837)</f>
        <v>1.279967761</v>
      </c>
      <c r="F837" s="7">
        <f>'Daily Returns'!AR836 * (1 +'Daily Returns'!AL837)</f>
        <v>1.250600575</v>
      </c>
      <c r="H837" s="7">
        <f>'Daily Returns'!AS836*(1+'Daily Returns'!AM837)</f>
        <v>1.294427235</v>
      </c>
      <c r="J837" s="5">
        <f>'Daily Returns'!AT836*(1+'Daily Returns'!AN837)</f>
        <v>1.339208943</v>
      </c>
      <c r="L837" s="5">
        <f>'Daily Returns'!AU836*(1+'Daily Returns'!AO837)</f>
        <v>1.321728353</v>
      </c>
    </row>
    <row r="838" ht="15.75" customHeight="1">
      <c r="A838" s="9">
        <v>45044.0</v>
      </c>
      <c r="B838" s="6">
        <f>'Daily Returns'!AP837*(1+'Daily Returns'!AK838)</f>
        <v>1.578966966</v>
      </c>
      <c r="D838" s="4">
        <f>'Daily Returns'!AQ837 * (1 + 'Daily Returns'!AJ838)</f>
        <v>1.290531335</v>
      </c>
      <c r="F838" s="7">
        <f>'Daily Returns'!AR837 * (1 +'Daily Returns'!AL838)</f>
        <v>1.272705851</v>
      </c>
      <c r="H838" s="7">
        <f>'Daily Returns'!AS837*(1+'Daily Returns'!AM838)</f>
        <v>1.318735979</v>
      </c>
      <c r="J838" s="5">
        <f>'Daily Returns'!AT837*(1+'Daily Returns'!AN838)</f>
        <v>1.335781444</v>
      </c>
      <c r="L838" s="5">
        <f>'Daily Returns'!AU837*(1+'Daily Returns'!AO838)</f>
        <v>1.317260748</v>
      </c>
    </row>
    <row r="839" ht="15.75" customHeight="1">
      <c r="A839" s="9">
        <v>45047.0</v>
      </c>
      <c r="B839" s="6">
        <f>'Daily Returns'!AP838*(1+'Daily Returns'!AK839)</f>
        <v>1.583020648</v>
      </c>
      <c r="D839" s="4">
        <f>'Daily Returns'!AQ838 * (1 + 'Daily Returns'!AJ839)</f>
        <v>1.29003319</v>
      </c>
      <c r="F839" s="7">
        <f>'Daily Returns'!AR838 * (1 +'Daily Returns'!AL839)</f>
        <v>1.279219798</v>
      </c>
      <c r="H839" s="7">
        <f>'Daily Returns'!AS838*(1+'Daily Returns'!AM839)</f>
        <v>1.33021324</v>
      </c>
      <c r="J839" s="5">
        <f>'Daily Returns'!AT838*(1+'Daily Returns'!AN839)</f>
        <v>1.347348547</v>
      </c>
      <c r="L839" s="5">
        <f>'Daily Returns'!AU838*(1+'Daily Returns'!AO839)</f>
        <v>1.328429696</v>
      </c>
    </row>
    <row r="840" ht="15.75" customHeight="1">
      <c r="A840" s="9">
        <v>45048.0</v>
      </c>
      <c r="B840" s="6">
        <f>'Daily Returns'!AP839*(1+'Daily Returns'!AK840)</f>
        <v>1.572633805</v>
      </c>
      <c r="D840" s="4">
        <f>'Daily Returns'!AQ839 * (1 + 'Daily Returns'!AJ840)</f>
        <v>1.275086865</v>
      </c>
      <c r="F840" s="7">
        <f>'Daily Returns'!AR839 * (1 +'Daily Returns'!AL840)</f>
        <v>1.27793846</v>
      </c>
      <c r="H840" s="7">
        <f>'Daily Returns'!AS839*(1+'Daily Returns'!AM840)</f>
        <v>1.329568527</v>
      </c>
      <c r="J840" s="5">
        <f>'Daily Returns'!AT839*(1+'Daily Returns'!AN840)</f>
        <v>1.354203198</v>
      </c>
      <c r="L840" s="5">
        <f>'Daily Returns'!AU839*(1+'Daily Returns'!AO840)</f>
        <v>1.335449665</v>
      </c>
    </row>
    <row r="841" ht="15.75" customHeight="1">
      <c r="A841" s="9">
        <v>45049.0</v>
      </c>
      <c r="B841" s="6">
        <f>'Daily Returns'!AP840*(1+'Daily Returns'!AK841)</f>
        <v>1.567717199</v>
      </c>
      <c r="D841" s="4">
        <f>'Daily Returns'!AQ840 * (1 + 'Daily Returns'!AJ841)</f>
        <v>1.266163807</v>
      </c>
      <c r="F841" s="7">
        <f>'Daily Returns'!AR840 * (1 +'Daily Returns'!AL841)</f>
        <v>1.264055975</v>
      </c>
      <c r="H841" s="7">
        <f>'Daily Returns'!AS840*(1+'Daily Returns'!AM841)</f>
        <v>1.313319704</v>
      </c>
      <c r="J841" s="5">
        <f>'Daily Returns'!AT840*(1+'Daily Returns'!AN841)</f>
        <v>1.352489491</v>
      </c>
      <c r="L841" s="5">
        <f>'Daily Returns'!AU840*(1+'Daily Returns'!AO841)</f>
        <v>1.334173483</v>
      </c>
    </row>
    <row r="842" ht="15.75" customHeight="1">
      <c r="A842" s="9">
        <v>45050.0</v>
      </c>
      <c r="B842" s="6">
        <f>'Daily Returns'!AP841*(1+'Daily Returns'!AK842)</f>
        <v>1.56691197</v>
      </c>
      <c r="D842" s="4">
        <f>'Daily Returns'!AQ841 * (1 + 'Daily Returns'!AJ842)</f>
        <v>1.257023371</v>
      </c>
      <c r="F842" s="7">
        <f>'Daily Returns'!AR841 * (1 +'Daily Returns'!AL842)</f>
        <v>1.258609697</v>
      </c>
      <c r="H842" s="7">
        <f>'Daily Returns'!AS841*(1+'Daily Returns'!AM842)</f>
        <v>1.305646733</v>
      </c>
      <c r="J842" s="5">
        <f>'Daily Returns'!AT841*(1+'Daily Returns'!AN842)</f>
        <v>1.337923555</v>
      </c>
      <c r="L842" s="5">
        <f>'Daily Returns'!AU841*(1+'Daily Returns'!AO842)</f>
        <v>1.321090198</v>
      </c>
    </row>
    <row r="843" ht="15.75" customHeight="1">
      <c r="A843" s="9">
        <v>45051.0</v>
      </c>
      <c r="B843" s="6">
        <f>'Daily Returns'!AP842*(1+'Daily Returns'!AK843)</f>
        <v>1.584262686</v>
      </c>
      <c r="D843" s="4">
        <f>'Daily Returns'!AQ842 * (1 + 'Daily Returns'!AJ843)</f>
        <v>1.280246877</v>
      </c>
      <c r="F843" s="7">
        <f>'Daily Returns'!AR842 * (1 +'Daily Returns'!AL843)</f>
        <v>1.252522751</v>
      </c>
      <c r="H843" s="7">
        <f>'Daily Returns'!AS842*(1+'Daily Returns'!AM843)</f>
        <v>1.295910236</v>
      </c>
      <c r="J843" s="5">
        <f>'Daily Returns'!AT842*(1+'Daily Returns'!AN843)</f>
        <v>1.334924547</v>
      </c>
      <c r="L843" s="5">
        <f>'Daily Returns'!AU842*(1+'Daily Returns'!AO843)</f>
        <v>1.316941864</v>
      </c>
    </row>
    <row r="844" ht="15.75" customHeight="1">
      <c r="A844" s="9">
        <v>45054.0</v>
      </c>
      <c r="B844" s="6">
        <f>'Daily Returns'!AP843*(1+'Daily Returns'!AK844)</f>
        <v>1.583787672</v>
      </c>
      <c r="D844" s="4">
        <f>'Daily Returns'!AQ843 * (1 + 'Daily Returns'!AJ844)</f>
        <v>1.280825549</v>
      </c>
      <c r="F844" s="7">
        <f>'Daily Returns'!AR843 * (1 +'Daily Returns'!AL844)</f>
        <v>1.274521192</v>
      </c>
      <c r="H844" s="7">
        <f>'Daily Returns'!AS843*(1+'Daily Returns'!AM844)</f>
        <v>1.31983203</v>
      </c>
      <c r="J844" s="5">
        <f>'Daily Returns'!AT843*(1+'Daily Returns'!AN844)</f>
        <v>1.328926967</v>
      </c>
      <c r="L844" s="5">
        <f>'Daily Returns'!AU843*(1+'Daily Returns'!AO844)</f>
        <v>1.309602625</v>
      </c>
    </row>
    <row r="845" ht="15.75" customHeight="1">
      <c r="A845" s="9">
        <v>45055.0</v>
      </c>
      <c r="B845" s="6">
        <f>'Daily Returns'!AP844*(1+'Daily Returns'!AK845)</f>
        <v>1.584865222</v>
      </c>
      <c r="D845" s="4">
        <f>'Daily Returns'!AQ844 * (1 + 'Daily Returns'!AJ845)</f>
        <v>1.274960649</v>
      </c>
      <c r="F845" s="7">
        <f>'Daily Returns'!AR844 * (1 +'Daily Returns'!AL845)</f>
        <v>1.275055111</v>
      </c>
      <c r="H845" s="7">
        <f>'Daily Returns'!AS844*(1+'Daily Returns'!AM845)</f>
        <v>1.321250641</v>
      </c>
      <c r="J845" s="5">
        <f>'Daily Returns'!AT844*(1+'Daily Returns'!AN845)</f>
        <v>1.348205356</v>
      </c>
      <c r="L845" s="5">
        <f>'Daily Returns'!AU844*(1+'Daily Returns'!AO845)</f>
        <v>1.329386865</v>
      </c>
    </row>
    <row r="846" ht="15.75" customHeight="1">
      <c r="A846" s="9">
        <v>45056.0</v>
      </c>
      <c r="B846" s="6">
        <f>'Daily Returns'!AP845*(1+'Daily Returns'!AK846)</f>
        <v>1.588473521</v>
      </c>
      <c r="D846" s="4">
        <f>'Daily Returns'!AQ845 * (1 + 'Daily Returns'!AJ846)</f>
        <v>1.280677572</v>
      </c>
      <c r="F846" s="7">
        <f>'Daily Returns'!AR845 * (1 +'Daily Returns'!AL846)</f>
        <v>1.269822503</v>
      </c>
      <c r="H846" s="7">
        <f>'Daily Returns'!AS845*(1+'Daily Returns'!AM846)</f>
        <v>1.315834266</v>
      </c>
      <c r="J846" s="5">
        <f>'Daily Returns'!AT845*(1+'Daily Returns'!AN846)</f>
        <v>1.351204364</v>
      </c>
      <c r="L846" s="5">
        <f>'Daily Returns'!AU845*(1+'Daily Returns'!AO846)</f>
        <v>1.332258629</v>
      </c>
    </row>
    <row r="847" ht="15.75" customHeight="1">
      <c r="A847" s="9">
        <v>45057.0</v>
      </c>
      <c r="B847" s="6">
        <f>'Daily Returns'!AP846*(1+'Daily Returns'!AK847)</f>
        <v>1.580440431</v>
      </c>
      <c r="D847" s="4">
        <f>'Daily Returns'!AQ846 * (1 + 'Daily Returns'!AJ847)</f>
        <v>1.278504263</v>
      </c>
      <c r="F847" s="7">
        <f>'Daily Returns'!AR846 * (1 +'Daily Returns'!AL847)</f>
        <v>1.272919351</v>
      </c>
      <c r="H847" s="7">
        <f>'Daily Returns'!AS846*(1+'Daily Returns'!AM847)</f>
        <v>1.321637489</v>
      </c>
      <c r="J847" s="5">
        <f>'Daily Returns'!AT846*(1+'Daily Returns'!AN847)</f>
        <v>1.349062253</v>
      </c>
      <c r="L847" s="5">
        <f>'Daily Returns'!AU846*(1+'Daily Returns'!AO847)</f>
        <v>1.331620732</v>
      </c>
    </row>
    <row r="848" ht="15.75" customHeight="1">
      <c r="A848" s="9">
        <v>45058.0</v>
      </c>
      <c r="B848" s="6">
        <f>'Daily Returns'!AP847*(1+'Daily Returns'!AK848)</f>
        <v>1.58093844</v>
      </c>
      <c r="D848" s="4">
        <f>'Daily Returns'!AQ847 * (1 + 'Daily Returns'!AJ848)</f>
        <v>1.27648039</v>
      </c>
      <c r="F848" s="7">
        <f>'Daily Returns'!AR847 * (1 +'Daily Returns'!AL848)</f>
        <v>1.269929253</v>
      </c>
      <c r="H848" s="7">
        <f>'Daily Returns'!AS847*(1+'Daily Returns'!AM848)</f>
        <v>1.319896522</v>
      </c>
      <c r="J848" s="5">
        <f>'Daily Returns'!AT847*(1+'Daily Returns'!AN848)</f>
        <v>1.34520661</v>
      </c>
      <c r="L848" s="5">
        <f>'Daily Returns'!AU847*(1+'Daily Returns'!AO848)</f>
        <v>1.327153256</v>
      </c>
    </row>
    <row r="849" ht="15.75" customHeight="1">
      <c r="A849" s="9">
        <v>45061.0</v>
      </c>
      <c r="B849" s="6">
        <f>'Daily Returns'!AP848*(1+'Daily Returns'!AK849)</f>
        <v>1.587932817</v>
      </c>
      <c r="D849" s="4">
        <f>'Daily Returns'!AQ848 * (1 + 'Daily Returns'!AJ849)</f>
        <v>1.280256219</v>
      </c>
      <c r="F849" s="7">
        <f>'Daily Returns'!AR848 * (1 +'Daily Returns'!AL849)</f>
        <v>1.268113911</v>
      </c>
      <c r="H849" s="7">
        <f>'Daily Returns'!AS848*(1+'Daily Returns'!AM849)</f>
        <v>1.316801537</v>
      </c>
      <c r="J849" s="5">
        <f>'Daily Returns'!AT848*(1+'Daily Returns'!AN849)</f>
        <v>1.340922388</v>
      </c>
      <c r="L849" s="5">
        <f>'Daily Returns'!AU848*(1+'Daily Returns'!AO849)</f>
        <v>1.322047496</v>
      </c>
    </row>
    <row r="850" ht="15.75" customHeight="1">
      <c r="A850" s="9">
        <v>45062.0</v>
      </c>
      <c r="B850" s="6">
        <f>'Daily Returns'!AP849*(1+'Daily Returns'!AK850)</f>
        <v>1.573418188</v>
      </c>
      <c r="D850" s="4">
        <f>'Daily Returns'!AQ849 * (1 + 'Daily Returns'!AJ850)</f>
        <v>1.272090745</v>
      </c>
      <c r="F850" s="7">
        <f>'Daily Returns'!AR849 * (1 +'Daily Returns'!AL850)</f>
        <v>1.275695865</v>
      </c>
      <c r="H850" s="7">
        <f>'Daily Returns'!AS849*(1+'Daily Returns'!AM850)</f>
        <v>1.322411387</v>
      </c>
      <c r="J850" s="5">
        <f>'Daily Returns'!AT849*(1+'Daily Returns'!AN850)</f>
        <v>1.342207602</v>
      </c>
      <c r="L850" s="5">
        <f>'Daily Returns'!AU849*(1+'Daily Returns'!AO850)</f>
        <v>1.323004664</v>
      </c>
    </row>
    <row r="851" ht="15.75" customHeight="1">
      <c r="A851" s="9">
        <v>45063.0</v>
      </c>
      <c r="B851" s="6">
        <f>'Daily Returns'!AP850*(1+'Daily Returns'!AK851)</f>
        <v>1.576961851</v>
      </c>
      <c r="D851" s="4">
        <f>'Daily Returns'!AQ850 * (1 + 'Daily Returns'!AJ851)</f>
        <v>1.287217176</v>
      </c>
      <c r="F851" s="7">
        <f>'Daily Returns'!AR850 * (1 +'Daily Returns'!AL851)</f>
        <v>1.264696644</v>
      </c>
      <c r="H851" s="7">
        <f>'Daily Returns'!AS850*(1+'Daily Returns'!AM851)</f>
        <v>1.312159059</v>
      </c>
      <c r="J851" s="5">
        <f>'Daily Returns'!AT850*(1+'Daily Returns'!AN851)</f>
        <v>1.350347467</v>
      </c>
      <c r="L851" s="5">
        <f>'Daily Returns'!AU850*(1+'Daily Returns'!AO851)</f>
        <v>1.330344163</v>
      </c>
    </row>
    <row r="852" ht="15.75" customHeight="1">
      <c r="A852" s="9">
        <v>45064.0</v>
      </c>
      <c r="B852" s="6">
        <f>'Daily Returns'!AP851*(1+'Daily Returns'!AK852)</f>
        <v>1.57191141</v>
      </c>
      <c r="D852" s="4">
        <f>'Daily Returns'!AQ851 * (1 + 'Daily Returns'!AJ852)</f>
        <v>1.299374942</v>
      </c>
      <c r="F852" s="7">
        <f>'Daily Returns'!AR851 * (1 +'Daily Returns'!AL852)</f>
        <v>1.276763703</v>
      </c>
      <c r="H852" s="7">
        <f>'Daily Returns'!AS851*(1+'Daily Returns'!AM852)</f>
        <v>1.329181578</v>
      </c>
      <c r="J852" s="5">
        <f>'Daily Returns'!AT851*(1+'Daily Returns'!AN852)</f>
        <v>1.328926967</v>
      </c>
      <c r="L852" s="5">
        <f>'Daily Returns'!AU851*(1+'Daily Returns'!AO852)</f>
        <v>1.311198078</v>
      </c>
    </row>
    <row r="853" ht="15.75" customHeight="1">
      <c r="A853" s="9">
        <v>45065.0</v>
      </c>
      <c r="B853" s="6">
        <f>'Daily Returns'!AP852*(1+'Daily Returns'!AK853)</f>
        <v>1.576017241</v>
      </c>
      <c r="D853" s="4">
        <f>'Daily Returns'!AQ852 * (1 + 'Daily Returns'!AJ853)</f>
        <v>1.297496046</v>
      </c>
      <c r="F853" s="7">
        <f>'Daily Returns'!AR852 * (1 +'Daily Returns'!AL853)</f>
        <v>1.284986578</v>
      </c>
      <c r="H853" s="7">
        <f>'Daily Returns'!AS852*(1+'Daily Returns'!AM853)</f>
        <v>1.342399908</v>
      </c>
      <c r="J853" s="5">
        <f>'Daily Returns'!AT852*(1+'Daily Returns'!AN853)</f>
        <v>1.331497483</v>
      </c>
      <c r="L853" s="5">
        <f>'Daily Returns'!AU852*(1+'Daily Returns'!AO853)</f>
        <v>1.314388855</v>
      </c>
    </row>
    <row r="854" ht="15.75" customHeight="1">
      <c r="A854" s="9">
        <v>45068.0</v>
      </c>
      <c r="B854" s="6">
        <f>'Daily Returns'!AP853*(1+'Daily Returns'!AK854)</f>
        <v>1.575766105</v>
      </c>
      <c r="D854" s="4">
        <f>'Daily Returns'!AQ853 * (1 + 'Daily Returns'!AJ854)</f>
        <v>1.297697158</v>
      </c>
      <c r="F854" s="7">
        <f>'Daily Returns'!AR853 * (1 +'Daily Returns'!AL854)</f>
        <v>1.285627163</v>
      </c>
      <c r="H854" s="7">
        <f>'Daily Returns'!AS853*(1+'Daily Returns'!AM854)</f>
        <v>1.339176041</v>
      </c>
      <c r="J854" s="5">
        <f>'Daily Returns'!AT853*(1+'Daily Returns'!AN854)</f>
        <v>1.331068991</v>
      </c>
      <c r="L854" s="5">
        <f>'Daily Returns'!AU853*(1+'Daily Returns'!AO854)</f>
        <v>1.314388855</v>
      </c>
    </row>
    <row r="855" ht="15.75" customHeight="1">
      <c r="A855" s="9">
        <v>45069.0</v>
      </c>
      <c r="B855" s="6">
        <f>'Daily Returns'!AP854*(1+'Daily Returns'!AK855)</f>
        <v>1.567248164</v>
      </c>
      <c r="D855" s="4">
        <f>'Daily Returns'!AQ854 * (1 + 'Daily Returns'!AJ855)</f>
        <v>1.283134401</v>
      </c>
      <c r="F855" s="7">
        <f>'Daily Returns'!AR854 * (1 +'Daily Returns'!AL855)</f>
        <v>1.286481501</v>
      </c>
      <c r="H855" s="7">
        <f>'Daily Returns'!AS854*(1+'Daily Returns'!AM855)</f>
        <v>1.34149723</v>
      </c>
      <c r="J855" s="5">
        <f>'Daily Returns'!AT854*(1+'Daily Returns'!AN855)</f>
        <v>1.334924547</v>
      </c>
      <c r="L855" s="5">
        <f>'Daily Returns'!AU854*(1+'Daily Returns'!AO855)</f>
        <v>1.31885646</v>
      </c>
    </row>
    <row r="856" ht="15.75" customHeight="1">
      <c r="A856" s="9">
        <v>45070.0</v>
      </c>
      <c r="B856" s="6">
        <f>'Daily Returns'!AP855*(1+'Daily Returns'!AK856)</f>
        <v>1.557105052</v>
      </c>
      <c r="D856" s="4">
        <f>'Daily Returns'!AQ855 * (1 + 'Daily Returns'!AJ856)</f>
        <v>1.27374314</v>
      </c>
      <c r="F856" s="7">
        <f>'Daily Returns'!AR855 * (1 +'Daily Returns'!AL856)</f>
        <v>1.271103925</v>
      </c>
      <c r="H856" s="7">
        <f>'Daily Returns'!AS855*(1+'Daily Returns'!AM856)</f>
        <v>1.32731173</v>
      </c>
      <c r="J856" s="5">
        <f>'Daily Returns'!AT855*(1+'Daily Returns'!AN856)</f>
        <v>1.31907357</v>
      </c>
      <c r="L856" s="5">
        <f>'Daily Returns'!AU855*(1+'Daily Returns'!AO856)</f>
        <v>1.304177851</v>
      </c>
    </row>
    <row r="857" ht="15.75" customHeight="1">
      <c r="A857" s="9">
        <v>45071.0</v>
      </c>
      <c r="B857" s="6">
        <f>'Daily Returns'!AP856*(1+'Daily Returns'!AK857)</f>
        <v>1.548581111</v>
      </c>
      <c r="D857" s="4">
        <f>'Daily Returns'!AQ856 * (1 + 'Daily Returns'!AJ857)</f>
        <v>1.284898582</v>
      </c>
      <c r="F857" s="7">
        <f>'Daily Returns'!AR856 * (1 +'Daily Returns'!AL857)</f>
        <v>1.259143701</v>
      </c>
      <c r="H857" s="7">
        <f>'Daily Returns'!AS856*(1+'Daily Returns'!AM857)</f>
        <v>1.317059503</v>
      </c>
      <c r="J857" s="5">
        <f>'Daily Returns'!AT856*(1+'Daily Returns'!AN857)</f>
        <v>1.306415436</v>
      </c>
      <c r="L857" s="5">
        <f>'Daily Returns'!AU856*(1+'Daily Returns'!AO857)</f>
        <v>1.290456281</v>
      </c>
    </row>
    <row r="858" ht="15.75" customHeight="1">
      <c r="A858" s="9">
        <v>45072.0</v>
      </c>
      <c r="B858" s="6">
        <f>'Daily Returns'!AP857*(1+'Daily Returns'!AK858)</f>
        <v>1.560330418</v>
      </c>
      <c r="D858" s="4">
        <f>'Daily Returns'!AQ857 * (1 + 'Daily Returns'!AJ858)</f>
        <v>1.301665224</v>
      </c>
      <c r="F858" s="7">
        <f>'Daily Returns'!AR857 * (1 +'Daily Returns'!AL858)</f>
        <v>1.264483144</v>
      </c>
      <c r="H858" s="7">
        <f>'Daily Returns'!AS857*(1+'Daily Returns'!AM858)</f>
        <v>1.326022102</v>
      </c>
      <c r="J858" s="5">
        <f>'Daily Returns'!AT857*(1+'Daily Returns'!AN858)</f>
        <v>1.295615144</v>
      </c>
      <c r="L858" s="5">
        <f>'Daily Returns'!AU857*(1+'Daily Returns'!AO858)</f>
        <v>1.281202187</v>
      </c>
    </row>
    <row r="859" ht="15.75" customHeight="1">
      <c r="A859" s="9">
        <v>45076.0</v>
      </c>
      <c r="B859" s="6">
        <f>'Daily Returns'!AP858*(1+'Daily Returns'!AK859)</f>
        <v>1.554820507</v>
      </c>
      <c r="D859" s="4">
        <f>'Daily Returns'!AQ858 * (1 + 'Daily Returns'!AJ859)</f>
        <v>1.301687352</v>
      </c>
      <c r="F859" s="7">
        <f>'Daily Returns'!AR858 * (1 +'Daily Returns'!AL859)</f>
        <v>1.280501389</v>
      </c>
      <c r="H859" s="7">
        <f>'Daily Returns'!AS858*(1+'Daily Returns'!AM859)</f>
        <v>1.34349596</v>
      </c>
      <c r="J859" s="5">
        <f>'Daily Returns'!AT858*(1+'Daily Returns'!AN859)</f>
        <v>1.305983375</v>
      </c>
      <c r="L859" s="5">
        <f>'Daily Returns'!AU858*(1+'Daily Returns'!AO859)</f>
        <v>1.290775294</v>
      </c>
    </row>
    <row r="860" ht="15.75" customHeight="1">
      <c r="A860" s="9">
        <v>45077.0</v>
      </c>
      <c r="B860" s="6">
        <f>'Daily Returns'!AP859*(1+'Daily Returns'!AK860)</f>
        <v>1.554750177</v>
      </c>
      <c r="D860" s="4">
        <f>'Daily Returns'!AQ859 * (1 + 'Daily Returns'!AJ860)</f>
        <v>1.293735344</v>
      </c>
      <c r="F860" s="7">
        <f>'Daily Returns'!AR859 * (1 +'Daily Returns'!AL860)</f>
        <v>1.276336618</v>
      </c>
      <c r="H860" s="7">
        <f>'Daily Returns'!AS859*(1+'Daily Returns'!AM860)</f>
        <v>1.343947401</v>
      </c>
      <c r="J860" s="5">
        <f>'Daily Returns'!AT859*(1+'Daily Returns'!AN860)</f>
        <v>1.30814359</v>
      </c>
      <c r="L860" s="5">
        <f>'Daily Returns'!AU859*(1+'Daily Returns'!AO860)</f>
        <v>1.294604356</v>
      </c>
    </row>
    <row r="861" ht="15.75" customHeight="1">
      <c r="A861" s="9">
        <v>45078.0</v>
      </c>
      <c r="B861" s="6">
        <f>'Daily Returns'!AP860*(1+'Daily Returns'!AK861)</f>
        <v>1.566370606</v>
      </c>
      <c r="D861" s="4">
        <f>'Daily Returns'!AQ860 * (1 + 'Daily Returns'!AJ861)</f>
        <v>1.306483812</v>
      </c>
      <c r="F861" s="7">
        <f>'Daily Returns'!AR860 * (1 +'Daily Returns'!AL861)</f>
        <v>1.266511986</v>
      </c>
      <c r="H861" s="7">
        <f>'Daily Returns'!AS860*(1+'Daily Returns'!AM861)</f>
        <v>1.335887582</v>
      </c>
      <c r="J861" s="5">
        <f>'Daily Returns'!AT860*(1+'Daily Returns'!AN861)</f>
        <v>1.293887163</v>
      </c>
      <c r="L861" s="5">
        <f>'Daily Returns'!AU860*(1+'Daily Returns'!AO861)</f>
        <v>1.279925618</v>
      </c>
    </row>
    <row r="862" ht="15.75" customHeight="1">
      <c r="A862" s="9">
        <v>45079.0</v>
      </c>
      <c r="B862" s="6">
        <f>'Daily Returns'!AP861*(1+'Daily Returns'!AK862)</f>
        <v>1.579932927</v>
      </c>
      <c r="D862" s="4">
        <f>'Daily Returns'!AQ861 * (1 + 'Daily Returns'!AJ862)</f>
        <v>1.325472248</v>
      </c>
      <c r="F862" s="7">
        <f>'Daily Returns'!AR861 * (1 +'Daily Returns'!AL862)</f>
        <v>1.281782727</v>
      </c>
      <c r="H862" s="7">
        <f>'Daily Returns'!AS861*(1+'Daily Returns'!AM862)</f>
        <v>1.349234794</v>
      </c>
      <c r="J862" s="5">
        <f>'Daily Returns'!AT861*(1+'Daily Returns'!AN862)</f>
        <v>1.28222249</v>
      </c>
      <c r="L862" s="5">
        <f>'Daily Returns'!AU861*(1+'Daily Returns'!AO862)</f>
        <v>1.268757058</v>
      </c>
    </row>
    <row r="863" ht="15.75" customHeight="1">
      <c r="A863" s="9">
        <v>45082.0</v>
      </c>
      <c r="B863" s="6">
        <f>'Daily Returns'!AP862*(1+'Daily Returns'!AK863)</f>
        <v>1.576646089</v>
      </c>
      <c r="D863" s="4">
        <f>'Daily Returns'!AQ862 * (1 + 'Daily Returns'!AJ863)</f>
        <v>1.322816002</v>
      </c>
      <c r="F863" s="7">
        <f>'Daily Returns'!AR862 * (1 +'Daily Returns'!AL863)</f>
        <v>1.301004739</v>
      </c>
      <c r="H863" s="7">
        <f>'Daily Returns'!AS862*(1+'Daily Returns'!AM863)</f>
        <v>1.371544807</v>
      </c>
      <c r="J863" s="5">
        <f>'Daily Returns'!AT862*(1+'Daily Returns'!AN863)</f>
        <v>1.287838753</v>
      </c>
      <c r="L863" s="5">
        <f>'Daily Returns'!AU862*(1+'Daily Returns'!AO863)</f>
        <v>1.275777284</v>
      </c>
    </row>
    <row r="864" ht="15.75" customHeight="1">
      <c r="A864" s="9">
        <v>45083.0</v>
      </c>
      <c r="B864" s="6">
        <f>'Daily Returns'!AP863*(1+'Daily Returns'!AK864)</f>
        <v>1.575545819</v>
      </c>
      <c r="D864" s="4">
        <f>'Daily Returns'!AQ863 * (1 + 'Daily Returns'!AJ864)</f>
        <v>1.325929911</v>
      </c>
      <c r="F864" s="7">
        <f>'Daily Returns'!AR863 * (1 +'Daily Returns'!AL864)</f>
        <v>1.297053637</v>
      </c>
      <c r="H864" s="7">
        <f>'Daily Returns'!AS863*(1+'Daily Returns'!AM864)</f>
        <v>1.367933889</v>
      </c>
      <c r="J864" s="5">
        <f>'Daily Returns'!AT863*(1+'Daily Returns'!AN864)</f>
        <v>1.311599725</v>
      </c>
      <c r="L864" s="5">
        <f>'Daily Returns'!AU863*(1+'Daily Returns'!AO864)</f>
        <v>1.299071703</v>
      </c>
    </row>
    <row r="865" ht="15.75" customHeight="1">
      <c r="A865" s="9">
        <v>45084.0</v>
      </c>
      <c r="B865" s="6">
        <f>'Daily Returns'!AP864*(1+'Daily Returns'!AK865)</f>
        <v>1.574386526</v>
      </c>
      <c r="D865" s="4">
        <f>'Daily Returns'!AQ864 * (1 + 'Daily Returns'!AJ865)</f>
        <v>1.320875466</v>
      </c>
      <c r="F865" s="7">
        <f>'Daily Returns'!AR864 * (1 +'Daily Returns'!AL865)</f>
        <v>1.302606581</v>
      </c>
      <c r="H865" s="7">
        <f>'Daily Returns'!AS864*(1+'Daily Returns'!AM865)</f>
        <v>1.374188351</v>
      </c>
      <c r="J865" s="5">
        <f>'Daily Returns'!AT864*(1+'Daily Returns'!AN865)</f>
        <v>1.305551489</v>
      </c>
      <c r="L865" s="5">
        <f>'Daily Returns'!AU864*(1+'Daily Returns'!AO865)</f>
        <v>1.293009032</v>
      </c>
    </row>
    <row r="866" ht="15.75" customHeight="1">
      <c r="A866" s="9">
        <v>45085.0</v>
      </c>
      <c r="B866" s="6">
        <f>'Daily Returns'!AP865*(1+'Daily Returns'!AK866)</f>
        <v>1.582059261</v>
      </c>
      <c r="D866" s="4">
        <f>'Daily Returns'!AQ865 * (1 + 'Daily Returns'!AJ866)</f>
        <v>1.329050364</v>
      </c>
      <c r="F866" s="7">
        <f>'Daily Returns'!AR865 * (1 +'Daily Returns'!AL866)</f>
        <v>1.295598199</v>
      </c>
      <c r="H866" s="7">
        <f>'Daily Returns'!AS865*(1+'Daily Returns'!AM866)</f>
        <v>1.371480315</v>
      </c>
      <c r="J866" s="5">
        <f>'Daily Returns'!AT865*(1+'Daily Returns'!AN866)</f>
        <v>1.312895646</v>
      </c>
      <c r="L866" s="5">
        <f>'Daily Returns'!AU865*(1+'Daily Returns'!AO866)</f>
        <v>1.300986557</v>
      </c>
    </row>
    <row r="867" ht="15.75" customHeight="1">
      <c r="A867" s="9">
        <v>45086.0</v>
      </c>
      <c r="B867" s="6">
        <f>'Daily Returns'!AP866*(1+'Daily Returns'!AK867)</f>
        <v>1.579360271</v>
      </c>
      <c r="D867" s="4">
        <f>'Daily Returns'!AQ866 * (1 + 'Daily Returns'!AJ867)</f>
        <v>1.330576114</v>
      </c>
      <c r="F867" s="7">
        <f>'Daily Returns'!AR866 * (1 +'Daily Returns'!AL867)</f>
        <v>1.304116068</v>
      </c>
      <c r="H867" s="7">
        <f>'Daily Returns'!AS866*(1+'Daily Returns'!AM867)</f>
        <v>1.377928049</v>
      </c>
      <c r="J867" s="5">
        <f>'Daily Returns'!AT866*(1+'Daily Returns'!AN867)</f>
        <v>1.30771153</v>
      </c>
      <c r="L867" s="5">
        <f>'Daily Returns'!AU866*(1+'Daily Returns'!AO867)</f>
        <v>1.296838223</v>
      </c>
    </row>
    <row r="868" ht="15.75" customHeight="1">
      <c r="A868" s="9">
        <v>45089.0</v>
      </c>
      <c r="B868" s="6">
        <f>'Daily Returns'!AP867*(1+'Daily Returns'!AK868)</f>
        <v>1.582922116</v>
      </c>
      <c r="D868" s="4">
        <f>'Daily Returns'!AQ867 * (1 + 'Daily Returns'!AJ868)</f>
        <v>1.342978414</v>
      </c>
      <c r="F868" s="7">
        <f>'Daily Returns'!AR867 * (1 +'Daily Returns'!AL868)</f>
        <v>1.305625555</v>
      </c>
      <c r="H868" s="7">
        <f>'Daily Returns'!AS867*(1+'Daily Returns'!AM868)</f>
        <v>1.379411151</v>
      </c>
      <c r="J868" s="5">
        <f>'Daily Returns'!AT867*(1+'Daily Returns'!AN868)</f>
        <v>1.306847583</v>
      </c>
      <c r="L868" s="5">
        <f>'Daily Returns'!AU867*(1+'Daily Returns'!AO868)</f>
        <v>1.294285602</v>
      </c>
    </row>
    <row r="869" ht="15.75" customHeight="1">
      <c r="A869" s="9">
        <v>45090.0</v>
      </c>
      <c r="B869" s="6">
        <f>'Daily Returns'!AP868*(1+'Daily Returns'!AK869)</f>
        <v>1.583395128</v>
      </c>
      <c r="D869" s="4">
        <f>'Daily Returns'!AQ868 * (1 + 'Daily Returns'!AJ869)</f>
        <v>1.352289283</v>
      </c>
      <c r="F869" s="7">
        <f>'Daily Returns'!AR868 * (1 +'Daily Returns'!AL869)</f>
        <v>1.315761009</v>
      </c>
      <c r="H869" s="7">
        <f>'Daily Returns'!AS868*(1+'Daily Returns'!AM869)</f>
        <v>1.391791294</v>
      </c>
      <c r="J869" s="5">
        <f>'Daily Returns'!AT868*(1+'Daily Returns'!AN869)</f>
        <v>1.304255482</v>
      </c>
      <c r="L869" s="5">
        <f>'Daily Returns'!AU868*(1+'Daily Returns'!AO869)</f>
        <v>1.291094307</v>
      </c>
    </row>
    <row r="870" ht="15.75" customHeight="1">
      <c r="A870" s="9">
        <v>45091.0</v>
      </c>
      <c r="B870" s="6">
        <f>'Daily Returns'!AP869*(1+'Daily Returns'!AK870)</f>
        <v>1.573454963</v>
      </c>
      <c r="D870" s="4">
        <f>'Daily Returns'!AQ869 * (1 + 'Daily Returns'!AJ870)</f>
        <v>1.353396808</v>
      </c>
      <c r="F870" s="7">
        <f>'Daily Returns'!AR869 * (1 +'Daily Returns'!AL870)</f>
        <v>1.325680606</v>
      </c>
      <c r="H870" s="7">
        <f>'Daily Returns'!AS869*(1+'Daily Returns'!AM870)</f>
        <v>1.402043419</v>
      </c>
      <c r="J870" s="5">
        <f>'Daily Returns'!AT869*(1+'Daily Returns'!AN870)</f>
        <v>1.305983375</v>
      </c>
      <c r="L870" s="5">
        <f>'Daily Returns'!AU869*(1+'Daily Returns'!AO870)</f>
        <v>1.293647317</v>
      </c>
    </row>
    <row r="871" ht="15.75" customHeight="1">
      <c r="A871" s="9">
        <v>45092.0</v>
      </c>
      <c r="B871" s="6">
        <f>'Daily Returns'!AP870*(1+'Daily Returns'!AK871)</f>
        <v>1.576953562</v>
      </c>
      <c r="D871" s="4">
        <f>'Daily Returns'!AQ870 * (1 + 'Daily Returns'!AJ871)</f>
        <v>1.369878474</v>
      </c>
      <c r="F871" s="7">
        <f>'Daily Returns'!AR870 * (1 +'Daily Returns'!AL871)</f>
        <v>1.32816061</v>
      </c>
      <c r="H871" s="7">
        <f>'Daily Returns'!AS870*(1+'Daily Returns'!AM871)</f>
        <v>1.402043419</v>
      </c>
      <c r="J871" s="5">
        <f>'Daily Returns'!AT870*(1+'Daily Returns'!AN871)</f>
        <v>1.311167752</v>
      </c>
      <c r="L871" s="5">
        <f>'Daily Returns'!AU870*(1+'Daily Returns'!AO871)</f>
        <v>1.298114663</v>
      </c>
    </row>
    <row r="872" ht="15.75" customHeight="1">
      <c r="A872" s="9">
        <v>45093.0</v>
      </c>
      <c r="B872" s="6">
        <f>'Daily Returns'!AP871*(1+'Daily Returns'!AK872)</f>
        <v>1.585502769</v>
      </c>
      <c r="D872" s="4">
        <f>'Daily Returns'!AQ871 * (1 + 'Daily Returns'!AJ872)</f>
        <v>1.364848281</v>
      </c>
      <c r="F872" s="7">
        <f>'Daily Returns'!AR871 * (1 +'Daily Returns'!AL872)</f>
        <v>1.344549534</v>
      </c>
      <c r="H872" s="7">
        <f>'Daily Returns'!AS871*(1+'Daily Returns'!AM872)</f>
        <v>1.419130632</v>
      </c>
      <c r="J872" s="5">
        <f>'Daily Returns'!AT871*(1+'Daily Returns'!AN872)</f>
        <v>1.3146238</v>
      </c>
      <c r="L872" s="5">
        <f>'Daily Returns'!AU871*(1+'Daily Returns'!AO872)</f>
        <v>1.299710246</v>
      </c>
    </row>
    <row r="873" ht="15.75" customHeight="1">
      <c r="A873" s="9">
        <v>45097.0</v>
      </c>
      <c r="B873" s="6">
        <f>'Daily Returns'!AP872*(1+'Daily Returns'!AK873)</f>
        <v>1.57574027</v>
      </c>
      <c r="D873" s="4">
        <f>'Daily Returns'!AQ872 * (1 + 'Daily Returns'!AJ873)</f>
        <v>1.358385724</v>
      </c>
      <c r="F873" s="7">
        <f>'Daily Returns'!AR872 * (1 +'Daily Returns'!AL873)</f>
        <v>1.340128917</v>
      </c>
      <c r="H873" s="7">
        <f>'Daily Returns'!AS872*(1+'Daily Returns'!AM873)</f>
        <v>1.413778748</v>
      </c>
      <c r="J873" s="5">
        <f>'Daily Returns'!AT872*(1+'Daily Returns'!AN873)</f>
        <v>1.316351868</v>
      </c>
      <c r="L873" s="5">
        <f>'Daily Returns'!AU872*(1+'Daily Returns'!AO873)</f>
        <v>1.302262997</v>
      </c>
    </row>
    <row r="874" ht="15.75" customHeight="1">
      <c r="A874" s="9">
        <v>45098.0</v>
      </c>
      <c r="B874" s="6">
        <f>'Daily Returns'!AP873*(1+'Daily Returns'!AK874)</f>
        <v>1.577106819</v>
      </c>
      <c r="D874" s="4">
        <f>'Daily Returns'!AQ873 * (1 + 'Daily Returns'!AJ874)</f>
        <v>1.351260991</v>
      </c>
      <c r="F874" s="7">
        <f>'Daily Returns'!AR873 * (1 +'Daily Returns'!AL874)</f>
        <v>1.328807509</v>
      </c>
      <c r="H874" s="7">
        <f>'Daily Returns'!AS873*(1+'Daily Returns'!AM874)</f>
        <v>1.406815082</v>
      </c>
      <c r="J874" s="5">
        <f>'Daily Returns'!AT873*(1+'Daily Returns'!AN874)</f>
        <v>1.312463672</v>
      </c>
      <c r="L874" s="5">
        <f>'Daily Returns'!AU873*(1+'Daily Returns'!AO874)</f>
        <v>1.298752948</v>
      </c>
    </row>
    <row r="875" ht="15.75" customHeight="1">
      <c r="A875" s="9">
        <v>45099.0</v>
      </c>
      <c r="B875" s="6">
        <f>'Daily Returns'!AP874*(1+'Daily Returns'!AK875)</f>
        <v>1.573321905</v>
      </c>
      <c r="D875" s="4">
        <f>'Daily Returns'!AQ874 * (1 + 'Daily Returns'!AJ875)</f>
        <v>1.35627552</v>
      </c>
      <c r="F875" s="7">
        <f>'Daily Returns'!AR874 * (1 +'Daily Returns'!AL875)</f>
        <v>1.32524948</v>
      </c>
      <c r="H875" s="7">
        <f>'Daily Returns'!AS874*(1+'Daily Returns'!AM875)</f>
        <v>1.399077518</v>
      </c>
      <c r="J875" s="5">
        <f>'Daily Returns'!AT874*(1+'Daily Returns'!AN875)</f>
        <v>1.30943951</v>
      </c>
      <c r="L875" s="5">
        <f>'Daily Returns'!AU874*(1+'Daily Returns'!AO875)</f>
        <v>1.296838223</v>
      </c>
    </row>
    <row r="876" ht="15.75" customHeight="1">
      <c r="A876" s="9">
        <v>45100.0</v>
      </c>
      <c r="B876" s="6">
        <f>'Daily Returns'!AP875*(1+'Daily Returns'!AK876)</f>
        <v>1.562278815</v>
      </c>
      <c r="D876" s="4">
        <f>'Daily Returns'!AQ875 * (1 + 'Daily Returns'!AJ876)</f>
        <v>1.345887806</v>
      </c>
      <c r="F876" s="7">
        <f>'Daily Returns'!AR875 * (1 +'Daily Returns'!AL876)</f>
        <v>1.325033791</v>
      </c>
      <c r="H876" s="7">
        <f>'Daily Returns'!AS875*(1+'Daily Returns'!AM876)</f>
        <v>1.402817317</v>
      </c>
      <c r="J876" s="5">
        <f>'Daily Returns'!AT875*(1+'Daily Returns'!AN876)</f>
        <v>1.297775098</v>
      </c>
      <c r="L876" s="5">
        <f>'Daily Returns'!AU875*(1+'Daily Returns'!AO876)</f>
        <v>1.285031378</v>
      </c>
    </row>
    <row r="877" ht="15.75" customHeight="1">
      <c r="A877" s="9">
        <v>45103.0</v>
      </c>
      <c r="B877" s="6">
        <f>'Daily Returns'!AP876*(1+'Daily Returns'!AK877)</f>
        <v>1.573793249</v>
      </c>
      <c r="D877" s="4">
        <f>'Daily Returns'!AQ876 * (1 + 'Daily Returns'!AJ877)</f>
        <v>1.339848808</v>
      </c>
      <c r="F877" s="7">
        <f>'Daily Returns'!AR876 * (1 +'Daily Returns'!AL877)</f>
        <v>1.313173245</v>
      </c>
      <c r="H877" s="7">
        <f>'Daily Returns'!AS876*(1+'Daily Returns'!AM877)</f>
        <v>1.391211883</v>
      </c>
      <c r="J877" s="5">
        <f>'Daily Returns'!AT876*(1+'Daily Returns'!AN877)</f>
        <v>1.29518317</v>
      </c>
      <c r="L877" s="5">
        <f>'Daily Returns'!AU876*(1+'Daily Returns'!AO877)</f>
        <v>1.2815212</v>
      </c>
    </row>
    <row r="878" ht="15.75" customHeight="1">
      <c r="A878" s="9">
        <v>45104.0</v>
      </c>
      <c r="B878" s="6">
        <f>'Daily Returns'!AP877*(1+'Daily Returns'!AK878)</f>
        <v>1.57915189</v>
      </c>
      <c r="D878" s="4">
        <f>'Daily Returns'!AQ877 * (1 + 'Daily Returns'!AJ878)</f>
        <v>1.355198116</v>
      </c>
      <c r="F878" s="7">
        <f>'Daily Returns'!AR877 * (1 +'Daily Returns'!AL878)</f>
        <v>1.310477719</v>
      </c>
      <c r="H878" s="7">
        <f>'Daily Returns'!AS877*(1+'Daily Returns'!AM878)</f>
        <v>1.386357606</v>
      </c>
      <c r="J878" s="5">
        <f>'Daily Returns'!AT877*(1+'Daily Returns'!AN878)</f>
        <v>1.287406779</v>
      </c>
      <c r="L878" s="5">
        <f>'Daily Returns'!AU877*(1+'Daily Returns'!AO878)</f>
        <v>1.273543417</v>
      </c>
    </row>
    <row r="879" ht="15.75" customHeight="1">
      <c r="A879" s="9">
        <v>45105.0</v>
      </c>
      <c r="B879" s="6">
        <f>'Daily Returns'!AP878*(1+'Daily Returns'!AK879)</f>
        <v>1.573898823</v>
      </c>
      <c r="D879" s="4">
        <f>'Daily Returns'!AQ878 * (1 + 'Daily Returns'!AJ879)</f>
        <v>1.354718375</v>
      </c>
      <c r="F879" s="7">
        <f>'Daily Returns'!AR878 * (1 +'Daily Returns'!AL879)</f>
        <v>1.324063358</v>
      </c>
      <c r="H879" s="7">
        <f>'Daily Returns'!AS878*(1+'Daily Returns'!AM879)</f>
        <v>1.403250838</v>
      </c>
      <c r="J879" s="5">
        <f>'Daily Returns'!AT878*(1+'Daily Returns'!AN879)</f>
        <v>1.277902408</v>
      </c>
      <c r="L879" s="5">
        <f>'Daily Returns'!AU878*(1+'Daily Returns'!AO879)</f>
        <v>1.263013271</v>
      </c>
    </row>
    <row r="880" ht="15.75" customHeight="1">
      <c r="A880" s="9">
        <v>45106.0</v>
      </c>
      <c r="B880" s="6">
        <f>'Daily Returns'!AP879*(1+'Daily Returns'!AK880)</f>
        <v>1.580430802</v>
      </c>
      <c r="D880" s="4">
        <f>'Daily Returns'!AQ879 * (1 + 'Daily Returns'!AJ880)</f>
        <v>1.360779385</v>
      </c>
      <c r="F880" s="7">
        <f>'Daily Returns'!AR879 * (1 +'Daily Returns'!AL880)</f>
        <v>1.324278963</v>
      </c>
      <c r="H880" s="7">
        <f>'Daily Returns'!AS879*(1+'Daily Returns'!AM880)</f>
        <v>1.404416038</v>
      </c>
      <c r="J880" s="5">
        <f>'Daily Returns'!AT879*(1+'Daily Returns'!AN880)</f>
        <v>1.289566907</v>
      </c>
      <c r="L880" s="5">
        <f>'Daily Returns'!AU879*(1+'Daily Returns'!AO880)</f>
        <v>1.273862818</v>
      </c>
    </row>
    <row r="881" ht="15.75" customHeight="1">
      <c r="A881" s="9">
        <v>45107.0</v>
      </c>
      <c r="B881" s="6">
        <f>'Daily Returns'!AP880*(1+'Daily Returns'!AK881)</f>
        <v>1.591397401</v>
      </c>
      <c r="D881" s="4">
        <f>'Daily Returns'!AQ880 * (1 + 'Daily Returns'!AJ881)</f>
        <v>1.377474788</v>
      </c>
      <c r="F881" s="7">
        <f>'Daily Returns'!AR880 * (1 +'Daily Returns'!AL881)</f>
        <v>1.32816061</v>
      </c>
      <c r="H881" s="7">
        <f>'Daily Returns'!AS880*(1+'Daily Returns'!AM881)</f>
        <v>1.411147656</v>
      </c>
      <c r="J881" s="5">
        <f>'Daily Returns'!AT880*(1+'Daily Returns'!AN881)</f>
        <v>1.299503078</v>
      </c>
      <c r="L881" s="5">
        <f>'Daily Returns'!AU880*(1+'Daily Returns'!AO881)</f>
        <v>1.284393481</v>
      </c>
    </row>
    <row r="882" ht="15.75" customHeight="1">
      <c r="A882" s="9">
        <v>45110.0</v>
      </c>
      <c r="B882" s="6">
        <f>'Daily Returns'!AP881*(1+'Daily Returns'!AK882)</f>
        <v>1.598128065</v>
      </c>
      <c r="D882" s="4">
        <f>'Daily Returns'!AQ881 * (1 + 'Daily Returns'!AJ882)</f>
        <v>1.379087811</v>
      </c>
      <c r="F882" s="7">
        <f>'Daily Returns'!AR881 * (1 +'Daily Returns'!AL882)</f>
        <v>1.342608837</v>
      </c>
      <c r="H882" s="7">
        <f>'Daily Returns'!AS881*(1+'Daily Returns'!AM882)</f>
        <v>1.425775485</v>
      </c>
      <c r="J882" s="5">
        <f>'Daily Returns'!AT881*(1+'Daily Returns'!AN882)</f>
        <v>1.305119254</v>
      </c>
      <c r="L882" s="5">
        <f>'Daily Returns'!AU881*(1+'Daily Returns'!AO882)</f>
        <v>1.289498854</v>
      </c>
    </row>
    <row r="883" ht="15.75" customHeight="1">
      <c r="A883" s="9">
        <v>45112.0</v>
      </c>
      <c r="B883" s="6">
        <f>'Daily Returns'!AP882*(1+'Daily Returns'!AK883)</f>
        <v>1.590899625</v>
      </c>
      <c r="D883" s="4">
        <f>'Daily Returns'!AQ882 * (1 + 'Daily Returns'!AJ883)</f>
        <v>1.376373766</v>
      </c>
      <c r="F883" s="7">
        <f>'Daily Returns'!AR882 * (1 +'Daily Returns'!AL883)</f>
        <v>1.345627896</v>
      </c>
      <c r="H883" s="7">
        <f>'Daily Returns'!AS882*(1+'Daily Returns'!AM883)</f>
        <v>1.430047212</v>
      </c>
      <c r="J883" s="5">
        <f>'Daily Returns'!AT882*(1+'Daily Returns'!AN883)</f>
        <v>1.312031699</v>
      </c>
      <c r="L883" s="5">
        <f>'Daily Returns'!AU882*(1+'Daily Returns'!AO883)</f>
        <v>1.297157495</v>
      </c>
    </row>
    <row r="884" ht="15.75" customHeight="1">
      <c r="A884" s="9">
        <v>45113.0</v>
      </c>
      <c r="B884" s="6">
        <f>'Daily Returns'!AP883*(1+'Daily Returns'!AK884)</f>
        <v>1.570825893</v>
      </c>
      <c r="D884" s="4">
        <f>'Daily Returns'!AQ883 * (1 + 'Daily Returns'!AJ884)</f>
        <v>1.365468757</v>
      </c>
      <c r="F884" s="7">
        <f>'Daily Returns'!AR883 * (1 +'Daily Returns'!AL884)</f>
        <v>1.338727274</v>
      </c>
      <c r="H884" s="7">
        <f>'Daily Returns'!AS883*(1+'Daily Returns'!AM884)</f>
        <v>1.42571069</v>
      </c>
      <c r="J884" s="5">
        <f>'Daily Returns'!AT883*(1+'Daily Returns'!AN884)</f>
        <v>1.32758422</v>
      </c>
      <c r="L884" s="5">
        <f>'Daily Returns'!AU883*(1+'Daily Returns'!AO884)</f>
        <v>1.3131703</v>
      </c>
    </row>
    <row r="885" ht="15.75" customHeight="1">
      <c r="A885" s="9">
        <v>45114.0</v>
      </c>
      <c r="B885" s="6">
        <f>'Daily Returns'!AP884*(1+'Daily Returns'!AK885)</f>
        <v>1.563605752</v>
      </c>
      <c r="D885" s="4">
        <f>'Daily Returns'!AQ884 * (1 + 'Daily Returns'!AJ885)</f>
        <v>1.361556689</v>
      </c>
      <c r="F885" s="7">
        <f>'Daily Returns'!AR884 * (1 +'Daily Returns'!AL885)</f>
        <v>1.323739824</v>
      </c>
      <c r="H885" s="7">
        <f>'Daily Returns'!AS884*(1+'Daily Returns'!AM885)</f>
        <v>1.413024491</v>
      </c>
      <c r="J885" s="5">
        <f>'Daily Returns'!AT884*(1+'Daily Returns'!AN885)</f>
        <v>1.331040268</v>
      </c>
      <c r="L885" s="5">
        <f>'Daily Returns'!AU884*(1+'Daily Returns'!AO885)</f>
        <v>1.317028692</v>
      </c>
    </row>
    <row r="886" ht="15.75" customHeight="1">
      <c r="A886" s="9">
        <v>45117.0</v>
      </c>
      <c r="B886" s="6">
        <f>'Daily Returns'!AP885*(1+'Daily Returns'!AK886)</f>
        <v>1.561235698</v>
      </c>
      <c r="D886" s="4">
        <f>'Daily Returns'!AQ885 * (1 + 'Daily Returns'!AJ886)</f>
        <v>1.364831232</v>
      </c>
      <c r="F886" s="7">
        <f>'Daily Returns'!AR885 * (1 +'Daily Returns'!AL886)</f>
        <v>1.324818186</v>
      </c>
      <c r="H886" s="7">
        <f>'Daily Returns'!AS885*(1+'Daily Returns'!AM886)</f>
        <v>1.411276943</v>
      </c>
      <c r="J886" s="5">
        <f>'Daily Returns'!AT885*(1+'Daily Returns'!AN886)</f>
        <v>1.324127998</v>
      </c>
      <c r="L886" s="5">
        <f>'Daily Returns'!AU885*(1+'Daily Returns'!AO886)</f>
        <v>1.309311649</v>
      </c>
    </row>
    <row r="887" ht="15.75" customHeight="1">
      <c r="A887" s="9">
        <v>45118.0</v>
      </c>
      <c r="B887" s="6">
        <f>'Daily Returns'!AP886*(1+'Daily Returns'!AK887)</f>
        <v>1.569296433</v>
      </c>
      <c r="D887" s="4">
        <f>'Daily Returns'!AQ886 * (1 + 'Daily Returns'!AJ887)</f>
        <v>1.374032925</v>
      </c>
      <c r="F887" s="7">
        <f>'Daily Returns'!AR886 * (1 +'Daily Returns'!AL887)</f>
        <v>1.328915354</v>
      </c>
      <c r="H887" s="7">
        <f>'Daily Returns'!AS886*(1+'Daily Returns'!AM887)</f>
        <v>1.41742591</v>
      </c>
      <c r="J887" s="5">
        <f>'Daily Returns'!AT886*(1+'Daily Returns'!AN887)</f>
        <v>1.303823334</v>
      </c>
      <c r="L887" s="5">
        <f>'Daily Returns'!AU886*(1+'Daily Returns'!AO887)</f>
        <v>1.291305432</v>
      </c>
    </row>
    <row r="888" ht="15.75" customHeight="1">
      <c r="A888" s="9">
        <v>45119.0</v>
      </c>
      <c r="B888" s="6">
        <f>'Daily Returns'!AP887*(1+'Daily Returns'!AK888)</f>
        <v>1.582964295</v>
      </c>
      <c r="D888" s="4">
        <f>'Daily Returns'!AQ887 * (1 + 'Daily Returns'!AJ888)</f>
        <v>1.384215883</v>
      </c>
      <c r="F888" s="7">
        <f>'Daily Returns'!AR887 * (1 +'Daily Returns'!AL888)</f>
        <v>1.338942879</v>
      </c>
      <c r="H888" s="7">
        <f>'Daily Returns'!AS887*(1+'Daily Returns'!AM888)</f>
        <v>1.428558744</v>
      </c>
      <c r="J888" s="5">
        <f>'Daily Returns'!AT887*(1+'Daily Returns'!AN888)</f>
        <v>1.304687542</v>
      </c>
      <c r="L888" s="5">
        <f>'Daily Returns'!AU887*(1+'Daily Returns'!AO888)</f>
        <v>1.29291316</v>
      </c>
    </row>
    <row r="889" ht="15.75" customHeight="1">
      <c r="A889" s="9">
        <v>45120.0</v>
      </c>
      <c r="B889" s="6">
        <f>'Daily Returns'!AP888*(1+'Daily Returns'!AK889)</f>
        <v>1.592076113</v>
      </c>
      <c r="D889" s="4">
        <f>'Daily Returns'!AQ888 * (1 + 'Daily Returns'!AJ889)</f>
        <v>1.395940191</v>
      </c>
      <c r="F889" s="7">
        <f>'Daily Returns'!AR888 * (1 +'Daily Returns'!AL889)</f>
        <v>1.35349895</v>
      </c>
      <c r="H889" s="7">
        <f>'Daily Returns'!AS888*(1+'Daily Returns'!AM889)</f>
        <v>1.439497193</v>
      </c>
      <c r="J889" s="5">
        <f>'Daily Returns'!AT888*(1+'Daily Returns'!AN889)</f>
        <v>1.302095354</v>
      </c>
      <c r="L889" s="5">
        <f>'Daily Returns'!AU888*(1+'Daily Returns'!AO889)</f>
        <v>1.291626771</v>
      </c>
    </row>
    <row r="890" ht="15.75" customHeight="1">
      <c r="A890" s="9">
        <v>45121.0</v>
      </c>
      <c r="B890" s="6">
        <f>'Daily Returns'!AP889*(1+'Daily Returns'!AK890)</f>
        <v>1.585124539</v>
      </c>
      <c r="D890" s="4">
        <f>'Daily Returns'!AQ889 * (1 + 'Daily Returns'!AJ890)</f>
        <v>1.394510748</v>
      </c>
      <c r="F890" s="7">
        <f>'Daily Returns'!AR889 * (1 +'Daily Returns'!AL890)</f>
        <v>1.369133299</v>
      </c>
      <c r="H890" s="7">
        <f>'Daily Returns'!AS889*(1+'Daily Returns'!AM890)</f>
        <v>1.451665739</v>
      </c>
      <c r="J890" s="5">
        <f>'Daily Returns'!AT889*(1+'Daily Returns'!AN890)</f>
        <v>1.305119254</v>
      </c>
      <c r="L890" s="5">
        <f>'Daily Returns'!AU889*(1+'Daily Returns'!AO890)</f>
        <v>1.295807019</v>
      </c>
    </row>
    <row r="891" ht="15.75" customHeight="1">
      <c r="A891" s="9">
        <v>45124.0</v>
      </c>
      <c r="B891" s="6">
        <f>'Daily Returns'!AP890*(1+'Daily Returns'!AK891)</f>
        <v>1.585377389</v>
      </c>
      <c r="D891" s="4">
        <f>'Daily Returns'!AQ890 * (1 + 'Daily Returns'!AJ891)</f>
        <v>1.399886587</v>
      </c>
      <c r="F891" s="7">
        <f>'Daily Returns'!AR890 * (1 +'Daily Returns'!AL891)</f>
        <v>1.365467257</v>
      </c>
      <c r="H891" s="7">
        <f>'Daily Returns'!AS890*(1+'Daily Returns'!AM891)</f>
        <v>1.449529723</v>
      </c>
      <c r="J891" s="5">
        <f>'Daily Returns'!AT890*(1+'Daily Returns'!AN891)</f>
        <v>1.317215902</v>
      </c>
      <c r="L891" s="5">
        <f>'Daily Returns'!AU890*(1+'Daily Returns'!AO891)</f>
        <v>1.308346987</v>
      </c>
    </row>
    <row r="892" ht="15.75" customHeight="1">
      <c r="A892" s="9">
        <v>45125.0</v>
      </c>
      <c r="B892" s="6">
        <f>'Daily Returns'!AP891*(1+'Daily Returns'!AK892)</f>
        <v>1.598664845</v>
      </c>
      <c r="D892" s="4">
        <f>'Daily Returns'!AQ891 * (1 + 'Daily Returns'!AJ892)</f>
        <v>1.40984958</v>
      </c>
      <c r="F892" s="7">
        <f>'Daily Returns'!AR891 * (1 +'Daily Returns'!AL892)</f>
        <v>1.368486316</v>
      </c>
      <c r="H892" s="7">
        <f>'Daily Returns'!AS891*(1+'Daily Returns'!AM892)</f>
        <v>1.455031548</v>
      </c>
      <c r="J892" s="5">
        <f>'Daily Returns'!AT891*(1+'Daily Returns'!AN892)</f>
        <v>1.332768423</v>
      </c>
      <c r="L892" s="5">
        <f>'Daily Returns'!AU891*(1+'Daily Returns'!AO892)</f>
        <v>1.321851617</v>
      </c>
    </row>
    <row r="893" ht="15.75" customHeight="1">
      <c r="A893" s="9">
        <v>45126.0</v>
      </c>
      <c r="B893" s="6">
        <f>'Daily Returns'!AP892*(1+'Daily Returns'!AK893)</f>
        <v>1.605348358</v>
      </c>
      <c r="D893" s="4">
        <f>'Daily Returns'!AQ892 * (1 + 'Daily Returns'!AJ893)</f>
        <v>1.413174005</v>
      </c>
      <c r="F893" s="7">
        <f>'Daily Returns'!AR892 * (1 +'Daily Returns'!AL893)</f>
        <v>1.379376429</v>
      </c>
      <c r="H893" s="7">
        <f>'Daily Returns'!AS892*(1+'Daily Returns'!AM893)</f>
        <v>1.466617139</v>
      </c>
      <c r="J893" s="5">
        <f>'Daily Returns'!AT892*(1+'Daily Returns'!AN893)</f>
        <v>1.33320057</v>
      </c>
      <c r="L893" s="5">
        <f>'Daily Returns'!AU892*(1+'Daily Returns'!AO893)</f>
        <v>1.320887084</v>
      </c>
    </row>
    <row r="894" ht="15.75" customHeight="1">
      <c r="A894" s="9">
        <v>45127.0</v>
      </c>
      <c r="B894" s="6">
        <f>'Daily Returns'!AP893*(1+'Daily Returns'!AK894)</f>
        <v>1.608582825</v>
      </c>
      <c r="D894" s="4">
        <f>'Daily Returns'!AQ893 * (1 + 'Daily Returns'!AJ894)</f>
        <v>1.403625189</v>
      </c>
      <c r="F894" s="7">
        <f>'Daily Returns'!AR893 * (1 +'Daily Returns'!AL894)</f>
        <v>1.38120945</v>
      </c>
      <c r="H894" s="7">
        <f>'Daily Returns'!AS893*(1+'Daily Returns'!AM894)</f>
        <v>1.470436008</v>
      </c>
      <c r="J894" s="5">
        <f>'Daily Returns'!AT893*(1+'Daily Returns'!AN894)</f>
        <v>1.329744348</v>
      </c>
      <c r="L894" s="5">
        <f>'Daily Returns'!AU893*(1+'Daily Returns'!AO894)</f>
        <v>1.319600953</v>
      </c>
    </row>
    <row r="895" ht="15.75" customHeight="1">
      <c r="A895" s="9">
        <v>45128.0</v>
      </c>
      <c r="B895" s="6">
        <f>'Daily Returns'!AP894*(1+'Daily Returns'!AK895)</f>
        <v>1.614208326</v>
      </c>
      <c r="D895" s="4">
        <f>'Daily Returns'!AQ894 * (1 + 'Daily Returns'!AJ895)</f>
        <v>1.404079963</v>
      </c>
      <c r="F895" s="7">
        <f>'Daily Returns'!AR894 * (1 +'Daily Returns'!AL895)</f>
        <v>1.372907018</v>
      </c>
      <c r="H895" s="7">
        <f>'Daily Returns'!AS894*(1+'Daily Returns'!AM895)</f>
        <v>1.459821131</v>
      </c>
      <c r="J895" s="5">
        <f>'Daily Returns'!AT894*(1+'Daily Returns'!AN895)</f>
        <v>1.337952625</v>
      </c>
      <c r="L895" s="5">
        <f>'Daily Returns'!AU894*(1+'Daily Returns'!AO895)</f>
        <v>1.3282824</v>
      </c>
    </row>
    <row r="896" ht="15.75" customHeight="1">
      <c r="A896" s="9">
        <v>45131.0</v>
      </c>
      <c r="B896" s="6">
        <f>'Daily Returns'!AP895*(1+'Daily Returns'!AK896)</f>
        <v>1.617338368</v>
      </c>
      <c r="D896" s="4">
        <f>'Daily Returns'!AQ895 * (1 + 'Daily Returns'!AJ896)</f>
        <v>1.409744022</v>
      </c>
      <c r="F896" s="7">
        <f>'Daily Returns'!AR895 * (1 +'Daily Returns'!AL896)</f>
        <v>1.373661761</v>
      </c>
      <c r="H896" s="7">
        <f>'Daily Returns'!AS895*(1+'Daily Returns'!AM896)</f>
        <v>1.459691641</v>
      </c>
      <c r="J896" s="5">
        <f>'Daily Returns'!AT895*(1+'Daily Returns'!AN896)</f>
        <v>1.344864809</v>
      </c>
      <c r="L896" s="5">
        <f>'Daily Returns'!AU895*(1+'Daily Returns'!AO896)</f>
        <v>1.33632104</v>
      </c>
    </row>
    <row r="897" ht="15.75" customHeight="1">
      <c r="A897" s="9">
        <v>45132.0</v>
      </c>
      <c r="B897" s="6">
        <f>'Daily Returns'!AP896*(1+'Daily Returns'!AK897)</f>
        <v>1.617092998</v>
      </c>
      <c r="D897" s="4">
        <f>'Daily Returns'!AQ896 * (1 + 'Daily Returns'!AJ897)</f>
        <v>1.413712451</v>
      </c>
      <c r="F897" s="7">
        <f>'Daily Returns'!AR896 * (1 +'Daily Returns'!AL897)</f>
        <v>1.375710387</v>
      </c>
      <c r="H897" s="7">
        <f>'Daily Returns'!AS896*(1+'Daily Returns'!AM897)</f>
        <v>1.464869793</v>
      </c>
      <c r="J897" s="5">
        <f>'Daily Returns'!AT896*(1+'Daily Returns'!AN897)</f>
        <v>1.342704768</v>
      </c>
      <c r="L897" s="5">
        <f>'Daily Returns'!AU896*(1+'Daily Returns'!AO897)</f>
        <v>1.333587657</v>
      </c>
    </row>
    <row r="898" ht="15.75" customHeight="1">
      <c r="A898" s="9">
        <v>45133.0</v>
      </c>
      <c r="B898" s="6">
        <f>'Daily Returns'!AP897*(1+'Daily Returns'!AK898)</f>
        <v>1.616807679</v>
      </c>
      <c r="D898" s="4">
        <f>'Daily Returns'!AQ897 * (1 + 'Daily Returns'!AJ898)</f>
        <v>1.413493326</v>
      </c>
      <c r="F898" s="7">
        <f>'Daily Returns'!AR897 * (1 +'Daily Returns'!AL898)</f>
        <v>1.379268669</v>
      </c>
      <c r="H898" s="7">
        <f>'Daily Returns'!AS897*(1+'Daily Returns'!AM898)</f>
        <v>1.468559174</v>
      </c>
      <c r="J898" s="5">
        <f>'Daily Returns'!AT897*(1+'Daily Returns'!AN898)</f>
        <v>1.350913045</v>
      </c>
      <c r="L898" s="5">
        <f>'Daily Returns'!AU897*(1+'Daily Returns'!AO898)</f>
        <v>1.3405009</v>
      </c>
    </row>
    <row r="899" ht="15.75" customHeight="1">
      <c r="A899" s="9">
        <v>45134.0</v>
      </c>
      <c r="B899" s="6">
        <f>'Daily Returns'!AP898*(1+'Daily Returns'!AK899)</f>
        <v>1.610618601</v>
      </c>
      <c r="D899" s="4">
        <f>'Daily Returns'!AQ898 * (1 + 'Daily Returns'!AJ899)</f>
        <v>1.404411631</v>
      </c>
      <c r="F899" s="7">
        <f>'Daily Returns'!AR898 * (1 +'Daily Returns'!AL899)</f>
        <v>1.380238933</v>
      </c>
      <c r="H899" s="7">
        <f>'Daily Returns'!AS898*(1+'Daily Returns'!AM899)</f>
        <v>1.469659376</v>
      </c>
      <c r="J899" s="5">
        <f>'Daily Returns'!AT898*(1+'Daily Returns'!AN899)</f>
        <v>1.353937207</v>
      </c>
      <c r="L899" s="5">
        <f>'Daily Returns'!AU898*(1+'Daily Returns'!AO899)</f>
        <v>1.343394888</v>
      </c>
    </row>
    <row r="900" ht="15.75" customHeight="1">
      <c r="A900" s="9">
        <v>45135.0</v>
      </c>
      <c r="B900" s="6">
        <f>'Daily Returns'!AP899*(1+'Daily Returns'!AK900)</f>
        <v>1.609999561</v>
      </c>
      <c r="D900" s="4">
        <f>'Daily Returns'!AQ899 * (1 + 'Daily Returns'!AJ900)</f>
        <v>1.418284409</v>
      </c>
      <c r="F900" s="7">
        <f>'Daily Returns'!AR899 * (1 +'Daily Returns'!AL900)</f>
        <v>1.37172098</v>
      </c>
      <c r="H900" s="7">
        <f>'Daily Returns'!AS899*(1+'Daily Returns'!AM900)</f>
        <v>1.45833246</v>
      </c>
      <c r="J900" s="5">
        <f>'Daily Returns'!AT899*(1+'Daily Returns'!AN900)</f>
        <v>1.350913045</v>
      </c>
      <c r="L900" s="5">
        <f>'Daily Returns'!AU899*(1+'Daily Returns'!AO900)</f>
        <v>1.342108628</v>
      </c>
    </row>
    <row r="901" ht="15.75" customHeight="1">
      <c r="A901" s="9">
        <v>45138.0</v>
      </c>
      <c r="B901" s="6">
        <f>'Daily Returns'!AP900*(1+'Daily Returns'!AK901)</f>
        <v>1.614124536</v>
      </c>
      <c r="D901" s="4">
        <f>'Daily Returns'!AQ900 * (1 + 'Daily Returns'!AJ901)</f>
        <v>1.420367869</v>
      </c>
      <c r="F901" s="7">
        <f>'Daily Returns'!AR900 * (1 +'Daily Returns'!AL901)</f>
        <v>1.384875408</v>
      </c>
      <c r="H901" s="7">
        <f>'Daily Returns'!AS900*(1+'Daily Returns'!AM901)</f>
        <v>1.47354294</v>
      </c>
      <c r="J901" s="5">
        <f>'Daily Returns'!AT900*(1+'Daily Returns'!AN901)</f>
        <v>1.351345106</v>
      </c>
      <c r="L901" s="5">
        <f>'Daily Returns'!AU900*(1+'Daily Returns'!AO901)</f>
        <v>1.342430225</v>
      </c>
    </row>
    <row r="902" ht="15.75" customHeight="1">
      <c r="A902" s="9">
        <v>45139.0</v>
      </c>
      <c r="B902" s="6">
        <f>'Daily Returns'!AP901*(1+'Daily Returns'!AK902)</f>
        <v>1.600491909</v>
      </c>
      <c r="D902" s="4">
        <f>'Daily Returns'!AQ901 * (1 + 'Daily Returns'!AJ902)</f>
        <v>1.416582589</v>
      </c>
      <c r="F902" s="7">
        <f>'Daily Returns'!AR901 * (1 +'Daily Returns'!AL902)</f>
        <v>1.385953517</v>
      </c>
      <c r="H902" s="7">
        <f>'Daily Returns'!AS901*(1+'Daily Returns'!AM902)</f>
        <v>1.478008952</v>
      </c>
      <c r="J902" s="5">
        <f>'Daily Returns'!AT901*(1+'Daily Returns'!AN902)</f>
        <v>1.340976787</v>
      </c>
      <c r="L902" s="5">
        <f>'Daily Returns'!AU901*(1+'Daily Returns'!AO902)</f>
        <v>1.332140921</v>
      </c>
    </row>
    <row r="903" ht="15.75" customHeight="1">
      <c r="A903" s="9">
        <v>45140.0</v>
      </c>
      <c r="B903" s="6">
        <f>'Daily Returns'!AP902*(1+'Daily Returns'!AK903)</f>
        <v>1.582579461</v>
      </c>
      <c r="D903" s="4">
        <f>'Daily Returns'!AQ902 * (1 + 'Daily Returns'!AJ903)</f>
        <v>1.396977086</v>
      </c>
      <c r="F903" s="7">
        <f>'Daily Returns'!AR902 * (1 +'Daily Returns'!AL903)</f>
        <v>1.37916074</v>
      </c>
      <c r="H903" s="7">
        <f>'Daily Returns'!AS902*(1+'Daily Returns'!AM903)</f>
        <v>1.473996</v>
      </c>
      <c r="J903" s="5">
        <f>'Daily Returns'!AT902*(1+'Daily Returns'!AN903)</f>
        <v>1.349185065</v>
      </c>
      <c r="L903" s="5">
        <f>'Daily Returns'!AU902*(1+'Daily Returns'!AO903)</f>
        <v>1.341143836</v>
      </c>
    </row>
    <row r="904" ht="15.75" customHeight="1">
      <c r="A904" s="9">
        <v>45141.0</v>
      </c>
      <c r="B904" s="6">
        <f>'Daily Returns'!AP903*(1+'Daily Returns'!AK904)</f>
        <v>1.574239629</v>
      </c>
      <c r="D904" s="4">
        <f>'Daily Returns'!AQ903 * (1 + 'Daily Returns'!AJ904)</f>
        <v>1.393417588</v>
      </c>
      <c r="F904" s="7">
        <f>'Daily Returns'!AR903 * (1 +'Daily Returns'!AL904)</f>
        <v>1.357488442</v>
      </c>
      <c r="H904" s="7">
        <f>'Daily Returns'!AS903*(1+'Daily Returns'!AM904)</f>
        <v>1.453089817</v>
      </c>
      <c r="J904" s="5">
        <f>'Daily Returns'!AT903*(1+'Daily Returns'!AN904)</f>
        <v>1.356097335</v>
      </c>
      <c r="L904" s="5">
        <f>'Daily Returns'!AU903*(1+'Daily Returns'!AO904)</f>
        <v>1.345645681</v>
      </c>
    </row>
    <row r="905" ht="15.75" customHeight="1">
      <c r="A905" s="9">
        <v>45142.0</v>
      </c>
      <c r="B905" s="6">
        <f>'Daily Returns'!AP904*(1+'Daily Returns'!AK905)</f>
        <v>1.572474232</v>
      </c>
      <c r="D905" s="4">
        <f>'Daily Returns'!AQ904 * (1 + 'Daily Returns'!AJ905)</f>
        <v>1.386032475</v>
      </c>
      <c r="F905" s="7">
        <f>'Daily Returns'!AR904 * (1 +'Daily Returns'!AL905)</f>
        <v>1.353391106</v>
      </c>
      <c r="H905" s="7">
        <f>'Daily Returns'!AS904*(1+'Daily Returns'!AM905)</f>
        <v>1.448882581</v>
      </c>
      <c r="J905" s="5">
        <f>'Daily Returns'!AT904*(1+'Daily Returns'!AN905)</f>
        <v>1.349617038</v>
      </c>
      <c r="L905" s="5">
        <f>'Daily Returns'!AU904*(1+'Daily Returns'!AO905)</f>
        <v>1.341465692</v>
      </c>
    </row>
    <row r="906" ht="15.75" customHeight="1">
      <c r="A906" s="9">
        <v>45145.0</v>
      </c>
      <c r="B906" s="6">
        <f>'Daily Returns'!AP905*(1+'Daily Returns'!AK906)</f>
        <v>1.577880683</v>
      </c>
      <c r="D906" s="4">
        <f>'Daily Returns'!AQ905 * (1 + 'Daily Returns'!AJ906)</f>
        <v>1.398540032</v>
      </c>
      <c r="F906" s="7">
        <f>'Daily Returns'!AR905 * (1 +'Daily Returns'!AL906)</f>
        <v>1.350156442</v>
      </c>
      <c r="H906" s="7">
        <f>'Daily Returns'!AS905*(1+'Daily Returns'!AM906)</f>
        <v>1.442733614</v>
      </c>
      <c r="J906" s="5">
        <f>'Daily Returns'!AT905*(1+'Daily Returns'!AN906)</f>
        <v>1.328448254</v>
      </c>
      <c r="L906" s="5">
        <f>'Daily Returns'!AU905*(1+'Daily Returns'!AO906)</f>
        <v>1.321530149</v>
      </c>
    </row>
    <row r="907" ht="15.75" customHeight="1">
      <c r="A907" s="9">
        <v>45146.0</v>
      </c>
      <c r="B907" s="6">
        <f>'Daily Returns'!AP906*(1+'Daily Returns'!AK907)</f>
        <v>1.568363929</v>
      </c>
      <c r="D907" s="4">
        <f>'Daily Returns'!AQ906 * (1 + 'Daily Returns'!AJ907)</f>
        <v>1.39264099</v>
      </c>
      <c r="F907" s="7">
        <f>'Daily Returns'!AR906 * (1 +'Daily Returns'!AL907)</f>
        <v>1.361693539</v>
      </c>
      <c r="H907" s="7">
        <f>'Daily Returns'!AS906*(1+'Daily Returns'!AM907)</f>
        <v>1.453801653</v>
      </c>
      <c r="J907" s="5">
        <f>'Daily Returns'!AT906*(1+'Daily Returns'!AN907)</f>
        <v>1.319807916</v>
      </c>
      <c r="L907" s="5">
        <f>'Daily Returns'!AU906*(1+'Daily Returns'!AO907)</f>
        <v>1.315420835</v>
      </c>
    </row>
    <row r="908" ht="15.75" customHeight="1">
      <c r="A908" s="9">
        <v>45147.0</v>
      </c>
      <c r="B908" s="6">
        <f>'Daily Returns'!AP907*(1+'Daily Returns'!AK908)</f>
        <v>1.571318606</v>
      </c>
      <c r="D908" s="4">
        <f>'Daily Returns'!AQ907 * (1 + 'Daily Returns'!AJ908)</f>
        <v>1.38283819</v>
      </c>
      <c r="F908" s="7">
        <f>'Daily Returns'!AR907 * (1 +'Daily Returns'!AL908)</f>
        <v>1.354792833</v>
      </c>
      <c r="H908" s="7">
        <f>'Daily Returns'!AS907*(1+'Daily Returns'!AM908)</f>
        <v>1.447070238</v>
      </c>
      <c r="J908" s="5">
        <f>'Daily Returns'!AT907*(1+'Daily Returns'!AN908)</f>
        <v>1.32758422</v>
      </c>
      <c r="L908" s="5">
        <f>'Daily Returns'!AU907*(1+'Daily Returns'!AO908)</f>
        <v>1.322173085</v>
      </c>
    </row>
    <row r="909" ht="15.75" customHeight="1">
      <c r="A909" s="9">
        <v>45148.0</v>
      </c>
      <c r="B909" s="6">
        <f>'Daily Returns'!AP908*(1+'Daily Returns'!AK909)</f>
        <v>1.57256086</v>
      </c>
      <c r="D909" s="4">
        <f>'Daily Returns'!AQ908 * (1 + 'Daily Returns'!AJ909)</f>
        <v>1.383185282</v>
      </c>
      <c r="F909" s="7">
        <f>'Daily Returns'!AR908 * (1 +'Daily Returns'!AL909)</f>
        <v>1.347892127</v>
      </c>
      <c r="H909" s="7">
        <f>'Daily Returns'!AS908*(1+'Daily Returns'!AM909)</f>
        <v>1.436714238</v>
      </c>
      <c r="J909" s="5">
        <f>'Daily Returns'!AT908*(1+'Daily Returns'!AN909)</f>
        <v>1.325424092</v>
      </c>
      <c r="L909" s="5">
        <f>'Daily Returns'!AU908*(1+'Daily Returns'!AO909)</f>
        <v>1.319922421</v>
      </c>
    </row>
    <row r="910" ht="15.75" customHeight="1">
      <c r="A910" s="9">
        <v>45149.0</v>
      </c>
      <c r="B910" s="6">
        <f>'Daily Returns'!AP909*(1+'Daily Returns'!AK910)</f>
        <v>1.572986056</v>
      </c>
      <c r="D910" s="4">
        <f>'Daily Returns'!AQ909 * (1 + 'Daily Returns'!AJ910)</f>
        <v>1.381705274</v>
      </c>
      <c r="F910" s="7">
        <f>'Daily Returns'!AR909 * (1 +'Daily Returns'!AL910)</f>
        <v>1.349617303</v>
      </c>
      <c r="H910" s="7">
        <f>'Daily Returns'!AS909*(1+'Daily Returns'!AM910)</f>
        <v>1.436972912</v>
      </c>
      <c r="J910" s="5">
        <f>'Daily Returns'!AT909*(1+'Daily Returns'!AN910)</f>
        <v>1.331904476</v>
      </c>
      <c r="L910" s="5">
        <f>'Daily Returns'!AU909*(1+'Daily Returns'!AO910)</f>
        <v>1.324906468</v>
      </c>
    </row>
    <row r="911" ht="15.75" customHeight="1">
      <c r="A911" s="9">
        <v>45152.0</v>
      </c>
      <c r="B911" s="6">
        <f>'Daily Returns'!AP910*(1+'Daily Returns'!AK911)</f>
        <v>1.57314993</v>
      </c>
      <c r="D911" s="4">
        <f>'Daily Returns'!AQ910 * (1 + 'Daily Returns'!AJ911)</f>
        <v>1.38965008</v>
      </c>
      <c r="F911" s="7">
        <f>'Daily Returns'!AR910 * (1 +'Daily Returns'!AL911)</f>
        <v>1.346382639</v>
      </c>
      <c r="H911" s="7">
        <f>'Daily Returns'!AS910*(1+'Daily Returns'!AM911)</f>
        <v>1.43561363</v>
      </c>
      <c r="J911" s="5">
        <f>'Daily Returns'!AT910*(1+'Daily Returns'!AN911)</f>
        <v>1.337520565</v>
      </c>
      <c r="L911" s="5">
        <f>'Daily Returns'!AU910*(1+'Daily Returns'!AO911)</f>
        <v>1.329247062</v>
      </c>
    </row>
    <row r="912" ht="15.75" customHeight="1">
      <c r="A912" s="9">
        <v>45153.0</v>
      </c>
      <c r="B912" s="6">
        <f>'Daily Returns'!AP911*(1+'Daily Returns'!AK912)</f>
        <v>1.562241865</v>
      </c>
      <c r="D912" s="4">
        <f>'Daily Returns'!AQ911 * (1 + 'Daily Returns'!AJ912)</f>
        <v>1.373598231</v>
      </c>
      <c r="F912" s="7">
        <f>'Daily Returns'!AR911 * (1 +'Daily Returns'!AL912)</f>
        <v>1.349617303</v>
      </c>
      <c r="H912" s="7">
        <f>'Daily Returns'!AS911*(1+'Daily Returns'!AM912)</f>
        <v>1.442733614</v>
      </c>
      <c r="J912" s="5">
        <f>'Daily Returns'!AT911*(1+'Daily Returns'!AN912)</f>
        <v>1.341408674</v>
      </c>
      <c r="L912" s="5">
        <f>'Daily Returns'!AU911*(1+'Daily Returns'!AO912)</f>
        <v>1.332784116</v>
      </c>
    </row>
    <row r="913" ht="15.75" customHeight="1">
      <c r="A913" s="9">
        <v>45154.0</v>
      </c>
      <c r="B913" s="6">
        <f>'Daily Returns'!AP912*(1+'Daily Returns'!AK913)</f>
        <v>1.560025305</v>
      </c>
      <c r="D913" s="4">
        <f>'Daily Returns'!AQ912 * (1 + 'Daily Returns'!AJ913)</f>
        <v>1.363220697</v>
      </c>
      <c r="F913" s="7">
        <f>'Daily Returns'!AR912 * (1 +'Daily Returns'!AL913)</f>
        <v>1.333551745</v>
      </c>
      <c r="H913" s="7">
        <f>'Daily Returns'!AS912*(1+'Daily Returns'!AM913)</f>
        <v>1.426358035</v>
      </c>
      <c r="J913" s="5">
        <f>'Daily Returns'!AT912*(1+'Daily Returns'!AN913)</f>
        <v>1.33406443</v>
      </c>
      <c r="L913" s="5">
        <f>'Daily Returns'!AU912*(1+'Daily Returns'!AO913)</f>
        <v>1.325710139</v>
      </c>
    </row>
    <row r="914" ht="15.75" customHeight="1">
      <c r="A914" s="9">
        <v>45155.0</v>
      </c>
      <c r="B914" s="6">
        <f>'Daily Returns'!AP913*(1+'Daily Returns'!AK914)</f>
        <v>1.554481868</v>
      </c>
      <c r="D914" s="4">
        <f>'Daily Returns'!AQ913 * (1 + 'Daily Returns'!AJ914)</f>
        <v>1.352706176</v>
      </c>
      <c r="F914" s="7">
        <f>'Daily Returns'!AR913 * (1 +'Daily Returns'!AL914)</f>
        <v>1.322985165</v>
      </c>
      <c r="H914" s="7">
        <f>'Daily Returns'!AS913*(1+'Daily Returns'!AM914)</f>
        <v>1.414577855</v>
      </c>
      <c r="J914" s="5">
        <f>'Daily Returns'!AT913*(1+'Daily Returns'!AN914)</f>
        <v>1.307279469</v>
      </c>
      <c r="L914" s="5">
        <f>'Daily Returns'!AU913*(1+'Daily Returns'!AO914)</f>
        <v>1.301594478</v>
      </c>
    </row>
    <row r="915" ht="15.75" customHeight="1">
      <c r="A915" s="9">
        <v>45156.0</v>
      </c>
      <c r="B915" s="6">
        <f>'Daily Returns'!AP914*(1+'Daily Returns'!AK915)</f>
        <v>1.548700176</v>
      </c>
      <c r="D915" s="4">
        <f>'Daily Returns'!AQ914 * (1 + 'Daily Returns'!AJ915)</f>
        <v>1.352504622</v>
      </c>
      <c r="F915" s="7">
        <f>'Daily Returns'!AR914 * (1 +'Daily Returns'!AL915)</f>
        <v>1.313820144</v>
      </c>
      <c r="H915" s="7">
        <f>'Daily Returns'!AS914*(1+'Daily Returns'!AM915)</f>
        <v>1.402991961</v>
      </c>
      <c r="J915" s="5">
        <f>'Daily Returns'!AT914*(1+'Daily Returns'!AN915)</f>
        <v>1.30771153</v>
      </c>
      <c r="L915" s="5">
        <f>'Daily Returns'!AU914*(1+'Daily Returns'!AO915)</f>
        <v>1.300951542</v>
      </c>
    </row>
    <row r="916" ht="15.75" customHeight="1">
      <c r="A916" s="9">
        <v>45159.0</v>
      </c>
      <c r="B916" s="6">
        <f>'Daily Returns'!AP915*(1+'Daily Returns'!AK916)</f>
        <v>1.541056362</v>
      </c>
      <c r="D916" s="4">
        <f>'Daily Returns'!AQ915 * (1 + 'Daily Returns'!AJ916)</f>
        <v>1.361808502</v>
      </c>
      <c r="F916" s="7">
        <f>'Daily Returns'!AR915 * (1 +'Daily Returns'!AL916)</f>
        <v>1.313496694</v>
      </c>
      <c r="H916" s="7">
        <f>'Daily Returns'!AS915*(1+'Daily Returns'!AM916)</f>
        <v>1.404610222</v>
      </c>
      <c r="J916" s="5">
        <f>'Daily Returns'!AT915*(1+'Daily Returns'!AN916)</f>
        <v>1.302095354</v>
      </c>
      <c r="L916" s="5">
        <f>'Daily Returns'!AU915*(1+'Daily Returns'!AO916)</f>
        <v>1.295807019</v>
      </c>
    </row>
    <row r="917" ht="15.75" customHeight="1">
      <c r="A917" s="9">
        <v>45160.0</v>
      </c>
      <c r="B917" s="6">
        <f>'Daily Returns'!AP916*(1+'Daily Returns'!AK917)</f>
        <v>1.535571914</v>
      </c>
      <c r="D917" s="4">
        <f>'Daily Returns'!AQ916 * (1 + 'Daily Returns'!AJ917)</f>
        <v>1.358026759</v>
      </c>
      <c r="F917" s="7">
        <f>'Daily Returns'!AR916 * (1 +'Daily Returns'!AL917)</f>
        <v>1.321583438</v>
      </c>
      <c r="H917" s="7">
        <f>'Daily Returns'!AS916*(1+'Daily Returns'!AM917)</f>
        <v>1.412701021</v>
      </c>
      <c r="J917" s="5">
        <f>'Daily Returns'!AT916*(1+'Daily Returns'!AN917)</f>
        <v>1.302527327</v>
      </c>
      <c r="L917" s="5">
        <f>'Daily Returns'!AU916*(1+'Daily Returns'!AO917)</f>
        <v>1.296128358</v>
      </c>
    </row>
    <row r="918" ht="15.75" customHeight="1">
      <c r="A918" s="9">
        <v>45161.0</v>
      </c>
      <c r="B918" s="6">
        <f>'Daily Returns'!AP917*(1+'Daily Returns'!AK918)</f>
        <v>1.540702788</v>
      </c>
      <c r="D918" s="4">
        <f>'Daily Returns'!AQ917 * (1 + 'Daily Returns'!AJ918)</f>
        <v>1.373026165</v>
      </c>
      <c r="F918" s="7">
        <f>'Daily Returns'!AR917 * (1 +'Daily Returns'!AL918)</f>
        <v>1.317701791</v>
      </c>
      <c r="H918" s="7">
        <f>'Daily Returns'!AS917*(1+'Daily Returns'!AM918)</f>
        <v>1.408946744</v>
      </c>
      <c r="J918" s="5">
        <f>'Daily Returns'!AT917*(1+'Daily Returns'!AN918)</f>
        <v>1.300799347</v>
      </c>
      <c r="L918" s="5">
        <f>'Daily Returns'!AU917*(1+'Daily Returns'!AO918)</f>
        <v>1.294199033</v>
      </c>
    </row>
    <row r="919" ht="15.75" customHeight="1">
      <c r="A919" s="9">
        <v>45162.0</v>
      </c>
      <c r="B919" s="6">
        <f>'Daily Returns'!AP918*(1+'Daily Returns'!AK919)</f>
        <v>1.541118123</v>
      </c>
      <c r="D919" s="4">
        <f>'Daily Returns'!AQ918 * (1 + 'Daily Returns'!AJ919)</f>
        <v>1.354547979</v>
      </c>
      <c r="F919" s="7">
        <f>'Daily Returns'!AR918 * (1 +'Daily Returns'!AL919)</f>
        <v>1.331718723</v>
      </c>
      <c r="H919" s="7">
        <f>'Daily Returns'!AS918*(1+'Daily Returns'!AM919)</f>
        <v>1.424351407</v>
      </c>
      <c r="J919" s="5">
        <f>'Daily Returns'!AT918*(1+'Daily Returns'!AN919)</f>
        <v>1.293022955</v>
      </c>
      <c r="L919" s="5">
        <f>'Daily Returns'!AU918*(1+'Daily Returns'!AO919)</f>
        <v>1.288411444</v>
      </c>
    </row>
    <row r="920" ht="15.75" customHeight="1">
      <c r="A920" s="9">
        <v>45163.0</v>
      </c>
      <c r="B920" s="6">
        <f>'Daily Returns'!AP919*(1+'Daily Returns'!AK920)</f>
        <v>1.541649809</v>
      </c>
      <c r="D920" s="4">
        <f>'Daily Returns'!AQ919 * (1 + 'Daily Returns'!AJ920)</f>
        <v>1.363647832</v>
      </c>
      <c r="F920" s="7">
        <f>'Daily Returns'!AR919 * (1 +'Daily Returns'!AL920)</f>
        <v>1.314035833</v>
      </c>
      <c r="H920" s="7">
        <f>'Daily Returns'!AS919*(1+'Daily Returns'!AM920)</f>
        <v>1.405257465</v>
      </c>
      <c r="J920" s="5">
        <f>'Daily Returns'!AT919*(1+'Daily Returns'!AN920)</f>
        <v>1.305983375</v>
      </c>
      <c r="L920" s="5">
        <f>'Daily Returns'!AU919*(1+'Daily Returns'!AO920)</f>
        <v>1.300951542</v>
      </c>
    </row>
    <row r="921" ht="15.75" customHeight="1">
      <c r="A921" s="9">
        <v>45166.0</v>
      </c>
      <c r="B921" s="6">
        <f>'Daily Returns'!AP920*(1+'Daily Returns'!AK921)</f>
        <v>1.550428757</v>
      </c>
      <c r="D921" s="4">
        <f>'Daily Returns'!AQ920 * (1 + 'Daily Returns'!AJ921)</f>
        <v>1.372191086</v>
      </c>
      <c r="F921" s="7">
        <f>'Daily Returns'!AR920 * (1 +'Daily Returns'!AL921)</f>
        <v>1.322985165</v>
      </c>
      <c r="H921" s="7">
        <f>'Daily Returns'!AS920*(1+'Daily Returns'!AM921)</f>
        <v>1.414836733</v>
      </c>
      <c r="J921" s="5">
        <f>'Daily Returns'!AT920*(1+'Daily Returns'!AN921)</f>
        <v>1.299503078</v>
      </c>
      <c r="L921" s="5">
        <f>'Daily Returns'!AU920*(1+'Daily Returns'!AO921)</f>
        <v>1.294199033</v>
      </c>
    </row>
    <row r="922" ht="15.75" customHeight="1">
      <c r="A922" s="9">
        <v>45167.0</v>
      </c>
      <c r="B922" s="6">
        <f>'Daily Returns'!AP921*(1+'Daily Returns'!AK922)</f>
        <v>1.566961226</v>
      </c>
      <c r="D922" s="4">
        <f>'Daily Returns'!AQ921 * (1 + 'Daily Returns'!AJ922)</f>
        <v>1.392098834</v>
      </c>
      <c r="F922" s="7">
        <f>'Daily Returns'!AR921 * (1 +'Daily Returns'!AL922)</f>
        <v>1.33312045</v>
      </c>
      <c r="H922" s="7">
        <f>'Daily Returns'!AS921*(1+'Daily Returns'!AM922)</f>
        <v>1.423898549</v>
      </c>
      <c r="J922" s="5">
        <f>'Daily Returns'!AT921*(1+'Daily Returns'!AN922)</f>
        <v>1.303205533</v>
      </c>
      <c r="L922" s="5">
        <f>'Daily Returns'!AU921*(1+'Daily Returns'!AO922)</f>
        <v>1.298057554</v>
      </c>
    </row>
    <row r="923" ht="15.75" customHeight="1">
      <c r="A923" s="9">
        <v>45168.0</v>
      </c>
      <c r="B923" s="6">
        <f>'Daily Returns'!AP922*(1+'Daily Returns'!AK923)</f>
        <v>1.565580504</v>
      </c>
      <c r="D923" s="4">
        <f>'Daily Returns'!AQ922 * (1 + 'Daily Returns'!AJ923)</f>
        <v>1.397434749</v>
      </c>
      <c r="F923" s="7">
        <f>'Daily Returns'!AR922 * (1 +'Daily Returns'!AL923)</f>
        <v>1.352097308</v>
      </c>
      <c r="H923" s="7">
        <f>'Daily Returns'!AS922*(1+'Daily Returns'!AM923)</f>
        <v>1.44461055</v>
      </c>
      <c r="J923" s="5">
        <f>'Daily Returns'!AT922*(1+'Daily Returns'!AN923)</f>
        <v>1.315401492</v>
      </c>
      <c r="L923" s="5">
        <f>'Daily Returns'!AU922*(1+'Daily Returns'!AO923)</f>
        <v>1.309954586</v>
      </c>
    </row>
    <row r="924" ht="15.75" customHeight="1">
      <c r="A924" s="9">
        <v>45169.0</v>
      </c>
      <c r="B924" s="6">
        <f>'Daily Returns'!AP923*(1+'Daily Returns'!AK924)</f>
        <v>1.563507271</v>
      </c>
      <c r="D924" s="4">
        <f>'Daily Returns'!AQ923 * (1 + 'Daily Returns'!AJ924)</f>
        <v>1.395203046</v>
      </c>
      <c r="F924" s="7">
        <f>'Daily Returns'!AR923 * (1 +'Daily Returns'!AL924)</f>
        <v>1.357380597</v>
      </c>
      <c r="H924" s="7">
        <f>'Daily Returns'!AS923*(1+'Daily Returns'!AM924)</f>
        <v>1.451018394</v>
      </c>
      <c r="J924" s="5">
        <f>'Daily Returns'!AT923*(1+'Daily Returns'!AN924)</f>
        <v>1.333695037</v>
      </c>
      <c r="L924" s="5">
        <f>'Daily Returns'!AU923*(1+'Daily Returns'!AO924)</f>
        <v>1.327639464</v>
      </c>
    </row>
    <row r="925" ht="15.75" customHeight="1">
      <c r="A925" s="9">
        <v>45170.0</v>
      </c>
      <c r="B925" s="6">
        <f>'Daily Returns'!AP924*(1+'Daily Returns'!AK925)</f>
        <v>1.568748155</v>
      </c>
      <c r="D925" s="4">
        <f>'Daily Returns'!AQ924 * (1 + 'Daily Returns'!AJ925)</f>
        <v>1.397713016</v>
      </c>
      <c r="F925" s="7">
        <f>'Daily Returns'!AR924 * (1 +'Daily Returns'!AL925)</f>
        <v>1.355331803</v>
      </c>
      <c r="H925" s="7">
        <f>'Daily Returns'!AS924*(1+'Daily Returns'!AM925)</f>
        <v>1.449464928</v>
      </c>
      <c r="J925" s="5">
        <f>'Daily Returns'!AT924*(1+'Daily Returns'!AN925)</f>
        <v>1.338050631</v>
      </c>
      <c r="L925" s="5">
        <f>'Daily Returns'!AU924*(1+'Daily Returns'!AO925)</f>
        <v>1.330533322</v>
      </c>
    </row>
    <row r="926" ht="15.75" customHeight="1">
      <c r="A926" s="9">
        <v>45174.0</v>
      </c>
      <c r="B926" s="6">
        <f>'Daily Returns'!AP925*(1+'Daily Returns'!AK926)</f>
        <v>1.564183722</v>
      </c>
      <c r="D926" s="4">
        <f>'Daily Returns'!AQ925 * (1 + 'Daily Returns'!AJ926)</f>
        <v>1.391851008</v>
      </c>
      <c r="F926" s="7">
        <f>'Daily Returns'!AR925 * (1 +'Daily Returns'!AL926)</f>
        <v>1.357596287</v>
      </c>
      <c r="H926" s="7">
        <f>'Daily Returns'!AS925*(1+'Daily Returns'!AM926)</f>
        <v>1.454254612</v>
      </c>
      <c r="J926" s="5">
        <f>'Daily Returns'!AT925*(1+'Daily Returns'!AN926)</f>
        <v>1.336743918</v>
      </c>
      <c r="L926" s="5">
        <f>'Daily Returns'!AU925*(1+'Daily Returns'!AO926)</f>
        <v>1.328925465</v>
      </c>
    </row>
    <row r="927" ht="15.75" customHeight="1">
      <c r="A927" s="9">
        <v>45175.0</v>
      </c>
      <c r="B927" s="6">
        <f>'Daily Returns'!AP926*(1+'Daily Returns'!AK927)</f>
        <v>1.559310404</v>
      </c>
      <c r="D927" s="4">
        <f>'Daily Returns'!AQ926 * (1 + 'Daily Returns'!AJ927)</f>
        <v>1.382147022</v>
      </c>
      <c r="F927" s="7">
        <f>'Daily Returns'!AR926 * (1 +'Daily Returns'!AL927)</f>
        <v>1.350048597</v>
      </c>
      <c r="H927" s="7">
        <f>'Daily Returns'!AS926*(1+'Daily Returns'!AM927)</f>
        <v>1.445581466</v>
      </c>
      <c r="J927" s="5">
        <f>'Daily Returns'!AT926*(1+'Daily Returns'!AN927)</f>
        <v>1.353730925</v>
      </c>
      <c r="L927" s="5">
        <f>'Daily Returns'!AU926*(1+'Daily Returns'!AO927)</f>
        <v>1.345645681</v>
      </c>
    </row>
    <row r="928" ht="15.75" customHeight="1">
      <c r="A928" s="9">
        <v>45176.0</v>
      </c>
      <c r="B928" s="6">
        <f>'Daily Returns'!AP927*(1+'Daily Returns'!AK928)</f>
        <v>1.558848835</v>
      </c>
      <c r="D928" s="4">
        <f>'Daily Returns'!AQ927 * (1 + 'Daily Returns'!AJ928)</f>
        <v>1.377708948</v>
      </c>
      <c r="F928" s="7">
        <f>'Daily Returns'!AR927 * (1 +'Daily Returns'!AL928)</f>
        <v>1.341854093</v>
      </c>
      <c r="H928" s="7">
        <f>'Daily Returns'!AS927*(1+'Daily Returns'!AM928)</f>
        <v>1.436519953</v>
      </c>
      <c r="J928" s="5">
        <f>'Daily Returns'!AT927*(1+'Daily Returns'!AN928)</f>
        <v>1.344148567</v>
      </c>
      <c r="L928" s="5">
        <f>'Daily Returns'!AU927*(1+'Daily Returns'!AO928)</f>
        <v>1.337607041</v>
      </c>
    </row>
    <row r="929" ht="15.75" customHeight="1">
      <c r="A929" s="9">
        <v>45177.0</v>
      </c>
      <c r="B929" s="6">
        <f>'Daily Returns'!AP928*(1+'Daily Returns'!AK929)</f>
        <v>1.560583421</v>
      </c>
      <c r="D929" s="4">
        <f>'Daily Returns'!AQ928 * (1 + 'Daily Returns'!AJ929)</f>
        <v>1.379674939</v>
      </c>
      <c r="F929" s="7">
        <f>'Daily Returns'!AR928 * (1 +'Daily Returns'!AL929)</f>
        <v>1.337972446</v>
      </c>
      <c r="H929" s="7">
        <f>'Daily Returns'!AS928*(1+'Daily Returns'!AM929)</f>
        <v>1.43160078</v>
      </c>
      <c r="J929" s="5">
        <f>'Daily Returns'!AT928*(1+'Daily Returns'!AN929)</f>
        <v>1.331081525</v>
      </c>
      <c r="L929" s="5">
        <f>'Daily Returns'!AU928*(1+'Daily Returns'!AO929)</f>
        <v>1.325066944</v>
      </c>
    </row>
    <row r="930" ht="15.75" customHeight="1">
      <c r="A930" s="9">
        <v>45180.0</v>
      </c>
      <c r="B930" s="6">
        <f>'Daily Returns'!AP929*(1+'Daily Returns'!AK930)</f>
        <v>1.56980018</v>
      </c>
      <c r="D930" s="4">
        <f>'Daily Returns'!AQ929 * (1 + 'Daily Returns'!AJ930)</f>
        <v>1.388951873</v>
      </c>
      <c r="F930" s="7">
        <f>'Daily Returns'!AR929 * (1 +'Daily Returns'!AL930)</f>
        <v>1.338295896</v>
      </c>
      <c r="H930" s="7">
        <f>'Daily Returns'!AS929*(1+'Daily Returns'!AM930)</f>
        <v>1.433154144</v>
      </c>
      <c r="J930" s="5">
        <f>'Daily Returns'!AT929*(1+'Daily Returns'!AN930)</f>
        <v>1.326726018</v>
      </c>
      <c r="L930" s="5">
        <f>'Daily Returns'!AU929*(1+'Daily Returns'!AO930)</f>
        <v>1.319600953</v>
      </c>
    </row>
    <row r="931" ht="15.75" customHeight="1">
      <c r="A931" s="9">
        <v>45181.0</v>
      </c>
      <c r="B931" s="6">
        <f>'Daily Returns'!AP930*(1+'Daily Returns'!AK931)</f>
        <v>1.573626379</v>
      </c>
      <c r="D931" s="4">
        <f>'Daily Returns'!AQ930 * (1 + 'Daily Returns'!AJ931)</f>
        <v>1.381040403</v>
      </c>
      <c r="F931" s="7">
        <f>'Daily Returns'!AR930 * (1 +'Daily Returns'!AL931)</f>
        <v>1.348754715</v>
      </c>
      <c r="H931" s="7">
        <f>'Daily Returns'!AS930*(1+'Daily Returns'!AM931)</f>
        <v>1.442150963</v>
      </c>
      <c r="J931" s="5">
        <f>'Daily Returns'!AT930*(1+'Daily Returns'!AN931)</f>
        <v>1.322370337</v>
      </c>
      <c r="L931" s="5">
        <f>'Daily Returns'!AU930*(1+'Daily Returns'!AO931)</f>
        <v>1.315420835</v>
      </c>
    </row>
    <row r="932" ht="15.75" customHeight="1">
      <c r="A932" s="9">
        <v>45182.0</v>
      </c>
      <c r="B932" s="6">
        <f>'Daily Returns'!AP931*(1+'Daily Returns'!AK932)</f>
        <v>1.575405429</v>
      </c>
      <c r="D932" s="4">
        <f>'Daily Returns'!AQ931 * (1 + 'Daily Returns'!AJ932)</f>
        <v>1.382755656</v>
      </c>
      <c r="F932" s="7">
        <f>'Daily Returns'!AR931 * (1 +'Daily Returns'!AL932)</f>
        <v>1.342177543</v>
      </c>
      <c r="H932" s="7">
        <f>'Daily Returns'!AS931*(1+'Daily Returns'!AM932)</f>
        <v>1.43516067</v>
      </c>
      <c r="J932" s="5">
        <f>'Daily Returns'!AT931*(1+'Daily Returns'!AN932)</f>
        <v>1.330210528</v>
      </c>
      <c r="L932" s="5">
        <f>'Daily Returns'!AU931*(1+'Daily Returns'!AO932)</f>
        <v>1.323459345</v>
      </c>
    </row>
    <row r="933" ht="15.75" customHeight="1">
      <c r="A933" s="9">
        <v>45183.0</v>
      </c>
      <c r="B933" s="6">
        <f>'Daily Returns'!AP932*(1+'Daily Returns'!AK933)</f>
        <v>1.58503183</v>
      </c>
      <c r="D933" s="4">
        <f>'Daily Returns'!AQ932 * (1 + 'Daily Returns'!AJ933)</f>
        <v>1.394412286</v>
      </c>
      <c r="F933" s="7">
        <f>'Daily Returns'!AR932 * (1 +'Daily Returns'!AL933)</f>
        <v>1.342608837</v>
      </c>
      <c r="H933" s="7">
        <f>'Daily Returns'!AS932*(1+'Daily Returns'!AM933)</f>
        <v>1.435354854</v>
      </c>
      <c r="J933" s="5">
        <f>'Daily Returns'!AT932*(1+'Daily Returns'!AN933)</f>
        <v>1.332823779</v>
      </c>
      <c r="L933" s="5">
        <f>'Daily Returns'!AU932*(1+'Daily Returns'!AO933)</f>
        <v>1.325710139</v>
      </c>
    </row>
    <row r="934" ht="15.75" customHeight="1">
      <c r="A934" s="9">
        <v>45184.0</v>
      </c>
      <c r="B934" s="6">
        <f>'Daily Returns'!AP933*(1+'Daily Returns'!AK934)</f>
        <v>1.584293194</v>
      </c>
      <c r="D934" s="4">
        <f>'Daily Returns'!AQ933 * (1 + 'Daily Returns'!AJ934)</f>
        <v>1.377456232</v>
      </c>
      <c r="F934" s="7">
        <f>'Daily Returns'!AR933 * (1 +'Daily Returns'!AL934)</f>
        <v>1.355547576</v>
      </c>
      <c r="H934" s="7">
        <f>'Daily Returns'!AS933*(1+'Daily Returns'!AM934)</f>
        <v>1.447652686</v>
      </c>
      <c r="J934" s="5">
        <f>'Daily Returns'!AT933*(1+'Daily Returns'!AN934)</f>
        <v>1.338486086</v>
      </c>
      <c r="L934" s="5">
        <f>'Daily Returns'!AU933*(1+'Daily Returns'!AO934)</f>
        <v>1.329247062</v>
      </c>
    </row>
    <row r="935" ht="15.75" customHeight="1">
      <c r="A935" s="9">
        <v>45187.0</v>
      </c>
      <c r="B935" s="6">
        <f>'Daily Returns'!AP934*(1+'Daily Returns'!AK935)</f>
        <v>1.580860214</v>
      </c>
      <c r="D935" s="4">
        <f>'Daily Returns'!AQ934 * (1 + 'Daily Returns'!AJ935)</f>
        <v>1.378449378</v>
      </c>
      <c r="F935" s="7">
        <f>'Daily Returns'!AR934 * (1 +'Daily Returns'!AL935)</f>
        <v>1.343687114</v>
      </c>
      <c r="H935" s="7">
        <f>'Daily Returns'!AS934*(1+'Daily Returns'!AM935)</f>
        <v>1.430629863</v>
      </c>
      <c r="J935" s="5">
        <f>'Daily Returns'!AT934*(1+'Daily Returns'!AN935)</f>
        <v>1.35895769</v>
      </c>
      <c r="L935" s="5">
        <f>'Daily Returns'!AU934*(1+'Daily Returns'!AO935)</f>
        <v>1.349825541</v>
      </c>
    </row>
    <row r="936" ht="15.75" customHeight="1">
      <c r="A936" s="9">
        <v>45188.0</v>
      </c>
      <c r="B936" s="6">
        <f>'Daily Returns'!AP935*(1+'Daily Returns'!AK936)</f>
        <v>1.573037707</v>
      </c>
      <c r="D936" s="4">
        <f>'Daily Returns'!AQ935 * (1 + 'Daily Returns'!AJ936)</f>
        <v>1.375484334</v>
      </c>
      <c r="F936" s="7">
        <f>'Daily Returns'!AR935 * (1 +'Daily Returns'!AL936)</f>
        <v>1.342608837</v>
      </c>
      <c r="H936" s="7">
        <f>'Daily Returns'!AS935*(1+'Daily Returns'!AM936)</f>
        <v>1.430759251</v>
      </c>
      <c r="J936" s="5">
        <f>'Daily Returns'!AT935*(1+'Daily Returns'!AN936)</f>
        <v>1.361135574</v>
      </c>
      <c r="L936" s="5">
        <f>'Daily Returns'!AU935*(1+'Daily Returns'!AO936)</f>
        <v>1.352076334</v>
      </c>
    </row>
    <row r="937" ht="15.75" customHeight="1">
      <c r="A937" s="9">
        <v>45189.0</v>
      </c>
      <c r="B937" s="6">
        <f>'Daily Returns'!AP936*(1+'Daily Returns'!AK937)</f>
        <v>1.573917266</v>
      </c>
      <c r="D937" s="4">
        <f>'Daily Returns'!AQ936 * (1 + 'Daily Returns'!AJ937)</f>
        <v>1.362561658</v>
      </c>
      <c r="F937" s="7">
        <f>'Daily Returns'!AR936 * (1 +'Daily Returns'!AL937)</f>
        <v>1.340667971</v>
      </c>
      <c r="H937" s="7">
        <f>'Daily Returns'!AS936*(1+'Daily Returns'!AM937)</f>
        <v>1.427134666</v>
      </c>
      <c r="J937" s="5">
        <f>'Daily Returns'!AT936*(1+'Daily Returns'!AN937)</f>
        <v>1.352859754</v>
      </c>
      <c r="L937" s="5">
        <f>'Daily Returns'!AU936*(1+'Daily Returns'!AO937)</f>
        <v>1.344681018</v>
      </c>
    </row>
    <row r="938" ht="15.75" customHeight="1">
      <c r="A938" s="9">
        <v>45190.0</v>
      </c>
      <c r="B938" s="6">
        <f>'Daily Returns'!AP937*(1+'Daily Returns'!AK938)</f>
        <v>1.558165334</v>
      </c>
      <c r="D938" s="4">
        <f>'Daily Returns'!AQ937 * (1 + 'Daily Returns'!AJ938)</f>
        <v>1.340214285</v>
      </c>
      <c r="F938" s="7">
        <f>'Daily Returns'!AR937 * (1 +'Daily Returns'!AL938)</f>
        <v>1.330856135</v>
      </c>
      <c r="H938" s="7">
        <f>'Daily Returns'!AS937*(1+'Daily Returns'!AM938)</f>
        <v>1.414513161</v>
      </c>
      <c r="J938" s="5">
        <f>'Daily Returns'!AT937*(1+'Daily Returns'!AN938)</f>
        <v>1.335872834</v>
      </c>
      <c r="L938" s="5">
        <f>'Daily Returns'!AU937*(1+'Daily Returns'!AO938)</f>
        <v>1.327639464</v>
      </c>
    </row>
    <row r="939" ht="15.75" customHeight="1">
      <c r="A939" s="9">
        <v>45191.0</v>
      </c>
      <c r="B939" s="6">
        <f>'Daily Returns'!AP938*(1+'Daily Returns'!AK939)</f>
        <v>1.557561383</v>
      </c>
      <c r="D939" s="4">
        <f>'Daily Returns'!AQ938 * (1 + 'Daily Returns'!AJ939)</f>
        <v>1.337137153</v>
      </c>
      <c r="F939" s="7">
        <f>'Daily Returns'!AR938 * (1 +'Daily Returns'!AL939)</f>
        <v>1.308536938</v>
      </c>
      <c r="H939" s="7">
        <f>'Daily Returns'!AS938*(1+'Daily Returns'!AM939)</f>
        <v>1.39078879</v>
      </c>
      <c r="J939" s="5">
        <f>'Daily Returns'!AT938*(1+'Daily Returns'!AN939)</f>
        <v>1.335872834</v>
      </c>
      <c r="L939" s="5">
        <f>'Daily Returns'!AU938*(1+'Daily Returns'!AO939)</f>
        <v>1.326996398</v>
      </c>
    </row>
    <row r="940" ht="15.75" customHeight="1">
      <c r="A940" s="9">
        <v>45194.0</v>
      </c>
      <c r="B940" s="6">
        <f>'Daily Returns'!AP939*(1+'Daily Returns'!AK940)</f>
        <v>1.559316659</v>
      </c>
      <c r="D940" s="4">
        <f>'Daily Returns'!AQ939 * (1 + 'Daily Returns'!AJ940)</f>
        <v>1.342516455</v>
      </c>
      <c r="F940" s="7">
        <f>'Daily Returns'!AR939 * (1 +'Daily Returns'!AL940)</f>
        <v>1.306488312</v>
      </c>
      <c r="H940" s="7">
        <f>'Daily Returns'!AS939*(1+'Daily Returns'!AM940)</f>
        <v>1.387865411</v>
      </c>
      <c r="J940" s="5">
        <f>'Daily Returns'!AT939*(1+'Daily Returns'!AN940)</f>
        <v>1.307125672</v>
      </c>
      <c r="L940" s="5">
        <f>'Daily Returns'!AU939*(1+'Daily Returns'!AO940)</f>
        <v>1.299987008</v>
      </c>
    </row>
    <row r="941" ht="15.75" customHeight="1">
      <c r="A941" s="9">
        <v>45195.0</v>
      </c>
      <c r="B941" s="6">
        <f>'Daily Returns'!AP940*(1+'Daily Returns'!AK941)</f>
        <v>1.545821493</v>
      </c>
      <c r="D941" s="4">
        <f>'Daily Returns'!AQ940 * (1 + 'Daily Returns'!AJ941)</f>
        <v>1.322734475</v>
      </c>
      <c r="F941" s="7">
        <f>'Daily Returns'!AR940 * (1 +'Daily Returns'!AL941)</f>
        <v>1.308860388</v>
      </c>
      <c r="H941" s="7">
        <f>'Daily Returns'!AS940*(1+'Daily Returns'!AM941)</f>
        <v>1.393452279</v>
      </c>
      <c r="J941" s="5">
        <f>'Daily Returns'!AT940*(1+'Daily Returns'!AN941)</f>
        <v>1.30538333</v>
      </c>
      <c r="L941" s="5">
        <f>'Daily Returns'!AU940*(1+'Daily Returns'!AO941)</f>
        <v>1.298700878</v>
      </c>
    </row>
    <row r="942" ht="15.75" customHeight="1">
      <c r="A942" s="9">
        <v>45196.0</v>
      </c>
      <c r="B942" s="6">
        <f>'Daily Returns'!AP941*(1+'Daily Returns'!AK942)</f>
        <v>1.53840452</v>
      </c>
      <c r="D942" s="4">
        <f>'Daily Returns'!AQ941 * (1 + 'Daily Returns'!AJ942)</f>
        <v>1.323037382</v>
      </c>
      <c r="F942" s="7">
        <f>'Daily Returns'!AR941 * (1 +'Daily Returns'!AL942)</f>
        <v>1.290314825</v>
      </c>
      <c r="H942" s="7">
        <f>'Daily Returns'!AS941*(1+'Daily Returns'!AM942)</f>
        <v>1.373378714</v>
      </c>
      <c r="J942" s="5">
        <f>'Daily Returns'!AT941*(1+'Daily Returns'!AN942)</f>
        <v>1.307561127</v>
      </c>
      <c r="L942" s="5">
        <f>'Daily Returns'!AU941*(1+'Daily Returns'!AO942)</f>
        <v>1.299343814</v>
      </c>
    </row>
    <row r="943" ht="15.75" customHeight="1">
      <c r="A943" s="9">
        <v>45197.0</v>
      </c>
      <c r="B943" s="6">
        <f>'Daily Returns'!AP942*(1+'Daily Returns'!AK943)</f>
        <v>1.539852841</v>
      </c>
      <c r="D943" s="4">
        <f>'Daily Returns'!AQ942 * (1 + 'Daily Returns'!AJ943)</f>
        <v>1.330834041</v>
      </c>
      <c r="F943" s="7">
        <f>'Daily Returns'!AR942 * (1 +'Daily Returns'!AL943)</f>
        <v>1.289344392</v>
      </c>
      <c r="H943" s="7">
        <f>'Daily Returns'!AS942*(1+'Daily Returns'!AM943)</f>
        <v>1.374808057</v>
      </c>
      <c r="J943" s="5">
        <f>'Daily Returns'!AT942*(1+'Daily Returns'!AN943)</f>
        <v>1.292316549</v>
      </c>
      <c r="L943" s="5">
        <f>'Daily Returns'!AU942*(1+'Daily Returns'!AO943)</f>
        <v>1.284552923</v>
      </c>
    </row>
    <row r="944" ht="15.75" customHeight="1">
      <c r="A944" s="9">
        <v>45198.0</v>
      </c>
      <c r="B944" s="6">
        <f>'Daily Returns'!AP943*(1+'Daily Returns'!AK944)</f>
        <v>1.529238206</v>
      </c>
      <c r="D944" s="4">
        <f>'Daily Returns'!AQ943 * (1 + 'Daily Returns'!AJ944)</f>
        <v>1.327228811</v>
      </c>
      <c r="F944" s="7">
        <f>'Daily Returns'!AR943 * (1 +'Daily Returns'!AL944)</f>
        <v>1.299479761</v>
      </c>
      <c r="H944" s="7">
        <f>'Daily Returns'!AS943*(1+'Daily Returns'!AM944)</f>
        <v>1.383902676</v>
      </c>
      <c r="J944" s="5">
        <f>'Daily Returns'!AT943*(1+'Daily Returns'!AN944)</f>
        <v>1.284911813</v>
      </c>
      <c r="L944" s="5">
        <f>'Daily Returns'!AU943*(1+'Daily Returns'!AO944)</f>
        <v>1.276835881</v>
      </c>
    </row>
    <row r="945" ht="15.75" customHeight="1">
      <c r="A945" s="9">
        <v>45201.0</v>
      </c>
      <c r="B945" s="6">
        <f>'Daily Returns'!AP944*(1+'Daily Returns'!AK945)</f>
        <v>1.510523426</v>
      </c>
      <c r="D945" s="4">
        <f>'Daily Returns'!AQ944 * (1 + 'Daily Returns'!AJ945)</f>
        <v>1.327333663</v>
      </c>
      <c r="F945" s="7">
        <f>'Daily Returns'!AR944 * (1 +'Daily Returns'!AL945)</f>
        <v>1.295706043</v>
      </c>
      <c r="H945" s="7">
        <f>'Daily Returns'!AS944*(1+'Daily Returns'!AM945)</f>
        <v>1.379874943</v>
      </c>
      <c r="J945" s="5">
        <f>'Daily Returns'!AT944*(1+'Daily Returns'!AN945)</f>
        <v>1.296236601</v>
      </c>
      <c r="L945" s="5">
        <f>'Daily Returns'!AU944*(1+'Daily Returns'!AO945)</f>
        <v>1.288603576</v>
      </c>
    </row>
    <row r="946" ht="15.75" customHeight="1">
      <c r="A946" s="9">
        <v>45202.0</v>
      </c>
      <c r="B946" s="6">
        <f>'Daily Returns'!AP945*(1+'Daily Returns'!AK946)</f>
        <v>1.498769022</v>
      </c>
      <c r="D946" s="4">
        <f>'Daily Returns'!AQ945 * (1 + 'Daily Returns'!AJ946)</f>
        <v>1.309090789</v>
      </c>
      <c r="F946" s="7">
        <f>'Daily Returns'!AR945 * (1 +'Daily Returns'!AL946)</f>
        <v>1.288589732</v>
      </c>
      <c r="H946" s="7">
        <f>'Daily Returns'!AS945*(1+'Daily Returns'!AM946)</f>
        <v>1.378056222</v>
      </c>
      <c r="J946" s="5">
        <f>'Daily Returns'!AT945*(1+'Daily Returns'!AN946)</f>
        <v>1.293623262</v>
      </c>
      <c r="L946" s="5">
        <f>'Daily Returns'!AU945*(1+'Daily Returns'!AO946)</f>
        <v>1.286334306</v>
      </c>
    </row>
    <row r="947" ht="15.75" customHeight="1">
      <c r="A947" s="9">
        <v>45203.0</v>
      </c>
      <c r="B947" s="6">
        <f>'Daily Returns'!AP946*(1+'Daily Returns'!AK947)</f>
        <v>1.498905573</v>
      </c>
      <c r="D947" s="4">
        <f>'Daily Returns'!AQ946 * (1 + 'Daily Returns'!AJ947)</f>
        <v>1.319707515</v>
      </c>
      <c r="F947" s="7">
        <f>'Daily Returns'!AR946 * (1 +'Daily Returns'!AL947)</f>
        <v>1.271661501</v>
      </c>
      <c r="H947" s="7">
        <f>'Daily Returns'!AS946*(1+'Daily Returns'!AM947)</f>
        <v>1.358047351</v>
      </c>
      <c r="J947" s="5">
        <f>'Daily Returns'!AT946*(1+'Daily Returns'!AN947)</f>
        <v>1.270538319</v>
      </c>
      <c r="L947" s="5">
        <f>'Daily Returns'!AU946*(1+'Daily Returns'!AO947)</f>
        <v>1.262993502</v>
      </c>
    </row>
    <row r="948" ht="15.75" customHeight="1">
      <c r="A948" s="9">
        <v>45204.0</v>
      </c>
      <c r="B948" s="6">
        <f>'Daily Returns'!AP947*(1+'Daily Returns'!AK948)</f>
        <v>1.502998003</v>
      </c>
      <c r="D948" s="4">
        <f>'Daily Returns'!AQ947 * (1 + 'Daily Returns'!AJ948)</f>
        <v>1.317986616</v>
      </c>
      <c r="F948" s="7">
        <f>'Daily Returns'!AR947 * (1 +'Daily Returns'!AL948)</f>
        <v>1.279101262</v>
      </c>
      <c r="H948" s="7">
        <f>'Daily Returns'!AS947*(1+'Daily Returns'!AM948)</f>
        <v>1.367856844</v>
      </c>
      <c r="J948" s="5">
        <f>'Daily Returns'!AT947*(1+'Daily Returns'!AN948)</f>
        <v>1.259213619</v>
      </c>
      <c r="L948" s="5">
        <f>'Daily Returns'!AU947*(1+'Daily Returns'!AO948)</f>
        <v>1.252295774</v>
      </c>
    </row>
    <row r="949" ht="15.75" customHeight="1">
      <c r="A949" s="9">
        <v>45205.0</v>
      </c>
      <c r="B949" s="6">
        <f>'Daily Returns'!AP948*(1+'Daily Returns'!AK949)</f>
        <v>1.509281184</v>
      </c>
      <c r="D949" s="4">
        <f>'Daily Returns'!AQ948 * (1 + 'Daily Returns'!AJ949)</f>
        <v>1.333558628</v>
      </c>
      <c r="F949" s="7">
        <f>'Daily Returns'!AR948 * (1 +'Daily Returns'!AL949)</f>
        <v>1.281796787</v>
      </c>
      <c r="H949" s="7">
        <f>'Daily Returns'!AS948*(1+'Daily Returns'!AM949)</f>
        <v>1.367142274</v>
      </c>
      <c r="J949" s="5">
        <f>'Daily Returns'!AT948*(1+'Daily Returns'!AN949)</f>
        <v>1.260956048</v>
      </c>
      <c r="L949" s="5">
        <f>'Daily Returns'!AU948*(1+'Daily Returns'!AO949)</f>
        <v>1.253268447</v>
      </c>
    </row>
    <row r="950" ht="15.75" customHeight="1">
      <c r="A950" s="9">
        <v>45208.0</v>
      </c>
      <c r="B950" s="6">
        <f>'Daily Returns'!AP949*(1+'Daily Returns'!AK950)</f>
        <v>1.516165912</v>
      </c>
      <c r="D950" s="4">
        <f>'Daily Returns'!AQ949 * (1 + 'Daily Returns'!AJ950)</f>
        <v>1.341965382</v>
      </c>
      <c r="F950" s="7">
        <f>'Daily Returns'!AR949 * (1 +'Daily Returns'!AL950)</f>
        <v>1.296568547</v>
      </c>
      <c r="H950" s="7">
        <f>'Daily Returns'!AS949*(1+'Daily Returns'!AM950)</f>
        <v>1.383448097</v>
      </c>
      <c r="J950" s="5">
        <f>'Daily Returns'!AT949*(1+'Daily Returns'!AN950)</f>
        <v>1.268360522</v>
      </c>
      <c r="L950" s="5">
        <f>'Daily Returns'!AU949*(1+'Daily Returns'!AO950)</f>
        <v>1.261048543</v>
      </c>
    </row>
    <row r="951" ht="15.75" customHeight="1">
      <c r="A951" s="9">
        <v>45209.0</v>
      </c>
      <c r="B951" s="6">
        <f>'Daily Returns'!AP950*(1+'Daily Returns'!AK951)</f>
        <v>1.522521563</v>
      </c>
      <c r="D951" s="4">
        <f>'Daily Returns'!AQ950 * (1 + 'Daily Returns'!AJ951)</f>
        <v>1.348954338</v>
      </c>
      <c r="F951" s="7">
        <f>'Daily Returns'!AR950 * (1 +'Daily Returns'!AL951)</f>
        <v>1.302390976</v>
      </c>
      <c r="H951" s="7">
        <f>'Daily Returns'!AS950*(1+'Daily Returns'!AM951)</f>
        <v>1.392153033</v>
      </c>
      <c r="J951" s="5">
        <f>'Daily Returns'!AT950*(1+'Daily Returns'!AN951)</f>
        <v>1.274022829</v>
      </c>
      <c r="L951" s="5">
        <f>'Daily Returns'!AU950*(1+'Daily Returns'!AO951)</f>
        <v>1.268180405</v>
      </c>
    </row>
    <row r="952" ht="15.75" customHeight="1">
      <c r="A952" s="9">
        <v>45210.0</v>
      </c>
      <c r="B952" s="6">
        <f>'Daily Returns'!AP951*(1+'Daily Returns'!AK952)</f>
        <v>1.533917308</v>
      </c>
      <c r="D952" s="4">
        <f>'Daily Returns'!AQ951 * (1 + 'Daily Returns'!AJ952)</f>
        <v>1.354745399</v>
      </c>
      <c r="F952" s="7">
        <f>'Daily Returns'!AR951 * (1 +'Daily Returns'!AL952)</f>
        <v>1.3130654</v>
      </c>
      <c r="H952" s="7">
        <f>'Daily Returns'!AS951*(1+'Daily Returns'!AM952)</f>
        <v>1.400793175</v>
      </c>
      <c r="J952" s="5">
        <f>'Daily Returns'!AT951*(1+'Daily Returns'!AN952)</f>
        <v>1.292316549</v>
      </c>
      <c r="L952" s="5">
        <f>'Daily Returns'!AU951*(1+'Daily Returns'!AO952)</f>
        <v>1.28503771</v>
      </c>
    </row>
    <row r="953" ht="15.75" customHeight="1">
      <c r="A953" s="9">
        <v>45211.0</v>
      </c>
      <c r="B953" s="6">
        <f>'Daily Returns'!AP952*(1+'Daily Returns'!AK953)</f>
        <v>1.521575854</v>
      </c>
      <c r="D953" s="4">
        <f>'Daily Returns'!AQ952 * (1 + 'Daily Returns'!AJ953)</f>
        <v>1.346283659</v>
      </c>
      <c r="F953" s="7">
        <f>'Daily Returns'!AR952 * (1 +'Daily Returns'!AL953)</f>
        <v>1.318887829</v>
      </c>
      <c r="H953" s="7">
        <f>'Daily Returns'!AS952*(1+'Daily Returns'!AM953)</f>
        <v>1.406314843</v>
      </c>
      <c r="J953" s="5">
        <f>'Daily Returns'!AT952*(1+'Daily Returns'!AN953)</f>
        <v>1.303641075</v>
      </c>
      <c r="L953" s="5">
        <f>'Daily Returns'!AU952*(1+'Daily Returns'!AO953)</f>
        <v>1.29605949</v>
      </c>
    </row>
    <row r="954" ht="15.75" customHeight="1">
      <c r="A954" s="9">
        <v>45212.0</v>
      </c>
      <c r="B954" s="6">
        <f>'Daily Returns'!AP953*(1+'Daily Returns'!AK954)</f>
        <v>1.52700166</v>
      </c>
      <c r="D954" s="4">
        <f>'Daily Returns'!AQ953 * (1 + 'Daily Returns'!AJ954)</f>
        <v>1.339526661</v>
      </c>
      <c r="F954" s="7">
        <f>'Daily Returns'!AR953 * (1 +'Daily Returns'!AL954)</f>
        <v>1.308752459</v>
      </c>
      <c r="H954" s="7">
        <f>'Daily Returns'!AS953*(1+'Daily Returns'!AM954)</f>
        <v>1.395011313</v>
      </c>
      <c r="J954" s="5">
        <f>'Daily Returns'!AT953*(1+'Daily Returns'!AN954)</f>
        <v>1.294929801</v>
      </c>
      <c r="L954" s="5">
        <f>'Daily Returns'!AU953*(1+'Daily Returns'!AO954)</f>
        <v>1.285686072</v>
      </c>
    </row>
    <row r="955" ht="15.75" customHeight="1">
      <c r="A955" s="9">
        <v>45215.0</v>
      </c>
      <c r="B955" s="6">
        <f>'Daily Returns'!AP954*(1+'Daily Returns'!AK955)</f>
        <v>1.535638908</v>
      </c>
      <c r="D955" s="4">
        <f>'Daily Returns'!AQ954 * (1 + 'Daily Returns'!AJ955)</f>
        <v>1.353717607</v>
      </c>
      <c r="F955" s="7">
        <f>'Daily Returns'!AR954 * (1 +'Daily Returns'!AL955)</f>
        <v>1.301204938</v>
      </c>
      <c r="H955" s="7">
        <f>'Daily Returns'!AS954*(1+'Daily Returns'!AM955)</f>
        <v>1.387150942</v>
      </c>
      <c r="J955" s="5">
        <f>'Daily Returns'!AT954*(1+'Daily Returns'!AN955)</f>
        <v>1.291445291</v>
      </c>
      <c r="L955" s="5">
        <f>'Daily Returns'!AU954*(1+'Daily Returns'!AO955)</f>
        <v>1.283416932</v>
      </c>
    </row>
    <row r="956" ht="15.75" customHeight="1">
      <c r="A956" s="9">
        <v>45216.0</v>
      </c>
      <c r="B956" s="6">
        <f>'Daily Returns'!AP955*(1+'Daily Returns'!AK956)</f>
        <v>1.533100655</v>
      </c>
      <c r="D956" s="4">
        <f>'Daily Returns'!AQ955 * (1 + 'Daily Returns'!AJ956)</f>
        <v>1.353584942</v>
      </c>
      <c r="F956" s="7">
        <f>'Daily Returns'!AR955 * (1 +'Daily Returns'!AL956)</f>
        <v>1.313820144</v>
      </c>
      <c r="H956" s="7">
        <f>'Daily Returns'!AS955*(1+'Daily Returns'!AM956)</f>
        <v>1.403261671</v>
      </c>
      <c r="J956" s="5">
        <f>'Daily Returns'!AT955*(1+'Daily Returns'!AN956)</f>
        <v>1.302769991</v>
      </c>
      <c r="L956" s="5">
        <f>'Daily Returns'!AU955*(1+'Daily Returns'!AO956)</f>
        <v>1.294114531</v>
      </c>
    </row>
    <row r="957" ht="15.75" customHeight="1">
      <c r="A957" s="9">
        <v>45217.0</v>
      </c>
      <c r="B957" s="6">
        <f>'Daily Returns'!AP956*(1+'Daily Returns'!AK957)</f>
        <v>1.527159241</v>
      </c>
      <c r="D957" s="4">
        <f>'Daily Returns'!AQ956 * (1 + 'Daily Returns'!AJ957)</f>
        <v>1.335446904</v>
      </c>
      <c r="F957" s="7">
        <f>'Daily Returns'!AR956 * (1 +'Daily Returns'!AL957)</f>
        <v>1.313712383</v>
      </c>
      <c r="H957" s="7">
        <f>'Daily Returns'!AS956*(1+'Daily Returns'!AM957)</f>
        <v>1.405080696</v>
      </c>
      <c r="J957" s="5">
        <f>'Daily Returns'!AT956*(1+'Daily Returns'!AN957)</f>
        <v>1.307561127</v>
      </c>
      <c r="L957" s="5">
        <f>'Daily Returns'!AU956*(1+'Daily Returns'!AO957)</f>
        <v>1.298004708</v>
      </c>
    </row>
    <row r="958" ht="15.75" customHeight="1">
      <c r="A958" s="9">
        <v>45218.0</v>
      </c>
      <c r="B958" s="6">
        <f>'Daily Returns'!AP957*(1+'Daily Returns'!AK958)</f>
        <v>1.519736875</v>
      </c>
      <c r="D958" s="4">
        <f>'Daily Returns'!AQ957 * (1 + 'Daily Returns'!AJ958)</f>
        <v>1.324118308</v>
      </c>
      <c r="F958" s="7">
        <f>'Daily Returns'!AR957 * (1 +'Daily Returns'!AL958)</f>
        <v>1.294519837</v>
      </c>
      <c r="H958" s="7">
        <f>'Daily Returns'!AS957*(1+'Daily Returns'!AM958)</f>
        <v>1.38429246</v>
      </c>
      <c r="J958" s="5">
        <f>'Daily Returns'!AT957*(1+'Daily Returns'!AN958)</f>
        <v>1.291445291</v>
      </c>
      <c r="L958" s="5">
        <f>'Daily Returns'!AU957*(1+'Daily Returns'!AO958)</f>
        <v>1.28276844</v>
      </c>
    </row>
    <row r="959" ht="15.75" customHeight="1">
      <c r="A959" s="9">
        <v>45219.0</v>
      </c>
      <c r="B959" s="6">
        <f>'Daily Returns'!AP958*(1+'Daily Returns'!AK959)</f>
        <v>1.51026145</v>
      </c>
      <c r="D959" s="4">
        <f>'Daily Returns'!AQ958 * (1 + 'Daily Returns'!AJ959)</f>
        <v>1.307454279</v>
      </c>
      <c r="F959" s="7">
        <f>'Daily Returns'!AR958 * (1 +'Daily Returns'!AL959)</f>
        <v>1.282875064</v>
      </c>
      <c r="H959" s="7">
        <f>'Daily Returns'!AS958*(1+'Daily Returns'!AM959)</f>
        <v>1.371234802</v>
      </c>
      <c r="J959" s="5">
        <f>'Daily Returns'!AT958*(1+'Daily Returns'!AN959)</f>
        <v>1.284040729</v>
      </c>
      <c r="L959" s="5">
        <f>'Daily Returns'!AU958*(1+'Daily Returns'!AO959)</f>
        <v>1.275636448</v>
      </c>
    </row>
    <row r="960" ht="15.75" customHeight="1">
      <c r="A960" s="9">
        <v>45222.0</v>
      </c>
      <c r="B960" s="6">
        <f>'Daily Returns'!AP959*(1+'Daily Returns'!AK960)</f>
        <v>1.506409952</v>
      </c>
      <c r="D960" s="4">
        <f>'Daily Returns'!AQ959 * (1 + 'Daily Returns'!AJ960)</f>
        <v>1.305249911</v>
      </c>
      <c r="F960" s="7">
        <f>'Daily Returns'!AR959 * (1 +'Daily Returns'!AL960)</f>
        <v>1.268534682</v>
      </c>
      <c r="H960" s="7">
        <f>'Daily Returns'!AS959*(1+'Daily Returns'!AM960)</f>
        <v>1.35427971</v>
      </c>
      <c r="J960" s="5">
        <f>'Daily Returns'!AT959*(1+'Daily Returns'!AN960)</f>
        <v>1.268796064</v>
      </c>
      <c r="L960" s="5">
        <f>'Daily Returns'!AU959*(1+'Daily Returns'!AO960)</f>
        <v>1.260724361</v>
      </c>
    </row>
    <row r="961" ht="15.75" customHeight="1">
      <c r="A961" s="9">
        <v>45223.0</v>
      </c>
      <c r="B961" s="6">
        <f>'Daily Returns'!AP960*(1+'Daily Returns'!AK961)</f>
        <v>1.509491902</v>
      </c>
      <c r="D961" s="4">
        <f>'Daily Returns'!AQ960 * (1 + 'Daily Returns'!AJ961)</f>
        <v>1.314733857</v>
      </c>
      <c r="F961" s="7">
        <f>'Daily Returns'!AR960 * (1 +'Daily Returns'!AL961)</f>
        <v>1.266917266</v>
      </c>
      <c r="H961" s="7">
        <f>'Daily Returns'!AS960*(1+'Daily Returns'!AM961)</f>
        <v>1.350576865</v>
      </c>
      <c r="J961" s="5">
        <f>'Daily Returns'!AT960*(1+'Daily Returns'!AN961)</f>
        <v>1.264876012</v>
      </c>
      <c r="L961" s="5">
        <f>'Daily Returns'!AU960*(1+'Daily Returns'!AO961)</f>
        <v>1.256185951</v>
      </c>
    </row>
    <row r="962" ht="15.75" customHeight="1">
      <c r="A962" s="9">
        <v>45224.0</v>
      </c>
      <c r="B962" s="6">
        <f>'Daily Returns'!AP961*(1+'Daily Returns'!AK962)</f>
        <v>1.505536484</v>
      </c>
      <c r="D962" s="4">
        <f>'Daily Returns'!AQ961 * (1 + 'Daily Returns'!AJ962)</f>
        <v>1.295880573</v>
      </c>
      <c r="F962" s="7">
        <f>'Daily Returns'!AR961 * (1 +'Daily Returns'!AL962)</f>
        <v>1.275543232</v>
      </c>
      <c r="H962" s="7">
        <f>'Daily Returns'!AS961*(1+'Daily Returns'!AM962)</f>
        <v>1.360775939</v>
      </c>
      <c r="J962" s="5">
        <f>'Daily Returns'!AT961*(1+'Daily Returns'!AN962)</f>
        <v>1.260520419</v>
      </c>
      <c r="L962" s="5">
        <f>'Daily Returns'!AU961*(1+'Daily Returns'!AO962)</f>
        <v>1.25164754</v>
      </c>
    </row>
    <row r="963" ht="15.75" customHeight="1">
      <c r="A963" s="9">
        <v>45225.0</v>
      </c>
      <c r="B963" s="6">
        <f>'Daily Returns'!AP962*(1+'Daily Returns'!AK963)</f>
        <v>1.512293803</v>
      </c>
      <c r="D963" s="4">
        <f>'Daily Returns'!AQ962 * (1 + 'Daily Returns'!AJ963)</f>
        <v>1.280546419</v>
      </c>
      <c r="F963" s="7">
        <f>'Daily Returns'!AR962 * (1 +'Daily Returns'!AL963)</f>
        <v>1.259046295</v>
      </c>
      <c r="H963" s="7">
        <f>'Daily Returns'!AS962*(1+'Daily Returns'!AM963)</f>
        <v>1.34057248</v>
      </c>
      <c r="J963" s="5">
        <f>'Daily Returns'!AT962*(1+'Daily Returns'!AN963)</f>
        <v>1.25877799</v>
      </c>
      <c r="L963" s="5">
        <f>'Daily Returns'!AU962*(1+'Daily Returns'!AO963)</f>
        <v>1.250026762</v>
      </c>
    </row>
    <row r="964" ht="15.75" customHeight="1">
      <c r="A964" s="9">
        <v>45226.0</v>
      </c>
      <c r="B964" s="6">
        <f>'Daily Returns'!AP963*(1+'Daily Returns'!AK964)</f>
        <v>1.503350949</v>
      </c>
      <c r="D964" s="4">
        <f>'Daily Returns'!AQ963 * (1 + 'Daily Returns'!AJ964)</f>
        <v>1.274399796</v>
      </c>
      <c r="F964" s="7">
        <f>'Daily Returns'!AR963 * (1 +'Daily Returns'!AL964)</f>
        <v>1.246215232</v>
      </c>
      <c r="H964" s="7">
        <f>'Daily Returns'!AS963*(1+'Daily Returns'!AM964)</f>
        <v>1.326670459</v>
      </c>
      <c r="J964" s="5">
        <f>'Daily Returns'!AT963*(1+'Daily Returns'!AN964)</f>
        <v>1.253551399</v>
      </c>
      <c r="L964" s="5">
        <f>'Daily Returns'!AU963*(1+'Daily Returns'!AO964)</f>
        <v>1.245488222</v>
      </c>
    </row>
    <row r="965" ht="15.75" customHeight="1">
      <c r="A965" s="9">
        <v>45229.0</v>
      </c>
      <c r="B965" s="6">
        <f>'Daily Returns'!AP964*(1+'Daily Returns'!AK965)</f>
        <v>1.514494495</v>
      </c>
      <c r="D965" s="4">
        <f>'Daily Returns'!AQ964 * (1 + 'Daily Returns'!AJ965)</f>
        <v>1.289705337</v>
      </c>
      <c r="F965" s="7">
        <f>'Daily Returns'!AR964 * (1 +'Daily Returns'!AL965)</f>
        <v>1.240069438</v>
      </c>
      <c r="H965" s="7">
        <f>'Daily Returns'!AS964*(1+'Daily Returns'!AM965)</f>
        <v>1.319524557</v>
      </c>
      <c r="J965" s="5">
        <f>'Daily Returns'!AT964*(1+'Daily Returns'!AN965)</f>
        <v>1.243533412</v>
      </c>
      <c r="L965" s="5">
        <f>'Daily Returns'!AU964*(1+'Daily Returns'!AO965)</f>
        <v>1.236735324</v>
      </c>
    </row>
    <row r="966" ht="15.75" customHeight="1">
      <c r="A966" s="9">
        <v>45230.0</v>
      </c>
      <c r="B966" s="6">
        <f>'Daily Returns'!AP965*(1+'Daily Returns'!AK966)</f>
        <v>1.519890022</v>
      </c>
      <c r="D966" s="4">
        <f>'Daily Returns'!AQ965 * (1 + 'Daily Returns'!AJ966)</f>
        <v>1.298056179</v>
      </c>
      <c r="F966" s="7">
        <f>'Daily Returns'!AR965 * (1 +'Daily Returns'!AL966)</f>
        <v>1.255380253</v>
      </c>
      <c r="H966" s="7">
        <f>'Daily Returns'!AS965*(1+'Daily Returns'!AM966)</f>
        <v>1.334725925</v>
      </c>
      <c r="J966" s="5">
        <f>'Daily Returns'!AT965*(1+'Daily Returns'!AN966)</f>
        <v>1.251373602</v>
      </c>
      <c r="L966" s="5">
        <f>'Daily Returns'!AU965*(1+'Daily Returns'!AO966)</f>
        <v>1.244839859</v>
      </c>
    </row>
    <row r="967" ht="15.75" customHeight="1">
      <c r="A967" s="9">
        <v>45231.0</v>
      </c>
      <c r="B967" s="6">
        <f>'Daily Returns'!AP966*(1+'Daily Returns'!AK967)</f>
        <v>1.530885693</v>
      </c>
      <c r="D967" s="4">
        <f>'Daily Returns'!AQ966 * (1 + 'Daily Returns'!AJ967)</f>
        <v>1.311693558</v>
      </c>
      <c r="F967" s="7">
        <f>'Daily Returns'!AR966 * (1 +'Daily Returns'!AL967)</f>
        <v>1.262712169</v>
      </c>
      <c r="H967" s="7">
        <f>'Daily Returns'!AS966*(1+'Daily Returns'!AM967)</f>
        <v>1.343365864</v>
      </c>
      <c r="J967" s="5">
        <f>'Daily Returns'!AT966*(1+'Daily Returns'!AN967)</f>
        <v>1.252680228</v>
      </c>
      <c r="L967" s="5">
        <f>'Daily Returns'!AU966*(1+'Daily Returns'!AO967)</f>
        <v>1.246460637</v>
      </c>
    </row>
    <row r="968" ht="15.75" customHeight="1">
      <c r="A968" s="9">
        <v>45232.0</v>
      </c>
      <c r="B968" s="6">
        <f>'Daily Returns'!AP967*(1+'Daily Returns'!AK968)</f>
        <v>1.547426338</v>
      </c>
      <c r="D968" s="4">
        <f>'Daily Returns'!AQ967 * (1 + 'Daily Returns'!AJ968)</f>
        <v>1.336430786</v>
      </c>
      <c r="F968" s="7">
        <f>'Daily Returns'!AR967 * (1 +'Daily Returns'!AL968)</f>
        <v>1.275758753</v>
      </c>
      <c r="H968" s="7">
        <f>'Daily Returns'!AS967*(1+'Daily Returns'!AM968)</f>
        <v>1.356813103</v>
      </c>
      <c r="J968" s="5">
        <f>'Daily Returns'!AT967*(1+'Daily Returns'!AN968)</f>
        <v>1.26661818</v>
      </c>
      <c r="L968" s="5">
        <f>'Daily Returns'!AU967*(1+'Daily Returns'!AO968)</f>
        <v>1.259427636</v>
      </c>
    </row>
    <row r="969" ht="15.75" customHeight="1">
      <c r="A969" s="9">
        <v>45233.0</v>
      </c>
      <c r="B969" s="6">
        <f>'Daily Returns'!AP968*(1+'Daily Returns'!AK969)</f>
        <v>1.560515527</v>
      </c>
      <c r="D969" s="4">
        <f>'Daily Returns'!AQ968 * (1 + 'Daily Returns'!AJ969)</f>
        <v>1.348985217</v>
      </c>
      <c r="F969" s="7">
        <f>'Daily Returns'!AR968 * (1 +'Daily Returns'!AL969)</f>
        <v>1.301636232</v>
      </c>
      <c r="H969" s="7">
        <f>'Daily Returns'!AS968*(1+'Daily Returns'!AM969)</f>
        <v>1.38377268</v>
      </c>
      <c r="J969" s="5">
        <f>'Daily Returns'!AT968*(1+'Daily Returns'!AN969)</f>
        <v>1.306254501</v>
      </c>
      <c r="L969" s="5">
        <f>'Daily Returns'!AU968*(1+'Daily Returns'!AO969)</f>
        <v>1.294438842</v>
      </c>
    </row>
    <row r="970" ht="15.75" customHeight="1">
      <c r="A970" s="9">
        <v>45236.0</v>
      </c>
      <c r="B970" s="6">
        <f>'Daily Returns'!AP969*(1+'Daily Returns'!AK970)</f>
        <v>1.559105736</v>
      </c>
      <c r="D970" s="4">
        <f>'Daily Returns'!AQ969 * (1 + 'Daily Returns'!AJ970)</f>
        <v>1.351349988</v>
      </c>
      <c r="F970" s="7">
        <f>'Daily Returns'!AR969 * (1 +'Daily Returns'!AL970)</f>
        <v>1.314682732</v>
      </c>
      <c r="H970" s="7">
        <f>'Daily Returns'!AS969*(1+'Daily Returns'!AM970)</f>
        <v>1.399363933</v>
      </c>
      <c r="J970" s="5">
        <f>'Daily Returns'!AT969*(1+'Daily Returns'!AN970)</f>
        <v>1.316707856</v>
      </c>
      <c r="L970" s="5">
        <f>'Daily Returns'!AU969*(1+'Daily Returns'!AO970)</f>
        <v>1.307730021</v>
      </c>
    </row>
    <row r="971" ht="15.75" customHeight="1">
      <c r="A971" s="9">
        <v>45237.0</v>
      </c>
      <c r="B971" s="6">
        <f>'Daily Returns'!AP970*(1+'Daily Returns'!AK971)</f>
        <v>1.544091271</v>
      </c>
      <c r="D971" s="4">
        <f>'Daily Returns'!AQ970 * (1 + 'Daily Returns'!AJ971)</f>
        <v>1.355187822</v>
      </c>
      <c r="F971" s="7">
        <f>'Daily Returns'!AR970 * (1 +'Daily Returns'!AL971)</f>
        <v>1.314251522</v>
      </c>
      <c r="H971" s="7">
        <f>'Daily Returns'!AS970*(1+'Daily Returns'!AM971)</f>
        <v>1.399948407</v>
      </c>
      <c r="J971" s="5">
        <f>'Daily Returns'!AT970*(1+'Daily Returns'!AN971)</f>
        <v>1.311916895</v>
      </c>
      <c r="L971" s="5">
        <f>'Daily Returns'!AU970*(1+'Daily Returns'!AO971)</f>
        <v>1.302543248</v>
      </c>
    </row>
    <row r="972" ht="15.75" customHeight="1">
      <c r="A972" s="9">
        <v>45238.0</v>
      </c>
      <c r="B972" s="6">
        <f>'Daily Returns'!AP971*(1+'Daily Returns'!AK972)</f>
        <v>1.537685179</v>
      </c>
      <c r="D972" s="4">
        <f>'Daily Returns'!AQ971 * (1 + 'Daily Returns'!AJ972)</f>
        <v>1.356549786</v>
      </c>
      <c r="F972" s="7">
        <f>'Daily Returns'!AR971 * (1 +'Daily Returns'!AL972)</f>
        <v>1.315329631</v>
      </c>
      <c r="H972" s="7">
        <f>'Daily Returns'!AS971*(1+'Daily Returns'!AM972)</f>
        <v>1.404106135</v>
      </c>
      <c r="J972" s="5">
        <f>'Daily Returns'!AT971*(1+'Daily Returns'!AN972)</f>
        <v>1.302334449</v>
      </c>
      <c r="L972" s="5">
        <f>'Daily Returns'!AU971*(1+'Daily Returns'!AO972)</f>
        <v>1.292493753</v>
      </c>
    </row>
    <row r="973" ht="15.75" customHeight="1">
      <c r="A973" s="9">
        <v>45239.0</v>
      </c>
      <c r="B973" s="6">
        <f>'Daily Returns'!AP972*(1+'Daily Returns'!AK973)</f>
        <v>1.538368005</v>
      </c>
      <c r="D973" s="4">
        <f>'Daily Returns'!AQ972 * (1 + 'Daily Returns'!AJ973)</f>
        <v>1.345583438</v>
      </c>
      <c r="F973" s="7">
        <f>'Daily Returns'!AR972 * (1 +'Daily Returns'!AL973)</f>
        <v>1.315653165</v>
      </c>
      <c r="H973" s="7">
        <f>'Daily Returns'!AS972*(1+'Daily Returns'!AM973)</f>
        <v>1.403911243</v>
      </c>
      <c r="J973" s="5">
        <f>'Daily Returns'!AT972*(1+'Daily Returns'!AN973)</f>
        <v>1.300156652</v>
      </c>
      <c r="L973" s="5">
        <f>'Daily Returns'!AU972*(1+'Daily Returns'!AO973)</f>
        <v>1.289252068</v>
      </c>
    </row>
    <row r="974" ht="15.75" customHeight="1">
      <c r="A974" s="9">
        <v>45240.0</v>
      </c>
      <c r="B974" s="6">
        <f>'Daily Returns'!AP973*(1+'Daily Returns'!AK974)</f>
        <v>1.534820611</v>
      </c>
      <c r="D974" s="4">
        <f>'Daily Returns'!AQ973 * (1 + 'Daily Returns'!AJ974)</f>
        <v>1.366596069</v>
      </c>
      <c r="F974" s="7">
        <f>'Daily Returns'!AR973 * (1 +'Daily Returns'!AL974)</f>
        <v>1.307997715</v>
      </c>
      <c r="H974" s="7">
        <f>'Daily Returns'!AS973*(1+'Daily Returns'!AM974)</f>
        <v>1.391958141</v>
      </c>
      <c r="J974" s="5">
        <f>'Daily Returns'!AT973*(1+'Daily Returns'!AN974)</f>
        <v>1.30538333</v>
      </c>
      <c r="L974" s="5">
        <f>'Daily Returns'!AU973*(1+'Daily Returns'!AO974)</f>
        <v>1.293142116</v>
      </c>
    </row>
    <row r="975" ht="15.75" customHeight="1">
      <c r="A975" s="9">
        <v>45243.0</v>
      </c>
      <c r="B975" s="6">
        <f>'Daily Returns'!AP974*(1+'Daily Returns'!AK975)</f>
        <v>1.531597725</v>
      </c>
      <c r="D975" s="4">
        <f>'Daily Returns'!AQ974 * (1 + 'Daily Returns'!AJ975)</f>
        <v>1.365453594</v>
      </c>
      <c r="F975" s="7">
        <f>'Daily Returns'!AR974 * (1 +'Daily Returns'!AL975)</f>
        <v>1.324494568</v>
      </c>
      <c r="H975" s="7">
        <f>'Daily Returns'!AS974*(1+'Daily Returns'!AM975)</f>
        <v>1.412681481</v>
      </c>
      <c r="J975" s="5">
        <f>'Daily Returns'!AT974*(1+'Daily Returns'!AN975)</f>
        <v>1.309303469</v>
      </c>
      <c r="L975" s="5">
        <f>'Daily Returns'!AU974*(1+'Daily Returns'!AO975)</f>
        <v>1.297356216</v>
      </c>
    </row>
    <row r="976" ht="15.75" customHeight="1">
      <c r="A976" s="9">
        <v>45244.0</v>
      </c>
      <c r="B976" s="6">
        <f>'Daily Returns'!AP975*(1+'Daily Returns'!AK976)</f>
        <v>1.552775329</v>
      </c>
      <c r="D976" s="4">
        <f>'Daily Returns'!AQ975 * (1 + 'Daily Returns'!AJ976)</f>
        <v>1.391499622</v>
      </c>
      <c r="F976" s="7">
        <f>'Daily Returns'!AR975 * (1 +'Daily Returns'!AL976)</f>
        <v>1.324925862</v>
      </c>
      <c r="H976" s="7">
        <f>'Daily Returns'!AS975*(1+'Daily Returns'!AM976)</f>
        <v>1.411836612</v>
      </c>
      <c r="J976" s="5">
        <f>'Daily Returns'!AT975*(1+'Daily Returns'!AN976)</f>
        <v>1.314965863</v>
      </c>
      <c r="L976" s="5">
        <f>'Daily Returns'!AU975*(1+'Daily Returns'!AO976)</f>
        <v>1.300598159</v>
      </c>
    </row>
    <row r="977" ht="15.75" customHeight="1">
      <c r="A977" s="9">
        <v>45245.0</v>
      </c>
      <c r="B977" s="6">
        <f>'Daily Returns'!AP976*(1+'Daily Returns'!AK977)</f>
        <v>1.557179779</v>
      </c>
      <c r="D977" s="4">
        <f>'Daily Returns'!AQ976 * (1 + 'Daily Returns'!AJ977)</f>
        <v>1.393721846</v>
      </c>
      <c r="F977" s="7">
        <f>'Daily Returns'!AR976 * (1 +'Daily Returns'!AL977)</f>
        <v>1.352744123</v>
      </c>
      <c r="H977" s="7">
        <f>'Daily Returns'!AS976*(1+'Daily Returns'!AM977)</f>
        <v>1.44314881</v>
      </c>
      <c r="J977" s="5">
        <f>'Daily Returns'!AT976*(1+'Daily Returns'!AN977)</f>
        <v>1.334130492</v>
      </c>
      <c r="L977" s="5">
        <f>'Daily Returns'!AU976*(1+'Daily Returns'!AO977)</f>
        <v>1.321993745</v>
      </c>
    </row>
    <row r="978" ht="15.75" customHeight="1">
      <c r="A978" s="9">
        <v>45246.0</v>
      </c>
      <c r="B978" s="6">
        <f>'Daily Returns'!AP977*(1+'Daily Returns'!AK978)</f>
        <v>1.551866636</v>
      </c>
      <c r="D978" s="4">
        <f>'Daily Returns'!AQ977 * (1 + 'Daily Returns'!AJ978)</f>
        <v>1.395380375</v>
      </c>
      <c r="F978" s="7">
        <f>'Daily Returns'!AR977 * (1 +'Daily Returns'!AL978)</f>
        <v>1.354900677</v>
      </c>
      <c r="H978" s="7">
        <f>'Daily Returns'!AS977*(1+'Daily Returns'!AM978)</f>
        <v>1.446721761</v>
      </c>
      <c r="J978" s="5">
        <f>'Daily Returns'!AT977*(1+'Daily Returns'!AN978)</f>
        <v>1.33717946</v>
      </c>
      <c r="L978" s="5">
        <f>'Daily Returns'!AU977*(1+'Daily Returns'!AO978)</f>
        <v>1.323614782</v>
      </c>
    </row>
    <row r="979" ht="15.75" customHeight="1">
      <c r="A979" s="9">
        <v>45247.0</v>
      </c>
      <c r="B979" s="6">
        <f>'Daily Returns'!AP978*(1+'Daily Returns'!AK979)</f>
        <v>1.552960602</v>
      </c>
      <c r="D979" s="4">
        <f>'Daily Returns'!AQ978 * (1 + 'Daily Returns'!AJ979)</f>
        <v>1.397169253</v>
      </c>
      <c r="F979" s="7">
        <f>'Daily Returns'!AR978 * (1 +'Daily Returns'!AL979)</f>
        <v>1.354900677</v>
      </c>
      <c r="H979" s="7">
        <f>'Daily Returns'!AS978*(1+'Daily Returns'!AM979)</f>
        <v>1.445747402</v>
      </c>
      <c r="J979" s="5">
        <f>'Daily Returns'!AT978*(1+'Daily Returns'!AN979)</f>
        <v>1.338050631</v>
      </c>
      <c r="L979" s="5">
        <f>'Daily Returns'!AU978*(1+'Daily Returns'!AO979)</f>
        <v>1.324587326</v>
      </c>
    </row>
    <row r="980" ht="15.75" customHeight="1">
      <c r="A980" s="9">
        <v>45250.0</v>
      </c>
      <c r="B980" s="6">
        <f>'Daily Returns'!AP979*(1+'Daily Returns'!AK980)</f>
        <v>1.557167949</v>
      </c>
      <c r="D980" s="4">
        <f>'Daily Returns'!AQ979 * (1 + 'Daily Returns'!AJ980)</f>
        <v>1.407494334</v>
      </c>
      <c r="F980" s="7">
        <f>'Daily Returns'!AR979 * (1 +'Daily Returns'!AL980)</f>
        <v>1.361801299</v>
      </c>
      <c r="H980" s="7">
        <f>'Daily Returns'!AS979*(1+'Daily Returns'!AM980)</f>
        <v>1.44938525</v>
      </c>
      <c r="J980" s="5">
        <f>'Daily Returns'!AT979*(1+'Daily Returns'!AN980)</f>
        <v>1.348068619</v>
      </c>
      <c r="L980" s="5">
        <f>'Daily Returns'!AU979*(1+'Daily Returns'!AO980)</f>
        <v>1.332691862</v>
      </c>
    </row>
    <row r="981" ht="15.75" customHeight="1">
      <c r="A981" s="9">
        <v>45251.0</v>
      </c>
      <c r="B981" s="6">
        <f>'Daily Returns'!AP980*(1+'Daily Returns'!AK981)</f>
        <v>1.564669432</v>
      </c>
      <c r="D981" s="4">
        <f>'Daily Returns'!AQ980 * (1 + 'Daily Returns'!AJ981)</f>
        <v>1.404649788</v>
      </c>
      <c r="F981" s="7">
        <f>'Daily Returns'!AR980 * (1 +'Daily Returns'!AL981)</f>
        <v>1.370103564</v>
      </c>
      <c r="H981" s="7">
        <f>'Daily Returns'!AS980*(1+'Daily Returns'!AM981)</f>
        <v>1.460298894</v>
      </c>
      <c r="J981" s="5">
        <f>'Daily Returns'!AT980*(1+'Daily Returns'!AN981)</f>
        <v>1.351553128</v>
      </c>
      <c r="L981" s="5">
        <f>'Daily Returns'!AU980*(1+'Daily Returns'!AO981)</f>
        <v>1.337554324</v>
      </c>
    </row>
    <row r="982" ht="15.75" customHeight="1">
      <c r="A982" s="9">
        <v>45252.0</v>
      </c>
      <c r="B982" s="6">
        <f>'Daily Returns'!AP981*(1+'Daily Returns'!AK982)</f>
        <v>1.569069407</v>
      </c>
      <c r="D982" s="4">
        <f>'Daily Returns'!AQ981 * (1 + 'Daily Returns'!AJ982)</f>
        <v>1.410354071</v>
      </c>
      <c r="F982" s="7">
        <f>'Daily Returns'!AR981 * (1 +'Daily Returns'!AL982)</f>
        <v>1.367192434</v>
      </c>
      <c r="H982" s="7">
        <f>'Daily Returns'!AS981*(1+'Daily Returns'!AM982)</f>
        <v>1.456336261</v>
      </c>
      <c r="J982" s="5">
        <f>'Daily Returns'!AT981*(1+'Daily Returns'!AN982)</f>
        <v>1.342419107</v>
      </c>
      <c r="L982" s="5">
        <f>'Daily Returns'!AU981*(1+'Daily Returns'!AO982)</f>
        <v>1.328801685</v>
      </c>
    </row>
    <row r="983" ht="15.75" customHeight="1">
      <c r="A983" s="9">
        <v>45254.0</v>
      </c>
      <c r="B983" s="6">
        <f>'Daily Returns'!AP982*(1+'Daily Returns'!AK983)</f>
        <v>1.576324473</v>
      </c>
      <c r="D983" s="4">
        <f>'Daily Returns'!AQ982 * (1 + 'Daily Returns'!AJ983)</f>
        <v>1.411196052</v>
      </c>
      <c r="F983" s="7">
        <f>'Daily Returns'!AR982 * (1 +'Daily Returns'!AL983)</f>
        <v>1.37182874</v>
      </c>
      <c r="H983" s="7">
        <f>'Daily Returns'!AS982*(1+'Daily Returns'!AM983)</f>
        <v>1.4625726</v>
      </c>
      <c r="J983" s="5">
        <f>'Daily Returns'!AT982*(1+'Daily Returns'!AN983)</f>
        <v>1.342858304</v>
      </c>
      <c r="L983" s="5">
        <f>'Daily Returns'!AU982*(1+'Daily Returns'!AO983)</f>
        <v>1.329125737</v>
      </c>
    </row>
    <row r="984" ht="15.75" customHeight="1">
      <c r="A984" s="9">
        <v>45257.0</v>
      </c>
      <c r="B984" s="6">
        <f>'Daily Returns'!AP983*(1+'Daily Returns'!AK984)</f>
        <v>1.577840791</v>
      </c>
      <c r="D984" s="4">
        <f>'Daily Returns'!AQ983 * (1 + 'Daily Returns'!AJ984)</f>
        <v>1.408438575</v>
      </c>
      <c r="F984" s="7">
        <f>'Daily Returns'!AR983 * (1 +'Daily Returns'!AL984)</f>
        <v>1.374955559</v>
      </c>
      <c r="H984" s="7">
        <f>'Daily Returns'!AS983*(1+'Daily Returns'!AM984)</f>
        <v>1.464131938</v>
      </c>
      <c r="J984" s="5">
        <f>'Daily Returns'!AT983*(1+'Daily Returns'!AN984)</f>
        <v>1.341979996</v>
      </c>
      <c r="L984" s="5">
        <f>'Daily Returns'!AU983*(1+'Daily Returns'!AO984)</f>
        <v>1.329449918</v>
      </c>
    </row>
    <row r="985" ht="15.75" customHeight="1">
      <c r="A985" s="9">
        <v>45258.0</v>
      </c>
      <c r="B985" s="6">
        <f>'Daily Returns'!AP984*(1+'Daily Returns'!AK985)</f>
        <v>1.586546098</v>
      </c>
      <c r="D985" s="4">
        <f>'Daily Returns'!AQ984 * (1 + 'Daily Returns'!AJ985)</f>
        <v>1.409818845</v>
      </c>
      <c r="F985" s="7">
        <f>'Daily Returns'!AR984 * (1 +'Daily Returns'!AL985)</f>
        <v>1.372691328</v>
      </c>
      <c r="H985" s="7">
        <f>'Daily Returns'!AS984*(1+'Daily Returns'!AM985)</f>
        <v>1.462247915</v>
      </c>
      <c r="J985" s="5">
        <f>'Daily Returns'!AT984*(1+'Daily Returns'!AN985)</f>
        <v>1.341101862</v>
      </c>
      <c r="L985" s="5">
        <f>'Daily Returns'!AU984*(1+'Daily Returns'!AO985)</f>
        <v>1.328153192</v>
      </c>
    </row>
    <row r="986" ht="15.75" customHeight="1">
      <c r="A986" s="9">
        <v>45259.0</v>
      </c>
      <c r="B986" s="6">
        <f>'Daily Returns'!AP985*(1+'Daily Returns'!AK986)</f>
        <v>1.583462227</v>
      </c>
      <c r="D986" s="4">
        <f>'Daily Returns'!AQ985 * (1 + 'Daily Returns'!AJ986)</f>
        <v>1.408485156</v>
      </c>
      <c r="F986" s="7">
        <f>'Daily Returns'!AR985 * (1 +'Daily Returns'!AL986)</f>
        <v>1.37376969</v>
      </c>
      <c r="H986" s="7">
        <f>'Daily Returns'!AS985*(1+'Daily Returns'!AM986)</f>
        <v>1.463157377</v>
      </c>
      <c r="J986" s="5">
        <f>'Daily Returns'!AT985*(1+'Daily Returns'!AN986)</f>
        <v>1.335832187</v>
      </c>
      <c r="L986" s="5">
        <f>'Daily Returns'!AU985*(1+'Daily Returns'!AO986)</f>
        <v>1.3232906</v>
      </c>
    </row>
    <row r="987" ht="15.75" customHeight="1">
      <c r="A987" s="9">
        <v>45260.0</v>
      </c>
      <c r="B987" s="6">
        <f>'Daily Returns'!AP986*(1+'Daily Returns'!AK987)</f>
        <v>1.590191561</v>
      </c>
      <c r="D987" s="4">
        <f>'Daily Returns'!AQ986 * (1 + 'Daily Returns'!AJ987)</f>
        <v>1.413814864</v>
      </c>
      <c r="F987" s="7">
        <f>'Daily Returns'!AR986 * (1 +'Daily Returns'!AL987)</f>
        <v>1.373985295</v>
      </c>
      <c r="H987" s="7">
        <f>'Daily Returns'!AS986*(1+'Daily Returns'!AM987)</f>
        <v>1.46380705</v>
      </c>
      <c r="J987" s="5">
        <f>'Daily Returns'!AT986*(1+'Daily Returns'!AN987)</f>
        <v>1.336271385</v>
      </c>
      <c r="L987" s="5">
        <f>'Daily Returns'!AU986*(1+'Daily Returns'!AO987)</f>
        <v>1.323938834</v>
      </c>
    </row>
    <row r="988" ht="15.75" customHeight="1">
      <c r="A988" s="9">
        <v>45261.0</v>
      </c>
      <c r="B988" s="6">
        <f>'Daily Returns'!AP987*(1+'Daily Returns'!AK988)</f>
        <v>1.607183518</v>
      </c>
      <c r="D988" s="4">
        <f>'Daily Returns'!AQ987 * (1 + 'Daily Returns'!AJ988)</f>
        <v>1.422119612</v>
      </c>
      <c r="F988" s="7">
        <f>'Daily Returns'!AR987 * (1 +'Daily Returns'!AL988)</f>
        <v>1.377759013</v>
      </c>
      <c r="H988" s="7">
        <f>'Daily Returns'!AS987*(1+'Daily Returns'!AM988)</f>
        <v>1.469848599</v>
      </c>
      <c r="J988" s="5">
        <f>'Daily Returns'!AT987*(1+'Daily Returns'!AN988)</f>
        <v>1.342419107</v>
      </c>
      <c r="L988" s="5">
        <f>'Daily Returns'!AU987*(1+'Daily Returns'!AO988)</f>
        <v>1.330098281</v>
      </c>
    </row>
    <row r="989" ht="15.75" customHeight="1">
      <c r="A989" s="9">
        <v>45264.0</v>
      </c>
      <c r="B989" s="6">
        <f>'Daily Returns'!AP988*(1+'Daily Returns'!AK989)</f>
        <v>1.60546415</v>
      </c>
      <c r="D989" s="4">
        <f>'Daily Returns'!AQ988 * (1 + 'Daily Returns'!AJ989)</f>
        <v>1.41442879</v>
      </c>
      <c r="F989" s="7">
        <f>'Daily Returns'!AR988 * (1 +'Daily Returns'!AL989)</f>
        <v>1.388325761</v>
      </c>
      <c r="H989" s="7">
        <f>'Daily Returns'!AS988*(1+'Daily Returns'!AM989)</f>
        <v>1.482256482</v>
      </c>
      <c r="J989" s="5">
        <f>'Daily Returns'!AT988*(1+'Daily Returns'!AN989)</f>
        <v>1.35120184</v>
      </c>
      <c r="L989" s="5">
        <f>'Daily Returns'!AU988*(1+'Daily Returns'!AO989)</f>
        <v>1.338850921</v>
      </c>
    </row>
    <row r="990" ht="15.75" customHeight="1">
      <c r="A990" s="9">
        <v>45265.0</v>
      </c>
      <c r="B990" s="6">
        <f>'Daily Returns'!AP989*(1+'Daily Returns'!AK990)</f>
        <v>1.593486843</v>
      </c>
      <c r="D990" s="4">
        <f>'Daily Returns'!AQ989 * (1 + 'Daily Returns'!AJ990)</f>
        <v>1.41362398</v>
      </c>
      <c r="F990" s="7">
        <f>'Daily Returns'!AR989 * (1 +'Daily Returns'!AL990)</f>
        <v>1.380562383</v>
      </c>
      <c r="H990" s="7">
        <f>'Daily Returns'!AS989*(1+'Daily Returns'!AM990)</f>
        <v>1.476929402</v>
      </c>
      <c r="J990" s="5">
        <f>'Daily Returns'!AT989*(1+'Daily Returns'!AN990)</f>
        <v>1.364375679</v>
      </c>
      <c r="L990" s="5">
        <f>'Daily Returns'!AU989*(1+'Daily Returns'!AO990)</f>
        <v>1.352790593</v>
      </c>
    </row>
    <row r="991" ht="15.75" customHeight="1">
      <c r="A991" s="9">
        <v>45266.0</v>
      </c>
      <c r="B991" s="6">
        <f>'Daily Returns'!AP990*(1+'Daily Returns'!AK991)</f>
        <v>1.589237568</v>
      </c>
      <c r="D991" s="4">
        <f>'Daily Returns'!AQ990 * (1 + 'Daily Returns'!AJ991)</f>
        <v>1.408102364</v>
      </c>
      <c r="F991" s="7">
        <f>'Daily Returns'!AR990 * (1 +'Daily Returns'!AL991)</f>
        <v>1.378405997</v>
      </c>
      <c r="H991" s="7">
        <f>'Daily Returns'!AS990*(1+'Daily Returns'!AM991)</f>
        <v>1.474071224</v>
      </c>
      <c r="J991" s="5">
        <f>'Daily Returns'!AT990*(1+'Daily Returns'!AN991)</f>
        <v>1.363497458</v>
      </c>
      <c r="L991" s="5">
        <f>'Daily Returns'!AU990*(1+'Daily Returns'!AO991)</f>
        <v>1.349873089</v>
      </c>
    </row>
    <row r="992" ht="15.75" customHeight="1">
      <c r="A992" s="9">
        <v>45267.0</v>
      </c>
      <c r="B992" s="6">
        <f>'Daily Returns'!AP991*(1+'Daily Returns'!AK992)</f>
        <v>1.581684616</v>
      </c>
      <c r="D992" s="4">
        <f>'Daily Returns'!AQ991 * (1 + 'Daily Returns'!AJ992)</f>
        <v>1.419322124</v>
      </c>
      <c r="F992" s="7">
        <f>'Daily Returns'!AR991 * (1 +'Daily Returns'!AL992)</f>
        <v>1.375171333</v>
      </c>
      <c r="H992" s="7">
        <f>'Daily Returns'!AS991*(1+'Daily Returns'!AM992)</f>
        <v>1.467834682</v>
      </c>
      <c r="J992" s="5">
        <f>'Daily Returns'!AT991*(1+'Daily Returns'!AN992)</f>
        <v>1.364375679</v>
      </c>
      <c r="L992" s="5">
        <f>'Daily Returns'!AU991*(1+'Daily Returns'!AO992)</f>
        <v>1.348252053</v>
      </c>
    </row>
    <row r="993" ht="15.75" customHeight="1">
      <c r="A993" s="9">
        <v>45268.0</v>
      </c>
      <c r="B993" s="6">
        <f>'Daily Returns'!AP992*(1+'Daily Returns'!AK993)</f>
        <v>1.578154344</v>
      </c>
      <c r="D993" s="4">
        <f>'Daily Returns'!AQ992 * (1 + 'Daily Returns'!AJ993)</f>
        <v>1.425134248</v>
      </c>
      <c r="F993" s="7">
        <f>'Daily Returns'!AR992 * (1 +'Daily Returns'!AL993)</f>
        <v>1.385091098</v>
      </c>
      <c r="H993" s="7">
        <f>'Daily Returns'!AS992*(1+'Daily Returns'!AM993)</f>
        <v>1.479592993</v>
      </c>
      <c r="J993" s="5">
        <f>'Daily Returns'!AT992*(1+'Daily Returns'!AN993)</f>
        <v>1.356471341</v>
      </c>
      <c r="L993" s="5">
        <f>'Daily Returns'!AU992*(1+'Daily Returns'!AO993)</f>
        <v>1.341444372</v>
      </c>
    </row>
    <row r="994" ht="15.75" customHeight="1">
      <c r="A994" s="9">
        <v>45271.0</v>
      </c>
      <c r="B994" s="6">
        <f>'Daily Returns'!AP993*(1+'Daily Returns'!AK994)</f>
        <v>1.585351615</v>
      </c>
      <c r="D994" s="4">
        <f>'Daily Returns'!AQ993 * (1 + 'Daily Returns'!AJ994)</f>
        <v>1.4307279</v>
      </c>
      <c r="F994" s="7">
        <f>'Daily Returns'!AR993 * (1 +'Daily Returns'!AL994)</f>
        <v>1.390050938</v>
      </c>
      <c r="H994" s="7">
        <f>'Daily Returns'!AS993*(1+'Daily Returns'!AM994)</f>
        <v>1.486673796</v>
      </c>
      <c r="J994" s="5">
        <f>'Daily Returns'!AT993*(1+'Daily Returns'!AN994)</f>
        <v>1.35603223</v>
      </c>
      <c r="L994" s="5">
        <f>'Daily Returns'!AU993*(1+'Daily Returns'!AO994)</f>
        <v>1.341444372</v>
      </c>
    </row>
    <row r="995" ht="15.75" customHeight="1">
      <c r="A995" s="9">
        <v>45272.0</v>
      </c>
      <c r="B995" s="6">
        <f>'Daily Returns'!AP994*(1+'Daily Returns'!AK995)</f>
        <v>1.58705334</v>
      </c>
      <c r="D995" s="4">
        <f>'Daily Returns'!AQ994 * (1 + 'Daily Returns'!AJ995)</f>
        <v>1.437307818</v>
      </c>
      <c r="F995" s="7">
        <f>'Daily Returns'!AR994 * (1 +'Daily Returns'!AL995)</f>
        <v>1.395334228</v>
      </c>
      <c r="H995" s="7">
        <f>'Daily Returns'!AS994*(1+'Daily Returns'!AM995)</f>
        <v>1.492780342</v>
      </c>
      <c r="J995" s="5">
        <f>'Daily Returns'!AT994*(1+'Daily Returns'!AN995)</f>
        <v>1.359984312</v>
      </c>
      <c r="L995" s="5">
        <f>'Daily Returns'!AU994*(1+'Daily Returns'!AO995)</f>
        <v>1.345334549</v>
      </c>
    </row>
    <row r="996" ht="15.75" customHeight="1">
      <c r="A996" s="9">
        <v>45273.0</v>
      </c>
      <c r="B996" s="6">
        <f>'Daily Returns'!AP995*(1+'Daily Returns'!AK996)</f>
        <v>1.60637112</v>
      </c>
      <c r="D996" s="4">
        <f>'Daily Returns'!AQ995 * (1 + 'Daily Returns'!AJ996)</f>
        <v>1.456928507</v>
      </c>
      <c r="F996" s="7">
        <f>'Daily Returns'!AR995 * (1 +'Daily Returns'!AL996)</f>
        <v>1.399000186</v>
      </c>
      <c r="H996" s="7">
        <f>'Daily Returns'!AS995*(1+'Daily Returns'!AM996)</f>
        <v>1.498432107</v>
      </c>
      <c r="J996" s="5">
        <f>'Daily Returns'!AT995*(1+'Daily Returns'!AN996)</f>
        <v>1.362180039</v>
      </c>
      <c r="L996" s="5">
        <f>'Daily Returns'!AU995*(1+'Daily Returns'!AO996)</f>
        <v>1.345010368</v>
      </c>
    </row>
    <row r="997" ht="15.75" customHeight="1">
      <c r="A997" s="9">
        <v>45274.0</v>
      </c>
      <c r="B997" s="6">
        <f>'Daily Returns'!AP996*(1+'Daily Returns'!AK997)</f>
        <v>1.611642687</v>
      </c>
      <c r="D997" s="4">
        <f>'Daily Returns'!AQ996 * (1 + 'Daily Returns'!AJ997)</f>
        <v>1.460784996</v>
      </c>
      <c r="F997" s="7">
        <f>'Daily Returns'!AR996 * (1 +'Daily Returns'!AL997)</f>
        <v>1.419701883</v>
      </c>
      <c r="H997" s="7">
        <f>'Daily Returns'!AS996*(1+'Daily Returns'!AM997)</f>
        <v>1.521688941</v>
      </c>
      <c r="J997" s="5">
        <f>'Daily Returns'!AT996*(1+'Daily Returns'!AN997)</f>
        <v>1.357349649</v>
      </c>
      <c r="L997" s="5">
        <f>'Daily Returns'!AU996*(1+'Daily Returns'!AO997)</f>
        <v>1.339823594</v>
      </c>
    </row>
    <row r="998" ht="15.75" customHeight="1">
      <c r="A998" s="9">
        <v>45275.0</v>
      </c>
      <c r="B998" s="6">
        <f>'Daily Returns'!AP997*(1+'Daily Returns'!AK998)</f>
        <v>1.610881435</v>
      </c>
      <c r="D998" s="4">
        <f>'Daily Returns'!AQ997 * (1 + 'Daily Returns'!AJ998)</f>
        <v>1.460673977</v>
      </c>
      <c r="F998" s="7">
        <f>'Daily Returns'!AR997 * (1 +'Daily Returns'!AL998)</f>
        <v>1.427141896</v>
      </c>
      <c r="H998" s="7">
        <f>'Daily Returns'!AS997*(1+'Daily Returns'!AM998)</f>
        <v>1.530718663</v>
      </c>
      <c r="J998" s="5">
        <f>'Daily Returns'!AT997*(1+'Daily Returns'!AN998)</f>
        <v>1.381940797</v>
      </c>
      <c r="L998" s="5">
        <f>'Daily Returns'!AU997*(1+'Daily Returns'!AO998)</f>
        <v>1.364785305</v>
      </c>
    </row>
    <row r="999" ht="15.75" customHeight="1">
      <c r="A999" s="9">
        <v>45278.0</v>
      </c>
      <c r="B999" s="6">
        <f>'Daily Returns'!AP998*(1+'Daily Returns'!AK999)</f>
        <v>1.617885387</v>
      </c>
      <c r="D999" s="4">
        <f>'Daily Returns'!AQ998 * (1 + 'Daily Returns'!AJ999)</f>
        <v>1.467287908</v>
      </c>
      <c r="F999" s="7">
        <f>'Daily Returns'!AR998 * (1 +'Daily Returns'!AL999)</f>
        <v>1.422721194</v>
      </c>
      <c r="H999" s="7">
        <f>'Daily Returns'!AS998*(1+'Daily Returns'!AM999)</f>
        <v>1.528639951</v>
      </c>
      <c r="J999" s="5">
        <f>'Daily Returns'!AT998*(1+'Daily Returns'!AN999)</f>
        <v>1.392040862</v>
      </c>
      <c r="L999" s="5">
        <f>'Daily Returns'!AU998*(1+'Daily Returns'!AO999)</f>
        <v>1.375483034</v>
      </c>
    </row>
    <row r="1000" ht="15.75" customHeight="1">
      <c r="A1000" s="9">
        <v>45279.0</v>
      </c>
      <c r="B1000" s="6">
        <f>'Daily Returns'!AP999*(1+'Daily Returns'!AK1000)</f>
        <v>1.631481865</v>
      </c>
      <c r="D1000" s="4">
        <f>'Daily Returns'!AQ999 * (1 + 'Daily Returns'!AJ1000)</f>
        <v>1.475895019</v>
      </c>
      <c r="F1000" s="7">
        <f>'Daily Returns'!AR999 * (1 +'Daily Returns'!AL1000)</f>
        <v>1.42929845</v>
      </c>
      <c r="H1000" s="7">
        <f>'Daily Returns'!AS999*(1+'Daily Returns'!AM1000)</f>
        <v>1.535265973</v>
      </c>
      <c r="J1000" s="5">
        <f>'Daily Returns'!AT999*(1+'Daily Returns'!AN1000)</f>
        <v>1.374036546</v>
      </c>
      <c r="L1000" s="5">
        <f>'Daily Returns'!AU999*(1+'Daily Returns'!AO1000)</f>
        <v>1.358949911</v>
      </c>
    </row>
    <row r="1001" ht="15.75" customHeight="1">
      <c r="A1001" s="9">
        <v>45280.0</v>
      </c>
      <c r="B1001" s="6">
        <f>'Daily Returns'!AP1000*(1+'Daily Returns'!AK1001)</f>
        <v>1.625205673</v>
      </c>
      <c r="D1001" s="4">
        <f>'Daily Returns'!AQ1000 * (1 + 'Daily Returns'!AJ1001)</f>
        <v>1.454222977</v>
      </c>
      <c r="F1001" s="7">
        <f>'Daily Returns'!AR1000 * (1 +'Daily Returns'!AL1001)</f>
        <v>1.439217963</v>
      </c>
      <c r="H1001" s="7">
        <f>'Daily Returns'!AS1000*(1+'Daily Returns'!AM1001)</f>
        <v>1.546504606</v>
      </c>
      <c r="J1001" s="5">
        <f>'Daily Returns'!AT1000*(1+'Daily Returns'!AN1001)</f>
        <v>1.381501687</v>
      </c>
      <c r="L1001" s="5">
        <f>'Daily Returns'!AU1000*(1+'Daily Returns'!AO1001)</f>
        <v>1.366082031</v>
      </c>
    </row>
    <row r="1002" ht="15.75" customHeight="1">
      <c r="A1002" s="9">
        <v>45281.0</v>
      </c>
      <c r="B1002" s="6">
        <f>'Daily Returns'!AP1001*(1+'Daily Returns'!AK1002)</f>
        <v>1.638062879</v>
      </c>
      <c r="D1002" s="4">
        <f>'Daily Returns'!AQ1001 * (1 + 'Daily Returns'!AJ1002)</f>
        <v>1.469202928</v>
      </c>
      <c r="F1002" s="7">
        <f>'Daily Returns'!AR1001 * (1 +'Daily Returns'!AL1002)</f>
        <v>1.420074161</v>
      </c>
      <c r="H1002" s="7">
        <f>'Daily Returns'!AS1001*(1+'Daily Returns'!AM1002)</f>
        <v>1.523442765</v>
      </c>
      <c r="J1002" s="5">
        <f>'Daily Returns'!AT1001*(1+'Daily Returns'!AN1002)</f>
        <v>1.395553921</v>
      </c>
      <c r="L1002" s="5">
        <f>'Daily Returns'!AU1001*(1+'Daily Returns'!AO1002)</f>
        <v>1.380345755</v>
      </c>
    </row>
    <row r="1003" ht="15.75" customHeight="1">
      <c r="A1003" s="9">
        <v>45282.0</v>
      </c>
      <c r="B1003" s="6">
        <f>'Daily Returns'!AP1002*(1+'Daily Returns'!AK1003)</f>
        <v>1.64411231</v>
      </c>
      <c r="D1003" s="4">
        <f>'Daily Returns'!AQ1002 * (1 + 'Daily Returns'!AJ1003)</f>
        <v>1.471641805</v>
      </c>
      <c r="F1003" s="7">
        <f>'Daily Returns'!AR1002 * (1 +'Daily Returns'!AL1003)</f>
        <v>1.436706809</v>
      </c>
      <c r="H1003" s="7">
        <f>'Daily Returns'!AS1002*(1+'Daily Returns'!AM1003)</f>
        <v>1.540288312</v>
      </c>
      <c r="J1003" s="5">
        <f>'Daily Returns'!AT1002*(1+'Daily Returns'!AN1003)</f>
        <v>1.379745245</v>
      </c>
      <c r="L1003" s="5">
        <f>'Daily Returns'!AU1002*(1+'Daily Returns'!AO1003)</f>
        <v>1.363812632</v>
      </c>
    </row>
    <row r="1004" ht="15.75" customHeight="1">
      <c r="A1004" s="9">
        <v>45286.0</v>
      </c>
      <c r="B1004" s="6">
        <f>'Daily Returns'!AP1003*(1+'Daily Returns'!AK1004)</f>
        <v>1.645374357</v>
      </c>
      <c r="D1004" s="4">
        <f>'Daily Returns'!AQ1003 * (1 + 'Daily Returns'!AJ1004)</f>
        <v>1.477869793</v>
      </c>
      <c r="F1004" s="7">
        <f>'Daily Returns'!AR1003 * (1 +'Daily Returns'!AL1004)</f>
        <v>1.439641932</v>
      </c>
      <c r="H1004" s="7">
        <f>'Daily Returns'!AS1003*(1+'Daily Returns'!AM1004)</f>
        <v>1.54381125</v>
      </c>
      <c r="J1004" s="5">
        <f>'Daily Returns'!AT1003*(1+'Daily Returns'!AN1004)</f>
        <v>1.391162554</v>
      </c>
      <c r="L1004" s="5">
        <f>'Daily Returns'!AU1003*(1+'Daily Returns'!AO1004)</f>
        <v>1.374834671</v>
      </c>
    </row>
    <row r="1005" ht="15.75" customHeight="1">
      <c r="A1005" s="9">
        <v>45287.0</v>
      </c>
      <c r="B1005" s="6">
        <f>'Daily Returns'!AP1004*(1+'Daily Returns'!AK1005)</f>
        <v>1.645055673</v>
      </c>
      <c r="D1005" s="4">
        <f>'Daily Returns'!AQ1004 * (1 + 'Daily Returns'!AJ1005)</f>
        <v>1.479983146</v>
      </c>
      <c r="F1005" s="7">
        <f>'Daily Returns'!AR1004 * (1 +'Daily Returns'!AL1005)</f>
        <v>1.44562095</v>
      </c>
      <c r="H1005" s="7">
        <f>'Daily Returns'!AS1004*(1+'Daily Returns'!AM1005)</f>
        <v>1.551444534</v>
      </c>
      <c r="J1005" s="5">
        <f>'Daily Returns'!AT1004*(1+'Daily Returns'!AN1005)</f>
        <v>1.397749474</v>
      </c>
      <c r="L1005" s="5">
        <f>'Daily Returns'!AU1004*(1+'Daily Returns'!AO1005)</f>
        <v>1.382614767</v>
      </c>
    </row>
    <row r="1006" ht="15.75" customHeight="1">
      <c r="A1006" s="9">
        <v>45288.0</v>
      </c>
      <c r="B1006" s="6">
        <f>'Daily Returns'!AP1005*(1+'Daily Returns'!AK1006)</f>
        <v>1.638897005</v>
      </c>
      <c r="D1006" s="4">
        <f>'Daily Returns'!AQ1005 * (1 + 'Daily Returns'!AJ1006)</f>
        <v>1.48053074</v>
      </c>
      <c r="F1006" s="7">
        <f>'Daily Returns'!AR1005 * (1 +'Daily Returns'!AL1006)</f>
        <v>1.449752046</v>
      </c>
      <c r="H1006" s="7">
        <f>'Daily Returns'!AS1005*(1+'Daily Returns'!AM1006)</f>
        <v>1.554380366</v>
      </c>
      <c r="J1006" s="5">
        <f>'Daily Returns'!AT1005*(1+'Daily Returns'!AN1006)</f>
        <v>1.407849626</v>
      </c>
      <c r="L1006" s="5">
        <f>'Daily Returns'!AU1005*(1+'Daily Returns'!AO1006)</f>
        <v>1.392016028</v>
      </c>
    </row>
    <row r="1007" ht="15.75" customHeight="1">
      <c r="A1007" s="9">
        <v>45289.0</v>
      </c>
      <c r="B1007" s="6">
        <f>'Daily Returns'!AP1006*(1+'Daily Returns'!AK1007)</f>
        <v>1.638504312</v>
      </c>
      <c r="C1007" s="6">
        <f>'Daily Returns'!AP1006*(1+'Daily Returns'!AK1007)</f>
        <v>1.638504312</v>
      </c>
      <c r="D1007" s="4">
        <f>'Daily Returns'!AQ1006 * (1 + 'Daily Returns'!AJ1007)</f>
        <v>1.47634676</v>
      </c>
      <c r="E1007" s="4">
        <f>'Daily Returns'!AQ1006 * (1 + 'Daily Returns'!AJ1007)</f>
        <v>1.47634676</v>
      </c>
      <c r="F1007" s="7">
        <f>'Daily Returns'!AR1006 * (1 +'Daily Returns'!AL1007)</f>
        <v>1.448882386</v>
      </c>
      <c r="G1007" s="7">
        <f>'Daily Returns'!AR1006 * (1 +'Daily Returns'!AL1007)</f>
        <v>1.448882386</v>
      </c>
      <c r="H1007" s="7">
        <f>'Daily Returns'!AS1006*(1+'Daily Returns'!AM1007)</f>
        <v>1.553597558</v>
      </c>
      <c r="I1007" s="7">
        <f>'Daily Returns'!AS1006*(1+'Daily Returns'!AM1007)</f>
        <v>1.553597558</v>
      </c>
      <c r="J1007" s="5">
        <f>'Daily Returns'!AT1006*(1+'Daily Returns'!AN1007)</f>
        <v>1.403458259</v>
      </c>
      <c r="K1007" s="5">
        <f>'Daily Returns'!AT1006*(1+'Daily Returns'!AN1007)</f>
        <v>1.403458259</v>
      </c>
      <c r="L1007" s="5">
        <f>'Daily Returns'!AU1006*(1+'Daily Returns'!AO1007)</f>
        <v>1.388162029</v>
      </c>
      <c r="M1007" s="5">
        <f>'Daily Returns'!AU1006*(1+'Daily Returns'!AO1007)</f>
        <v>1.388162029</v>
      </c>
    </row>
    <row r="1008" ht="15.75" customHeight="1">
      <c r="A1008" s="9">
        <v>45293.0</v>
      </c>
      <c r="B1008" s="6">
        <f>'Daily Returns'!AP1007*(1+'Daily Returns'!AK1008)</f>
        <v>1.636143239</v>
      </c>
      <c r="D1008" s="4">
        <f>'Daily Returns'!AQ1007 * (1 + 'Daily Returns'!AJ1008)</f>
        <v>1.467989161</v>
      </c>
      <c r="F1008" s="7">
        <f>'Daily Returns'!AR1007 * (1 +'Daily Returns'!AL1008)</f>
        <v>1.446055865</v>
      </c>
      <c r="H1008" s="7">
        <f>'Daily Returns'!AS1007*(1+'Daily Returns'!AM1008)</f>
        <v>1.547660593</v>
      </c>
      <c r="J1008" s="5">
        <f>'Daily Returns'!AT1007*(1+'Daily Returns'!AN1008)</f>
        <v>1.406092922</v>
      </c>
      <c r="L1008" s="5">
        <f>'Daily Returns'!AU1007*(1+'Daily Returns'!AO1008)</f>
        <v>1.390448354</v>
      </c>
    </row>
    <row r="1009" ht="15.75" customHeight="1">
      <c r="A1009" s="9">
        <v>45294.0</v>
      </c>
      <c r="B1009" s="6">
        <f>'Daily Returns'!AP1008*(1+'Daily Returns'!AK1009)</f>
        <v>1.635511061</v>
      </c>
      <c r="D1009" s="4">
        <f>'Daily Returns'!AQ1008 * (1 + 'Daily Returns'!AJ1009)</f>
        <v>1.45622176</v>
      </c>
      <c r="F1009" s="7">
        <f>'Daily Returns'!AR1008 * (1 +'Daily Returns'!AL1009)</f>
        <v>1.433989058</v>
      </c>
      <c r="H1009" s="7">
        <f>'Daily Returns'!AS1008*(1+'Daily Returns'!AM1009)</f>
        <v>1.537287078</v>
      </c>
      <c r="J1009" s="5">
        <f>'Daily Returns'!AT1008*(1+'Daily Returns'!AN1009)</f>
        <v>1.40214084</v>
      </c>
      <c r="L1009" s="5">
        <f>'Daily Returns'!AU1008*(1+'Daily Returns'!AO1009)</f>
        <v>1.385548809</v>
      </c>
    </row>
    <row r="1010" ht="15.75" customHeight="1">
      <c r="A1010" s="9">
        <v>45295.0</v>
      </c>
      <c r="B1010" s="6">
        <f>'Daily Returns'!AP1009*(1+'Daily Returns'!AK1010)</f>
        <v>1.642380144</v>
      </c>
      <c r="D1010" s="4">
        <f>'Daily Returns'!AQ1009 * (1 + 'Daily Returns'!AJ1010)</f>
        <v>1.451229832</v>
      </c>
      <c r="F1010" s="7">
        <f>'Daily Returns'!AR1009 * (1 +'Daily Returns'!AL1010)</f>
        <v>1.422465937</v>
      </c>
      <c r="H1010" s="7">
        <f>'Daily Returns'!AS1009*(1+'Daily Returns'!AM1010)</f>
        <v>1.522542517</v>
      </c>
      <c r="J1010" s="5">
        <f>'Daily Returns'!AT1009*(1+'Daily Returns'!AN1010)</f>
        <v>1.400384224</v>
      </c>
      <c r="L1010" s="5">
        <f>'Daily Returns'!AU1009*(1+'Daily Returns'!AO1010)</f>
        <v>1.382282574</v>
      </c>
    </row>
    <row r="1011" ht="15.75" customHeight="1">
      <c r="A1011" s="9">
        <v>45296.0</v>
      </c>
      <c r="B1011" s="6">
        <f>'Daily Returns'!AP1010*(1+'Daily Returns'!AK1011)</f>
        <v>1.642446654</v>
      </c>
      <c r="D1011" s="4">
        <f>'Daily Returns'!AQ1010 * (1 + 'Daily Returns'!AJ1011)</f>
        <v>1.453879778</v>
      </c>
      <c r="F1011" s="7">
        <f>'Daily Returns'!AR1010 * (1 +'Daily Returns'!AL1011)</f>
        <v>1.420835219</v>
      </c>
      <c r="H1011" s="7">
        <f>'Daily Returns'!AS1010*(1+'Daily Returns'!AM1011)</f>
        <v>1.518627973</v>
      </c>
      <c r="J1011" s="5">
        <f>'Daily Returns'!AT1010*(1+'Daily Returns'!AN1011)</f>
        <v>1.403458259</v>
      </c>
      <c r="L1011" s="5">
        <f>'Daily Returns'!AU1010*(1+'Daily Returns'!AO1011)</f>
        <v>1.385548809</v>
      </c>
    </row>
    <row r="1012" ht="15.75" customHeight="1">
      <c r="A1012" s="9">
        <v>45299.0</v>
      </c>
      <c r="B1012" s="6">
        <f>'Daily Returns'!AP1011*(1+'Daily Returns'!AK1012)</f>
        <v>1.649781113</v>
      </c>
      <c r="D1012" s="4">
        <f>'Daily Returns'!AQ1011 * (1 + 'Daily Returns'!AJ1012)</f>
        <v>1.474401291</v>
      </c>
      <c r="F1012" s="7">
        <f>'Daily Returns'!AR1011 * (1 +'Daily Returns'!AL1012)</f>
        <v>1.422574539</v>
      </c>
      <c r="H1012" s="7">
        <f>'Daily Returns'!AS1011*(1+'Daily Returns'!AM1012)</f>
        <v>1.520911398</v>
      </c>
      <c r="J1012" s="5">
        <f>'Daily Returns'!AT1011*(1+'Daily Returns'!AN1012)</f>
        <v>1.407410341</v>
      </c>
      <c r="L1012" s="5">
        <f>'Daily Returns'!AU1011*(1+'Daily Returns'!AO1012)</f>
        <v>1.390121847</v>
      </c>
    </row>
    <row r="1013" ht="15.75" customHeight="1">
      <c r="A1013" s="9">
        <v>45300.0</v>
      </c>
      <c r="B1013" s="6">
        <f>'Daily Returns'!AP1012*(1+'Daily Returns'!AK1013)</f>
        <v>1.640071735</v>
      </c>
      <c r="D1013" s="4">
        <f>'Daily Returns'!AQ1012 * (1 + 'Daily Returns'!AJ1013)</f>
        <v>1.472222126</v>
      </c>
      <c r="F1013" s="7">
        <f>'Daily Returns'!AR1012 * (1 +'Daily Returns'!AL1013)</f>
        <v>1.441381252</v>
      </c>
      <c r="H1013" s="7">
        <f>'Daily Returns'!AS1012*(1+'Daily Returns'!AM1013)</f>
        <v>1.542636937</v>
      </c>
      <c r="J1013" s="5">
        <f>'Daily Returns'!AT1012*(1+'Daily Returns'!AN1013)</f>
        <v>1.416192987</v>
      </c>
      <c r="L1013" s="5">
        <f>'Daily Returns'!AU1012*(1+'Daily Returns'!AO1013)</f>
        <v>1.399593785</v>
      </c>
    </row>
    <row r="1014" ht="15.75" customHeight="1">
      <c r="A1014" s="9">
        <v>45301.0</v>
      </c>
      <c r="B1014" s="6">
        <f>'Daily Returns'!AP1013*(1+'Daily Returns'!AK1014)</f>
        <v>1.637827543</v>
      </c>
      <c r="D1014" s="4">
        <f>'Daily Returns'!AQ1013 * (1 + 'Daily Returns'!AJ1014)</f>
        <v>1.480563736</v>
      </c>
      <c r="F1014" s="7">
        <f>'Daily Returns'!AR1013 * (1 +'Daily Returns'!AL1014)</f>
        <v>1.435619608</v>
      </c>
      <c r="H1014" s="7">
        <f>'Daily Returns'!AS1013*(1+'Daily Returns'!AM1014)</f>
        <v>1.539766205</v>
      </c>
      <c r="J1014" s="5">
        <f>'Daily Returns'!AT1013*(1+'Daily Returns'!AN1014)</f>
        <v>1.409605981</v>
      </c>
      <c r="L1014" s="5">
        <f>'Daily Returns'!AU1013*(1+'Daily Returns'!AO1014)</f>
        <v>1.393061316</v>
      </c>
    </row>
    <row r="1015" ht="15.75" customHeight="1">
      <c r="A1015" s="9">
        <v>45302.0</v>
      </c>
      <c r="B1015" s="6">
        <f>'Daily Returns'!AP1014*(1+'Daily Returns'!AK1015)</f>
        <v>1.63322525</v>
      </c>
      <c r="D1015" s="4">
        <f>'Daily Returns'!AQ1014 * (1 + 'Daily Returns'!AJ1015)</f>
        <v>1.479570278</v>
      </c>
      <c r="F1015" s="7">
        <f>'Daily Returns'!AR1014 * (1 +'Daily Returns'!AL1015)</f>
        <v>1.443990401</v>
      </c>
      <c r="H1015" s="7">
        <f>'Daily Returns'!AS1014*(1+'Daily Returns'!AM1015)</f>
        <v>1.547725692</v>
      </c>
      <c r="J1015" s="5">
        <f>'Daily Returns'!AT1014*(1+'Daily Returns'!AN1015)</f>
        <v>1.410923574</v>
      </c>
      <c r="L1015" s="5">
        <f>'Daily Returns'!AU1014*(1+'Daily Returns'!AO1015)</f>
        <v>1.394041225</v>
      </c>
    </row>
    <row r="1016" ht="15.75" customHeight="1">
      <c r="A1016" s="9">
        <v>45303.0</v>
      </c>
      <c r="B1016" s="6">
        <f>'Daily Returns'!AP1015*(1+'Daily Returns'!AK1016)</f>
        <v>1.638274844</v>
      </c>
      <c r="D1016" s="4">
        <f>'Daily Returns'!AQ1015 * (1 + 'Daily Returns'!AJ1016)</f>
        <v>1.480681435</v>
      </c>
      <c r="F1016" s="7">
        <f>'Daily Returns'!AR1015 * (1 +'Daily Returns'!AL1016)</f>
        <v>1.44388163</v>
      </c>
      <c r="H1016" s="7">
        <f>'Daily Returns'!AS1015*(1+'Daily Returns'!AM1016)</f>
        <v>1.546681881</v>
      </c>
      <c r="J1016" s="5">
        <f>'Daily Returns'!AT1015*(1+'Daily Returns'!AN1016)</f>
        <v>1.405653812</v>
      </c>
      <c r="L1016" s="5">
        <f>'Daily Returns'!AU1015*(1+'Daily Returns'!AO1016)</f>
        <v>1.389468574</v>
      </c>
    </row>
    <row r="1017" ht="15.75" customHeight="1">
      <c r="A1017" s="9">
        <v>45307.0</v>
      </c>
      <c r="B1017" s="6">
        <f>'Daily Returns'!AP1016*(1+'Daily Returns'!AK1017)</f>
        <v>1.631971408</v>
      </c>
      <c r="D1017" s="4">
        <f>'Daily Returns'!AQ1016 * (1 + 'Daily Returns'!AJ1017)</f>
        <v>1.475157013</v>
      </c>
      <c r="F1017" s="7">
        <f>'Daily Returns'!AR1016 * (1 +'Daily Returns'!AL1017)</f>
        <v>1.445077434</v>
      </c>
      <c r="H1017" s="7">
        <f>'Daily Returns'!AS1016*(1+'Daily Returns'!AM1017)</f>
        <v>1.546942885</v>
      </c>
      <c r="J1017" s="5">
        <f>'Daily Returns'!AT1016*(1+'Daily Returns'!AN1017)</f>
        <v>1.408727847</v>
      </c>
      <c r="L1017" s="5">
        <f>'Daily Returns'!AU1016*(1+'Daily Returns'!AO1017)</f>
        <v>1.393387952</v>
      </c>
    </row>
    <row r="1018" ht="15.75" customHeight="1">
      <c r="A1018" s="9">
        <v>45308.0</v>
      </c>
      <c r="B1018" s="6">
        <f>'Daily Returns'!AP1017*(1+'Daily Returns'!AK1018)</f>
        <v>1.617647711</v>
      </c>
      <c r="D1018" s="4">
        <f>'Daily Returns'!AQ1017 * (1 + 'Daily Returns'!AJ1018)</f>
        <v>1.466871056</v>
      </c>
      <c r="F1018" s="7">
        <f>'Daily Returns'!AR1017 * (1 +'Daily Returns'!AL1018)</f>
        <v>1.435076091</v>
      </c>
      <c r="H1018" s="7">
        <f>'Daily Returns'!AS1017*(1+'Daily Returns'!AM1018)</f>
        <v>1.539766205</v>
      </c>
      <c r="J1018" s="5">
        <f>'Daily Returns'!AT1017*(1+'Daily Returns'!AN1018)</f>
        <v>1.412679842</v>
      </c>
      <c r="L1018" s="5">
        <f>'Daily Returns'!AU1017*(1+'Daily Returns'!AO1018)</f>
        <v>1.398287498</v>
      </c>
    </row>
    <row r="1019" ht="15.75" customHeight="1">
      <c r="A1019" s="9">
        <v>45309.0</v>
      </c>
      <c r="B1019" s="6">
        <f>'Daily Returns'!AP1018*(1+'Daily Returns'!AK1019)</f>
        <v>1.618128408</v>
      </c>
      <c r="D1019" s="4">
        <f>'Daily Returns'!AQ1018 * (1 + 'Daily Returns'!AJ1019)</f>
        <v>1.479786856</v>
      </c>
      <c r="F1019" s="7">
        <f>'Daily Returns'!AR1018 * (1 +'Daily Returns'!AL1019)</f>
        <v>1.425727035</v>
      </c>
      <c r="H1019" s="7">
        <f>'Daily Returns'!AS1018*(1+'Daily Returns'!AM1019)</f>
        <v>1.530501903</v>
      </c>
      <c r="J1019" s="5">
        <f>'Daily Returns'!AT1018*(1+'Daily Returns'!AN1019)</f>
        <v>1.406092922</v>
      </c>
      <c r="L1019" s="5">
        <f>'Daily Returns'!AU1018*(1+'Daily Returns'!AO1019)</f>
        <v>1.390121847</v>
      </c>
    </row>
    <row r="1020" ht="15.75" customHeight="1">
      <c r="A1020" s="9">
        <v>45310.0</v>
      </c>
      <c r="B1020" s="6">
        <f>'Daily Returns'!AP1019*(1+'Daily Returns'!AK1020)</f>
        <v>1.619445355</v>
      </c>
      <c r="D1020" s="4">
        <f>'Daily Returns'!AQ1019 * (1 + 'Daily Returns'!AJ1020)</f>
        <v>1.498007471</v>
      </c>
      <c r="F1020" s="7">
        <f>'Daily Returns'!AR1019 * (1 +'Daily Returns'!AL1020)</f>
        <v>1.437685239</v>
      </c>
      <c r="H1020" s="7">
        <f>'Daily Returns'!AS1019*(1+'Daily Returns'!AM1020)</f>
        <v>1.544007154</v>
      </c>
      <c r="J1020" s="5">
        <f>'Daily Returns'!AT1019*(1+'Daily Returns'!AN1020)</f>
        <v>1.390284333</v>
      </c>
      <c r="L1020" s="5">
        <f>'Daily Returns'!AU1019*(1+'Daily Returns'!AO1020)</f>
        <v>1.374116924</v>
      </c>
    </row>
    <row r="1021" ht="15.75" customHeight="1">
      <c r="A1021" s="9">
        <v>45313.0</v>
      </c>
      <c r="B1021" s="6">
        <f>'Daily Returns'!AP1020*(1+'Daily Returns'!AK1021)</f>
        <v>1.62633831</v>
      </c>
      <c r="D1021" s="4">
        <f>'Daily Returns'!AQ1020 * (1 + 'Daily Returns'!AJ1021)</f>
        <v>1.501294099</v>
      </c>
      <c r="F1021" s="7">
        <f>'Daily Returns'!AR1020 * (1 +'Daily Returns'!AL1021)</f>
        <v>1.452687169</v>
      </c>
      <c r="H1021" s="7">
        <f>'Daily Returns'!AS1020*(1+'Daily Returns'!AM1021)</f>
        <v>1.562796558</v>
      </c>
      <c r="J1021" s="5">
        <f>'Daily Returns'!AT1020*(1+'Daily Returns'!AN1021)</f>
        <v>1.394236589</v>
      </c>
      <c r="L1021" s="5">
        <f>'Daily Returns'!AU1020*(1+'Daily Returns'!AO1021)</f>
        <v>1.378363197</v>
      </c>
    </row>
    <row r="1022" ht="15.75" customHeight="1">
      <c r="A1022" s="9">
        <v>45314.0</v>
      </c>
      <c r="B1022" s="6">
        <f>'Daily Returns'!AP1021*(1+'Daily Returns'!AK1022)</f>
        <v>1.641120988</v>
      </c>
      <c r="D1022" s="4">
        <f>'Daily Returns'!AQ1021 * (1 + 'Daily Returns'!AJ1022)</f>
        <v>1.50567938</v>
      </c>
      <c r="F1022" s="7">
        <f>'Daily Returns'!AR1021 * (1 +'Daily Returns'!AL1022)</f>
        <v>1.456057207</v>
      </c>
      <c r="H1022" s="7">
        <f>'Daily Returns'!AS1021*(1+'Daily Returns'!AM1022)</f>
        <v>1.569581734</v>
      </c>
      <c r="J1022" s="5">
        <f>'Daily Returns'!AT1021*(1+'Daily Returns'!AN1022)</f>
        <v>1.404775591</v>
      </c>
      <c r="L1022" s="5">
        <f>'Daily Returns'!AU1021*(1+'Daily Returns'!AO1022)</f>
        <v>1.388488407</v>
      </c>
    </row>
    <row r="1023" ht="15.75" customHeight="1">
      <c r="A1023" s="9">
        <v>45315.0</v>
      </c>
      <c r="B1023" s="6">
        <f>'Daily Returns'!AP1022*(1+'Daily Returns'!AK1023)</f>
        <v>1.63600888</v>
      </c>
      <c r="D1023" s="4">
        <f>'Daily Returns'!AQ1022 * (1 + 'Daily Returns'!AJ1023)</f>
        <v>1.506901991</v>
      </c>
      <c r="F1023" s="7">
        <f>'Daily Returns'!AR1022 * (1 +'Daily Returns'!AL1023)</f>
        <v>1.457905298</v>
      </c>
      <c r="H1023" s="7">
        <f>'Daily Returns'!AS1022*(1+'Daily Returns'!AM1023)</f>
        <v>1.572452264</v>
      </c>
      <c r="J1023" s="5">
        <f>'Daily Returns'!AT1022*(1+'Daily Returns'!AN1023)</f>
        <v>1.40433648</v>
      </c>
      <c r="L1023" s="5">
        <f>'Daily Returns'!AU1022*(1+'Daily Returns'!AO1023)</f>
        <v>1.389794952</v>
      </c>
    </row>
    <row r="1024" ht="15.75" customHeight="1">
      <c r="A1024" s="9">
        <v>45316.0</v>
      </c>
      <c r="B1024" s="6">
        <f>'Daily Returns'!AP1023*(1+'Daily Returns'!AK1024)</f>
        <v>1.642026701</v>
      </c>
      <c r="D1024" s="4">
        <f>'Daily Returns'!AQ1023 * (1 + 'Daily Returns'!AJ1024)</f>
        <v>1.514828296</v>
      </c>
      <c r="F1024" s="7">
        <f>'Daily Returns'!AR1023 * (1 +'Daily Returns'!AL1024)</f>
        <v>1.461275167</v>
      </c>
      <c r="H1024" s="7">
        <f>'Daily Returns'!AS1023*(1+'Daily Returns'!AM1024)</f>
        <v>1.572191261</v>
      </c>
      <c r="J1024" s="5">
        <f>'Daily Returns'!AT1023*(1+'Daily Returns'!AN1024)</f>
        <v>1.410484289</v>
      </c>
      <c r="L1024" s="5">
        <f>'Daily Returns'!AU1023*(1+'Daily Returns'!AO1024)</f>
        <v>1.396654187</v>
      </c>
    </row>
    <row r="1025" ht="15.75" customHeight="1">
      <c r="A1025" s="9">
        <v>45317.0</v>
      </c>
      <c r="B1025" s="6">
        <f>'Daily Returns'!AP1024*(1+'Daily Returns'!AK1025)</f>
        <v>1.651216516</v>
      </c>
      <c r="D1025" s="4">
        <f>'Daily Returns'!AQ1024 * (1 + 'Daily Returns'!AJ1025)</f>
        <v>1.513840628</v>
      </c>
      <c r="F1025" s="7">
        <f>'Daily Returns'!AR1024 * (1 +'Daily Returns'!AL1025)</f>
        <v>1.467036812</v>
      </c>
      <c r="H1025" s="7">
        <f>'Daily Returns'!AS1024*(1+'Daily Returns'!AM1025)</f>
        <v>1.580933758</v>
      </c>
      <c r="J1025" s="5">
        <f>'Daily Returns'!AT1024*(1+'Daily Returns'!AN1025)</f>
        <v>1.411801708</v>
      </c>
      <c r="L1025" s="5">
        <f>'Daily Returns'!AU1024*(1+'Daily Returns'!AO1025)</f>
        <v>1.39632768</v>
      </c>
    </row>
    <row r="1026" ht="15.75" customHeight="1">
      <c r="A1026" s="9">
        <v>45320.0</v>
      </c>
      <c r="B1026" s="6">
        <f>'Daily Returns'!AP1025*(1+'Daily Returns'!AK1026)</f>
        <v>1.665707809</v>
      </c>
      <c r="D1026" s="4">
        <f>'Daily Returns'!AQ1025 * (1 + 'Daily Returns'!AJ1026)</f>
        <v>1.525280721</v>
      </c>
      <c r="F1026" s="7">
        <f>'Daily Returns'!AR1025 * (1 +'Daily Returns'!AL1026)</f>
        <v>1.468341387</v>
      </c>
      <c r="H1026" s="7">
        <f>'Daily Returns'!AS1025*(1+'Daily Returns'!AM1026)</f>
        <v>1.579628843</v>
      </c>
      <c r="J1026" s="5">
        <f>'Daily Returns'!AT1025*(1+'Daily Returns'!AN1026)</f>
        <v>1.416632098</v>
      </c>
      <c r="L1026" s="5">
        <f>'Daily Returns'!AU1025*(1+'Daily Returns'!AO1026)</f>
        <v>1.401553474</v>
      </c>
    </row>
    <row r="1027" ht="15.75" customHeight="1">
      <c r="A1027" s="9">
        <v>45321.0</v>
      </c>
      <c r="B1027" s="6">
        <f>'Daily Returns'!AP1026*(1+'Daily Returns'!AK1027)</f>
        <v>1.668428572</v>
      </c>
      <c r="D1027" s="4">
        <f>'Daily Returns'!AQ1026 * (1 + 'Daily Returns'!AJ1027)</f>
        <v>1.524364028</v>
      </c>
      <c r="F1027" s="7">
        <f>'Daily Returns'!AR1026 * (1 +'Daily Returns'!AL1027)</f>
        <v>1.479647135</v>
      </c>
      <c r="H1027" s="7">
        <f>'Daily Returns'!AS1026*(1+'Daily Returns'!AM1027)</f>
        <v>1.593982102</v>
      </c>
      <c r="J1027" s="5">
        <f>'Daily Returns'!AT1026*(1+'Daily Returns'!AN1027)</f>
        <v>1.417510406</v>
      </c>
      <c r="L1027" s="5">
        <f>'Daily Returns'!AU1026*(1+'Daily Returns'!AO1027)</f>
        <v>1.403513421</v>
      </c>
    </row>
    <row r="1028" ht="15.75" customHeight="1">
      <c r="A1028" s="9">
        <v>45322.0</v>
      </c>
      <c r="B1028" s="6">
        <f>'Daily Returns'!AP1027*(1+'Daily Returns'!AK1028)</f>
        <v>1.661054864</v>
      </c>
      <c r="D1028" s="4">
        <f>'Daily Returns'!AQ1027 * (1 + 'Daily Returns'!AJ1028)</f>
        <v>1.499812621</v>
      </c>
      <c r="F1028" s="7">
        <f>'Daily Returns'!AR1027 * (1 +'Daily Returns'!AL1028)</f>
        <v>1.478342561</v>
      </c>
      <c r="H1028" s="7">
        <f>'Daily Returns'!AS1027*(1+'Daily Returns'!AM1028)</f>
        <v>1.591763776</v>
      </c>
      <c r="J1028" s="5">
        <f>'Daily Returns'!AT1027*(1+'Daily Returns'!AN1028)</f>
        <v>1.424975459</v>
      </c>
      <c r="L1028" s="5">
        <f>'Daily Returns'!AU1027*(1+'Daily Returns'!AO1028)</f>
        <v>1.409719254</v>
      </c>
    </row>
    <row r="1029" ht="15.75" customHeight="1">
      <c r="A1029" s="9">
        <v>45323.0</v>
      </c>
      <c r="B1029" s="6">
        <f>'Daily Returns'!AP1028*(1+'Daily Returns'!AK1029)</f>
        <v>1.667965211</v>
      </c>
      <c r="D1029" s="4">
        <f>'Daily Returns'!AQ1028 * (1 + 'Daily Returns'!AJ1029)</f>
        <v>1.518551279</v>
      </c>
      <c r="F1029" s="7">
        <f>'Daily Returns'!AR1028 * (1 +'Daily Returns'!AL1029)</f>
        <v>1.45888356</v>
      </c>
      <c r="H1029" s="7">
        <f>'Daily Returns'!AS1028*(1+'Daily Returns'!AM1029)</f>
        <v>1.564949583</v>
      </c>
      <c r="J1029" s="5">
        <f>'Daily Returns'!AT1028*(1+'Daily Returns'!AN1029)</f>
        <v>1.42673225</v>
      </c>
      <c r="L1029" s="5">
        <f>'Daily Returns'!AU1028*(1+'Daily Returns'!AO1029)</f>
        <v>1.411352435</v>
      </c>
    </row>
    <row r="1030" ht="15.75" customHeight="1">
      <c r="A1030" s="9">
        <v>45324.0</v>
      </c>
      <c r="B1030" s="6">
        <f>'Daily Returns'!AP1029*(1+'Daily Returns'!AK1030)</f>
        <v>1.657521922</v>
      </c>
      <c r="D1030" s="4">
        <f>'Daily Returns'!AQ1029 * (1 + 'Daily Returns'!AJ1030)</f>
        <v>1.534775481</v>
      </c>
      <c r="F1030" s="7">
        <f>'Daily Returns'!AR1029 * (1 +'Daily Returns'!AL1030)</f>
        <v>1.475733581</v>
      </c>
      <c r="H1030" s="7">
        <f>'Daily Returns'!AS1029*(1+'Daily Returns'!AM1030)</f>
        <v>1.586022614</v>
      </c>
      <c r="J1030" s="5">
        <f>'Daily Returns'!AT1029*(1+'Daily Returns'!AN1030)</f>
        <v>1.413118952</v>
      </c>
      <c r="L1030" s="5">
        <f>'Daily Returns'!AU1029*(1+'Daily Returns'!AO1030)</f>
        <v>1.397634096</v>
      </c>
    </row>
    <row r="1031" ht="15.75" customHeight="1">
      <c r="A1031" s="9">
        <v>45327.0</v>
      </c>
      <c r="B1031" s="6">
        <f>'Daily Returns'!AP1030*(1+'Daily Returns'!AK1031)</f>
        <v>1.651568697</v>
      </c>
      <c r="D1031" s="4">
        <f>'Daily Returns'!AQ1030 * (1 + 'Daily Returns'!AJ1031)</f>
        <v>1.529885687</v>
      </c>
      <c r="F1031" s="7">
        <f>'Daily Returns'!AR1030 * (1 +'Daily Returns'!AL1031)</f>
        <v>1.483343317</v>
      </c>
      <c r="H1031" s="7">
        <f>'Daily Returns'!AS1030*(1+'Daily Returns'!AM1031)</f>
        <v>1.599592661</v>
      </c>
      <c r="J1031" s="5">
        <f>'Daily Returns'!AT1030*(1+'Daily Returns'!AN1031)</f>
        <v>1.417510406</v>
      </c>
      <c r="L1031" s="5">
        <f>'Daily Returns'!AU1030*(1+'Daily Returns'!AO1031)</f>
        <v>1.403840057</v>
      </c>
    </row>
    <row r="1032" ht="15.75" customHeight="1">
      <c r="A1032" s="9">
        <v>45328.0</v>
      </c>
      <c r="B1032" s="6">
        <f>'Daily Returns'!AP1031*(1+'Daily Returns'!AK1032)</f>
        <v>1.65503734</v>
      </c>
      <c r="D1032" s="4">
        <f>'Daily Returns'!AQ1031 * (1 + 'Daily Returns'!AJ1032)</f>
        <v>1.533419723</v>
      </c>
      <c r="F1032" s="7">
        <f>'Daily Returns'!AR1031 * (1 +'Daily Returns'!AL1032)</f>
        <v>1.476711843</v>
      </c>
      <c r="H1032" s="7">
        <f>'Daily Returns'!AS1031*(1+'Daily Returns'!AM1032)</f>
        <v>1.592024779</v>
      </c>
      <c r="J1032" s="5">
        <f>'Daily Returns'!AT1031*(1+'Daily Returns'!AN1032)</f>
        <v>1.416632098</v>
      </c>
      <c r="L1032" s="5">
        <f>'Daily Returns'!AU1031*(1+'Daily Returns'!AO1032)</f>
        <v>1.402860148</v>
      </c>
    </row>
    <row r="1033" ht="15.75" customHeight="1">
      <c r="A1033" s="9">
        <v>45329.0</v>
      </c>
      <c r="B1033" s="6">
        <f>'Daily Returns'!AP1032*(1+'Daily Returns'!AK1033)</f>
        <v>1.653943264</v>
      </c>
      <c r="D1033" s="4">
        <f>'Daily Returns'!AQ1032 * (1 + 'Daily Returns'!AJ1033)</f>
        <v>1.546056634</v>
      </c>
      <c r="F1033" s="7">
        <f>'Daily Returns'!AR1032 * (1 +'Daily Returns'!AL1033)</f>
        <v>1.482473488</v>
      </c>
      <c r="H1033" s="7">
        <f>'Daily Returns'!AS1032*(1+'Daily Returns'!AM1033)</f>
        <v>1.597439839</v>
      </c>
      <c r="J1033" s="5">
        <f>'Daily Returns'!AT1032*(1+'Daily Returns'!AN1033)</f>
        <v>1.403019148</v>
      </c>
      <c r="L1033" s="5">
        <f>'Daily Returns'!AU1032*(1+'Daily Returns'!AO1033)</f>
        <v>1.388162029</v>
      </c>
    </row>
    <row r="1034" ht="15.75" customHeight="1">
      <c r="A1034" s="9">
        <v>45330.0</v>
      </c>
      <c r="B1034" s="6">
        <f>'Daily Returns'!AP1033*(1+'Daily Returns'!AK1034)</f>
        <v>1.653945182</v>
      </c>
      <c r="D1034" s="4">
        <f>'Daily Returns'!AQ1033 * (1 + 'Daily Returns'!AJ1034)</f>
        <v>1.546939433</v>
      </c>
      <c r="F1034" s="7">
        <f>'Daily Returns'!AR1033 * (1 +'Daily Returns'!AL1034)</f>
        <v>1.490952884</v>
      </c>
      <c r="H1034" s="7">
        <f>'Daily Returns'!AS1033*(1+'Daily Returns'!AM1034)</f>
        <v>1.610031477</v>
      </c>
      <c r="J1034" s="5">
        <f>'Daily Returns'!AT1033*(1+'Daily Returns'!AN1034)</f>
        <v>1.408288649</v>
      </c>
      <c r="L1034" s="5">
        <f>'Daily Returns'!AU1033*(1+'Daily Returns'!AO1034)</f>
        <v>1.394367732</v>
      </c>
    </row>
    <row r="1035" ht="15.75" customHeight="1">
      <c r="A1035" s="9">
        <v>45331.0</v>
      </c>
      <c r="B1035" s="6">
        <f>'Daily Returns'!AP1034*(1+'Daily Returns'!AK1035)</f>
        <v>1.650041409</v>
      </c>
      <c r="D1035" s="4">
        <f>'Daily Returns'!AQ1034 * (1 + 'Daily Returns'!AJ1035)</f>
        <v>1.555821959</v>
      </c>
      <c r="F1035" s="7">
        <f>'Daily Returns'!AR1034 * (1 +'Daily Returns'!AL1035)</f>
        <v>1.491822544</v>
      </c>
      <c r="H1035" s="7">
        <f>'Daily Returns'!AS1034*(1+'Daily Returns'!AM1035)</f>
        <v>1.614011221</v>
      </c>
      <c r="J1035" s="5">
        <f>'Daily Returns'!AT1034*(1+'Daily Returns'!AN1035)</f>
        <v>1.409167044</v>
      </c>
      <c r="L1035" s="5">
        <f>'Daily Returns'!AU1034*(1+'Daily Returns'!AO1035)</f>
        <v>1.395021005</v>
      </c>
    </row>
    <row r="1036" ht="15.75" customHeight="1">
      <c r="A1036" s="9">
        <v>45334.0</v>
      </c>
      <c r="B1036" s="6">
        <f>'Daily Returns'!AP1035*(1+'Daily Returns'!AK1036)</f>
        <v>1.657451797</v>
      </c>
      <c r="D1036" s="4">
        <f>'Daily Returns'!AQ1035 * (1 + 'Daily Returns'!AJ1036)</f>
        <v>1.554345484</v>
      </c>
      <c r="F1036" s="7">
        <f>'Daily Returns'!AR1035 * (1 +'Daily Returns'!AL1036)</f>
        <v>1.499105968</v>
      </c>
      <c r="H1036" s="7">
        <f>'Daily Returns'!AS1035*(1+'Daily Returns'!AM1036)</f>
        <v>1.623862628</v>
      </c>
      <c r="J1036" s="5">
        <f>'Daily Returns'!AT1035*(1+'Daily Returns'!AN1036)</f>
        <v>1.409167044</v>
      </c>
      <c r="L1036" s="5">
        <f>'Daily Returns'!AU1035*(1+'Daily Returns'!AO1036)</f>
        <v>1.392408172</v>
      </c>
    </row>
    <row r="1037" ht="15.75" customHeight="1">
      <c r="A1037" s="9">
        <v>45335.0</v>
      </c>
      <c r="B1037" s="6">
        <f>'Daily Returns'!AP1036*(1+'Daily Returns'!AK1037)</f>
        <v>1.641980762</v>
      </c>
      <c r="D1037" s="4">
        <f>'Daily Returns'!AQ1036 * (1 + 'Daily Returns'!AJ1037)</f>
        <v>1.533091364</v>
      </c>
      <c r="F1037" s="7">
        <f>'Daily Returns'!AR1036 * (1 +'Daily Returns'!AL1037)</f>
        <v>1.500193337</v>
      </c>
      <c r="H1037" s="7">
        <f>'Daily Returns'!AS1036*(1+'Daily Returns'!AM1037)</f>
        <v>1.625428345</v>
      </c>
      <c r="J1037" s="5">
        <f>'Daily Returns'!AT1036*(1+'Daily Returns'!AN1037)</f>
        <v>1.414436371</v>
      </c>
      <c r="L1037" s="5">
        <f>'Daily Returns'!AU1036*(1+'Daily Returns'!AO1037)</f>
        <v>1.397634096</v>
      </c>
    </row>
    <row r="1038" ht="15.75" customHeight="1">
      <c r="A1038" s="9">
        <v>45336.0</v>
      </c>
      <c r="B1038" s="6">
        <f>'Daily Returns'!AP1037*(1+'Daily Returns'!AK1038)</f>
        <v>1.652432796</v>
      </c>
      <c r="D1038" s="4">
        <f>'Daily Returns'!AQ1037 * (1 + 'Daily Returns'!AJ1038)</f>
        <v>1.547778379</v>
      </c>
      <c r="F1038" s="7">
        <f>'Daily Returns'!AR1037 * (1 +'Daily Returns'!AL1038)</f>
        <v>1.477690274</v>
      </c>
      <c r="H1038" s="7">
        <f>'Daily Returns'!AS1037*(1+'Daily Returns'!AM1038)</f>
        <v>1.599396959</v>
      </c>
      <c r="J1038" s="5">
        <f>'Daily Returns'!AT1037*(1+'Daily Returns'!AN1038)</f>
        <v>1.417071295</v>
      </c>
      <c r="L1038" s="5">
        <f>'Daily Returns'!AU1037*(1+'Daily Returns'!AO1038)</f>
        <v>1.401880369</v>
      </c>
    </row>
    <row r="1039" ht="15.75" customHeight="1">
      <c r="A1039" s="9">
        <v>45337.0</v>
      </c>
      <c r="B1039" s="6">
        <f>'Daily Returns'!AP1038*(1+'Daily Returns'!AK1039)</f>
        <v>1.670745585</v>
      </c>
      <c r="D1039" s="4">
        <f>'Daily Returns'!AQ1038 * (1 + 'Daily Returns'!AJ1039)</f>
        <v>1.556787997</v>
      </c>
      <c r="F1039" s="7">
        <f>'Daily Returns'!AR1038 * (1 +'Daily Returns'!AL1039)</f>
        <v>1.493453262</v>
      </c>
      <c r="H1039" s="7">
        <f>'Daily Returns'!AS1038*(1+'Daily Returns'!AM1039)</f>
        <v>1.617077555</v>
      </c>
      <c r="J1039" s="5">
        <f>'Daily Returns'!AT1038*(1+'Daily Returns'!AN1039)</f>
        <v>1.384136524</v>
      </c>
      <c r="L1039" s="5">
        <f>'Daily Returns'!AU1038*(1+'Daily Returns'!AO1039)</f>
        <v>1.370034098</v>
      </c>
    </row>
    <row r="1040" ht="15.75" customHeight="1">
      <c r="A1040" s="9">
        <v>45338.0</v>
      </c>
      <c r="B1040" s="6">
        <f>'Daily Returns'!AP1039*(1+'Daily Returns'!AK1040)</f>
        <v>1.675041762</v>
      </c>
      <c r="D1040" s="4">
        <f>'Daily Returns'!AQ1039 * (1 + 'Daily Returns'!AJ1040)</f>
        <v>1.549310744</v>
      </c>
      <c r="F1040" s="7">
        <f>'Daily Returns'!AR1039 * (1 +'Daily Returns'!AL1040)</f>
        <v>1.506172355</v>
      </c>
      <c r="H1040" s="7">
        <f>'Daily Returns'!AS1039*(1+'Daily Returns'!AM1040)</f>
        <v>1.629538793</v>
      </c>
      <c r="J1040" s="5">
        <f>'Daily Returns'!AT1039*(1+'Daily Returns'!AN1040)</f>
        <v>1.40653212</v>
      </c>
      <c r="L1040" s="5">
        <f>'Daily Returns'!AU1039*(1+'Daily Returns'!AO1040)</f>
        <v>1.389468574</v>
      </c>
    </row>
    <row r="1041" ht="15.75" customHeight="1">
      <c r="A1041" s="9">
        <v>45342.0</v>
      </c>
      <c r="B1041" s="6">
        <f>'Daily Returns'!AP1040*(1+'Daily Returns'!AK1041)</f>
        <v>1.679978894</v>
      </c>
      <c r="D1041" s="4">
        <f>'Daily Returns'!AQ1040 * (1 + 'Daily Returns'!AJ1041)</f>
        <v>1.540007133</v>
      </c>
      <c r="F1041" s="7">
        <f>'Daily Returns'!AR1040 * (1 +'Daily Returns'!AL1041)</f>
        <v>1.500628083</v>
      </c>
      <c r="H1041" s="7">
        <f>'Daily Returns'!AS1040*(1+'Daily Returns'!AM1041)</f>
        <v>1.620991997</v>
      </c>
      <c r="J1041" s="5">
        <f>'Daily Returns'!AT1040*(1+'Daily Returns'!AN1041)</f>
        <v>1.428488518</v>
      </c>
      <c r="L1041" s="5">
        <f>'Daily Returns'!AU1040*(1+'Daily Returns'!AO1041)</f>
        <v>1.413965397</v>
      </c>
    </row>
    <row r="1042" ht="15.75" customHeight="1">
      <c r="A1042" s="9">
        <v>45343.0</v>
      </c>
      <c r="B1042" s="6">
        <f>'Daily Returns'!AP1041*(1+'Daily Returns'!AK1042)</f>
        <v>1.681436544</v>
      </c>
      <c r="D1042" s="4">
        <f>'Daily Returns'!AQ1041 * (1 + 'Daily Returns'!AJ1042)</f>
        <v>1.541953702</v>
      </c>
      <c r="F1042" s="7">
        <f>'Daily Returns'!AR1041 * (1 +'Daily Returns'!AL1042)</f>
        <v>1.495953639</v>
      </c>
      <c r="H1042" s="7">
        <f>'Daily Returns'!AS1041*(1+'Daily Returns'!AM1042)</f>
        <v>1.610814285</v>
      </c>
      <c r="J1042" s="5">
        <f>'Daily Returns'!AT1041*(1+'Daily Returns'!AN1042)</f>
        <v>1.430684332</v>
      </c>
      <c r="L1042" s="5">
        <f>'Daily Returns'!AU1041*(1+'Daily Returns'!AO1042)</f>
        <v>1.417558397</v>
      </c>
    </row>
    <row r="1043" ht="15.75" customHeight="1">
      <c r="A1043" s="9">
        <v>45344.0</v>
      </c>
      <c r="B1043" s="6">
        <f>'Daily Returns'!AP1042*(1+'Daily Returns'!AK1043)</f>
        <v>1.681164451</v>
      </c>
      <c r="D1043" s="4">
        <f>'Daily Returns'!AQ1042 * (1 + 'Daily Returns'!AJ1043)</f>
        <v>1.57452439</v>
      </c>
      <c r="F1043" s="7">
        <f>'Daily Returns'!AR1042 * (1 +'Daily Returns'!AL1043)</f>
        <v>1.496931902</v>
      </c>
      <c r="H1043" s="7">
        <f>'Daily Returns'!AS1042*(1+'Daily Returns'!AM1043)</f>
        <v>1.611140488</v>
      </c>
      <c r="J1043" s="5">
        <f>'Daily Returns'!AT1042*(1+'Daily Returns'!AN1043)</f>
        <v>1.430245047</v>
      </c>
      <c r="L1043" s="5">
        <f>'Daily Returns'!AU1042*(1+'Daily Returns'!AO1043)</f>
        <v>1.413965397</v>
      </c>
    </row>
    <row r="1044" ht="15.75" customHeight="1">
      <c r="A1044" s="9">
        <v>45345.0</v>
      </c>
      <c r="B1044" s="6">
        <f>'Daily Returns'!AP1043*(1+'Daily Returns'!AK1044)</f>
        <v>1.686039075</v>
      </c>
      <c r="D1044" s="4">
        <f>'Daily Returns'!AQ1043 * (1 + 'Daily Returns'!AJ1044)</f>
        <v>1.575072325</v>
      </c>
      <c r="F1044" s="7">
        <f>'Daily Returns'!AR1043 * (1 +'Daily Returns'!AL1044)</f>
        <v>1.523891868</v>
      </c>
      <c r="H1044" s="7">
        <f>'Daily Returns'!AS1043*(1+'Daily Returns'!AM1044)</f>
        <v>1.64297854</v>
      </c>
      <c r="J1044" s="5">
        <f>'Daily Returns'!AT1043*(1+'Daily Returns'!AN1044)</f>
        <v>1.425853855</v>
      </c>
      <c r="L1044" s="5">
        <f>'Daily Returns'!AU1043*(1+'Daily Returns'!AO1044)</f>
        <v>1.410045761</v>
      </c>
    </row>
    <row r="1045" ht="15.75" customHeight="1">
      <c r="A1045" s="9">
        <v>45348.0</v>
      </c>
      <c r="B1045" s="6">
        <f>'Daily Returns'!AP1044*(1+'Daily Returns'!AK1045)</f>
        <v>1.668736774</v>
      </c>
      <c r="D1045" s="4">
        <f>'Daily Returns'!AQ1044 * (1 + 'Daily Returns'!AJ1045)</f>
        <v>1.569107526</v>
      </c>
      <c r="F1045" s="7">
        <f>'Daily Returns'!AR1044 * (1 +'Daily Returns'!AL1045)</f>
        <v>1.525522585</v>
      </c>
      <c r="H1045" s="7">
        <f>'Daily Returns'!AS1044*(1+'Daily Returns'!AM1045)</f>
        <v>1.644087551</v>
      </c>
      <c r="J1045" s="5">
        <f>'Daily Returns'!AT1044*(1+'Daily Returns'!AN1045)</f>
        <v>1.436832141</v>
      </c>
      <c r="L1045" s="5">
        <f>'Daily Returns'!AU1044*(1+'Daily Returns'!AO1045)</f>
        <v>1.419844593</v>
      </c>
    </row>
    <row r="1046" ht="15.75" customHeight="1">
      <c r="A1046" s="9">
        <v>45349.0</v>
      </c>
      <c r="B1046" s="6">
        <f>'Daily Returns'!AP1045*(1+'Daily Returns'!AK1046)</f>
        <v>1.673780069</v>
      </c>
      <c r="D1046" s="4">
        <f>'Daily Returns'!AQ1045 * (1 + 'Daily Returns'!AJ1046)</f>
        <v>1.571784423</v>
      </c>
      <c r="F1046" s="7">
        <f>'Daily Returns'!AR1045 * (1 +'Daily Returns'!AL1046)</f>
        <v>1.51965217</v>
      </c>
      <c r="H1046" s="7">
        <f>'Daily Returns'!AS1045*(1+'Daily Returns'!AM1046)</f>
        <v>1.639129197</v>
      </c>
      <c r="J1046" s="5">
        <f>'Daily Returns'!AT1045*(1+'Daily Returns'!AN1046)</f>
        <v>1.4449754</v>
      </c>
      <c r="L1046" s="5">
        <f>'Daily Returns'!AU1045*(1+'Daily Returns'!AO1046)</f>
        <v>1.42735723</v>
      </c>
    </row>
    <row r="1047" ht="15.75" customHeight="1">
      <c r="A1047" s="9">
        <v>45350.0</v>
      </c>
      <c r="B1047" s="6">
        <f>'Daily Returns'!AP1046*(1+'Daily Returns'!AK1047)</f>
        <v>1.670168924</v>
      </c>
      <c r="D1047" s="4">
        <f>'Daily Returns'!AQ1046 * (1 + 'Daily Returns'!AJ1047)</f>
        <v>1.569178405</v>
      </c>
      <c r="F1047" s="7">
        <f>'Daily Returns'!AR1046 * (1 +'Daily Returns'!AL1047)</f>
        <v>1.523565724</v>
      </c>
      <c r="H1047" s="7">
        <f>'Daily Returns'!AS1046*(1+'Daily Returns'!AM1047)</f>
        <v>1.643696147</v>
      </c>
      <c r="J1047" s="5">
        <f>'Daily Returns'!AT1046*(1+'Daily Returns'!AN1047)</f>
        <v>1.437451596</v>
      </c>
      <c r="L1047" s="5">
        <f>'Daily Returns'!AU1046*(1+'Daily Returns'!AO1047)</f>
        <v>1.421804541</v>
      </c>
    </row>
    <row r="1048" ht="15.75" customHeight="1">
      <c r="A1048" s="9">
        <v>45351.0</v>
      </c>
      <c r="B1048" s="6">
        <f>'Daily Returns'!AP1047*(1+'Daily Returns'!AK1048)</f>
        <v>1.673677024</v>
      </c>
      <c r="D1048" s="4">
        <f>'Daily Returns'!AQ1047 * (1 + 'Daily Returns'!AJ1048)</f>
        <v>1.577383639</v>
      </c>
      <c r="F1048" s="7">
        <f>'Daily Returns'!AR1047 * (1 +'Daily Returns'!AL1048)</f>
        <v>1.518782678</v>
      </c>
      <c r="H1048" s="7">
        <f>'Daily Returns'!AS1047*(1+'Daily Returns'!AM1048)</f>
        <v>1.640956017</v>
      </c>
      <c r="J1048" s="5">
        <f>'Daily Returns'!AT1047*(1+'Daily Returns'!AN1048)</f>
        <v>1.434796304</v>
      </c>
      <c r="L1048" s="5">
        <f>'Daily Returns'!AU1047*(1+'Daily Returns'!AO1048)</f>
        <v>1.421804541</v>
      </c>
    </row>
    <row r="1049" ht="15.75" customHeight="1">
      <c r="A1049" s="9">
        <v>45352.0</v>
      </c>
      <c r="B1049" s="6">
        <f>'Daily Returns'!AP1048*(1+'Daily Returns'!AK1049)</f>
        <v>1.676688237</v>
      </c>
      <c r="D1049" s="4">
        <f>'Daily Returns'!AQ1048 * (1 + 'Daily Returns'!AJ1049)</f>
        <v>1.590015327</v>
      </c>
      <c r="F1049" s="7">
        <f>'Daily Returns'!AR1048 * (1 +'Daily Returns'!AL1049)</f>
        <v>1.5249789</v>
      </c>
      <c r="H1049" s="7">
        <f>'Daily Returns'!AS1048*(1+'Daily Returns'!AM1049)</f>
        <v>1.647871492</v>
      </c>
      <c r="J1049" s="5">
        <f>'Daily Returns'!AT1048*(1+'Daily Returns'!AN1049)</f>
        <v>1.431255828</v>
      </c>
      <c r="L1049" s="5">
        <f>'Daily Returns'!AU1048*(1+'Daily Returns'!AO1049)</f>
        <v>1.417558397</v>
      </c>
    </row>
    <row r="1050" ht="15.75" customHeight="1">
      <c r="A1050" s="9">
        <v>45355.0</v>
      </c>
      <c r="B1050" s="6">
        <f>'Daily Returns'!AP1049*(1+'Daily Returns'!AK1050)</f>
        <v>1.679977438</v>
      </c>
      <c r="D1050" s="4">
        <f>'Daily Returns'!AQ1049 * (1 + 'Daily Returns'!AJ1050)</f>
        <v>1.588118439</v>
      </c>
      <c r="F1050" s="7">
        <f>'Daily Returns'!AR1049 * (1 +'Daily Returns'!AL1050)</f>
        <v>1.538676425</v>
      </c>
      <c r="H1050" s="7">
        <f>'Daily Returns'!AS1049*(1+'Daily Returns'!AM1050)</f>
        <v>1.663007457</v>
      </c>
      <c r="J1050" s="5">
        <f>'Daily Returns'!AT1049*(1+'Daily Returns'!AN1050)</f>
        <v>1.440107148</v>
      </c>
      <c r="L1050" s="5">
        <f>'Daily Returns'!AU1049*(1+'Daily Returns'!AO1050)</f>
        <v>1.425724177</v>
      </c>
    </row>
    <row r="1051" ht="15.75" customHeight="1">
      <c r="A1051" s="9">
        <v>45356.0</v>
      </c>
      <c r="B1051" s="6">
        <f>'Daily Returns'!AP1050*(1+'Daily Returns'!AK1051)</f>
        <v>1.67738004</v>
      </c>
      <c r="D1051" s="4">
        <f>'Daily Returns'!AQ1050 * (1 + 'Daily Returns'!AJ1051)</f>
        <v>1.571930747</v>
      </c>
      <c r="F1051" s="7">
        <f>'Daily Returns'!AR1050 * (1 +'Daily Returns'!AL1051)</f>
        <v>1.536828334</v>
      </c>
      <c r="H1051" s="7">
        <f>'Daily Returns'!AS1050*(1+'Daily Returns'!AM1051)</f>
        <v>1.66137654</v>
      </c>
      <c r="J1051" s="5">
        <f>'Daily Returns'!AT1050*(1+'Daily Returns'!AN1051)</f>
        <v>1.452499031</v>
      </c>
      <c r="L1051" s="5">
        <f>'Daily Returns'!AU1050*(1+'Daily Returns'!AO1051)</f>
        <v>1.438135713</v>
      </c>
    </row>
    <row r="1052" ht="15.75" customHeight="1">
      <c r="A1052" s="9">
        <v>45357.0</v>
      </c>
      <c r="B1052" s="6">
        <f>'Daily Returns'!AP1051*(1+'Daily Returns'!AK1052)</f>
        <v>1.684117444</v>
      </c>
      <c r="D1052" s="4">
        <f>'Daily Returns'!AQ1051 * (1 + 'Daily Returns'!AJ1052)</f>
        <v>1.580012043</v>
      </c>
      <c r="F1052" s="7">
        <f>'Daily Returns'!AR1051 * (1 +'Daily Returns'!AL1052)</f>
        <v>1.524870467</v>
      </c>
      <c r="H1052" s="7">
        <f>'Daily Returns'!AS1051*(1+'Daily Returns'!AM1052)</f>
        <v>1.643761347</v>
      </c>
      <c r="J1052" s="5">
        <f>'Daily Returns'!AT1051*(1+'Daily Returns'!AN1052)</f>
        <v>1.448958381</v>
      </c>
      <c r="L1052" s="5">
        <f>'Daily Returns'!AU1051*(1+'Daily Returns'!AO1052)</f>
        <v>1.436176024</v>
      </c>
    </row>
    <row r="1053" ht="15.75" customHeight="1">
      <c r="A1053" s="9">
        <v>45358.0</v>
      </c>
      <c r="B1053" s="6">
        <f>'Daily Returns'!AP1052*(1+'Daily Returns'!AK1053)</f>
        <v>1.694726518</v>
      </c>
      <c r="D1053" s="4">
        <f>'Daily Returns'!AQ1052 * (1 + 'Daily Returns'!AJ1053)</f>
        <v>1.596292487</v>
      </c>
      <c r="F1053" s="7">
        <f>'Daily Returns'!AR1052 * (1 +'Daily Returns'!AL1053)</f>
        <v>1.536284817</v>
      </c>
      <c r="H1053" s="7">
        <f>'Daily Returns'!AS1052*(1+'Daily Returns'!AM1053)</f>
        <v>1.653482354</v>
      </c>
      <c r="J1053" s="5">
        <f>'Daily Returns'!AT1052*(1+'Daily Returns'!AN1053)</f>
        <v>1.451171255</v>
      </c>
      <c r="L1053" s="5">
        <f>'Daily Returns'!AU1052*(1+'Daily Returns'!AO1053)</f>
        <v>1.436829426</v>
      </c>
    </row>
    <row r="1054" ht="15.75" customHeight="1">
      <c r="A1054" s="9">
        <v>45359.0</v>
      </c>
      <c r="B1054" s="6">
        <f>'Daily Returns'!AP1053*(1+'Daily Returns'!AK1054)</f>
        <v>1.6932609</v>
      </c>
      <c r="D1054" s="4">
        <f>'Daily Returns'!AQ1053 * (1 + 'Daily Returns'!AJ1054)</f>
        <v>1.585870294</v>
      </c>
      <c r="F1054" s="7">
        <f>'Daily Returns'!AR1053 * (1 +'Daily Returns'!AL1054)</f>
        <v>1.552808695</v>
      </c>
      <c r="H1054" s="7">
        <f>'Daily Returns'!AS1053*(1+'Daily Returns'!AM1054)</f>
        <v>1.669597031</v>
      </c>
      <c r="J1054" s="5">
        <f>'Daily Returns'!AT1053*(1+'Daily Returns'!AN1054)</f>
        <v>1.454269225</v>
      </c>
      <c r="L1054" s="5">
        <f>'Daily Returns'!AU1053*(1+'Daily Returns'!AO1054)</f>
        <v>1.441075311</v>
      </c>
    </row>
    <row r="1055" ht="15.75" customHeight="1">
      <c r="A1055" s="9">
        <v>45362.0</v>
      </c>
      <c r="B1055" s="6">
        <f>'Daily Returns'!AP1054*(1+'Daily Returns'!AK1055)</f>
        <v>1.694560972</v>
      </c>
      <c r="D1055" s="4">
        <f>'Daily Returns'!AQ1054 * (1 + 'Daily Returns'!AJ1055)</f>
        <v>1.584090947</v>
      </c>
      <c r="F1055" s="7">
        <f>'Daily Returns'!AR1054 * (1 +'Daily Returns'!AL1055)</f>
        <v>1.54454684</v>
      </c>
      <c r="H1055" s="7">
        <f>'Daily Returns'!AS1054*(1+'Daily Returns'!AM1055)</f>
        <v>1.659941123</v>
      </c>
      <c r="J1055" s="5">
        <f>'Daily Returns'!AT1054*(1+'Daily Returns'!AN1055)</f>
        <v>1.467988623</v>
      </c>
      <c r="L1055" s="5">
        <f>'Daily Returns'!AU1054*(1+'Daily Returns'!AO1055)</f>
        <v>1.454140507</v>
      </c>
    </row>
    <row r="1056" ht="15.75" customHeight="1">
      <c r="A1056" s="9">
        <v>45363.0</v>
      </c>
      <c r="B1056" s="6">
        <f>'Daily Returns'!AP1055*(1+'Daily Returns'!AK1056)</f>
        <v>1.688399067</v>
      </c>
      <c r="D1056" s="4">
        <f>'Daily Returns'!AQ1055 * (1 + 'Daily Returns'!AJ1056)</f>
        <v>1.601835934</v>
      </c>
      <c r="F1056" s="7">
        <f>'Daily Returns'!AR1055 * (1 +'Daily Returns'!AL1056)</f>
        <v>1.540089601</v>
      </c>
      <c r="H1056" s="7">
        <f>'Daily Returns'!AS1055*(1+'Daily Returns'!AM1056)</f>
        <v>1.657266396</v>
      </c>
      <c r="J1056" s="5">
        <f>'Daily Returns'!AT1055*(1+'Daily Returns'!AN1056)</f>
        <v>1.465333244</v>
      </c>
      <c r="L1056" s="5">
        <f>'Daily Returns'!AU1055*(1+'Daily Returns'!AO1056)</f>
        <v>1.450547507</v>
      </c>
    </row>
    <row r="1057" ht="15.75" customHeight="1">
      <c r="A1057" s="9">
        <v>45364.0</v>
      </c>
      <c r="B1057" s="6">
        <f>'Daily Returns'!AP1056*(1+'Daily Returns'!AK1057)</f>
        <v>1.69747072</v>
      </c>
      <c r="D1057" s="4">
        <f>'Daily Returns'!AQ1056 * (1 + 'Daily Returns'!AJ1057)</f>
        <v>1.5987524</v>
      </c>
      <c r="F1057" s="7">
        <f>'Daily Returns'!AR1056 * (1 +'Daily Returns'!AL1057)</f>
        <v>1.556287503</v>
      </c>
      <c r="H1057" s="7">
        <f>'Daily Returns'!AS1056*(1+'Daily Returns'!AM1057)</f>
        <v>1.673641975</v>
      </c>
      <c r="J1057" s="5">
        <f>'Daily Returns'!AT1056*(1+'Daily Returns'!AN1057)</f>
        <v>1.467546118</v>
      </c>
      <c r="L1057" s="5">
        <f>'Daily Returns'!AU1056*(1+'Daily Returns'!AO1057)</f>
        <v>1.453160598</v>
      </c>
    </row>
    <row r="1058" ht="15.75" customHeight="1">
      <c r="A1058" s="9">
        <v>45365.0</v>
      </c>
      <c r="B1058" s="6">
        <f>'Daily Returns'!AP1057*(1+'Daily Returns'!AK1058)</f>
        <v>1.688035714</v>
      </c>
      <c r="D1058" s="4">
        <f>'Daily Returns'!AQ1057 * (1 + 'Daily Returns'!AJ1058)</f>
        <v>1.594162382</v>
      </c>
      <c r="F1058" s="7">
        <f>'Daily Returns'!AR1057 * (1 +'Daily Returns'!AL1058)</f>
        <v>1.554874158</v>
      </c>
      <c r="H1058" s="7">
        <f>'Daily Returns'!AS1057*(1+'Daily Returns'!AM1058)</f>
        <v>1.671554252</v>
      </c>
      <c r="J1058" s="5">
        <f>'Daily Returns'!AT1057*(1+'Daily Returns'!AN1058)</f>
        <v>1.47329938</v>
      </c>
      <c r="L1058" s="5">
        <f>'Daily Returns'!AU1057*(1+'Daily Returns'!AO1058)</f>
        <v>1.458060014</v>
      </c>
    </row>
    <row r="1059" ht="15.75" customHeight="1">
      <c r="A1059" s="9">
        <v>45366.0</v>
      </c>
      <c r="B1059" s="6">
        <f>'Daily Returns'!AP1058*(1+'Daily Returns'!AK1059)</f>
        <v>1.696620003</v>
      </c>
      <c r="D1059" s="4">
        <f>'Daily Returns'!AQ1058 * (1 + 'Daily Returns'!AJ1059)</f>
        <v>1.583827427</v>
      </c>
      <c r="F1059" s="7">
        <f>'Daily Returns'!AR1058 * (1 +'Daily Returns'!AL1059)</f>
        <v>1.54802548</v>
      </c>
      <c r="H1059" s="7">
        <f>'Daily Returns'!AS1058*(1+'Daily Returns'!AM1059)</f>
        <v>1.665095281</v>
      </c>
      <c r="J1059" s="5">
        <f>'Daily Returns'!AT1058*(1+'Daily Returns'!AN1059)</f>
        <v>1.482593379</v>
      </c>
      <c r="L1059" s="5">
        <f>'Daily Returns'!AU1058*(1+'Daily Returns'!AO1059)</f>
        <v>1.467532081</v>
      </c>
    </row>
    <row r="1060" ht="15.75" customHeight="1">
      <c r="A1060" s="9">
        <v>45369.0</v>
      </c>
      <c r="B1060" s="6">
        <f>'Daily Returns'!AP1059*(1+'Daily Returns'!AK1060)</f>
        <v>1.698834777</v>
      </c>
      <c r="D1060" s="4">
        <f>'Daily Returns'!AQ1059 * (1 + 'Daily Returns'!AJ1060)</f>
        <v>1.593834049</v>
      </c>
      <c r="F1060" s="7">
        <f>'Daily Returns'!AR1059 * (1 +'Daily Returns'!AL1060)</f>
        <v>1.540850827</v>
      </c>
      <c r="H1060" s="7">
        <f>'Daily Returns'!AS1059*(1+'Daily Returns'!AM1060)</f>
        <v>1.655243975</v>
      </c>
      <c r="J1060" s="5">
        <f>'Daily Returns'!AT1059*(1+'Daily Returns'!AN1060)</f>
        <v>1.47329938</v>
      </c>
      <c r="L1060" s="5">
        <f>'Daily Returns'!AU1059*(1+'Daily Returns'!AO1060)</f>
        <v>1.459039794</v>
      </c>
    </row>
    <row r="1061" ht="15.75" customHeight="1">
      <c r="A1061" s="9">
        <v>45370.0</v>
      </c>
      <c r="B1061" s="6">
        <f>'Daily Returns'!AP1060*(1+'Daily Returns'!AK1061)</f>
        <v>1.695260658</v>
      </c>
      <c r="D1061" s="4">
        <f>'Daily Returns'!AQ1060 * (1 + 'Daily Returns'!AJ1061)</f>
        <v>1.602837617</v>
      </c>
      <c r="F1061" s="7">
        <f>'Daily Returns'!AR1060 * (1 +'Daily Returns'!AL1061)</f>
        <v>1.545525102</v>
      </c>
      <c r="H1061" s="7">
        <f>'Daily Returns'!AS1060*(1+'Daily Returns'!AM1061)</f>
        <v>1.663659864</v>
      </c>
      <c r="J1061" s="5">
        <f>'Daily Returns'!AT1060*(1+'Daily Returns'!AN1061)</f>
        <v>1.47329938</v>
      </c>
      <c r="L1061" s="5">
        <f>'Daily Returns'!AU1060*(1+'Daily Returns'!AO1061)</f>
        <v>1.460257315</v>
      </c>
    </row>
    <row r="1062" ht="15.75" customHeight="1">
      <c r="A1062" s="9">
        <v>45371.0</v>
      </c>
      <c r="B1062" s="6">
        <f>'Daily Returns'!AP1061*(1+'Daily Returns'!AK1062)</f>
        <v>1.708897878</v>
      </c>
      <c r="D1062" s="4">
        <f>'Daily Returns'!AQ1061 * (1 + 'Daily Returns'!AJ1062)</f>
        <v>1.617109283</v>
      </c>
      <c r="F1062" s="7">
        <f>'Daily Returns'!AR1061 * (1 +'Daily Returns'!AL1062)</f>
        <v>1.553134838</v>
      </c>
      <c r="H1062" s="7">
        <f>'Daily Returns'!AS1061*(1+'Daily Returns'!AM1062)</f>
        <v>1.67325047</v>
      </c>
      <c r="J1062" s="5">
        <f>'Daily Returns'!AT1061*(1+'Daily Returns'!AN1062)</f>
        <v>1.471971865</v>
      </c>
      <c r="L1062" s="5">
        <f>'Daily Returns'!AU1061*(1+'Daily Returns'!AO1062)</f>
        <v>1.459599133</v>
      </c>
    </row>
    <row r="1063" ht="15.75" customHeight="1">
      <c r="A1063" s="9">
        <v>45372.0</v>
      </c>
      <c r="B1063" s="6">
        <f>'Daily Returns'!AP1062*(1+'Daily Returns'!AK1063)</f>
        <v>1.708606672</v>
      </c>
      <c r="D1063" s="4">
        <f>'Daily Returns'!AQ1062 * (1 + 'Daily Returns'!AJ1063)</f>
        <v>1.622343866</v>
      </c>
      <c r="F1063" s="7">
        <f>'Daily Returns'!AR1062 * (1 +'Daily Returns'!AL1063)</f>
        <v>1.567701854</v>
      </c>
      <c r="H1063" s="7">
        <f>'Daily Returns'!AS1062*(1+'Daily Returns'!AM1063)</f>
        <v>1.690213358</v>
      </c>
      <c r="J1063" s="5">
        <f>'Daily Returns'!AT1062*(1+'Daily Returns'!AN1063)</f>
        <v>1.47329938</v>
      </c>
      <c r="L1063" s="5">
        <f>'Daily Returns'!AU1062*(1+'Daily Returns'!AO1063)</f>
        <v>1.461902643</v>
      </c>
    </row>
    <row r="1064" ht="15.75" customHeight="1">
      <c r="A1064" s="9">
        <v>45373.0</v>
      </c>
      <c r="B1064" s="6">
        <f>'Daily Returns'!AP1063*(1+'Daily Returns'!AK1064)</f>
        <v>1.699247731</v>
      </c>
      <c r="D1064" s="4">
        <f>'Daily Returns'!AQ1063 * (1 + 'Daily Returns'!AJ1064)</f>
        <v>1.62006934</v>
      </c>
      <c r="F1064" s="7">
        <f>'Daily Returns'!AR1063 * (1 +'Daily Returns'!AL1064)</f>
        <v>1.57270261</v>
      </c>
      <c r="H1064" s="7">
        <f>'Daily Returns'!AS1063*(1+'Daily Returns'!AM1064)</f>
        <v>1.697194437</v>
      </c>
      <c r="J1064" s="5">
        <f>'Daily Returns'!AT1063*(1+'Daily Returns'!AN1064)</f>
        <v>1.485691263</v>
      </c>
      <c r="L1064" s="5">
        <f>'Daily Returns'!AU1063*(1+'Daily Returns'!AO1064)</f>
        <v>1.47308968</v>
      </c>
    </row>
    <row r="1065" ht="15.75" customHeight="1">
      <c r="A1065" s="9">
        <v>45376.0</v>
      </c>
      <c r="B1065" s="6">
        <f>'Daily Returns'!AP1064*(1+'Daily Returns'!AK1065)</f>
        <v>1.693964986</v>
      </c>
      <c r="D1065" s="4">
        <f>'Daily Returns'!AQ1064 * (1 + 'Daily Returns'!AJ1065)</f>
        <v>1.615120028</v>
      </c>
      <c r="F1065" s="7">
        <f>'Daily Returns'!AR1064 * (1 +'Daily Returns'!AL1065)</f>
        <v>1.569767486</v>
      </c>
      <c r="H1065" s="7">
        <f>'Daily Returns'!AS1064*(1+'Daily Returns'!AM1065)</f>
        <v>1.692421255</v>
      </c>
      <c r="J1065" s="5">
        <f>'Daily Returns'!AT1064*(1+'Daily Returns'!AN1065)</f>
        <v>1.488346815</v>
      </c>
      <c r="L1065" s="5">
        <f>'Daily Returns'!AU1064*(1+'Daily Returns'!AO1065)</f>
        <v>1.47736722</v>
      </c>
    </row>
    <row r="1066" ht="15.75" customHeight="1">
      <c r="A1066" s="9">
        <v>45377.0</v>
      </c>
      <c r="B1066" s="6">
        <f>'Daily Returns'!AP1065*(1+'Daily Returns'!AK1066)</f>
        <v>1.696419526</v>
      </c>
      <c r="D1066" s="4">
        <f>'Daily Returns'!AQ1065 * (1 + 'Daily Returns'!AJ1066)</f>
        <v>1.610597692</v>
      </c>
      <c r="F1066" s="7">
        <f>'Daily Returns'!AR1065 * (1 +'Daily Returns'!AL1066)</f>
        <v>1.565419017</v>
      </c>
      <c r="H1066" s="7">
        <f>'Daily Returns'!AS1065*(1+'Daily Returns'!AM1066)</f>
        <v>1.688624254</v>
      </c>
      <c r="J1066" s="5">
        <f>'Daily Returns'!AT1065*(1+'Daily Returns'!AN1066)</f>
        <v>1.480823011</v>
      </c>
      <c r="L1066" s="5">
        <f>'Daily Returns'!AU1065*(1+'Daily Returns'!AO1066)</f>
        <v>1.470786428</v>
      </c>
    </row>
    <row r="1067" ht="15.75" customHeight="1">
      <c r="A1067" s="9">
        <v>45378.0</v>
      </c>
      <c r="B1067" s="6">
        <f>'Daily Returns'!AP1066*(1+'Daily Returns'!AK1067)</f>
        <v>1.712862438</v>
      </c>
      <c r="D1067" s="4">
        <f>'Daily Returns'!AQ1066 * (1 + 'Daily Returns'!AJ1067)</f>
        <v>1.624498761</v>
      </c>
      <c r="F1067" s="7">
        <f>'Daily Returns'!AR1066 * (1 +'Daily Returns'!AL1067)</f>
        <v>1.563353554</v>
      </c>
      <c r="H1067" s="7">
        <f>'Daily Returns'!AS1066*(1+'Daily Returns'!AM1067)</f>
        <v>1.685612389</v>
      </c>
      <c r="J1067" s="5">
        <f>'Daily Returns'!AT1066*(1+'Daily Returns'!AN1067)</f>
        <v>1.479052642</v>
      </c>
      <c r="L1067" s="5">
        <f>'Daily Returns'!AU1066*(1+'Daily Returns'!AO1067)</f>
        <v>1.468154085</v>
      </c>
    </row>
    <row r="1068" ht="15.75" customHeight="1">
      <c r="A1068" s="9">
        <v>45379.0</v>
      </c>
      <c r="B1068" s="6">
        <f>'Daily Returns'!AP1067*(1+'Daily Returns'!AK1068)</f>
        <v>1.717953347</v>
      </c>
      <c r="D1068" s="4">
        <f>'Daily Returns'!AQ1067 * (1 + 'Daily Returns'!AJ1068)</f>
        <v>1.626313326</v>
      </c>
      <c r="F1068" s="7">
        <f>'Daily Returns'!AR1067 * (1 +'Daily Returns'!AL1068)</f>
        <v>1.575311758</v>
      </c>
      <c r="H1068" s="7">
        <f>'Daily Returns'!AS1067*(1+'Daily Returns'!AM1068)</f>
        <v>1.700474291</v>
      </c>
      <c r="J1068" s="5">
        <f>'Daily Returns'!AT1067*(1+'Daily Returns'!AN1068)</f>
        <v>1.475954759</v>
      </c>
      <c r="L1068" s="5">
        <f>'Daily Returns'!AU1067*(1+'Daily Returns'!AO1068)</f>
        <v>1.465850834</v>
      </c>
    </row>
    <row r="1069" ht="15.75" customHeight="1">
      <c r="A1069" s="9">
        <v>45383.0</v>
      </c>
      <c r="B1069" s="6">
        <f>'Daily Returns'!AP1068*(1+'Daily Returns'!AK1069)</f>
        <v>1.720026682</v>
      </c>
      <c r="D1069" s="4">
        <f>'Daily Returns'!AQ1068 * (1 + 'Daily Returns'!AJ1069)</f>
        <v>1.623037931</v>
      </c>
      <c r="F1069" s="7">
        <f>'Daily Returns'!AR1068 * (1 +'Daily Returns'!AL1069)</f>
        <v>1.575311758</v>
      </c>
      <c r="H1069" s="7">
        <f>'Daily Returns'!AS1068*(1+'Daily Returns'!AM1069)</f>
        <v>1.701587352</v>
      </c>
      <c r="J1069" s="5">
        <f>'Daily Returns'!AT1068*(1+'Daily Returns'!AN1069)</f>
        <v>1.490116836</v>
      </c>
      <c r="L1069" s="5">
        <f>'Daily Returns'!AU1068*(1+'Daily Returns'!AO1069)</f>
        <v>1.480328525</v>
      </c>
    </row>
    <row r="1070" ht="15.75" customHeight="1">
      <c r="A1070" s="9">
        <v>45384.0</v>
      </c>
      <c r="B1070" s="6">
        <f>'Daily Returns'!AP1069*(1+'Daily Returns'!AK1070)</f>
        <v>1.71876355</v>
      </c>
      <c r="D1070" s="4">
        <f>'Daily Returns'!AQ1069 * (1 + 'Daily Returns'!AJ1070)</f>
        <v>1.611288759</v>
      </c>
      <c r="F1070" s="7">
        <f>'Daily Returns'!AR1069 * (1 +'Daily Returns'!AL1070)</f>
        <v>1.570854519</v>
      </c>
      <c r="H1070" s="7">
        <f>'Daily Returns'!AS1069*(1+'Daily Returns'!AM1070)</f>
        <v>1.700278083</v>
      </c>
      <c r="J1070" s="5">
        <f>'Daily Returns'!AT1069*(1+'Daily Returns'!AN1070)</f>
        <v>1.493657572</v>
      </c>
      <c r="L1070" s="5">
        <f>'Daily Returns'!AU1069*(1+'Daily Returns'!AO1070)</f>
        <v>1.484276975</v>
      </c>
    </row>
    <row r="1071" ht="15.75" customHeight="1">
      <c r="A1071" s="9">
        <v>45385.0</v>
      </c>
      <c r="B1071" s="6">
        <f>'Daily Returns'!AP1070*(1+'Daily Returns'!AK1071)</f>
        <v>1.717836774</v>
      </c>
      <c r="D1071" s="4">
        <f>'Daily Returns'!AQ1070 * (1 + 'Daily Returns'!AJ1071)</f>
        <v>1.613046675</v>
      </c>
      <c r="F1071" s="7">
        <f>'Daily Returns'!AR1070 * (1 +'Daily Returns'!AL1071)</f>
        <v>1.559983516</v>
      </c>
      <c r="H1071" s="7">
        <f>'Daily Returns'!AS1070*(1+'Daily Returns'!AM1071)</f>
        <v>1.684564731</v>
      </c>
      <c r="J1071" s="5">
        <f>'Daily Returns'!AT1070*(1+'Daily Returns'!AN1071)</f>
        <v>1.494985088</v>
      </c>
      <c r="L1071" s="5">
        <f>'Daily Returns'!AU1070*(1+'Daily Returns'!AO1071)</f>
        <v>1.485263861</v>
      </c>
    </row>
    <row r="1072" ht="15.75" customHeight="1">
      <c r="A1072" s="9">
        <v>45386.0</v>
      </c>
      <c r="B1072" s="6">
        <f>'Daily Returns'!AP1071*(1+'Daily Returns'!AK1072)</f>
        <v>1.713952197</v>
      </c>
      <c r="D1072" s="4">
        <f>'Daily Returns'!AQ1071 * (1 + 'Daily Returns'!AJ1072)</f>
        <v>1.593151358</v>
      </c>
      <c r="F1072" s="7">
        <f>'Daily Returns'!AR1071 * (1 +'Daily Returns'!AL1072)</f>
        <v>1.564658128</v>
      </c>
      <c r="H1072" s="7">
        <f>'Daily Returns'!AS1071*(1+'Daily Returns'!AM1072)</f>
        <v>1.687183775</v>
      </c>
      <c r="J1072" s="5">
        <f>'Daily Returns'!AT1071*(1+'Daily Returns'!AN1072)</f>
        <v>1.485248758</v>
      </c>
      <c r="L1072" s="5">
        <f>'Daily Returns'!AU1071*(1+'Daily Returns'!AO1072)</f>
        <v>1.478683327</v>
      </c>
    </row>
    <row r="1073" ht="15.75" customHeight="1">
      <c r="A1073" s="9">
        <v>45387.0</v>
      </c>
      <c r="B1073" s="6">
        <f>'Daily Returns'!AP1072*(1+'Daily Returns'!AK1073)</f>
        <v>1.721229428</v>
      </c>
      <c r="D1073" s="4">
        <f>'Daily Returns'!AQ1072 * (1 + 'Daily Returns'!AJ1073)</f>
        <v>1.610833745</v>
      </c>
      <c r="F1073" s="7">
        <f>'Daily Returns'!AR1072 * (1 +'Daily Returns'!AL1073)</f>
        <v>1.546938447</v>
      </c>
      <c r="H1073" s="7">
        <f>'Daily Returns'!AS1072*(1+'Daily Returns'!AM1073)</f>
        <v>1.666953183</v>
      </c>
      <c r="J1073" s="5">
        <f>'Daily Returns'!AT1072*(1+'Daily Returns'!AN1073)</f>
        <v>1.486576621</v>
      </c>
      <c r="L1073" s="5">
        <f>'Daily Returns'!AU1072*(1+'Daily Returns'!AO1073)</f>
        <v>1.480657358</v>
      </c>
    </row>
    <row r="1074" ht="15.75" customHeight="1">
      <c r="A1074" s="9">
        <v>45390.0</v>
      </c>
      <c r="B1074" s="6">
        <f>'Daily Returns'!AP1073*(1+'Daily Returns'!AK1074)</f>
        <v>1.722424874</v>
      </c>
      <c r="D1074" s="4">
        <f>'Daily Returns'!AQ1073 * (1 + 'Daily Returns'!AJ1074)</f>
        <v>1.610229682</v>
      </c>
      <c r="F1074" s="7">
        <f>'Daily Returns'!AR1073 * (1 +'Daily Returns'!AL1074)</f>
        <v>1.560635803</v>
      </c>
      <c r="H1074" s="7">
        <f>'Daily Returns'!AS1073*(1+'Daily Returns'!AM1074)</f>
        <v>1.68377919</v>
      </c>
      <c r="J1074" s="5">
        <f>'Daily Returns'!AT1073*(1+'Daily Returns'!AN1074)</f>
        <v>1.48126569</v>
      </c>
      <c r="L1074" s="5">
        <f>'Daily Returns'!AU1073*(1+'Daily Returns'!AO1074)</f>
        <v>1.477038</v>
      </c>
    </row>
    <row r="1075" ht="15.75" customHeight="1">
      <c r="A1075" s="9">
        <v>45391.0</v>
      </c>
      <c r="B1075" s="6">
        <f>'Daily Returns'!AP1074*(1+'Daily Returns'!AK1075)</f>
        <v>1.729073932</v>
      </c>
      <c r="D1075" s="4">
        <f>'Daily Returns'!AQ1074 * (1 + 'Daily Returns'!AJ1075)</f>
        <v>1.612556464</v>
      </c>
      <c r="F1075" s="7">
        <f>'Daily Returns'!AR1074 * (1 +'Daily Returns'!AL1075)</f>
        <v>1.562375292</v>
      </c>
      <c r="H1075" s="7">
        <f>'Daily Returns'!AS1074*(1+'Daily Returns'!AM1075)</f>
        <v>1.685743397</v>
      </c>
      <c r="J1075" s="5">
        <f>'Daily Returns'!AT1074*(1+'Daily Returns'!AN1075)</f>
        <v>1.495870272</v>
      </c>
      <c r="L1075" s="5">
        <f>'Daily Returns'!AU1074*(1+'Daily Returns'!AO1075)</f>
        <v>1.490857509</v>
      </c>
    </row>
    <row r="1076" ht="15.75" customHeight="1">
      <c r="A1076" s="9">
        <v>45392.0</v>
      </c>
      <c r="B1076" s="6">
        <f>'Daily Returns'!AP1075*(1+'Daily Returns'!AK1076)</f>
        <v>1.71948753</v>
      </c>
      <c r="D1076" s="4">
        <f>'Daily Returns'!AQ1075 * (1 + 'Daily Returns'!AJ1076)</f>
        <v>1.597306517</v>
      </c>
      <c r="F1076" s="7">
        <f>'Daily Returns'!AR1075 * (1 +'Daily Returns'!AL1076)</f>
        <v>1.563570927</v>
      </c>
      <c r="H1076" s="7">
        <f>'Daily Returns'!AS1075*(1+'Daily Returns'!AM1076)</f>
        <v>1.688165828</v>
      </c>
      <c r="J1076" s="5">
        <f>'Daily Returns'!AT1075*(1+'Daily Returns'!AN1076)</f>
        <v>1.495870272</v>
      </c>
      <c r="L1076" s="5">
        <f>'Daily Returns'!AU1075*(1+'Daily Returns'!AO1076)</f>
        <v>1.491186471</v>
      </c>
    </row>
    <row r="1077" ht="15.75" customHeight="1">
      <c r="A1077" s="9">
        <v>45393.0</v>
      </c>
      <c r="B1077" s="6">
        <f>'Daily Returns'!AP1076*(1+'Daily Returns'!AK1077)</f>
        <v>1.720610796</v>
      </c>
      <c r="D1077" s="4">
        <f>'Daily Returns'!AQ1076 * (1 + 'Daily Returns'!AJ1077)</f>
        <v>1.609198464</v>
      </c>
      <c r="F1077" s="7">
        <f>'Daily Returns'!AR1076 * (1 +'Daily Returns'!AL1077)</f>
        <v>1.54628616</v>
      </c>
      <c r="H1077" s="7">
        <f>'Daily Returns'!AS1076*(1+'Daily Returns'!AM1077)</f>
        <v>1.66931011</v>
      </c>
      <c r="J1077" s="5">
        <f>'Daily Returns'!AT1076*(1+'Daily Returns'!AN1077)</f>
        <v>1.502508718</v>
      </c>
      <c r="L1077" s="5">
        <f>'Daily Returns'!AU1076*(1+'Daily Returns'!AO1077)</f>
        <v>1.497767263</v>
      </c>
    </row>
    <row r="1078" ht="15.75" customHeight="1">
      <c r="A1078" s="9">
        <v>45394.0</v>
      </c>
      <c r="B1078" s="6">
        <f>'Daily Returns'!AP1077*(1+'Daily Returns'!AK1078)</f>
        <v>1.709080465</v>
      </c>
      <c r="D1078" s="4">
        <f>'Daily Returns'!AQ1077 * (1 + 'Daily Returns'!AJ1078)</f>
        <v>1.585783017</v>
      </c>
      <c r="F1078" s="7">
        <f>'Daily Returns'!AR1077 * (1 +'Daily Returns'!AL1078)</f>
        <v>1.556939622</v>
      </c>
      <c r="H1078" s="7">
        <f>'Daily Returns'!AS1077*(1+'Daily Returns'!AM1078)</f>
        <v>1.680636621</v>
      </c>
      <c r="J1078" s="5">
        <f>'Daily Returns'!AT1077*(1+'Daily Returns'!AN1078)</f>
        <v>1.491444699</v>
      </c>
      <c r="L1078" s="5">
        <f>'Daily Returns'!AU1077*(1+'Daily Returns'!AO1078)</f>
        <v>1.487567113</v>
      </c>
    </row>
    <row r="1079" ht="15.75" customHeight="1">
      <c r="A1079" s="9">
        <v>45397.0</v>
      </c>
      <c r="B1079" s="6">
        <f>'Daily Returns'!AP1078*(1+'Daily Returns'!AK1079)</f>
        <v>1.702506455</v>
      </c>
      <c r="D1079" s="4">
        <f>'Daily Returns'!AQ1078 * (1 + 'Daily Returns'!AJ1079)</f>
        <v>1.56672032</v>
      </c>
      <c r="F1079" s="7">
        <f>'Daily Returns'!AR1078 * (1 +'Daily Returns'!AL1079)</f>
        <v>1.532697575</v>
      </c>
      <c r="H1079" s="7">
        <f>'Daily Returns'!AS1078*(1+'Daily Returns'!AM1079)</f>
        <v>1.656412314</v>
      </c>
      <c r="J1079" s="5">
        <f>'Daily Returns'!AT1078*(1+'Daily Returns'!AN1079)</f>
        <v>1.484363748</v>
      </c>
      <c r="L1079" s="5">
        <f>'Daily Returns'!AU1078*(1+'Daily Returns'!AO1079)</f>
        <v>1.481315541</v>
      </c>
    </row>
    <row r="1080" ht="15.75" customHeight="1">
      <c r="A1080" s="9">
        <v>45398.0</v>
      </c>
      <c r="B1080" s="6">
        <f>'Daily Returns'!AP1079*(1+'Daily Returns'!AK1080)</f>
        <v>1.697950559</v>
      </c>
      <c r="D1080" s="4">
        <f>'Daily Returns'!AQ1079 * (1 + 'Daily Returns'!AJ1080)</f>
        <v>1.563497576</v>
      </c>
      <c r="F1080" s="7">
        <f>'Daily Returns'!AR1079 * (1 +'Daily Returns'!AL1080)</f>
        <v>1.517043358</v>
      </c>
      <c r="H1080" s="7">
        <f>'Daily Returns'!AS1079*(1+'Daily Returns'!AM1080)</f>
        <v>1.636051018</v>
      </c>
      <c r="J1080" s="5">
        <f>'Daily Returns'!AT1079*(1+'Daily Returns'!AN1080)</f>
        <v>1.471086681</v>
      </c>
      <c r="L1080" s="5">
        <f>'Daily Returns'!AU1079*(1+'Daily Returns'!AO1080)</f>
        <v>1.467496161</v>
      </c>
    </row>
    <row r="1081" ht="15.75" customHeight="1">
      <c r="A1081" s="9">
        <v>45399.0</v>
      </c>
      <c r="B1081" s="6">
        <f>'Daily Returns'!AP1080*(1+'Daily Returns'!AK1081)</f>
        <v>1.707590974</v>
      </c>
      <c r="D1081" s="4">
        <f>'Daily Returns'!AQ1080 * (1 + 'Daily Returns'!AJ1081)</f>
        <v>1.554458997</v>
      </c>
      <c r="F1081" s="7">
        <f>'Daily Returns'!AR1080 * (1 +'Daily Returns'!AL1081)</f>
        <v>1.510846799</v>
      </c>
      <c r="H1081" s="7">
        <f>'Daily Returns'!AS1080*(1+'Daily Returns'!AM1081)</f>
        <v>1.631140551</v>
      </c>
      <c r="J1081" s="5">
        <f>'Daily Returns'!AT1080*(1+'Daily Returns'!AN1081)</f>
        <v>1.460907672</v>
      </c>
      <c r="L1081" s="5">
        <f>'Daily Returns'!AU1080*(1+'Daily Returns'!AO1081)</f>
        <v>1.457954193</v>
      </c>
    </row>
    <row r="1082" ht="15.75" customHeight="1">
      <c r="A1082" s="9">
        <v>45400.0</v>
      </c>
      <c r="B1082" s="6">
        <f>'Daily Returns'!AP1081*(1+'Daily Returns'!AK1082)</f>
        <v>1.709805695</v>
      </c>
      <c r="D1082" s="4">
        <f>'Daily Returns'!AQ1081 * (1 + 'Daily Returns'!AJ1082)</f>
        <v>1.551026751</v>
      </c>
      <c r="F1082" s="7">
        <f>'Daily Returns'!AR1081 * (1 +'Daily Returns'!AL1082)</f>
        <v>1.505846212</v>
      </c>
      <c r="H1082" s="7">
        <f>'Daily Returns'!AS1081*(1+'Daily Returns'!AM1082)</f>
        <v>1.621581836</v>
      </c>
      <c r="J1082" s="5">
        <f>'Daily Returns'!AT1081*(1+'Daily Returns'!AN1082)</f>
        <v>1.452941449</v>
      </c>
      <c r="L1082" s="5">
        <f>'Daily Returns'!AU1081*(1+'Daily Returns'!AO1082)</f>
        <v>1.452360416</v>
      </c>
    </row>
    <row r="1083" ht="15.75" customHeight="1">
      <c r="A1083" s="9">
        <v>45401.0</v>
      </c>
      <c r="B1083" s="6">
        <f>'Daily Returns'!AP1082*(1+'Daily Returns'!AK1083)</f>
        <v>1.713156955</v>
      </c>
      <c r="D1083" s="4">
        <f>'Daily Returns'!AQ1082 * (1 + 'Daily Returns'!AJ1083)</f>
        <v>1.537441308</v>
      </c>
      <c r="F1083" s="7">
        <f>'Daily Returns'!AR1082 * (1 +'Daily Returns'!AL1083)</f>
        <v>1.501388972</v>
      </c>
      <c r="H1083" s="7">
        <f>'Daily Returns'!AS1082*(1+'Daily Returns'!AM1083)</f>
        <v>1.618242856</v>
      </c>
      <c r="J1083" s="5">
        <f>'Daily Returns'!AT1082*(1+'Daily Returns'!AN1083)</f>
        <v>1.454269225</v>
      </c>
      <c r="L1083" s="5">
        <f>'Daily Returns'!AU1082*(1+'Daily Returns'!AO1083)</f>
        <v>1.452689507</v>
      </c>
    </row>
    <row r="1084" ht="15.75" customHeight="1">
      <c r="A1084" s="9">
        <v>45404.0</v>
      </c>
      <c r="B1084" s="6">
        <f>'Daily Returns'!AP1083*(1+'Daily Returns'!AK1084)</f>
        <v>1.715795332</v>
      </c>
      <c r="D1084" s="4">
        <f>'Daily Returns'!AQ1083 * (1 + 'Daily Returns'!AJ1084)</f>
        <v>1.550864708</v>
      </c>
      <c r="F1084" s="7">
        <f>'Daily Returns'!AR1083 * (1 +'Daily Returns'!AL1084)</f>
        <v>1.492692204</v>
      </c>
      <c r="H1084" s="7">
        <f>'Daily Returns'!AS1083*(1+'Daily Returns'!AM1084)</f>
        <v>1.605541471</v>
      </c>
      <c r="J1084" s="5">
        <f>'Daily Returns'!AT1083*(1+'Daily Returns'!AN1084)</f>
        <v>1.457809701</v>
      </c>
      <c r="L1084" s="5">
        <f>'Daily Returns'!AU1083*(1+'Daily Returns'!AO1084)</f>
        <v>1.454334705</v>
      </c>
    </row>
    <row r="1085" ht="15.75" customHeight="1">
      <c r="A1085" s="9">
        <v>45405.0</v>
      </c>
      <c r="B1085" s="6">
        <f>'Daily Returns'!AP1084*(1+'Daily Returns'!AK1085)</f>
        <v>1.712180743</v>
      </c>
      <c r="D1085" s="4">
        <f>'Daily Returns'!AQ1084 * (1 + 'Daily Returns'!AJ1085)</f>
        <v>1.569420804</v>
      </c>
      <c r="F1085" s="7">
        <f>'Daily Returns'!AR1084 * (1 +'Daily Returns'!AL1085)</f>
        <v>1.505737441</v>
      </c>
      <c r="H1085" s="7">
        <f>'Daily Returns'!AS1084*(1+'Daily Returns'!AM1085)</f>
        <v>1.621320124</v>
      </c>
      <c r="J1085" s="5">
        <f>'Daily Returns'!AT1084*(1+'Daily Returns'!AN1085)</f>
        <v>1.466660934</v>
      </c>
      <c r="L1085" s="5">
        <f>'Daily Returns'!AU1084*(1+'Daily Returns'!AO1085)</f>
        <v>1.461244331</v>
      </c>
    </row>
    <row r="1086" ht="15.75" customHeight="1">
      <c r="A1086" s="9">
        <v>45406.0</v>
      </c>
      <c r="B1086" s="6">
        <f>'Daily Returns'!AP1085*(1+'Daily Returns'!AK1086)</f>
        <v>1.711212865</v>
      </c>
      <c r="D1086" s="4">
        <f>'Daily Returns'!AQ1085 * (1 + 'Daily Returns'!AJ1086)</f>
        <v>1.569755091</v>
      </c>
      <c r="F1086" s="7">
        <f>'Daily Returns'!AR1085 * (1 +'Daily Returns'!AL1086)</f>
        <v>1.522587462</v>
      </c>
      <c r="H1086" s="7">
        <f>'Daily Returns'!AS1085*(1+'Daily Returns'!AM1086)</f>
        <v>1.640633965</v>
      </c>
      <c r="J1086" s="5">
        <f>'Daily Returns'!AT1085*(1+'Daily Returns'!AN1086)</f>
        <v>1.472414544</v>
      </c>
      <c r="L1086" s="5">
        <f>'Daily Returns'!AU1085*(1+'Daily Returns'!AO1086)</f>
        <v>1.466179925</v>
      </c>
    </row>
    <row r="1087" ht="15.75" customHeight="1">
      <c r="A1087" s="9">
        <v>45407.0</v>
      </c>
      <c r="B1087" s="6">
        <f>'Daily Returns'!AP1086*(1+'Daily Returns'!AK1087)</f>
        <v>1.722192283</v>
      </c>
      <c r="D1087" s="4">
        <f>'Daily Returns'!AQ1086 * (1 + 'Daily Returns'!AJ1087)</f>
        <v>1.562571892</v>
      </c>
      <c r="F1087" s="7">
        <f>'Daily Returns'!AR1086 * (1 +'Daily Returns'!AL1087)</f>
        <v>1.521391658</v>
      </c>
      <c r="H1087" s="7">
        <f>'Daily Returns'!AS1086*(1+'Daily Returns'!AM1087)</f>
        <v>1.641026685</v>
      </c>
      <c r="J1087" s="5">
        <f>'Daily Returns'!AT1086*(1+'Daily Returns'!AN1087)</f>
        <v>1.481708195</v>
      </c>
      <c r="L1087" s="5">
        <f>'Daily Returns'!AU1086*(1+'Daily Returns'!AO1087)</f>
        <v>1.474405916</v>
      </c>
    </row>
    <row r="1088" ht="15.75" customHeight="1">
      <c r="A1088" s="9">
        <v>45408.0</v>
      </c>
      <c r="B1088" s="6">
        <f>'Daily Returns'!AP1087*(1+'Daily Returns'!AK1088)</f>
        <v>1.723728754</v>
      </c>
      <c r="D1088" s="4">
        <f>'Daily Returns'!AQ1087 * (1 + 'Daily Returns'!AJ1088)</f>
        <v>1.578524188</v>
      </c>
      <c r="F1088" s="7">
        <f>'Daily Returns'!AR1087 * (1 +'Daily Returns'!AL1088)</f>
        <v>1.515955988</v>
      </c>
      <c r="H1088" s="7">
        <f>'Daily Returns'!AS1087*(1+'Daily Returns'!AM1088)</f>
        <v>1.633235766</v>
      </c>
      <c r="J1088" s="5">
        <f>'Daily Returns'!AT1087*(1+'Daily Returns'!AN1088)</f>
        <v>1.471529186</v>
      </c>
      <c r="L1088" s="5">
        <f>'Daily Returns'!AU1087*(1+'Daily Returns'!AO1088)</f>
        <v>1.466838108</v>
      </c>
    </row>
    <row r="1089" ht="15.75" customHeight="1">
      <c r="A1089" s="9">
        <v>45411.0</v>
      </c>
      <c r="B1089" s="6">
        <f>'Daily Returns'!AP1088*(1+'Daily Returns'!AK1089)</f>
        <v>1.727335267</v>
      </c>
      <c r="D1089" s="4">
        <f>'Daily Returns'!AQ1088 * (1 + 'Daily Returns'!AJ1089)</f>
        <v>1.583540738</v>
      </c>
      <c r="F1089" s="7">
        <f>'Daily Returns'!AR1088 * (1 +'Daily Returns'!AL1089)</f>
        <v>1.530631943</v>
      </c>
      <c r="H1089" s="7">
        <f>'Daily Returns'!AS1088*(1+'Daily Returns'!AM1089)</f>
        <v>1.648424883</v>
      </c>
      <c r="J1089" s="5">
        <f>'Daily Returns'!AT1088*(1+'Daily Returns'!AN1089)</f>
        <v>1.471971865</v>
      </c>
      <c r="L1089" s="5">
        <f>'Daily Returns'!AU1088*(1+'Daily Returns'!AO1089)</f>
        <v>1.467825123</v>
      </c>
    </row>
    <row r="1090" ht="15.75" customHeight="1">
      <c r="A1090" s="9">
        <v>45412.0</v>
      </c>
      <c r="B1090" s="6">
        <f>'Daily Returns'!AP1089*(1+'Daily Returns'!AK1090)</f>
        <v>1.71546196</v>
      </c>
      <c r="D1090" s="4">
        <f>'Daily Returns'!AQ1089 * (1 + 'Daily Returns'!AJ1090)</f>
        <v>1.558630058</v>
      </c>
      <c r="F1090" s="7">
        <f>'Daily Returns'!AR1089 * (1 +'Daily Returns'!AL1090)</f>
        <v>1.535306555</v>
      </c>
      <c r="H1090" s="7">
        <f>'Daily Returns'!AS1089*(1+'Daily Returns'!AM1090)</f>
        <v>1.654906533</v>
      </c>
      <c r="J1090" s="5">
        <f>'Daily Returns'!AT1089*(1+'Daily Returns'!AN1090)</f>
        <v>1.477725127</v>
      </c>
      <c r="L1090" s="5">
        <f>'Daily Returns'!AU1089*(1+'Daily Returns'!AO1090)</f>
        <v>1.473747733</v>
      </c>
    </row>
    <row r="1091" ht="15.75" customHeight="1">
      <c r="A1091" s="9">
        <v>45413.0</v>
      </c>
      <c r="B1091" s="6">
        <f>'Daily Returns'!AP1090*(1+'Daily Returns'!AK1091)</f>
        <v>1.723082378</v>
      </c>
      <c r="D1091" s="4">
        <f>'Daily Returns'!AQ1090 * (1 + 'Daily Returns'!AJ1091)</f>
        <v>1.553276164</v>
      </c>
      <c r="F1091" s="7">
        <f>'Daily Returns'!AR1090 * (1 +'Daily Returns'!AL1091)</f>
        <v>1.512912262</v>
      </c>
      <c r="H1091" s="7">
        <f>'Daily Returns'!AS1090*(1+'Daily Returns'!AM1091)</f>
        <v>1.627670665</v>
      </c>
      <c r="J1091" s="5">
        <f>'Daily Returns'!AT1090*(1+'Daily Returns'!AN1091)</f>
        <v>1.478610137</v>
      </c>
      <c r="L1091" s="5">
        <f>'Daily Returns'!AU1090*(1+'Daily Returns'!AO1091)</f>
        <v>1.476051114</v>
      </c>
    </row>
    <row r="1092" ht="15.75" customHeight="1">
      <c r="A1092" s="9">
        <v>45414.0</v>
      </c>
      <c r="B1092" s="6">
        <f>'Daily Returns'!AP1091*(1+'Daily Returns'!AK1092)</f>
        <v>1.730014636</v>
      </c>
      <c r="D1092" s="4">
        <f>'Daily Returns'!AQ1091 * (1 + 'Daily Returns'!AJ1092)</f>
        <v>1.567454469</v>
      </c>
      <c r="F1092" s="7">
        <f>'Daily Returns'!AR1091 * (1 +'Daily Returns'!AL1092)</f>
        <v>1.506715872</v>
      </c>
      <c r="H1092" s="7">
        <f>'Daily Returns'!AS1091*(1+'Daily Returns'!AM1092)</f>
        <v>1.623611547</v>
      </c>
      <c r="J1092" s="5">
        <f>'Daily Returns'!AT1091*(1+'Daily Returns'!AN1092)</f>
        <v>1.461350177</v>
      </c>
      <c r="L1092" s="5">
        <f>'Daily Returns'!AU1091*(1+'Daily Returns'!AO1092)</f>
        <v>1.457295881</v>
      </c>
    </row>
    <row r="1093" ht="15.75" customHeight="1">
      <c r="A1093" s="9">
        <v>45415.0</v>
      </c>
      <c r="B1093" s="6">
        <f>'Daily Returns'!AP1092*(1+'Daily Returns'!AK1093)</f>
        <v>1.730104595</v>
      </c>
      <c r="D1093" s="4">
        <f>'Daily Returns'!AQ1092 * (1 + 'Daily Returns'!AJ1093)</f>
        <v>1.587136995</v>
      </c>
      <c r="F1093" s="7">
        <f>'Daily Returns'!AR1092 * (1 +'Daily Returns'!AL1093)</f>
        <v>1.522804835</v>
      </c>
      <c r="H1093" s="7">
        <f>'Daily Returns'!AS1092*(1+'Daily Returns'!AM1093)</f>
        <v>1.640437554</v>
      </c>
      <c r="J1093" s="5">
        <f>'Daily Returns'!AT1092*(1+'Daily Returns'!AN1093)</f>
        <v>1.461792682</v>
      </c>
      <c r="L1093" s="5">
        <f>'Daily Returns'!AU1092*(1+'Daily Returns'!AO1093)</f>
        <v>1.457624972</v>
      </c>
    </row>
    <row r="1094" ht="15.75" customHeight="1">
      <c r="A1094" s="9">
        <v>45418.0</v>
      </c>
      <c r="B1094" s="6">
        <f>'Daily Returns'!AP1093*(1+'Daily Returns'!AK1094)</f>
        <v>1.740438967</v>
      </c>
      <c r="D1094" s="4">
        <f>'Daily Returns'!AQ1093 * (1 + 'Daily Returns'!AJ1094)</f>
        <v>1.603525771</v>
      </c>
      <c r="F1094" s="7">
        <f>'Daily Returns'!AR1093 * (1 +'Daily Returns'!AL1094)</f>
        <v>1.541285573</v>
      </c>
      <c r="H1094" s="7">
        <f>'Daily Returns'!AS1093*(1+'Daily Returns'!AM1094)</f>
        <v>1.659882403</v>
      </c>
      <c r="J1094" s="5">
        <f>'Daily Returns'!AT1093*(1+'Daily Returns'!AN1094)</f>
        <v>1.468431128</v>
      </c>
      <c r="L1094" s="5">
        <f>'Daily Returns'!AU1093*(1+'Daily Returns'!AO1094)</f>
        <v>1.463876674</v>
      </c>
    </row>
    <row r="1095" ht="15.75" customHeight="1">
      <c r="A1095" s="9">
        <v>45419.0</v>
      </c>
      <c r="B1095" s="6">
        <f>'Daily Returns'!AP1094*(1+'Daily Returns'!AK1095)</f>
        <v>1.742180475</v>
      </c>
      <c r="D1095" s="4">
        <f>'Daily Returns'!AQ1094 * (1 + 'Daily Returns'!AJ1095)</f>
        <v>1.605679307</v>
      </c>
      <c r="F1095" s="7">
        <f>'Daily Returns'!AR1094 * (1 +'Daily Returns'!AL1095)</f>
        <v>1.556396105</v>
      </c>
      <c r="H1095" s="7">
        <f>'Daily Returns'!AS1094*(1+'Daily Returns'!AM1095)</f>
        <v>1.677690362</v>
      </c>
      <c r="J1095" s="5">
        <f>'Daily Returns'!AT1094*(1+'Daily Returns'!AN1095)</f>
        <v>1.477282622</v>
      </c>
      <c r="L1095" s="5">
        <f>'Daily Returns'!AU1094*(1+'Daily Returns'!AO1095)</f>
        <v>1.472102664</v>
      </c>
    </row>
    <row r="1096" ht="15.75" customHeight="1">
      <c r="A1096" s="9">
        <v>45420.0</v>
      </c>
      <c r="B1096" s="6">
        <f>'Daily Returns'!AP1095*(1+'Daily Returns'!AK1096)</f>
        <v>1.744410095</v>
      </c>
      <c r="D1096" s="4">
        <f>'Daily Returns'!AQ1095 * (1 + 'Daily Returns'!AJ1096)</f>
        <v>1.605669672</v>
      </c>
      <c r="F1096" s="7">
        <f>'Daily Returns'!AR1095 * (1 +'Daily Returns'!AL1096)</f>
        <v>1.558026823</v>
      </c>
      <c r="H1096" s="7">
        <f>'Daily Returns'!AS1095*(1+'Daily Returns'!AM1096)</f>
        <v>1.679196345</v>
      </c>
      <c r="J1096" s="5">
        <f>'Daily Returns'!AT1095*(1+'Daily Returns'!AN1096)</f>
        <v>1.498525824</v>
      </c>
      <c r="L1096" s="5">
        <f>'Daily Returns'!AU1095*(1+'Daily Returns'!AO1096)</f>
        <v>1.492173616</v>
      </c>
    </row>
    <row r="1097" ht="15.75" customHeight="1">
      <c r="A1097" s="9">
        <v>45421.0</v>
      </c>
      <c r="B1097" s="6">
        <f>'Daily Returns'!AP1096*(1+'Daily Returns'!AK1097)</f>
        <v>1.758623418</v>
      </c>
      <c r="D1097" s="4">
        <f>'Daily Returns'!AQ1096 * (1 + 'Daily Returns'!AJ1097)</f>
        <v>1.613844137</v>
      </c>
      <c r="F1097" s="7">
        <f>'Daily Returns'!AR1096 * (1 +'Daily Returns'!AL1097)</f>
        <v>1.557918052</v>
      </c>
      <c r="H1097" s="7">
        <f>'Daily Returns'!AS1096*(1+'Daily Returns'!AM1097)</f>
        <v>1.678017679</v>
      </c>
      <c r="J1097" s="5">
        <f>'Daily Returns'!AT1096*(1+'Daily Returns'!AN1097)</f>
        <v>1.500296019</v>
      </c>
      <c r="L1097" s="5">
        <f>'Daily Returns'!AU1096*(1+'Daily Returns'!AO1097)</f>
        <v>1.494805959</v>
      </c>
    </row>
    <row r="1098" ht="15.75" customHeight="1">
      <c r="A1098" s="9">
        <v>45422.0</v>
      </c>
      <c r="B1098" s="6">
        <f>'Daily Returns'!AP1097*(1+'Daily Returns'!AK1098)</f>
        <v>1.759873534</v>
      </c>
      <c r="D1098" s="4">
        <f>'Daily Returns'!AQ1097 * (1 + 'Daily Returns'!AJ1098)</f>
        <v>1.616505366</v>
      </c>
      <c r="F1098" s="7">
        <f>'Daily Returns'!AR1097 * (1 +'Daily Returns'!AL1098)</f>
        <v>1.566940965</v>
      </c>
      <c r="H1098" s="7">
        <f>'Daily Returns'!AS1097*(1+'Daily Returns'!AM1098)</f>
        <v>1.687903914</v>
      </c>
      <c r="J1098" s="5">
        <f>'Daily Returns'!AT1097*(1+'Daily Returns'!AN1098)</f>
        <v>1.497197961</v>
      </c>
      <c r="L1098" s="5">
        <f>'Daily Returns'!AU1097*(1+'Daily Returns'!AO1098)</f>
        <v>1.492502707</v>
      </c>
    </row>
    <row r="1099" ht="15.75" customHeight="1">
      <c r="A1099" s="9">
        <v>45425.0</v>
      </c>
      <c r="B1099" s="6">
        <f>'Daily Returns'!AP1098*(1+'Daily Returns'!AK1099)</f>
        <v>1.759818244</v>
      </c>
      <c r="D1099" s="4">
        <f>'Daily Returns'!AQ1098 * (1 + 'Daily Returns'!AJ1099)</f>
        <v>1.616115788</v>
      </c>
      <c r="F1099" s="7">
        <f>'Daily Returns'!AR1098 * (1 +'Daily Returns'!AL1099)</f>
        <v>1.569549945</v>
      </c>
      <c r="H1099" s="7">
        <f>'Daily Returns'!AS1098*(1+'Daily Returns'!AM1099)</f>
        <v>1.689475097</v>
      </c>
      <c r="J1099" s="5">
        <f>'Daily Returns'!AT1098*(1+'Daily Returns'!AN1099)</f>
        <v>1.505164097</v>
      </c>
      <c r="L1099" s="5">
        <f>'Daily Returns'!AU1098*(1+'Daily Returns'!AO1099)</f>
        <v>1.50105766</v>
      </c>
    </row>
    <row r="1100" ht="15.75" customHeight="1">
      <c r="A1100" s="9">
        <v>45426.0</v>
      </c>
      <c r="B1100" s="6">
        <f>'Daily Returns'!AP1099*(1+'Daily Returns'!AK1100)</f>
        <v>1.763926408</v>
      </c>
      <c r="D1100" s="4">
        <f>'Daily Returns'!AQ1099 * (1 + 'Daily Returns'!AJ1100)</f>
        <v>1.623934556</v>
      </c>
      <c r="F1100" s="7">
        <f>'Daily Returns'!AR1099 * (1 +'Daily Returns'!AL1100)</f>
        <v>1.568571514</v>
      </c>
      <c r="H1100" s="7">
        <f>'Daily Returns'!AS1099*(1+'Daily Returns'!AM1100)</f>
        <v>1.690391848</v>
      </c>
      <c r="J1100" s="5">
        <f>'Daily Returns'!AT1099*(1+'Daily Returns'!AN1100)</f>
        <v>1.501181029</v>
      </c>
      <c r="L1100" s="5">
        <f>'Daily Returns'!AU1099*(1+'Daily Returns'!AO1100)</f>
        <v>1.497438172</v>
      </c>
    </row>
    <row r="1101" ht="15.75" customHeight="1">
      <c r="A1101" s="9">
        <v>45427.0</v>
      </c>
      <c r="B1101" s="6">
        <f>'Daily Returns'!AP1100*(1+'Daily Returns'!AK1101)</f>
        <v>1.774717072</v>
      </c>
      <c r="D1101" s="4">
        <f>'Daily Returns'!AQ1100 * (1 + 'Daily Returns'!AJ1101)</f>
        <v>1.642960573</v>
      </c>
      <c r="F1101" s="7">
        <f>'Daily Returns'!AR1100 * (1 +'Daily Returns'!AL1101)</f>
        <v>1.577811967</v>
      </c>
      <c r="H1101" s="7">
        <f>'Daily Returns'!AS1100*(1+'Daily Returns'!AM1101)</f>
        <v>1.698641193</v>
      </c>
      <c r="J1101" s="5">
        <f>'Daily Returns'!AT1100*(1+'Daily Returns'!AN1101)</f>
        <v>1.496755456</v>
      </c>
      <c r="L1101" s="5">
        <f>'Daily Returns'!AU1100*(1+'Daily Returns'!AO1101)</f>
        <v>1.493818814</v>
      </c>
    </row>
    <row r="1102" ht="15.75" customHeight="1">
      <c r="A1102" s="9">
        <v>45428.0</v>
      </c>
      <c r="B1102" s="6">
        <f>'Daily Returns'!AP1101*(1+'Daily Returns'!AK1102)</f>
        <v>1.773129724</v>
      </c>
      <c r="D1102" s="4">
        <f>'Daily Returns'!AQ1101 * (1 + 'Daily Returns'!AJ1102)</f>
        <v>1.639539929</v>
      </c>
      <c r="F1102" s="7">
        <f>'Daily Returns'!AR1101 * (1 +'Daily Returns'!AL1102)</f>
        <v>1.595857792</v>
      </c>
      <c r="H1102" s="7">
        <f>'Daily Returns'!AS1101*(1+'Daily Returns'!AM1102)</f>
        <v>1.719526318</v>
      </c>
      <c r="J1102" s="5">
        <f>'Daily Returns'!AT1101*(1+'Daily Returns'!AN1102)</f>
        <v>1.496313125</v>
      </c>
      <c r="L1102" s="5">
        <f>'Daily Returns'!AU1101*(1+'Daily Returns'!AO1102)</f>
        <v>1.49316076</v>
      </c>
    </row>
    <row r="1103" ht="15.75" customHeight="1">
      <c r="A1103" s="9">
        <v>45429.0</v>
      </c>
      <c r="B1103" s="6">
        <f>'Daily Returns'!AP1102*(1+'Daily Returns'!AK1103)</f>
        <v>1.779184906</v>
      </c>
      <c r="D1103" s="4">
        <f>'Daily Returns'!AQ1102 * (1 + 'Daily Returns'!AJ1103)</f>
        <v>1.641449993</v>
      </c>
      <c r="F1103" s="7">
        <f>'Daily Returns'!AR1102 * (1 +'Daily Returns'!AL1103)</f>
        <v>1.591944237</v>
      </c>
      <c r="H1103" s="7">
        <f>'Daily Returns'!AS1102*(1+'Daily Returns'!AM1103)</f>
        <v>1.714877868</v>
      </c>
      <c r="J1103" s="5">
        <f>'Daily Returns'!AT1102*(1+'Daily Returns'!AN1103)</f>
        <v>1.497640466</v>
      </c>
      <c r="L1103" s="5">
        <f>'Daily Returns'!AU1102*(1+'Daily Returns'!AO1103)</f>
        <v>1.495793103</v>
      </c>
    </row>
    <row r="1104" ht="15.75" customHeight="1">
      <c r="A1104" s="9">
        <v>45432.0</v>
      </c>
      <c r="B1104" s="6">
        <f>'Daily Returns'!AP1103*(1+'Daily Returns'!AK1104)</f>
        <v>1.778841124</v>
      </c>
      <c r="D1104" s="4">
        <f>'Daily Returns'!AQ1103 * (1 + 'Daily Returns'!AJ1104)</f>
        <v>1.642953562</v>
      </c>
      <c r="F1104" s="7">
        <f>'Daily Returns'!AR1103 * (1 +'Daily Returns'!AL1104)</f>
        <v>1.595096734</v>
      </c>
      <c r="H1104" s="7">
        <f>'Daily Returns'!AS1103*(1+'Daily Returns'!AM1104)</f>
        <v>1.717300197</v>
      </c>
      <c r="J1104" s="5">
        <f>'Daily Returns'!AT1103*(1+'Daily Returns'!AN1104)</f>
        <v>1.498525824</v>
      </c>
      <c r="L1104" s="5">
        <f>'Daily Returns'!AU1103*(1+'Daily Returns'!AO1104)</f>
        <v>1.497109339</v>
      </c>
    </row>
    <row r="1105" ht="15.75" customHeight="1">
      <c r="A1105" s="9">
        <v>45433.0</v>
      </c>
      <c r="B1105" s="6">
        <f>'Daily Returns'!AP1104*(1+'Daily Returns'!AK1105)</f>
        <v>1.780777528</v>
      </c>
      <c r="D1105" s="4">
        <f>'Daily Returns'!AQ1104 * (1 + 'Daily Returns'!AJ1105)</f>
        <v>1.647064231</v>
      </c>
      <c r="F1105" s="7">
        <f>'Daily Returns'!AR1104 * (1 +'Daily Returns'!AL1105)</f>
        <v>1.595640419</v>
      </c>
      <c r="H1105" s="7">
        <f>'Daily Returns'!AS1104*(1+'Daily Returns'!AM1105)</f>
        <v>1.719067892</v>
      </c>
      <c r="J1105" s="5">
        <f>'Daily Returns'!AT1104*(1+'Daily Returns'!AN1105)</f>
        <v>1.509589844</v>
      </c>
      <c r="L1105" s="5">
        <f>'Daily Returns'!AU1104*(1+'Daily Returns'!AO1105)</f>
        <v>1.507309361</v>
      </c>
    </row>
    <row r="1106" ht="15.75" customHeight="1">
      <c r="A1106" s="9">
        <v>45434.0</v>
      </c>
      <c r="B1106" s="6">
        <f>'Daily Returns'!AP1105*(1+'Daily Returns'!AK1106)</f>
        <v>1.772787155</v>
      </c>
      <c r="D1106" s="4">
        <f>'Daily Returns'!AQ1105 * (1 + 'Daily Returns'!AJ1106)</f>
        <v>1.642607276</v>
      </c>
      <c r="F1106" s="7">
        <f>'Daily Returns'!AR1105 * (1 +'Daily Returns'!AL1106)</f>
        <v>1.598249399</v>
      </c>
      <c r="H1106" s="7">
        <f>'Daily Returns'!AS1105*(1+'Daily Returns'!AM1106)</f>
        <v>1.722603282</v>
      </c>
      <c r="J1106" s="5">
        <f>'Daily Returns'!AT1105*(1+'Daily Returns'!AN1106)</f>
        <v>1.509589844</v>
      </c>
      <c r="L1106" s="5">
        <f>'Daily Returns'!AU1105*(1+'Daily Returns'!AO1106)</f>
        <v>1.508954559</v>
      </c>
    </row>
    <row r="1107" ht="15.75" customHeight="1">
      <c r="A1107" s="9">
        <v>45435.0</v>
      </c>
      <c r="B1107" s="6">
        <f>'Daily Returns'!AP1106*(1+'Daily Returns'!AK1107)</f>
        <v>1.761100134</v>
      </c>
      <c r="D1107" s="4">
        <f>'Daily Returns'!AQ1106 * (1 + 'Daily Returns'!AJ1107)</f>
        <v>1.630483191</v>
      </c>
      <c r="F1107" s="7">
        <f>'Daily Returns'!AR1106 * (1 +'Daily Returns'!AL1107)</f>
        <v>1.590531061</v>
      </c>
      <c r="H1107" s="7">
        <f>'Daily Returns'!AS1106*(1+'Daily Returns'!AM1107)</f>
        <v>1.716776571</v>
      </c>
      <c r="J1107" s="5">
        <f>'Daily Returns'!AT1106*(1+'Daily Returns'!AN1107)</f>
        <v>1.503747976</v>
      </c>
      <c r="L1107" s="5">
        <f>'Daily Returns'!AU1106*(1+'Daily Returns'!AO1107)</f>
        <v>1.501715584</v>
      </c>
    </row>
    <row r="1108" ht="15.75" customHeight="1">
      <c r="A1108" s="9">
        <v>45436.0</v>
      </c>
      <c r="B1108" s="6">
        <f>'Daily Returns'!AP1107*(1+'Daily Returns'!AK1108)</f>
        <v>1.768825161</v>
      </c>
      <c r="D1108" s="4">
        <f>'Daily Returns'!AQ1107 * (1 + 'Daily Returns'!AJ1108)</f>
        <v>1.641898204</v>
      </c>
      <c r="F1108" s="7">
        <f>'Daily Returns'!AR1107 * (1 +'Daily Returns'!AL1108)</f>
        <v>1.579551287</v>
      </c>
      <c r="H1108" s="7">
        <f>'Daily Returns'!AS1107*(1+'Daily Returns'!AM1108)</f>
        <v>1.702176583</v>
      </c>
      <c r="J1108" s="5">
        <f>'Daily Returns'!AT1107*(1+'Daily Returns'!AN1108)</f>
        <v>1.494382779</v>
      </c>
      <c r="L1108" s="5">
        <f>'Daily Returns'!AU1107*(1+'Daily Returns'!AO1108)</f>
        <v>1.491186471</v>
      </c>
    </row>
    <row r="1109" ht="15.75" customHeight="1">
      <c r="A1109" s="9">
        <v>45440.0</v>
      </c>
      <c r="B1109" s="6">
        <f>'Daily Returns'!AP1108*(1+'Daily Returns'!AK1109)</f>
        <v>1.757168478</v>
      </c>
      <c r="D1109" s="4">
        <f>'Daily Returns'!AQ1108 * (1 + 'Daily Returns'!AJ1109)</f>
        <v>1.642307037</v>
      </c>
      <c r="F1109" s="7">
        <f>'Daily Returns'!AR1108 * (1 +'Daily Returns'!AL1109)</f>
        <v>1.590531061</v>
      </c>
      <c r="H1109" s="7">
        <f>'Daily Returns'!AS1108*(1+'Daily Returns'!AM1109)</f>
        <v>1.714485046</v>
      </c>
      <c r="J1109" s="5">
        <f>'Daily Returns'!AT1108*(1+'Daily Returns'!AN1109)</f>
        <v>1.501518043</v>
      </c>
      <c r="L1109" s="5">
        <f>'Daily Returns'!AU1108*(1+'Daily Returns'!AO1109)</f>
        <v>1.499741424</v>
      </c>
    </row>
    <row r="1110" ht="15.75" customHeight="1">
      <c r="A1110" s="9">
        <v>45441.0</v>
      </c>
      <c r="B1110" s="6">
        <f>'Daily Returns'!AP1109*(1+'Daily Returns'!AK1110)</f>
        <v>1.749729986</v>
      </c>
      <c r="D1110" s="4">
        <f>'Daily Returns'!AQ1109 * (1 + 'Daily Returns'!AJ1110)</f>
        <v>1.630208161</v>
      </c>
      <c r="F1110" s="7">
        <f>'Daily Returns'!AR1109 * (1 +'Daily Returns'!AL1110)</f>
        <v>1.590857036</v>
      </c>
      <c r="H1110" s="7">
        <f>'Daily Returns'!AS1109*(1+'Daily Returns'!AM1110)</f>
        <v>1.714485046</v>
      </c>
      <c r="J1110" s="5">
        <f>'Daily Returns'!AT1109*(1+'Daily Returns'!AN1110)</f>
        <v>1.502856003</v>
      </c>
      <c r="L1110" s="5">
        <f>'Daily Returns'!AU1109*(1+'Daily Returns'!AO1110)</f>
        <v>1.503360911</v>
      </c>
    </row>
    <row r="1111" ht="15.75" customHeight="1">
      <c r="A1111" s="9">
        <v>45442.0</v>
      </c>
      <c r="B1111" s="6">
        <f>'Daily Returns'!AP1110*(1+'Daily Returns'!AK1111)</f>
        <v>1.755670701</v>
      </c>
      <c r="D1111" s="4">
        <f>'Daily Returns'!AQ1110 * (1 + 'Daily Returns'!AJ1111)</f>
        <v>1.620467667</v>
      </c>
      <c r="F1111" s="7">
        <f>'Daily Returns'!AR1110 * (1 +'Daily Returns'!AL1111)</f>
        <v>1.574333327</v>
      </c>
      <c r="H1111" s="7">
        <f>'Daily Returns'!AS1110*(1+'Daily Returns'!AM1111)</f>
        <v>1.700408888</v>
      </c>
      <c r="J1111" s="5">
        <f>'Daily Returns'!AT1110*(1+'Daily Returns'!AN1111)</f>
        <v>1.49482894</v>
      </c>
      <c r="L1111" s="5">
        <f>'Daily Returns'!AU1110*(1+'Daily Returns'!AO1111)</f>
        <v>1.495464012</v>
      </c>
    </row>
    <row r="1112" ht="15.75" customHeight="1">
      <c r="A1112" s="9">
        <v>45443.0</v>
      </c>
      <c r="B1112" s="6">
        <f>'Daily Returns'!AP1111*(1+'Daily Returns'!AK1112)</f>
        <v>1.769874857</v>
      </c>
      <c r="D1112" s="4">
        <f>'Daily Returns'!AQ1111 * (1 + 'Daily Returns'!AJ1112)</f>
        <v>1.633476782</v>
      </c>
      <c r="F1112" s="7">
        <f>'Daily Returns'!AR1111 * (1 +'Daily Returns'!AL1112)</f>
        <v>1.572267864</v>
      </c>
      <c r="H1112" s="7">
        <f>'Daily Returns'!AS1111*(1+'Daily Returns'!AM1112)</f>
        <v>1.692094039</v>
      </c>
      <c r="J1112" s="5">
        <f>'Daily Returns'!AT1111*(1+'Daily Returns'!AN1112)</f>
        <v>1.46985543</v>
      </c>
      <c r="L1112" s="5">
        <f>'Daily Returns'!AU1111*(1+'Daily Returns'!AO1112)</f>
        <v>1.470457337</v>
      </c>
    </row>
    <row r="1113" ht="15.75" customHeight="1">
      <c r="A1113" s="9">
        <v>45446.0</v>
      </c>
      <c r="B1113" s="6">
        <f>'Daily Returns'!AP1112*(1+'Daily Returns'!AK1113)</f>
        <v>1.767149039</v>
      </c>
      <c r="D1113" s="4">
        <f>'Daily Returns'!AQ1112 * (1 + 'Daily Returns'!AJ1113)</f>
        <v>1.635299742</v>
      </c>
      <c r="F1113" s="7">
        <f>'Daily Returns'!AR1112 * (1 +'Daily Returns'!AL1113)</f>
        <v>1.584008527</v>
      </c>
      <c r="H1113" s="7">
        <f>'Daily Returns'!AS1112*(1+'Daily Returns'!AM1113)</f>
        <v>1.705122539</v>
      </c>
      <c r="J1113" s="5">
        <f>'Daily Returns'!AT1112*(1+'Daily Returns'!AN1113)</f>
        <v>1.484571944</v>
      </c>
      <c r="L1113" s="5">
        <f>'Daily Returns'!AU1112*(1+'Daily Returns'!AO1113)</f>
        <v>1.481973594</v>
      </c>
    </row>
    <row r="1114" ht="15.75" customHeight="1">
      <c r="A1114" s="9">
        <v>45447.0</v>
      </c>
      <c r="B1114" s="6">
        <f>'Daily Returns'!AP1113*(1+'Daily Returns'!AK1114)</f>
        <v>1.761596228</v>
      </c>
      <c r="D1114" s="4">
        <f>'Daily Returns'!AQ1113 * (1 + 'Daily Returns'!AJ1114)</f>
        <v>1.637757597</v>
      </c>
      <c r="F1114" s="7">
        <f>'Daily Returns'!AR1113 * (1 +'Daily Returns'!AL1114)</f>
        <v>1.587813142</v>
      </c>
      <c r="H1114" s="7">
        <f>'Daily Returns'!AS1113*(1+'Daily Returns'!AM1114)</f>
        <v>1.705646368</v>
      </c>
      <c r="J1114" s="5">
        <f>'Daily Returns'!AT1113*(1+'Daily Returns'!AN1114)</f>
        <v>1.499734271</v>
      </c>
      <c r="L1114" s="5">
        <f>'Daily Returns'!AU1113*(1+'Daily Returns'!AO1114)</f>
        <v>1.494805959</v>
      </c>
    </row>
    <row r="1115" ht="15.75" customHeight="1">
      <c r="A1115" s="9">
        <v>45448.0</v>
      </c>
      <c r="B1115" s="6">
        <f>'Daily Returns'!AP1114*(1+'Daily Returns'!AK1115)</f>
        <v>1.764900429</v>
      </c>
      <c r="D1115" s="4">
        <f>'Daily Returns'!AQ1114 * (1 + 'Daily Returns'!AJ1115)</f>
        <v>1.657161749</v>
      </c>
      <c r="F1115" s="7">
        <f>'Daily Returns'!AR1114 * (1 +'Daily Returns'!AL1115)</f>
        <v>1.587487167</v>
      </c>
      <c r="H1115" s="7">
        <f>'Daily Returns'!AS1114*(1+'Daily Returns'!AM1115)</f>
        <v>1.70545016</v>
      </c>
      <c r="J1115" s="5">
        <f>'Daily Returns'!AT1114*(1+'Daily Returns'!AN1115)</f>
        <v>1.489477449</v>
      </c>
      <c r="L1115" s="5">
        <f>'Daily Returns'!AU1114*(1+'Daily Returns'!AO1115)</f>
        <v>1.485593082</v>
      </c>
    </row>
    <row r="1116" ht="15.75" customHeight="1">
      <c r="A1116" s="9">
        <v>45449.0</v>
      </c>
      <c r="B1116" s="6">
        <f>'Daily Returns'!AP1115*(1+'Daily Returns'!AK1116)</f>
        <v>1.766094457</v>
      </c>
      <c r="D1116" s="4">
        <f>'Daily Returns'!AQ1115 * (1 + 'Daily Returns'!AJ1116)</f>
        <v>1.656830317</v>
      </c>
      <c r="F1116" s="7">
        <f>'Daily Returns'!AR1115 * (1 +'Daily Returns'!AL1116)</f>
        <v>1.604119646</v>
      </c>
      <c r="H1116" s="7">
        <f>'Daily Returns'!AS1115*(1+'Daily Returns'!AM1116)</f>
        <v>1.726335286</v>
      </c>
      <c r="J1116" s="5">
        <f>'Daily Returns'!AT1115*(1+'Daily Returns'!AN1116)</f>
        <v>1.481450386</v>
      </c>
      <c r="L1116" s="5">
        <f>'Daily Returns'!AU1115*(1+'Daily Returns'!AO1116)</f>
        <v>1.477696183</v>
      </c>
    </row>
    <row r="1117" ht="15.75" customHeight="1">
      <c r="A1117" s="9">
        <v>45450.0</v>
      </c>
      <c r="B1117" s="6">
        <f>'Daily Returns'!AP1116*(1+'Daily Returns'!AK1117)</f>
        <v>1.750022118</v>
      </c>
      <c r="D1117" s="4">
        <f>'Daily Returns'!AQ1116 * (1 + 'Daily Returns'!AJ1117)</f>
        <v>1.654982951</v>
      </c>
      <c r="F1117" s="7">
        <f>'Daily Returns'!AR1116 * (1 +'Daily Returns'!AL1117)</f>
        <v>1.605098077</v>
      </c>
      <c r="H1117" s="7">
        <f>'Daily Returns'!AS1116*(1+'Daily Returns'!AM1117)</f>
        <v>1.724829606</v>
      </c>
      <c r="J1117" s="5">
        <f>'Daily Returns'!AT1116*(1+'Daily Returns'!AN1117)</f>
        <v>1.490815409</v>
      </c>
      <c r="L1117" s="5">
        <f>'Daily Returns'!AU1116*(1+'Daily Returns'!AO1117)</f>
        <v>1.488554387</v>
      </c>
    </row>
    <row r="1118" ht="15.75" customHeight="1">
      <c r="A1118" s="9">
        <v>45453.0</v>
      </c>
      <c r="B1118" s="6">
        <f>'Daily Returns'!AP1117*(1+'Daily Returns'!AK1118)</f>
        <v>1.748974968</v>
      </c>
      <c r="D1118" s="4">
        <f>'Daily Returns'!AQ1117 * (1 + 'Daily Returns'!AJ1118)</f>
        <v>1.659254462</v>
      </c>
      <c r="F1118" s="7">
        <f>'Daily Returns'!AR1117 * (1 +'Daily Returns'!AL1118)</f>
        <v>1.598358001</v>
      </c>
      <c r="H1118" s="7">
        <f>'Daily Returns'!AS1117*(1+'Daily Returns'!AM1118)</f>
        <v>1.721556029</v>
      </c>
      <c r="J1118" s="5">
        <f>'Daily Returns'!AT1117*(1+'Daily Returns'!AN1118)</f>
        <v>1.495274753</v>
      </c>
      <c r="L1118" s="5">
        <f>'Daily Returns'!AU1117*(1+'Daily Returns'!AO1118)</f>
        <v>1.492831669</v>
      </c>
    </row>
    <row r="1119" ht="15.75" customHeight="1">
      <c r="A1119" s="9">
        <v>45454.0</v>
      </c>
      <c r="B1119" s="6">
        <f>'Daily Returns'!AP1118*(1+'Daily Returns'!AK1119)</f>
        <v>1.736396601</v>
      </c>
      <c r="D1119" s="4">
        <f>'Daily Returns'!AQ1118 * (1 + 'Daily Returns'!AJ1119)</f>
        <v>1.663751042</v>
      </c>
      <c r="F1119" s="7">
        <f>'Daily Returns'!AR1118 * (1 +'Daily Returns'!AL1119)</f>
        <v>1.601945412</v>
      </c>
      <c r="H1119" s="7">
        <f>'Daily Returns'!AS1118*(1+'Daily Returns'!AM1119)</f>
        <v>1.727317136</v>
      </c>
      <c r="J1119" s="5">
        <f>'Daily Returns'!AT1118*(1+'Daily Returns'!AN1119)</f>
        <v>1.482342185</v>
      </c>
      <c r="L1119" s="5">
        <f>'Daily Returns'!AU1118*(1+'Daily Returns'!AO1119)</f>
        <v>1.479999434</v>
      </c>
    </row>
    <row r="1120" ht="15.75" customHeight="1">
      <c r="A1120" s="9">
        <v>45455.0</v>
      </c>
      <c r="B1120" s="6">
        <f>'Daily Returns'!AP1119*(1+'Daily Returns'!AK1120)</f>
        <v>1.73466847</v>
      </c>
      <c r="D1120" s="4">
        <f>'Daily Returns'!AQ1119 * (1 + 'Daily Returns'!AJ1120)</f>
        <v>1.67789958</v>
      </c>
      <c r="F1120" s="7">
        <f>'Daily Returns'!AR1119 * (1 +'Daily Returns'!AL1120)</f>
        <v>1.599742722</v>
      </c>
      <c r="H1120" s="7">
        <f>'Daily Returns'!AS1119*(1+'Daily Returns'!AM1120)</f>
        <v>1.730263497</v>
      </c>
      <c r="J1120" s="5">
        <f>'Daily Returns'!AT1119*(1+'Daily Returns'!AN1120)</f>
        <v>1.485017931</v>
      </c>
      <c r="L1120" s="5">
        <f>'Daily Returns'!AU1119*(1+'Daily Returns'!AO1120)</f>
        <v>1.484276975</v>
      </c>
    </row>
    <row r="1121" ht="15.75" customHeight="1">
      <c r="A1121" s="9">
        <v>45456.0</v>
      </c>
      <c r="B1121" s="6">
        <f>'Daily Returns'!AP1120*(1+'Daily Returns'!AK1121)</f>
        <v>1.727323586</v>
      </c>
      <c r="D1121" s="4">
        <f>'Daily Returns'!AQ1120 * (1 + 'Daily Returns'!AJ1121)</f>
        <v>1.681834255</v>
      </c>
      <c r="F1121" s="7">
        <f>'Daily Returns'!AR1120 * (1 +'Daily Returns'!AL1121)</f>
        <v>1.614647499</v>
      </c>
      <c r="H1121" s="7">
        <f>'Daily Returns'!AS1120*(1+'Daily Returns'!AM1121)</f>
        <v>1.746565776</v>
      </c>
      <c r="J1121" s="5">
        <f>'Daily Returns'!AT1120*(1+'Daily Returns'!AN1121)</f>
        <v>1.472977163</v>
      </c>
      <c r="L1121" s="5">
        <f>'Daily Returns'!AU1120*(1+'Daily Returns'!AO1121)</f>
        <v>1.472431626</v>
      </c>
    </row>
    <row r="1122" ht="15.75" customHeight="1">
      <c r="A1122" s="9">
        <v>45457.0</v>
      </c>
      <c r="B1122" s="6">
        <f>'Daily Returns'!AP1121*(1+'Daily Returns'!AK1122)</f>
        <v>1.724155687</v>
      </c>
      <c r="D1122" s="4">
        <f>'Daily Returns'!AQ1121 * (1 + 'Daily Returns'!AJ1122)</f>
        <v>1.681171612</v>
      </c>
      <c r="F1122" s="7">
        <f>'Daily Returns'!AR1121 * (1 +'Daily Returns'!AL1122)</f>
        <v>1.611140404</v>
      </c>
      <c r="H1122" s="7">
        <f>'Daily Returns'!AS1121*(1+'Daily Returns'!AM1122)</f>
        <v>1.747351621</v>
      </c>
      <c r="J1122" s="5">
        <f>'Daily Returns'!AT1121*(1+'Daily Returns'!AN1122)</f>
        <v>1.477436681</v>
      </c>
      <c r="L1122" s="5">
        <f>'Daily Returns'!AU1121*(1+'Daily Returns'!AO1122)</f>
        <v>1.477696183</v>
      </c>
    </row>
    <row r="1123" ht="15.75" customHeight="1">
      <c r="A1123" s="9">
        <v>45460.0</v>
      </c>
      <c r="B1123" s="6">
        <f>'Daily Returns'!AP1122*(1+'Daily Returns'!AK1123)</f>
        <v>1.724760538</v>
      </c>
      <c r="D1123" s="4">
        <f>'Daily Returns'!AQ1122 * (1 + 'Daily Returns'!AJ1123)</f>
        <v>1.694056112</v>
      </c>
      <c r="F1123" s="7">
        <f>'Daily Returns'!AR1122 * (1 +'Daily Returns'!AL1123)</f>
        <v>1.606427907</v>
      </c>
      <c r="H1123" s="7">
        <f>'Daily Returns'!AS1122*(1+'Daily Returns'!AM1123)</f>
        <v>1.74604215</v>
      </c>
      <c r="J1123" s="5">
        <f>'Daily Returns'!AT1122*(1+'Daily Returns'!AN1123)</f>
        <v>1.459152883</v>
      </c>
      <c r="L1123" s="5">
        <f>'Daily Returns'!AU1122*(1+'Daily Returns'!AO1123)</f>
        <v>1.460257315</v>
      </c>
    </row>
    <row r="1124" ht="15.75" customHeight="1">
      <c r="A1124" s="9">
        <v>45461.0</v>
      </c>
      <c r="B1124" s="6">
        <f>'Daily Returns'!AP1123*(1+'Daily Returns'!AK1124)</f>
        <v>1.726990621</v>
      </c>
      <c r="D1124" s="4">
        <f>'Daily Returns'!AQ1123 * (1 + 'Daily Returns'!AJ1124)</f>
        <v>1.698326827</v>
      </c>
      <c r="F1124" s="7">
        <f>'Daily Returns'!AR1123 * (1 +'Daily Returns'!AL1124)</f>
        <v>1.616181738</v>
      </c>
      <c r="H1124" s="7">
        <f>'Daily Returns'!AS1123*(1+'Daily Returns'!AM1124)</f>
        <v>1.759332666</v>
      </c>
      <c r="J1124" s="5">
        <f>'Daily Returns'!AT1123*(1+'Daily Returns'!AN1124)</f>
        <v>1.456031151</v>
      </c>
      <c r="L1124" s="5">
        <f>'Daily Returns'!AU1123*(1+'Daily Returns'!AO1124)</f>
        <v>1.457295881</v>
      </c>
    </row>
    <row r="1125" ht="15.75" customHeight="1">
      <c r="A1125" s="9">
        <v>45463.0</v>
      </c>
      <c r="B1125" s="6">
        <f>'Daily Returns'!AP1124*(1+'Daily Returns'!AK1125)</f>
        <v>1.729138402</v>
      </c>
      <c r="D1125" s="4">
        <f>'Daily Returns'!AQ1124 * (1 + 'Daily Returns'!AJ1125)</f>
        <v>1.694036853</v>
      </c>
      <c r="F1125" s="7">
        <f>'Daily Returns'!AR1124 * (1 +'Daily Returns'!AL1125)</f>
        <v>1.62155191</v>
      </c>
      <c r="H1125" s="7">
        <f>'Daily Returns'!AS1124*(1+'Daily Returns'!AM1125)</f>
        <v>1.763784504</v>
      </c>
      <c r="J1125" s="5">
        <f>'Daily Returns'!AT1124*(1+'Daily Returns'!AN1125)</f>
        <v>1.453801218</v>
      </c>
      <c r="L1125" s="5">
        <f>'Daily Returns'!AU1124*(1+'Daily Returns'!AO1125)</f>
        <v>1.454334705</v>
      </c>
    </row>
    <row r="1126" ht="15.75" customHeight="1">
      <c r="A1126" s="9">
        <v>45464.0</v>
      </c>
      <c r="B1126" s="6">
        <f>'Daily Returns'!AP1125*(1+'Daily Returns'!AK1126)</f>
        <v>1.731597388</v>
      </c>
      <c r="D1126" s="4">
        <f>'Daily Returns'!AQ1125 * (1 + 'Daily Returns'!AJ1126)</f>
        <v>1.691390768</v>
      </c>
      <c r="F1126" s="7">
        <f>'Daily Returns'!AR1125 * (1 +'Daily Returns'!AL1126)</f>
        <v>1.618921546</v>
      </c>
      <c r="H1126" s="7">
        <f>'Daily Returns'!AS1125*(1+'Daily Returns'!AM1126)</f>
        <v>1.759332666</v>
      </c>
      <c r="J1126" s="5">
        <f>'Daily Returns'!AT1125*(1+'Daily Returns'!AN1126)</f>
        <v>1.454247291</v>
      </c>
      <c r="L1126" s="5">
        <f>'Daily Returns'!AU1125*(1+'Daily Returns'!AO1126)</f>
        <v>1.455979904</v>
      </c>
    </row>
    <row r="1127" ht="15.75" customHeight="1">
      <c r="A1127" s="9">
        <v>45467.0</v>
      </c>
      <c r="B1127" s="6">
        <f>'Daily Returns'!AP1126*(1+'Daily Returns'!AK1127)</f>
        <v>1.745557185</v>
      </c>
      <c r="D1127" s="4">
        <f>'Daily Returns'!AQ1126 * (1 + 'Daily Returns'!AJ1127)</f>
        <v>1.686206655</v>
      </c>
      <c r="F1127" s="7">
        <f>'Daily Returns'!AR1126 * (1 +'Daily Returns'!AL1127)</f>
        <v>1.613551374</v>
      </c>
      <c r="H1127" s="7">
        <f>'Daily Returns'!AS1126*(1+'Daily Returns'!AM1127)</f>
        <v>1.756648321</v>
      </c>
      <c r="J1127" s="5">
        <f>'Daily Returns'!AT1126*(1+'Daily Returns'!AN1127)</f>
        <v>1.447558014</v>
      </c>
      <c r="L1127" s="5">
        <f>'Daily Returns'!AU1126*(1+'Daily Returns'!AO1127)</f>
        <v>1.450057165</v>
      </c>
    </row>
    <row r="1128" ht="15.75" customHeight="1">
      <c r="A1128" s="9">
        <v>45468.0</v>
      </c>
      <c r="B1128" s="6">
        <f>'Daily Returns'!AP1127*(1+'Daily Returns'!AK1128)</f>
        <v>1.744267066</v>
      </c>
      <c r="D1128" s="4">
        <f>'Daily Returns'!AQ1127 * (1 + 'Daily Returns'!AJ1128)</f>
        <v>1.692840192</v>
      </c>
      <c r="F1128" s="7">
        <f>'Daily Returns'!AR1127 * (1 +'Daily Returns'!AL1128)</f>
        <v>1.613989993</v>
      </c>
      <c r="H1128" s="7">
        <f>'Daily Returns'!AS1127*(1+'Daily Returns'!AM1128)</f>
        <v>1.75370196</v>
      </c>
      <c r="J1128" s="5">
        <f>'Daily Returns'!AT1127*(1+'Daily Returns'!AN1128)</f>
        <v>1.452463432</v>
      </c>
      <c r="L1128" s="5">
        <f>'Daily Returns'!AU1127*(1+'Daily Returns'!AO1128)</f>
        <v>1.453676523</v>
      </c>
    </row>
    <row r="1129" ht="15.75" customHeight="1">
      <c r="A1129" s="9">
        <v>45469.0</v>
      </c>
      <c r="B1129" s="6">
        <f>'Daily Returns'!AP1128*(1+'Daily Returns'!AK1129)</f>
        <v>1.739917142</v>
      </c>
      <c r="D1129" s="4">
        <f>'Daily Returns'!AQ1128 * (1 + 'Daily Returns'!AJ1129)</f>
        <v>1.695501337</v>
      </c>
      <c r="F1129" s="7">
        <f>'Daily Returns'!AR1128 * (1 +'Daily Returns'!AL1129)</f>
        <v>1.619579221</v>
      </c>
      <c r="H1129" s="7">
        <f>'Daily Returns'!AS1128*(1+'Daily Returns'!AM1129)</f>
        <v>1.759463471</v>
      </c>
      <c r="J1129" s="5">
        <f>'Daily Returns'!AT1128*(1+'Daily Returns'!AN1129)</f>
        <v>1.451571546</v>
      </c>
      <c r="L1129" s="5">
        <f>'Daily Returns'!AU1128*(1+'Daily Returns'!AO1129)</f>
        <v>1.452681626</v>
      </c>
    </row>
    <row r="1130" ht="15.75" customHeight="1">
      <c r="A1130" s="9">
        <v>45470.0</v>
      </c>
      <c r="B1130" s="6">
        <f>'Daily Returns'!AP1129*(1+'Daily Returns'!AK1130)</f>
        <v>1.723213889</v>
      </c>
      <c r="D1130" s="4">
        <f>'Daily Returns'!AQ1129 * (1 + 'Daily Returns'!AJ1130)</f>
        <v>1.697039157</v>
      </c>
      <c r="F1130" s="7">
        <f>'Daily Returns'!AR1129 * (1 +'Daily Returns'!AL1130)</f>
        <v>1.618702321</v>
      </c>
      <c r="H1130" s="7">
        <f>'Daily Returns'!AS1129*(1+'Daily Returns'!AM1130)</f>
        <v>1.759398271</v>
      </c>
      <c r="J1130" s="5">
        <f>'Daily Returns'!AT1129*(1+'Daily Returns'!AN1130)</f>
        <v>1.471639203</v>
      </c>
      <c r="L1130" s="5">
        <f>'Daily Returns'!AU1129*(1+'Daily Returns'!AO1130)</f>
        <v>1.471254676</v>
      </c>
    </row>
    <row r="1131" ht="15.75" customHeight="1">
      <c r="A1131" s="9">
        <v>45471.0</v>
      </c>
      <c r="B1131" s="6">
        <f>'Daily Returns'!AP1130*(1+'Daily Returns'!AK1131)</f>
        <v>1.724900756</v>
      </c>
      <c r="D1131" s="4">
        <f>'Daily Returns'!AQ1130 * (1 + 'Daily Returns'!AJ1131)</f>
        <v>1.690108449</v>
      </c>
      <c r="F1131" s="7">
        <f>'Daily Returns'!AR1130 * (1 +'Daily Returns'!AL1131)</f>
        <v>1.619140771</v>
      </c>
      <c r="H1131" s="7">
        <f>'Daily Returns'!AS1130*(1+'Daily Returns'!AM1131)</f>
        <v>1.763653496</v>
      </c>
      <c r="J1131" s="5">
        <f>'Daily Returns'!AT1130*(1+'Daily Returns'!AN1131)</f>
        <v>1.468071658</v>
      </c>
      <c r="L1131" s="5">
        <f>'Daily Returns'!AU1130*(1+'Daily Returns'!AO1131)</f>
        <v>1.467937921</v>
      </c>
    </row>
    <row r="1132" ht="15.75" customHeight="1">
      <c r="A1132" s="9">
        <v>45474.0</v>
      </c>
      <c r="B1132" s="6">
        <f>'Daily Returns'!AP1131*(1+'Daily Returns'!AK1132)</f>
        <v>1.72289551</v>
      </c>
      <c r="D1132" s="4">
        <f>'Daily Returns'!AQ1131 * (1 + 'Daily Returns'!AJ1132)</f>
        <v>1.694631179</v>
      </c>
      <c r="F1132" s="7">
        <f>'Daily Returns'!AR1131 * (1 +'Daily Returns'!AL1132)</f>
        <v>1.616400963</v>
      </c>
      <c r="H1132" s="7">
        <f>'Daily Returns'!AS1131*(1+'Daily Returns'!AM1132)</f>
        <v>1.757622071</v>
      </c>
      <c r="J1132" s="5">
        <f>'Daily Returns'!AT1131*(1+'Daily Returns'!AN1132)</f>
        <v>1.468071658</v>
      </c>
      <c r="L1132" s="5">
        <f>'Daily Returns'!AU1131*(1+'Daily Returns'!AO1132)</f>
        <v>1.468601401</v>
      </c>
    </row>
    <row r="1133" ht="15.75" customHeight="1">
      <c r="A1133" s="9">
        <v>45475.0</v>
      </c>
      <c r="B1133" s="6">
        <f>'Daily Returns'!AP1132*(1+'Daily Returns'!AK1133)</f>
        <v>1.730613</v>
      </c>
      <c r="D1133" s="4">
        <f>'Daily Returns'!AQ1132 * (1 + 'Daily Returns'!AJ1133)</f>
        <v>1.705129419</v>
      </c>
      <c r="F1133" s="7">
        <f>'Daily Returns'!AR1132 * (1 +'Daily Returns'!AL1133)</f>
        <v>1.61990789</v>
      </c>
      <c r="H1133" s="7">
        <f>'Daily Returns'!AS1132*(1+'Daily Returns'!AM1133)</f>
        <v>1.761169813</v>
      </c>
      <c r="J1133" s="5">
        <f>'Daily Returns'!AT1132*(1+'Daily Returns'!AN1133)</f>
        <v>1.477882841</v>
      </c>
      <c r="L1133" s="5">
        <f>'Daily Returns'!AU1132*(1+'Daily Returns'!AO1133)</f>
        <v>1.478219602</v>
      </c>
    </row>
    <row r="1134" ht="15.75" customHeight="1">
      <c r="A1134" s="9">
        <v>45476.0</v>
      </c>
      <c r="B1134" s="6">
        <f>'Daily Returns'!AP1133*(1+'Daily Returns'!AK1134)</f>
        <v>1.740636989</v>
      </c>
      <c r="D1134" s="4">
        <f>'Daily Returns'!AQ1133 * (1 + 'Daily Returns'!AJ1134)</f>
        <v>1.713798297</v>
      </c>
      <c r="F1134" s="7">
        <f>'Daily Returns'!AR1133 * (1 +'Daily Returns'!AL1134)</f>
        <v>1.628346707</v>
      </c>
      <c r="H1134" s="7">
        <f>'Daily Returns'!AS1133*(1+'Daily Returns'!AM1134)</f>
        <v>1.771354005</v>
      </c>
      <c r="J1134" s="5">
        <f>'Daily Returns'!AT1133*(1+'Daily Returns'!AN1134)</f>
        <v>1.473423323</v>
      </c>
      <c r="L1134" s="5">
        <f>'Daily Returns'!AU1133*(1+'Daily Returns'!AO1134)</f>
        <v>1.475566457</v>
      </c>
    </row>
    <row r="1135" ht="15.75" customHeight="1">
      <c r="A1135" s="9">
        <v>45478.0</v>
      </c>
      <c r="B1135" s="6">
        <f>'Daily Returns'!AP1134*(1+'Daily Returns'!AK1135)</f>
        <v>1.743466431</v>
      </c>
      <c r="D1135" s="4">
        <f>'Daily Returns'!AQ1134 * (1 + 'Daily Returns'!AJ1135)</f>
        <v>1.723136784</v>
      </c>
      <c r="F1135" s="7">
        <f>'Daily Returns'!AR1134 * (1 +'Daily Returns'!AL1135)</f>
        <v>1.639415551</v>
      </c>
      <c r="H1135" s="7">
        <f>'Daily Returns'!AS1134*(1+'Daily Returns'!AM1135)</f>
        <v>1.778646911</v>
      </c>
      <c r="J1135" s="5">
        <f>'Daily Returns'!AT1134*(1+'Daily Returns'!AN1135)</f>
        <v>1.477882841</v>
      </c>
      <c r="L1135" s="5">
        <f>'Daily Returns'!AU1134*(1+'Daily Returns'!AO1135)</f>
        <v>1.480873005</v>
      </c>
    </row>
    <row r="1136" ht="15.75" customHeight="1">
      <c r="A1136" s="9">
        <v>45481.0</v>
      </c>
      <c r="B1136" s="6">
        <f>'Daily Returns'!AP1135*(1+'Daily Returns'!AK1136)</f>
        <v>1.746014833</v>
      </c>
      <c r="D1136" s="4">
        <f>'Daily Returns'!AQ1135 * (1 + 'Daily Returns'!AJ1136)</f>
        <v>1.724889214</v>
      </c>
      <c r="F1136" s="7">
        <f>'Daily Returns'!AR1135 * (1 +'Daily Returns'!AL1136)</f>
        <v>1.649388775</v>
      </c>
      <c r="H1136" s="7">
        <f>'Daily Returns'!AS1135*(1+'Daily Returns'!AM1136)</f>
        <v>1.787911213</v>
      </c>
      <c r="J1136" s="5">
        <f>'Daily Returns'!AT1135*(1+'Daily Returns'!AN1136)</f>
        <v>1.498396311</v>
      </c>
      <c r="L1136" s="5">
        <f>'Daily Returns'!AU1135*(1+'Daily Returns'!AO1136)</f>
        <v>1.49911438</v>
      </c>
    </row>
    <row r="1137" ht="15.75" customHeight="1">
      <c r="A1137" s="9">
        <v>45482.0</v>
      </c>
      <c r="B1137" s="6">
        <f>'Daily Returns'!AP1136*(1+'Daily Returns'!AK1137)</f>
        <v>1.74847788</v>
      </c>
      <c r="D1137" s="4">
        <f>'Daily Returns'!AQ1136 * (1 + 'Daily Returns'!AJ1137)</f>
        <v>1.726167357</v>
      </c>
      <c r="F1137" s="7">
        <f>'Daily Returns'!AR1136 * (1 +'Daily Returns'!AL1137)</f>
        <v>1.647635144</v>
      </c>
      <c r="H1137" s="7">
        <f>'Daily Returns'!AS1136*(1+'Daily Returns'!AM1137)</f>
        <v>1.790342047</v>
      </c>
      <c r="J1137" s="5">
        <f>'Daily Returns'!AT1136*(1+'Daily Returns'!AN1137)</f>
        <v>1.497950672</v>
      </c>
      <c r="L1137" s="5">
        <f>'Daily Returns'!AU1136*(1+'Daily Returns'!AO1137)</f>
        <v>1.501104304</v>
      </c>
    </row>
    <row r="1138" ht="15.75" customHeight="1">
      <c r="A1138" s="9">
        <v>45483.0</v>
      </c>
      <c r="B1138" s="6">
        <f>'Daily Returns'!AP1137*(1+'Daily Returns'!AK1138)</f>
        <v>1.7571725</v>
      </c>
      <c r="D1138" s="4">
        <f>'Daily Returns'!AQ1137 * (1 + 'Daily Returns'!AJ1138)</f>
        <v>1.743788073</v>
      </c>
      <c r="F1138" s="7">
        <f>'Daily Returns'!AR1137 * (1 +'Daily Returns'!AL1138)</f>
        <v>1.648621488</v>
      </c>
      <c r="H1138" s="7">
        <f>'Daily Returns'!AS1137*(1+'Daily Returns'!AM1138)</f>
        <v>1.789882406</v>
      </c>
      <c r="J1138" s="5">
        <f>'Daily Returns'!AT1137*(1+'Daily Returns'!AN1138)</f>
        <v>1.48724769</v>
      </c>
      <c r="L1138" s="5">
        <f>'Daily Returns'!AU1137*(1+'Daily Returns'!AO1138)</f>
        <v>1.48949605</v>
      </c>
    </row>
    <row r="1139" ht="15.75" customHeight="1">
      <c r="A1139" s="9">
        <v>45484.0</v>
      </c>
      <c r="B1139" s="6">
        <f>'Daily Returns'!AP1138*(1+'Daily Returns'!AK1139)</f>
        <v>1.760384085</v>
      </c>
      <c r="D1139" s="4">
        <f>'Daily Returns'!AQ1138 * (1 + 'Daily Returns'!AJ1139)</f>
        <v>1.728507258</v>
      </c>
      <c r="F1139" s="7">
        <f>'Daily Returns'!AR1138 * (1 +'Daily Returns'!AL1139)</f>
        <v>1.666047016</v>
      </c>
      <c r="H1139" s="7">
        <f>'Daily Returns'!AS1138*(1+'Daily Returns'!AM1139)</f>
        <v>1.807227686</v>
      </c>
      <c r="J1139" s="5">
        <f>'Daily Returns'!AT1138*(1+'Daily Returns'!AN1139)</f>
        <v>1.489477449</v>
      </c>
      <c r="L1139" s="5">
        <f>'Daily Returns'!AU1138*(1+'Daily Returns'!AO1139)</f>
        <v>1.492812546</v>
      </c>
    </row>
    <row r="1140" ht="15.75" customHeight="1">
      <c r="A1140" s="9">
        <v>45485.0</v>
      </c>
      <c r="B1140" s="6">
        <f>'Daily Returns'!AP1139*(1+'Daily Returns'!AK1140)</f>
        <v>1.764195029</v>
      </c>
      <c r="D1140" s="4">
        <f>'Daily Returns'!AQ1139 * (1 + 'Daily Returns'!AJ1140)</f>
        <v>1.738043433</v>
      </c>
      <c r="F1140" s="7">
        <f>'Daily Returns'!AR1139 * (1 +'Daily Returns'!AL1140)</f>
        <v>1.657827424</v>
      </c>
      <c r="H1140" s="7">
        <f>'Daily Returns'!AS1139*(1+'Daily Returns'!AM1140)</f>
        <v>1.799146302</v>
      </c>
      <c r="J1140" s="5">
        <f>'Daily Returns'!AT1139*(1+'Daily Returns'!AN1140)</f>
        <v>1.485463917</v>
      </c>
      <c r="L1140" s="5">
        <f>'Daily Returns'!AU1139*(1+'Daily Returns'!AO1140)</f>
        <v>1.487505998</v>
      </c>
    </row>
    <row r="1141" ht="15.75" customHeight="1">
      <c r="A1141" s="9">
        <v>45488.0</v>
      </c>
      <c r="B1141" s="6">
        <f>'Daily Returns'!AP1140*(1+'Daily Returns'!AK1141)</f>
        <v>1.767520585</v>
      </c>
      <c r="D1141" s="4">
        <f>'Daily Returns'!AQ1140 * (1 + 'Daily Returns'!AJ1141)</f>
        <v>1.742955144</v>
      </c>
      <c r="F1141" s="7">
        <f>'Daily Returns'!AR1140 * (1 +'Daily Returns'!AL1141)</f>
        <v>1.67021145</v>
      </c>
      <c r="H1141" s="7">
        <f>'Daily Returns'!AS1140*(1+'Daily Returns'!AM1141)</f>
        <v>1.811038659</v>
      </c>
      <c r="J1141" s="5">
        <f>'Daily Returns'!AT1140*(1+'Daily Returns'!AN1141)</f>
        <v>1.507761508</v>
      </c>
      <c r="L1141" s="5">
        <f>'Daily Returns'!AU1140*(1+'Daily Returns'!AO1141)</f>
        <v>1.509064256</v>
      </c>
    </row>
    <row r="1142" ht="15.75" customHeight="1">
      <c r="A1142" s="9">
        <v>45489.0</v>
      </c>
      <c r="B1142" s="6">
        <f>'Daily Returns'!AP1141*(1+'Daily Returns'!AK1142)</f>
        <v>1.78252081</v>
      </c>
      <c r="D1142" s="4">
        <f>'Daily Returns'!AQ1141 * (1 + 'Daily Returns'!AJ1142)</f>
        <v>1.754090884</v>
      </c>
      <c r="F1142" s="7">
        <f>'Daily Returns'!AR1141 * (1 +'Daily Returns'!AL1142)</f>
        <v>1.670321231</v>
      </c>
      <c r="H1142" s="7">
        <f>'Daily Returns'!AS1141*(1+'Daily Returns'!AM1142)</f>
        <v>1.818791611</v>
      </c>
      <c r="J1142" s="5">
        <f>'Daily Returns'!AT1141*(1+'Daily Returns'!AN1142)</f>
        <v>1.518464316</v>
      </c>
      <c r="L1142" s="5">
        <f>'Daily Returns'!AU1141*(1+'Daily Returns'!AO1142)</f>
        <v>1.521335602</v>
      </c>
    </row>
    <row r="1143" ht="15.75" customHeight="1">
      <c r="A1143" s="9">
        <v>45490.0</v>
      </c>
      <c r="B1143" s="6">
        <f>'Daily Returns'!AP1142*(1+'Daily Returns'!AK1143)</f>
        <v>1.788393377</v>
      </c>
      <c r="D1143" s="4">
        <f>'Daily Returns'!AQ1142 * (1 + 'Daily Returns'!AJ1143)</f>
        <v>1.729659906</v>
      </c>
      <c r="F1143" s="7">
        <f>'Daily Returns'!AR1142 * (1 +'Daily Returns'!AL1143)</f>
        <v>1.680075062</v>
      </c>
      <c r="H1143" s="7">
        <f>'Daily Returns'!AS1142*(1+'Daily Returns'!AM1143)</f>
        <v>1.833771865</v>
      </c>
      <c r="J1143" s="5">
        <f>'Daily Returns'!AT1142*(1+'Daily Returns'!AN1143)</f>
        <v>1.527383352</v>
      </c>
      <c r="L1143" s="5">
        <f>'Daily Returns'!AU1142*(1+'Daily Returns'!AO1143)</f>
        <v>1.530622385</v>
      </c>
    </row>
    <row r="1144" ht="15.75" customHeight="1">
      <c r="A1144" s="9">
        <v>45491.0</v>
      </c>
      <c r="B1144" s="6">
        <f>'Daily Returns'!AP1143*(1+'Daily Returns'!AK1144)</f>
        <v>1.778897862</v>
      </c>
      <c r="D1144" s="4">
        <f>'Daily Returns'!AQ1143 * (1 + 'Daily Returns'!AJ1144)</f>
        <v>1.716140885</v>
      </c>
      <c r="F1144" s="7">
        <f>'Daily Returns'!AR1143 * (1 +'Daily Returns'!AL1144)</f>
        <v>1.661444132</v>
      </c>
      <c r="H1144" s="7">
        <f>'Daily Returns'!AS1143*(1+'Daily Returns'!AM1144)</f>
        <v>1.807884953</v>
      </c>
      <c r="J1144" s="5">
        <f>'Daily Returns'!AT1143*(1+'Daily Returns'!AN1144)</f>
        <v>1.532734669</v>
      </c>
      <c r="L1144" s="5">
        <f>'Daily Returns'!AU1143*(1+'Daily Returns'!AO1144)</f>
        <v>1.53626048</v>
      </c>
    </row>
    <row r="1145" ht="15.75" customHeight="1">
      <c r="A1145" s="9">
        <v>45492.0</v>
      </c>
      <c r="B1145" s="6">
        <f>'Daily Returns'!AP1144*(1+'Daily Returns'!AK1145)</f>
        <v>1.775568942</v>
      </c>
      <c r="D1145" s="4">
        <f>'Daily Returns'!AQ1144 * (1 + 'Daily Returns'!AJ1145)</f>
        <v>1.703887639</v>
      </c>
      <c r="F1145" s="7">
        <f>'Daily Returns'!AR1144 * (1 +'Daily Returns'!AL1145)</f>
        <v>1.646539355</v>
      </c>
      <c r="H1145" s="7">
        <f>'Daily Returns'!AS1144*(1+'Daily Returns'!AM1145)</f>
        <v>1.792116222</v>
      </c>
      <c r="J1145" s="5">
        <f>'Daily Returns'!AT1144*(1+'Daily Returns'!AN1145)</f>
        <v>1.548788969</v>
      </c>
      <c r="L1145" s="5">
        <f>'Daily Returns'!AU1144*(1+'Daily Returns'!AO1145)</f>
        <v>1.552180256</v>
      </c>
    </row>
    <row r="1146" ht="15.75" customHeight="1">
      <c r="A1146" s="9">
        <v>45495.0</v>
      </c>
      <c r="B1146" s="6">
        <f>'Daily Returns'!AP1145*(1+'Daily Returns'!AK1146)</f>
        <v>1.765422796</v>
      </c>
      <c r="D1146" s="4">
        <f>'Daily Returns'!AQ1145 * (1 + 'Daily Returns'!AJ1146)</f>
        <v>1.722275994</v>
      </c>
      <c r="F1146" s="7">
        <f>'Daily Returns'!AR1145 * (1 +'Daily Returns'!AL1146)</f>
        <v>1.63492228</v>
      </c>
      <c r="H1146" s="7">
        <f>'Daily Returns'!AS1145*(1+'Daily Returns'!AM1146)</f>
        <v>1.780946737</v>
      </c>
      <c r="J1146" s="5">
        <f>'Daily Returns'!AT1145*(1+'Daily Returns'!AN1146)</f>
        <v>1.541207893</v>
      </c>
      <c r="L1146" s="5">
        <f>'Daily Returns'!AU1145*(1+'Daily Returns'!AO1146)</f>
        <v>1.542893731</v>
      </c>
    </row>
    <row r="1147" ht="15.75" customHeight="1">
      <c r="A1147" s="9">
        <v>45496.0</v>
      </c>
      <c r="B1147" s="6">
        <f>'Daily Returns'!AP1146*(1+'Daily Returns'!AK1147)</f>
        <v>1.761105584</v>
      </c>
      <c r="D1147" s="4">
        <f>'Daily Returns'!AQ1146 * (1 + 'Daily Returns'!AJ1147)</f>
        <v>1.719592688</v>
      </c>
      <c r="F1147" s="7">
        <f>'Daily Returns'!AR1146 * (1 +'Daily Returns'!AL1147)</f>
        <v>1.652347808</v>
      </c>
      <c r="H1147" s="7">
        <f>'Daily Returns'!AS1146*(1+'Daily Returns'!AM1147)</f>
        <v>1.799540743</v>
      </c>
      <c r="J1147" s="5">
        <f>'Daily Returns'!AT1146*(1+'Daily Returns'!AN1147)</f>
        <v>1.533180656</v>
      </c>
      <c r="L1147" s="5">
        <f>'Daily Returns'!AU1146*(1+'Daily Returns'!AO1147)</f>
        <v>1.534933778</v>
      </c>
    </row>
    <row r="1148" ht="15.75" customHeight="1">
      <c r="A1148" s="9">
        <v>45497.0</v>
      </c>
      <c r="B1148" s="6">
        <f>'Daily Returns'!AP1147*(1+'Daily Returns'!AK1148)</f>
        <v>1.758374817</v>
      </c>
      <c r="D1148" s="4">
        <f>'Daily Returns'!AQ1147 * (1 + 'Daily Returns'!AJ1148)</f>
        <v>1.679785837</v>
      </c>
      <c r="F1148" s="7">
        <f>'Daily Returns'!AR1147 * (1 +'Daily Returns'!AL1148)</f>
        <v>1.647087249</v>
      </c>
      <c r="H1148" s="7">
        <f>'Daily Returns'!AS1147*(1+'Daily Returns'!AM1148)</f>
        <v>1.798226615</v>
      </c>
      <c r="J1148" s="5">
        <f>'Daily Returns'!AT1147*(1+'Daily Returns'!AN1148)</f>
        <v>1.531842696</v>
      </c>
      <c r="L1148" s="5">
        <f>'Daily Returns'!AU1147*(1+'Daily Returns'!AO1148)</f>
        <v>1.532280504</v>
      </c>
    </row>
    <row r="1149" ht="15.75" customHeight="1">
      <c r="A1149" s="9">
        <v>45498.0</v>
      </c>
      <c r="B1149" s="6">
        <f>'Daily Returns'!AP1148*(1+'Daily Returns'!AK1149)</f>
        <v>1.750142073</v>
      </c>
      <c r="D1149" s="4">
        <f>'Daily Returns'!AQ1148 * (1 + 'Daily Returns'!AJ1149)</f>
        <v>1.671146698</v>
      </c>
      <c r="F1149" s="7">
        <f>'Daily Returns'!AR1148 * (1 +'Daily Returns'!AL1149)</f>
        <v>1.613551374</v>
      </c>
      <c r="H1149" s="7">
        <f>'Daily Returns'!AS1148*(1+'Daily Returns'!AM1149)</f>
        <v>1.757753484</v>
      </c>
      <c r="J1149" s="5">
        <f>'Daily Returns'!AT1148*(1+'Daily Returns'!AN1149)</f>
        <v>1.543883638</v>
      </c>
      <c r="L1149" s="5">
        <f>'Daily Returns'!AU1148*(1+'Daily Returns'!AO1149)</f>
        <v>1.544552108</v>
      </c>
    </row>
    <row r="1150" ht="15.75" customHeight="1">
      <c r="A1150" s="9">
        <v>45499.0</v>
      </c>
      <c r="B1150" s="6">
        <f>'Daily Returns'!AP1149*(1+'Daily Returns'!AK1150)</f>
        <v>1.753777061</v>
      </c>
      <c r="D1150" s="4">
        <f>'Daily Returns'!AQ1149 * (1 + 'Daily Returns'!AJ1150)</f>
        <v>1.689679715</v>
      </c>
      <c r="F1150" s="7">
        <f>'Daily Returns'!AR1149 * (1 +'Daily Returns'!AL1150)</f>
        <v>1.605551175</v>
      </c>
      <c r="H1150" s="7">
        <f>'Daily Returns'!AS1149*(1+'Daily Returns'!AM1150)</f>
        <v>1.750986027</v>
      </c>
      <c r="J1150" s="5">
        <f>'Daily Returns'!AT1149*(1+'Daily Returns'!AN1150)</f>
        <v>1.538086334</v>
      </c>
      <c r="L1150" s="5">
        <f>'Daily Returns'!AU1149*(1+'Daily Returns'!AO1150)</f>
        <v>1.540572132</v>
      </c>
    </row>
    <row r="1151" ht="15.75" customHeight="1">
      <c r="A1151" s="9">
        <v>45502.0</v>
      </c>
      <c r="B1151" s="6">
        <f>'Daily Returns'!AP1150*(1+'Daily Returns'!AK1151)</f>
        <v>1.756847902</v>
      </c>
      <c r="D1151" s="4">
        <f>'Daily Returns'!AQ1150 * (1 + 'Daily Returns'!AJ1151)</f>
        <v>1.691053425</v>
      </c>
      <c r="F1151" s="7">
        <f>'Daily Returns'!AR1150 * (1 +'Daily Returns'!AL1151)</f>
        <v>1.623414986</v>
      </c>
      <c r="H1151" s="7">
        <f>'Daily Returns'!AS1150*(1+'Daily Returns'!AM1151)</f>
        <v>1.771945464</v>
      </c>
      <c r="J1151" s="5">
        <f>'Daily Returns'!AT1150*(1+'Daily Returns'!AN1151)</f>
        <v>1.527829164</v>
      </c>
      <c r="L1151" s="5">
        <f>'Daily Returns'!AU1150*(1+'Daily Returns'!AO1151)</f>
        <v>1.528963879</v>
      </c>
    </row>
    <row r="1152" ht="15.75" customHeight="1">
      <c r="A1152" s="9">
        <v>45503.0</v>
      </c>
      <c r="B1152" s="6">
        <f>'Daily Returns'!AP1151*(1+'Daily Returns'!AK1152)</f>
        <v>1.766729284</v>
      </c>
      <c r="D1152" s="4">
        <f>'Daily Returns'!AQ1151 * (1 + 'Daily Returns'!AJ1152)</f>
        <v>1.6826658</v>
      </c>
      <c r="F1152" s="7">
        <f>'Daily Returns'!AR1151 * (1 +'Daily Returns'!AL1152)</f>
        <v>1.622866923</v>
      </c>
      <c r="H1152" s="7">
        <f>'Daily Returns'!AS1151*(1+'Daily Returns'!AM1152)</f>
        <v>1.772076674</v>
      </c>
      <c r="J1152" s="5">
        <f>'Daily Returns'!AT1151*(1+'Daily Returns'!AN1152)</f>
        <v>1.527383352</v>
      </c>
      <c r="L1152" s="5">
        <f>'Daily Returns'!AU1151*(1+'Daily Returns'!AO1152)</f>
        <v>1.527968981</v>
      </c>
    </row>
    <row r="1153" ht="15.75" customHeight="1">
      <c r="A1153" s="9">
        <v>45504.0</v>
      </c>
      <c r="B1153" s="6">
        <f>'Daily Returns'!AP1152*(1+'Daily Returns'!AK1153)</f>
        <v>1.775297032</v>
      </c>
      <c r="D1153" s="4">
        <f>'Daily Returns'!AQ1152 * (1 + 'Daily Returns'!AJ1153)</f>
        <v>1.709240141</v>
      </c>
      <c r="F1153" s="7">
        <f>'Daily Returns'!AR1152 * (1 +'Daily Returns'!AL1153)</f>
        <v>1.618264039</v>
      </c>
      <c r="H1153" s="7">
        <f>'Daily Returns'!AS1152*(1+'Daily Returns'!AM1153)</f>
        <v>1.76471796</v>
      </c>
      <c r="J1153" s="5">
        <f>'Daily Returns'!AT1152*(1+'Daily Returns'!AN1153)</f>
        <v>1.540761732</v>
      </c>
      <c r="L1153" s="5">
        <f>'Daily Returns'!AU1152*(1+'Daily Returns'!AO1153)</f>
        <v>1.540240327</v>
      </c>
    </row>
    <row r="1154" ht="15.75" customHeight="1">
      <c r="A1154" s="9">
        <v>45505.0</v>
      </c>
      <c r="B1154" s="6">
        <f>'Daily Returns'!AP1153*(1+'Daily Returns'!AK1154)</f>
        <v>1.765882655</v>
      </c>
      <c r="D1154" s="4">
        <f>'Daily Returns'!AQ1153 * (1 + 'Daily Returns'!AJ1154)</f>
        <v>1.685833806</v>
      </c>
      <c r="F1154" s="7">
        <f>'Daily Returns'!AR1153 * (1 +'Daily Returns'!AL1154)</f>
        <v>1.643580322</v>
      </c>
      <c r="H1154" s="7">
        <f>'Daily Returns'!AS1153*(1+'Daily Returns'!AM1154)</f>
        <v>1.790867901</v>
      </c>
      <c r="J1154" s="5">
        <f>'Daily Returns'!AT1153*(1+'Daily Returns'!AN1154)</f>
        <v>1.538977785</v>
      </c>
      <c r="L1154" s="5">
        <f>'Daily Returns'!AU1153*(1+'Daily Returns'!AO1154)</f>
        <v>1.540572132</v>
      </c>
    </row>
    <row r="1155" ht="15.75" customHeight="1">
      <c r="A1155" s="9">
        <v>45506.0</v>
      </c>
      <c r="B1155" s="6">
        <f>'Daily Returns'!AP1154*(1+'Daily Returns'!AK1155)</f>
        <v>1.759881159</v>
      </c>
      <c r="D1155" s="4">
        <f>'Daily Returns'!AQ1154 * (1 + 'Daily Returns'!AJ1155)</f>
        <v>1.654844809</v>
      </c>
      <c r="F1155" s="7">
        <f>'Daily Returns'!AR1154 * (1 +'Daily Returns'!AL1155)</f>
        <v>1.614428274</v>
      </c>
      <c r="H1155" s="7">
        <f>'Daily Returns'!AS1154*(1+'Daily Returns'!AM1155)</f>
        <v>1.762812575</v>
      </c>
      <c r="J1155" s="5">
        <f>'Daily Returns'!AT1154*(1+'Daily Returns'!AN1155)</f>
        <v>1.543883638</v>
      </c>
      <c r="L1155" s="5">
        <f>'Daily Returns'!AU1154*(1+'Daily Returns'!AO1155)</f>
        <v>1.542893731</v>
      </c>
    </row>
    <row r="1156" ht="15.75" customHeight="1">
      <c r="A1156" s="9">
        <v>45509.0</v>
      </c>
      <c r="B1156" s="6">
        <f>'Daily Returns'!AP1155*(1+'Daily Returns'!AK1156)</f>
        <v>1.748483764</v>
      </c>
      <c r="D1156" s="4">
        <f>'Daily Returns'!AQ1155 * (1 + 'Daily Returns'!AJ1156)</f>
        <v>1.605250765</v>
      </c>
      <c r="F1156" s="7">
        <f>'Daily Returns'!AR1155 * (1 +'Daily Returns'!AL1156)</f>
        <v>1.584947389</v>
      </c>
      <c r="H1156" s="7">
        <f>'Daily Returns'!AS1155*(1+'Daily Returns'!AM1156)</f>
        <v>1.727333132</v>
      </c>
      <c r="J1156" s="5">
        <f>'Daily Returns'!AT1155*(1+'Daily Returns'!AN1156)</f>
        <v>1.562167349</v>
      </c>
      <c r="L1156" s="5">
        <f>'Daily Returns'!AU1155*(1+'Daily Returns'!AO1156)</f>
        <v>1.560803559</v>
      </c>
    </row>
    <row r="1157" ht="15.75" customHeight="1">
      <c r="A1157" s="9">
        <v>45510.0</v>
      </c>
      <c r="B1157" s="6">
        <f>'Daily Returns'!AP1156*(1+'Daily Returns'!AK1157)</f>
        <v>1.756806317</v>
      </c>
      <c r="D1157" s="4">
        <f>'Daily Returns'!AQ1156 * (1 + 'Daily Returns'!AJ1157)</f>
        <v>1.621871532</v>
      </c>
      <c r="F1157" s="7">
        <f>'Daily Returns'!AR1156 * (1 +'Daily Returns'!AL1157)</f>
        <v>1.541767464</v>
      </c>
      <c r="H1157" s="7">
        <f>'Daily Returns'!AS1156*(1+'Daily Returns'!AM1157)</f>
        <v>1.676610103</v>
      </c>
      <c r="J1157" s="5">
        <f>'Daily Returns'!AT1156*(1+'Daily Returns'!AN1157)</f>
        <v>1.536748201</v>
      </c>
      <c r="L1157" s="5">
        <f>'Daily Returns'!AU1156*(1+'Daily Returns'!AO1157)</f>
        <v>1.535265583</v>
      </c>
    </row>
    <row r="1158" ht="15.75" customHeight="1">
      <c r="A1158" s="9">
        <v>45511.0</v>
      </c>
      <c r="B1158" s="6">
        <f>'Daily Returns'!AP1157*(1+'Daily Returns'!AK1158)</f>
        <v>1.744370219</v>
      </c>
      <c r="D1158" s="4">
        <f>'Daily Returns'!AQ1157 * (1 + 'Daily Returns'!AJ1158)</f>
        <v>1.609326355</v>
      </c>
      <c r="F1158" s="7">
        <f>'Daily Returns'!AR1157 * (1 +'Daily Returns'!AL1158)</f>
        <v>1.553603596</v>
      </c>
      <c r="H1158" s="7">
        <f>'Daily Returns'!AS1157*(1+'Daily Returns'!AM1158)</f>
        <v>1.693627257</v>
      </c>
      <c r="J1158" s="5">
        <f>'Daily Returns'!AT1157*(1+'Daily Returns'!AN1158)</f>
        <v>1.505085762</v>
      </c>
      <c r="L1158" s="5">
        <f>'Daily Returns'!AU1157*(1+'Daily Returns'!AO1158)</f>
        <v>1.500606726</v>
      </c>
    </row>
    <row r="1159" ht="15.75" customHeight="1">
      <c r="A1159" s="9">
        <v>45512.0</v>
      </c>
      <c r="B1159" s="6">
        <f>'Daily Returns'!AP1158*(1+'Daily Returns'!AK1159)</f>
        <v>1.74571948</v>
      </c>
      <c r="D1159" s="4">
        <f>'Daily Returns'!AQ1158 * (1 + 'Daily Returns'!AJ1159)</f>
        <v>1.646410063</v>
      </c>
      <c r="F1159" s="7">
        <f>'Daily Returns'!AR1158 * (1 +'Daily Returns'!AL1159)</f>
        <v>1.54724708</v>
      </c>
      <c r="H1159" s="7">
        <f>'Daily Returns'!AS1158*(1+'Daily Returns'!AM1159)</f>
        <v>1.6806838</v>
      </c>
      <c r="J1159" s="5">
        <f>'Daily Returns'!AT1158*(1+'Daily Returns'!AN1159)</f>
        <v>1.487693676</v>
      </c>
      <c r="L1159" s="5">
        <f>'Daily Returns'!AU1158*(1+'Daily Returns'!AO1159)</f>
        <v>1.48584775</v>
      </c>
    </row>
    <row r="1160" ht="15.75" customHeight="1">
      <c r="A1160" s="9">
        <v>45513.0</v>
      </c>
      <c r="B1160" s="6">
        <f>'Daily Returns'!AP1159*(1+'Daily Returns'!AK1160)</f>
        <v>1.746994011</v>
      </c>
      <c r="D1160" s="4">
        <f>'Daily Returns'!AQ1159 * (1 + 'Daily Returns'!AJ1160)</f>
        <v>1.65410209</v>
      </c>
      <c r="F1160" s="7">
        <f>'Daily Returns'!AR1159 * (1 +'Daily Returns'!AL1160)</f>
        <v>1.58012528</v>
      </c>
      <c r="H1160" s="7">
        <f>'Daily Returns'!AS1159*(1+'Daily Returns'!AM1160)</f>
        <v>1.720040023</v>
      </c>
      <c r="J1160" s="5">
        <f>'Daily Returns'!AT1159*(1+'Daily Returns'!AN1160)</f>
        <v>1.485463917</v>
      </c>
      <c r="L1160" s="5">
        <f>'Daily Returns'!AU1159*(1+'Daily Returns'!AO1160)</f>
        <v>1.478882824</v>
      </c>
    </row>
    <row r="1161" ht="15.75" customHeight="1">
      <c r="A1161" s="9">
        <v>45516.0</v>
      </c>
      <c r="B1161" s="6">
        <f>'Daily Returns'!AP1160*(1+'Daily Returns'!AK1161)</f>
        <v>1.742019329</v>
      </c>
      <c r="D1161" s="4">
        <f>'Daily Returns'!AQ1160 * (1 + 'Daily Returns'!AJ1161)</f>
        <v>1.654173217</v>
      </c>
      <c r="F1161" s="7">
        <f>'Daily Returns'!AR1160 * (1 +'Daily Returns'!AL1161)</f>
        <v>1.589440829</v>
      </c>
      <c r="H1161" s="7">
        <f>'Daily Returns'!AS1160*(1+'Daily Returns'!AM1161)</f>
        <v>1.727464343</v>
      </c>
      <c r="J1161" s="5">
        <f>'Daily Returns'!AT1160*(1+'Daily Returns'!AN1161)</f>
        <v>1.509545106</v>
      </c>
      <c r="L1161" s="5">
        <f>'Daily Returns'!AU1160*(1+'Daily Returns'!AO1161)</f>
        <v>1.50209933</v>
      </c>
    </row>
    <row r="1162" ht="15.75" customHeight="1">
      <c r="A1162" s="9">
        <v>45517.0</v>
      </c>
      <c r="B1162" s="6">
        <f>'Daily Returns'!AP1161*(1+'Daily Returns'!AK1162)</f>
        <v>1.750218586</v>
      </c>
      <c r="D1162" s="4">
        <f>'Daily Returns'!AQ1161 * (1 + 'Daily Returns'!AJ1162)</f>
        <v>1.682042727</v>
      </c>
      <c r="F1162" s="7">
        <f>'Daily Returns'!AR1161 * (1 +'Daily Returns'!AL1162)</f>
        <v>1.588016034</v>
      </c>
      <c r="H1162" s="7">
        <f>'Daily Returns'!AS1161*(1+'Daily Returns'!AM1162)</f>
        <v>1.726347435</v>
      </c>
      <c r="J1162" s="5">
        <f>'Daily Returns'!AT1161*(1+'Daily Returns'!AN1162)</f>
        <v>1.515342584</v>
      </c>
      <c r="L1162" s="5">
        <f>'Daily Returns'!AU1161*(1+'Daily Returns'!AO1162)</f>
        <v>1.508732451</v>
      </c>
    </row>
    <row r="1163" ht="15.75" customHeight="1">
      <c r="A1163" s="9">
        <v>45518.0</v>
      </c>
      <c r="B1163" s="6">
        <f>'Daily Returns'!AP1162*(1+'Daily Returns'!AK1163)</f>
        <v>1.757777341</v>
      </c>
      <c r="D1163" s="4">
        <f>'Daily Returns'!AQ1162 * (1 + 'Daily Returns'!AJ1163)</f>
        <v>1.688474858</v>
      </c>
      <c r="F1163" s="7">
        <f>'Daily Returns'!AR1162 * (1 +'Daily Returns'!AL1163)</f>
        <v>1.615633844</v>
      </c>
      <c r="H1163" s="7">
        <f>'Daily Returns'!AS1162*(1+'Daily Returns'!AM1163)</f>
        <v>1.755059622</v>
      </c>
      <c r="J1163" s="5">
        <f>'Daily Returns'!AT1162*(1+'Daily Returns'!AN1163)</f>
        <v>1.519802276</v>
      </c>
      <c r="L1163" s="5">
        <f>'Daily Returns'!AU1162*(1+'Daily Returns'!AO1163)</f>
        <v>1.514039</v>
      </c>
    </row>
    <row r="1164" ht="15.75" customHeight="1">
      <c r="A1164" s="9">
        <v>45519.0</v>
      </c>
      <c r="B1164" s="6">
        <f>'Daily Returns'!AP1163*(1+'Daily Returns'!AK1164)</f>
        <v>1.761578613</v>
      </c>
      <c r="D1164" s="4">
        <f>'Daily Returns'!AQ1163 * (1 + 'Daily Returns'!AJ1164)</f>
        <v>1.715715023</v>
      </c>
      <c r="F1164" s="7">
        <f>'Daily Returns'!AR1163 * (1 +'Daily Returns'!AL1164)</f>
        <v>1.620565397</v>
      </c>
      <c r="H1164" s="7">
        <f>'Daily Returns'!AS1163*(1+'Daily Returns'!AM1164)</f>
        <v>1.760053108</v>
      </c>
      <c r="J1164" s="5">
        <f>'Daily Returns'!AT1163*(1+'Daily Returns'!AN1164)</f>
        <v>1.534072629</v>
      </c>
      <c r="L1164" s="5">
        <f>'Daily Returns'!AU1163*(1+'Daily Returns'!AO1164)</f>
        <v>1.528963879</v>
      </c>
    </row>
    <row r="1165" ht="15.75" customHeight="1">
      <c r="A1165" s="9">
        <v>45520.0</v>
      </c>
      <c r="B1165" s="6">
        <f>'Daily Returns'!AP1164*(1+'Daily Returns'!AK1165)</f>
        <v>1.767117604</v>
      </c>
      <c r="D1165" s="4">
        <f>'Daily Returns'!AQ1164 * (1 + 'Daily Returns'!AJ1165)</f>
        <v>1.719129296</v>
      </c>
      <c r="F1165" s="7">
        <f>'Daily Returns'!AR1164 * (1 +'Daily Returns'!AL1165)</f>
        <v>1.644895336</v>
      </c>
      <c r="H1165" s="7">
        <f>'Daily Returns'!AS1164*(1+'Daily Returns'!AM1165)</f>
        <v>1.790539267</v>
      </c>
      <c r="J1165" s="5">
        <f>'Daily Returns'!AT1164*(1+'Daily Returns'!AN1165)</f>
        <v>1.543437478</v>
      </c>
      <c r="L1165" s="5">
        <f>'Daily Returns'!AU1164*(1+'Daily Returns'!AO1165)</f>
        <v>1.538250533</v>
      </c>
    </row>
    <row r="1166" ht="15.75" customHeight="1">
      <c r="A1166" s="9">
        <v>45523.0</v>
      </c>
      <c r="B1166" s="6">
        <f>'Daily Returns'!AP1165*(1+'Daily Returns'!AK1166)</f>
        <v>1.777540261</v>
      </c>
      <c r="D1166" s="4">
        <f>'Daily Returns'!AQ1165 * (1 + 'Daily Returns'!AJ1166)</f>
        <v>1.735842671</v>
      </c>
      <c r="F1166" s="7">
        <f>'Daily Returns'!AR1165 * (1 +'Daily Returns'!AL1166)</f>
        <v>1.651690302</v>
      </c>
      <c r="H1166" s="7">
        <f>'Daily Returns'!AS1165*(1+'Daily Returns'!AM1166)</f>
        <v>1.794810286</v>
      </c>
      <c r="J1166" s="5">
        <f>'Daily Returns'!AT1165*(1+'Daily Returns'!AN1166)</f>
        <v>1.563951295</v>
      </c>
      <c r="L1166" s="5">
        <f>'Daily Returns'!AU1165*(1+'Daily Returns'!AO1166)</f>
        <v>1.556823583</v>
      </c>
    </row>
    <row r="1167" ht="15.75" customHeight="1">
      <c r="A1167" s="9">
        <v>45524.0</v>
      </c>
      <c r="B1167" s="6">
        <f>'Daily Returns'!AP1166*(1+'Daily Returns'!AK1167)</f>
        <v>1.780260794</v>
      </c>
      <c r="D1167" s="4">
        <f>'Daily Returns'!AQ1166 * (1 + 'Daily Returns'!AJ1167)</f>
        <v>1.732397024</v>
      </c>
      <c r="F1167" s="7">
        <f>'Daily Returns'!AR1166 * (1 +'Daily Returns'!AL1167)</f>
        <v>1.66823893</v>
      </c>
      <c r="H1167" s="7">
        <f>'Daily Returns'!AS1166*(1+'Daily Returns'!AM1167)</f>
        <v>1.811761328</v>
      </c>
      <c r="J1167" s="5">
        <f>'Daily Returns'!AT1166*(1+'Daily Returns'!AN1167)</f>
        <v>1.565289081</v>
      </c>
      <c r="L1167" s="5">
        <f>'Daily Returns'!AU1166*(1+'Daily Returns'!AO1167)</f>
        <v>1.559808403</v>
      </c>
    </row>
    <row r="1168" ht="15.75" customHeight="1">
      <c r="A1168" s="9">
        <v>45525.0</v>
      </c>
      <c r="B1168" s="6">
        <f>'Daily Returns'!AP1167*(1+'Daily Returns'!AK1168)</f>
        <v>1.787618673</v>
      </c>
      <c r="D1168" s="4">
        <f>'Daily Returns'!AQ1167 * (1 + 'Daily Returns'!AJ1168)</f>
        <v>1.739742387</v>
      </c>
      <c r="F1168" s="7">
        <f>'Daily Returns'!AR1167 * (1 +'Daily Returns'!AL1168)</f>
        <v>1.665827791</v>
      </c>
      <c r="H1168" s="7">
        <f>'Daily Returns'!AS1167*(1+'Daily Returns'!AM1168)</f>
        <v>1.807359099</v>
      </c>
      <c r="J1168" s="5">
        <f>'Daily Returns'!AT1167*(1+'Daily Returns'!AN1168)</f>
        <v>1.569302612</v>
      </c>
      <c r="L1168" s="5">
        <f>'Daily Returns'!AU1167*(1+'Daily Returns'!AO1168)</f>
        <v>1.563456704</v>
      </c>
    </row>
    <row r="1169" ht="15.75" customHeight="1">
      <c r="A1169" s="9">
        <v>45526.0</v>
      </c>
      <c r="B1169" s="6">
        <f>'Daily Returns'!AP1168*(1+'Daily Returns'!AK1169)</f>
        <v>1.780351596</v>
      </c>
      <c r="D1169" s="4">
        <f>'Daily Returns'!AQ1168 * (1 + 'Daily Returns'!AJ1169)</f>
        <v>1.724201268</v>
      </c>
      <c r="F1169" s="7">
        <f>'Daily Returns'!AR1168 * (1 +'Daily Returns'!AL1169)</f>
        <v>1.675362397</v>
      </c>
      <c r="H1169" s="7">
        <f>'Daily Returns'!AS1168*(1+'Daily Returns'!AM1169)</f>
        <v>1.81642618</v>
      </c>
      <c r="J1169" s="5">
        <f>'Daily Returns'!AT1168*(1+'Daily Returns'!AN1169)</f>
        <v>1.563505309</v>
      </c>
      <c r="L1169" s="5">
        <f>'Daily Returns'!AU1168*(1+'Daily Returns'!AO1169)</f>
        <v>1.559145182</v>
      </c>
    </row>
    <row r="1170" ht="15.75" customHeight="1">
      <c r="A1170" s="9">
        <v>45527.0</v>
      </c>
      <c r="B1170" s="6">
        <f>'Daily Returns'!AP1169*(1+'Daily Returns'!AK1170)</f>
        <v>1.791742236</v>
      </c>
      <c r="D1170" s="4">
        <f>'Daily Returns'!AQ1169 * (1 + 'Daily Returns'!AJ1170)</f>
        <v>1.744000271</v>
      </c>
      <c r="F1170" s="7">
        <f>'Daily Returns'!AR1169 * (1 +'Daily Returns'!AL1170)</f>
        <v>1.660238563</v>
      </c>
      <c r="H1170" s="7">
        <f>'Daily Returns'!AS1169*(1+'Daily Returns'!AM1170)</f>
        <v>1.801051687</v>
      </c>
      <c r="J1170" s="5">
        <f>'Daily Returns'!AT1169*(1+'Daily Returns'!AN1170)</f>
        <v>1.568410813</v>
      </c>
      <c r="L1170" s="5">
        <f>'Daily Returns'!AU1169*(1+'Daily Returns'!AO1170)</f>
        <v>1.564120184</v>
      </c>
    </row>
    <row r="1171" ht="15.75" customHeight="1">
      <c r="A1171" s="9">
        <v>45530.0</v>
      </c>
      <c r="B1171" s="6">
        <f>'Daily Returns'!AP1170*(1+'Daily Returns'!AK1171)</f>
        <v>1.792354971</v>
      </c>
      <c r="D1171" s="4">
        <f>'Daily Returns'!AQ1170 * (1 + 'Daily Returns'!AJ1171)</f>
        <v>1.738499695</v>
      </c>
      <c r="F1171" s="7">
        <f>'Daily Returns'!AR1170 * (1 +'Daily Returns'!AL1171)</f>
        <v>1.685554678</v>
      </c>
      <c r="H1171" s="7">
        <f>'Daily Returns'!AS1170*(1+'Daily Returns'!AM1171)</f>
        <v>1.823850702</v>
      </c>
      <c r="J1171" s="5">
        <f>'Daily Returns'!AT1170*(1+'Daily Returns'!AN1171)</f>
        <v>1.564397456</v>
      </c>
      <c r="L1171" s="5">
        <f>'Daily Returns'!AU1170*(1+'Daily Returns'!AO1171)</f>
        <v>1.559476857</v>
      </c>
    </row>
    <row r="1172" ht="15.75" customHeight="1">
      <c r="A1172" s="9">
        <v>45531.0</v>
      </c>
      <c r="B1172" s="6">
        <f>'Daily Returns'!AP1171*(1+'Daily Returns'!AK1172)</f>
        <v>1.798363751</v>
      </c>
      <c r="D1172" s="4">
        <f>'Daily Returns'!AQ1171 * (1 + 'Daily Returns'!AJ1172)</f>
        <v>1.741272602</v>
      </c>
      <c r="F1172" s="7">
        <f>'Daily Returns'!AR1171 * (1 +'Daily Returns'!AL1172)</f>
        <v>1.680732569</v>
      </c>
      <c r="H1172" s="7">
        <f>'Daily Returns'!AS1171*(1+'Daily Returns'!AM1172)</f>
        <v>1.819251658</v>
      </c>
      <c r="J1172" s="5">
        <f>'Daily Returns'!AT1171*(1+'Daily Returns'!AN1172)</f>
        <v>1.579559434</v>
      </c>
      <c r="L1172" s="5">
        <f>'Daily Returns'!AU1171*(1+'Daily Returns'!AO1172)</f>
        <v>1.576059984</v>
      </c>
    </row>
    <row r="1173" ht="15.75" customHeight="1">
      <c r="A1173" s="9">
        <v>45532.0</v>
      </c>
      <c r="B1173" s="6">
        <f>'Daily Returns'!AP1172*(1+'Daily Returns'!AK1173)</f>
        <v>1.795502612</v>
      </c>
      <c r="D1173" s="4">
        <f>'Daily Returns'!AQ1172 * (1 + 'Daily Returns'!AJ1173)</f>
        <v>1.730866756</v>
      </c>
      <c r="F1173" s="7">
        <f>'Daily Returns'!AR1172 * (1 +'Daily Returns'!AL1173)</f>
        <v>1.683253151</v>
      </c>
      <c r="H1173" s="7">
        <f>'Daily Returns'!AS1172*(1+'Daily Returns'!AM1173)</f>
        <v>1.820894014</v>
      </c>
      <c r="J1173" s="5">
        <f>'Daily Returns'!AT1172*(1+'Daily Returns'!AN1173)</f>
        <v>1.584018952</v>
      </c>
      <c r="L1173" s="5">
        <f>'Daily Returns'!AU1172*(1+'Daily Returns'!AO1173)</f>
        <v>1.579874187</v>
      </c>
    </row>
    <row r="1174" ht="15.75" customHeight="1">
      <c r="A1174" s="9">
        <v>45533.0</v>
      </c>
      <c r="B1174" s="6">
        <f>'Daily Returns'!AP1173*(1+'Daily Returns'!AK1174)</f>
        <v>1.790642997</v>
      </c>
      <c r="D1174" s="4">
        <f>'Daily Returns'!AQ1173 * (1 + 'Daily Returns'!AJ1174)</f>
        <v>1.730799253</v>
      </c>
      <c r="F1174" s="7">
        <f>'Daily Returns'!AR1173 * (1 +'Daily Returns'!AL1174)</f>
        <v>1.675252953</v>
      </c>
      <c r="H1174" s="7">
        <f>'Daily Returns'!AS1173*(1+'Daily Returns'!AM1174)</f>
        <v>1.809790338</v>
      </c>
      <c r="J1174" s="5">
        <f>'Daily Returns'!AT1173*(1+'Daily Returns'!AN1174)</f>
        <v>1.577549013</v>
      </c>
      <c r="L1174" s="5">
        <f>'Daily Returns'!AU1173*(1+'Daily Returns'!AO1174)</f>
        <v>1.574401865</v>
      </c>
    </row>
    <row r="1175" ht="15.75" customHeight="1">
      <c r="A1175" s="9">
        <v>45534.0</v>
      </c>
      <c r="B1175" s="6">
        <f>'Daily Returns'!AP1174*(1+'Daily Returns'!AK1175)</f>
        <v>1.797888569</v>
      </c>
      <c r="D1175" s="4">
        <f>'Daily Returns'!AQ1174 * (1 + 'Daily Returns'!AJ1175)</f>
        <v>1.74826821</v>
      </c>
      <c r="F1175" s="7">
        <f>'Daily Returns'!AR1174 * (1 +'Daily Returns'!AL1175)</f>
        <v>1.67634891</v>
      </c>
      <c r="H1175" s="7">
        <f>'Daily Returns'!AS1174*(1+'Daily Returns'!AM1175)</f>
        <v>1.81156431</v>
      </c>
      <c r="J1175" s="5">
        <f>'Daily Returns'!AT1174*(1+'Daily Returns'!AN1175)</f>
        <v>1.571258547</v>
      </c>
      <c r="L1175" s="5">
        <f>'Daily Returns'!AU1174*(1+'Daily Returns'!AO1175)</f>
        <v>1.566110108</v>
      </c>
    </row>
    <row r="1176" ht="15.75" customHeight="1">
      <c r="A1176" s="9">
        <v>45538.0</v>
      </c>
      <c r="B1176" s="6">
        <f>'Daily Returns'!AP1175*(1+'Daily Returns'!AK1176)</f>
        <v>1.794476423</v>
      </c>
      <c r="D1176" s="4">
        <f>'Daily Returns'!AQ1175 * (1 + 'Daily Returns'!AJ1176)</f>
        <v>1.711290589</v>
      </c>
      <c r="F1176" s="7">
        <f>'Daily Returns'!AR1175 * (1 +'Daily Returns'!AL1176)</f>
        <v>1.68971928</v>
      </c>
      <c r="H1176" s="7">
        <f>'Daily Returns'!AS1175*(1+'Daily Returns'!AM1176)</f>
        <v>1.829041206</v>
      </c>
      <c r="J1176" s="5">
        <f>'Daily Returns'!AT1175*(1+'Daily Returns'!AN1176)</f>
        <v>1.578447601</v>
      </c>
      <c r="L1176" s="5">
        <f>'Daily Returns'!AU1175*(1+'Daily Returns'!AO1176)</f>
        <v>1.572743358</v>
      </c>
    </row>
    <row r="1177" ht="15.75" customHeight="1">
      <c r="A1177" s="9">
        <v>45539.0</v>
      </c>
      <c r="B1177" s="6">
        <f>'Daily Returns'!AP1176*(1+'Daily Returns'!AK1177)</f>
        <v>1.790946813</v>
      </c>
      <c r="D1177" s="4">
        <f>'Daily Returns'!AQ1176 * (1 + 'Daily Returns'!AJ1177)</f>
        <v>1.708549101</v>
      </c>
      <c r="F1177" s="7">
        <f>'Daily Returns'!AR1176 * (1 +'Daily Returns'!AL1177)</f>
        <v>1.654978004</v>
      </c>
      <c r="H1177" s="7">
        <f>'Daily Returns'!AS1176*(1+'Daily Returns'!AM1177)</f>
        <v>1.789685388</v>
      </c>
      <c r="J1177" s="5">
        <f>'Daily Returns'!AT1176*(1+'Daily Returns'!AN1177)</f>
        <v>1.586535417</v>
      </c>
      <c r="L1177" s="5">
        <f>'Daily Returns'!AU1176*(1+'Daily Returns'!AO1177)</f>
        <v>1.582029883</v>
      </c>
    </row>
    <row r="1178" ht="15.75" customHeight="1">
      <c r="A1178" s="9">
        <v>45540.0</v>
      </c>
      <c r="B1178" s="6">
        <f>'Daily Returns'!AP1177*(1+'Daily Returns'!AK1178)</f>
        <v>1.79368226</v>
      </c>
      <c r="D1178" s="4">
        <f>'Daily Returns'!AQ1177 * (1 + 'Daily Returns'!AJ1178)</f>
        <v>1.7033927</v>
      </c>
      <c r="F1178" s="7">
        <f>'Daily Returns'!AR1177 * (1 +'Daily Returns'!AL1178)</f>
        <v>1.651799746</v>
      </c>
      <c r="H1178" s="7">
        <f>'Daily Returns'!AS1177*(1+'Daily Returns'!AM1178)</f>
        <v>1.785677397</v>
      </c>
      <c r="J1178" s="5">
        <f>'Daily Returns'!AT1177*(1+'Daily Returns'!AN1178)</f>
        <v>1.572157136</v>
      </c>
      <c r="L1178" s="5">
        <f>'Daily Returns'!AU1177*(1+'Daily Returns'!AO1178)</f>
        <v>1.56146691</v>
      </c>
    </row>
    <row r="1179" ht="15.75" customHeight="1">
      <c r="A1179" s="9">
        <v>45541.0</v>
      </c>
      <c r="B1179" s="6">
        <f>'Daily Returns'!AP1178*(1+'Daily Returns'!AK1179)</f>
        <v>1.783726497</v>
      </c>
      <c r="D1179" s="4">
        <f>'Daily Returns'!AQ1178 * (1 + 'Daily Returns'!AJ1179)</f>
        <v>1.673992142</v>
      </c>
      <c r="F1179" s="7">
        <f>'Daily Returns'!AR1178 * (1 +'Daily Returns'!AL1179)</f>
        <v>1.645991292</v>
      </c>
      <c r="H1179" s="7">
        <f>'Daily Returns'!AS1178*(1+'Daily Returns'!AM1179)</f>
        <v>1.78015826</v>
      </c>
      <c r="J1179" s="5">
        <f>'Daily Returns'!AT1178*(1+'Daily Returns'!AN1179)</f>
        <v>1.572157136</v>
      </c>
      <c r="L1179" s="5">
        <f>'Daily Returns'!AU1178*(1+'Daily Returns'!AO1179)</f>
        <v>1.562461936</v>
      </c>
    </row>
    <row r="1180" ht="15.75" customHeight="1">
      <c r="A1180" s="9">
        <v>45544.0</v>
      </c>
      <c r="B1180" s="6">
        <f>'Daily Returns'!AP1179*(1+'Daily Returns'!AK1180)</f>
        <v>1.799936094</v>
      </c>
      <c r="D1180" s="4">
        <f>'Daily Returns'!AQ1179 * (1 + 'Daily Returns'!AJ1180)</f>
        <v>1.693376971</v>
      </c>
      <c r="F1180" s="7">
        <f>'Daily Returns'!AR1179 * (1 +'Daily Returns'!AL1180)</f>
        <v>1.619250383</v>
      </c>
      <c r="H1180" s="7">
        <f>'Daily Returns'!AS1179*(1+'Daily Returns'!AM1180)</f>
        <v>1.750591788</v>
      </c>
      <c r="J1180" s="5">
        <f>'Daily Returns'!AT1179*(1+'Daily Returns'!AN1180)</f>
        <v>1.569011903</v>
      </c>
      <c r="L1180" s="5">
        <f>'Daily Returns'!AU1179*(1+'Daily Returns'!AO1180)</f>
        <v>1.558813636</v>
      </c>
    </row>
    <row r="1181" ht="15.75" customHeight="1">
      <c r="A1181" s="9">
        <v>45545.0</v>
      </c>
      <c r="B1181" s="6">
        <f>'Daily Returns'!AP1180*(1+'Daily Returns'!AK1181)</f>
        <v>1.801834976</v>
      </c>
      <c r="D1181" s="4">
        <f>'Daily Returns'!AQ1180 * (1 + 'Daily Returns'!AJ1181)</f>
        <v>1.700951446</v>
      </c>
      <c r="F1181" s="7">
        <f>'Daily Returns'!AR1180 * (1 +'Daily Returns'!AL1181)</f>
        <v>1.636566299</v>
      </c>
      <c r="H1181" s="7">
        <f>'Daily Returns'!AS1180*(1+'Daily Returns'!AM1181)</f>
        <v>1.769317409</v>
      </c>
      <c r="J1181" s="5">
        <f>'Daily Returns'!AT1180*(1+'Daily Returns'!AN1181)</f>
        <v>1.556880614</v>
      </c>
      <c r="L1181" s="5">
        <f>'Daily Returns'!AU1180*(1+'Daily Returns'!AO1181)</f>
        <v>1.544883783</v>
      </c>
    </row>
    <row r="1182" ht="15.75" customHeight="1">
      <c r="A1182" s="9">
        <v>45546.0</v>
      </c>
      <c r="B1182" s="6">
        <f>'Daily Returns'!AP1181*(1+'Daily Returns'!AK1182)</f>
        <v>1.804696547</v>
      </c>
      <c r="D1182" s="4">
        <f>'Daily Returns'!AQ1181 * (1 + 'Daily Returns'!AJ1182)</f>
        <v>1.719092093</v>
      </c>
      <c r="F1182" s="7">
        <f>'Daily Returns'!AR1181 * (1 +'Daily Returns'!AL1182)</f>
        <v>1.641059571</v>
      </c>
      <c r="H1182" s="7">
        <f>'Daily Returns'!AS1181*(1+'Daily Returns'!AM1182)</f>
        <v>1.776215875</v>
      </c>
      <c r="J1182" s="5">
        <f>'Daily Returns'!AT1181*(1+'Daily Returns'!AN1182)</f>
        <v>1.576650251</v>
      </c>
      <c r="L1182" s="5">
        <f>'Daily Returns'!AU1181*(1+'Daily Returns'!AO1182)</f>
        <v>1.561798456</v>
      </c>
    </row>
    <row r="1183" ht="15.75" customHeight="1">
      <c r="A1183" s="9">
        <v>45547.0</v>
      </c>
      <c r="B1183" s="6">
        <f>'Daily Returns'!AP1182*(1+'Daily Returns'!AK1183)</f>
        <v>1.816822625</v>
      </c>
      <c r="D1183" s="4">
        <f>'Daily Returns'!AQ1182 * (1 + 'Daily Returns'!AJ1183)</f>
        <v>1.731976689</v>
      </c>
      <c r="F1183" s="7">
        <f>'Daily Returns'!AR1182 * (1 +'Daily Returns'!AL1183)</f>
        <v>1.657169918</v>
      </c>
      <c r="H1183" s="7">
        <f>'Daily Returns'!AS1182*(1+'Daily Returns'!AM1183)</f>
        <v>1.793890396</v>
      </c>
      <c r="J1183" s="5">
        <f>'Daily Returns'!AT1182*(1+'Daily Returns'!AN1183)</f>
        <v>1.571707842</v>
      </c>
      <c r="L1183" s="5">
        <f>'Daily Returns'!AU1182*(1+'Daily Returns'!AO1183)</f>
        <v>1.560305981</v>
      </c>
    </row>
    <row r="1184" ht="15.75" customHeight="1">
      <c r="A1184" s="9">
        <v>45548.0</v>
      </c>
      <c r="B1184" s="6">
        <f>'Daily Returns'!AP1183*(1+'Daily Returns'!AK1184)</f>
        <v>1.829021072</v>
      </c>
      <c r="D1184" s="4">
        <f>'Daily Returns'!AQ1183 * (1 + 'Daily Returns'!AJ1184)</f>
        <v>1.741343218</v>
      </c>
      <c r="F1184" s="7">
        <f>'Daily Returns'!AR1183 * (1 +'Daily Returns'!AL1184)</f>
        <v>1.669773169</v>
      </c>
      <c r="H1184" s="7">
        <f>'Daily Returns'!AS1183*(1+'Daily Returns'!AM1184)</f>
        <v>1.80880464</v>
      </c>
      <c r="J1184" s="5">
        <f>'Daily Returns'!AT1183*(1+'Daily Returns'!AN1184)</f>
        <v>1.585636655</v>
      </c>
      <c r="L1184" s="5">
        <f>'Daily Returns'!AU1183*(1+'Daily Returns'!AO1184)</f>
        <v>1.573738385</v>
      </c>
    </row>
    <row r="1185" ht="15.75" customHeight="1">
      <c r="A1185" s="9">
        <v>45551.0</v>
      </c>
      <c r="B1185" s="6">
        <f>'Daily Returns'!AP1184*(1+'Daily Returns'!AK1185)</f>
        <v>1.837023086</v>
      </c>
      <c r="D1185" s="4">
        <f>'Daily Returns'!AQ1184 * (1 + 'Daily Returns'!AJ1185)</f>
        <v>1.743532087</v>
      </c>
      <c r="F1185" s="7">
        <f>'Daily Returns'!AR1184 * (1 +'Daily Returns'!AL1185)</f>
        <v>1.67832143</v>
      </c>
      <c r="H1185" s="7">
        <f>'Daily Returns'!AS1184*(1+'Daily Returns'!AM1185)</f>
        <v>1.821419666</v>
      </c>
      <c r="J1185" s="5">
        <f>'Daily Returns'!AT1184*(1+'Daily Returns'!AN1185)</f>
        <v>1.602261406</v>
      </c>
      <c r="L1185" s="5">
        <f>'Daily Returns'!AU1184*(1+'Daily Returns'!AO1185)</f>
        <v>1.591979759</v>
      </c>
    </row>
    <row r="1186" ht="15.75" customHeight="1">
      <c r="A1186" s="9">
        <v>45552.0</v>
      </c>
      <c r="B1186" s="6">
        <f>'Daily Returns'!AP1185*(1+'Daily Returns'!AK1186)</f>
        <v>1.833504705</v>
      </c>
      <c r="D1186" s="4">
        <f>'Daily Returns'!AQ1185 * (1 + 'Daily Returns'!AJ1186)</f>
        <v>1.743994123</v>
      </c>
      <c r="F1186" s="7">
        <f>'Daily Returns'!AR1185 * (1 +'Daily Returns'!AL1186)</f>
        <v>1.684130052</v>
      </c>
      <c r="H1186" s="7">
        <f>'Daily Returns'!AS1185*(1+'Daily Returns'!AM1186)</f>
        <v>1.825033215</v>
      </c>
      <c r="J1186" s="5">
        <f>'Daily Returns'!AT1185*(1+'Daily Returns'!AN1186)</f>
        <v>1.607653109</v>
      </c>
      <c r="L1186" s="5">
        <f>'Daily Returns'!AU1185*(1+'Daily Returns'!AO1186)</f>
        <v>1.598944685</v>
      </c>
    </row>
    <row r="1187" ht="15.75" customHeight="1">
      <c r="A1187" s="9">
        <v>45553.0</v>
      </c>
      <c r="B1187" s="6">
        <f>'Daily Returns'!AP1186*(1+'Daily Returns'!AK1187)</f>
        <v>1.828051805</v>
      </c>
      <c r="D1187" s="4">
        <f>'Daily Returns'!AQ1186 * (1 + 'Daily Returns'!AJ1187)</f>
        <v>1.738943516</v>
      </c>
      <c r="F1187" s="7">
        <f>'Daily Returns'!AR1186 * (1 +'Daily Returns'!AL1187)</f>
        <v>1.681390075</v>
      </c>
      <c r="H1187" s="7">
        <f>'Daily Returns'!AS1186*(1+'Daily Returns'!AM1187)</f>
        <v>1.826872995</v>
      </c>
      <c r="J1187" s="5">
        <f>'Daily Returns'!AT1186*(1+'Daily Returns'!AN1187)</f>
        <v>1.617538102</v>
      </c>
      <c r="L1187" s="5">
        <f>'Daily Returns'!AU1186*(1+'Daily Returns'!AO1187)</f>
        <v>1.610055361</v>
      </c>
    </row>
    <row r="1188" ht="15.75" customHeight="1">
      <c r="A1188" s="9">
        <v>45554.0</v>
      </c>
      <c r="B1188" s="6">
        <f>'Daily Returns'!AP1187*(1+'Daily Returns'!AK1188)</f>
        <v>1.838829068</v>
      </c>
      <c r="D1188" s="4">
        <f>'Daily Returns'!AQ1187 * (1 + 'Daily Returns'!AJ1188)</f>
        <v>1.76846556</v>
      </c>
      <c r="F1188" s="7">
        <f>'Daily Returns'!AR1187 * (1 +'Daily Returns'!AL1188)</f>
        <v>1.676896804</v>
      </c>
      <c r="H1188" s="7">
        <f>'Daily Returns'!AS1187*(1+'Daily Returns'!AM1188)</f>
        <v>1.822273748</v>
      </c>
      <c r="J1188" s="5">
        <f>'Daily Returns'!AT1187*(1+'Daily Returns'!AN1188)</f>
        <v>1.613494281</v>
      </c>
      <c r="L1188" s="5">
        <f>'Daily Returns'!AU1187*(1+'Daily Returns'!AO1188)</f>
        <v>1.607236184</v>
      </c>
    </row>
    <row r="1189" ht="15.75" customHeight="1">
      <c r="A1189" s="9">
        <v>45555.0</v>
      </c>
      <c r="B1189" s="6">
        <f>'Daily Returns'!AP1188*(1+'Daily Returns'!AK1189)</f>
        <v>1.837027508</v>
      </c>
      <c r="D1189" s="4">
        <f>'Daily Returns'!AQ1188 * (1 + 'Daily Returns'!AJ1189)</f>
        <v>1.765032968</v>
      </c>
      <c r="F1189" s="7">
        <f>'Daily Returns'!AR1188 * (1 +'Daily Returns'!AL1189)</f>
        <v>1.705939239</v>
      </c>
      <c r="H1189" s="7">
        <f>'Daily Returns'!AS1188*(1+'Daily Returns'!AM1189)</f>
        <v>1.853154146</v>
      </c>
      <c r="J1189" s="5">
        <f>'Daily Returns'!AT1188*(1+'Daily Returns'!AN1189)</f>
        <v>1.607653109</v>
      </c>
      <c r="L1189" s="5">
        <f>'Daily Returns'!AU1188*(1+'Daily Returns'!AO1189)</f>
        <v>1.602592986</v>
      </c>
    </row>
    <row r="1190" ht="15.75" customHeight="1">
      <c r="A1190" s="9">
        <v>45558.0</v>
      </c>
      <c r="B1190" s="6">
        <f>'Daily Returns'!AP1189*(1+'Daily Returns'!AK1190)</f>
        <v>1.841818038</v>
      </c>
      <c r="D1190" s="4">
        <f>'Daily Returns'!AQ1189 * (1 + 'Daily Returns'!AJ1190)</f>
        <v>1.769990946</v>
      </c>
      <c r="F1190" s="7">
        <f>'Daily Returns'!AR1189 * (1 +'Daily Returns'!AL1190)</f>
        <v>1.699911561</v>
      </c>
      <c r="H1190" s="7">
        <f>'Daily Returns'!AS1189*(1+'Daily Returns'!AM1190)</f>
        <v>1.849277771</v>
      </c>
      <c r="J1190" s="5">
        <f>'Daily Returns'!AT1189*(1+'Daily Returns'!AN1190)</f>
        <v>1.626075038</v>
      </c>
      <c r="L1190" s="5">
        <f>'Daily Returns'!AU1189*(1+'Daily Returns'!AO1190)</f>
        <v>1.620502815</v>
      </c>
    </row>
    <row r="1191" ht="15.75" customHeight="1">
      <c r="A1191" s="9">
        <v>45559.0</v>
      </c>
      <c r="B1191" s="6">
        <f>'Daily Returns'!AP1190*(1+'Daily Returns'!AK1191)</f>
        <v>1.849470952</v>
      </c>
      <c r="D1191" s="4">
        <f>'Daily Returns'!AQ1190 * (1 + 'Daily Returns'!AJ1191)</f>
        <v>1.774435393</v>
      </c>
      <c r="F1191" s="7">
        <f>'Daily Returns'!AR1190 * (1 +'Daily Returns'!AL1191)</f>
        <v>1.705062507</v>
      </c>
      <c r="H1191" s="7">
        <f>'Daily Returns'!AS1190*(1+'Daily Returns'!AM1191)</f>
        <v>1.853877221</v>
      </c>
      <c r="J1191" s="5">
        <f>'Daily Returns'!AT1190*(1+'Daily Returns'!AN1191)</f>
        <v>1.626524506</v>
      </c>
      <c r="L1191" s="5">
        <f>'Daily Returns'!AU1190*(1+'Daily Returns'!AO1191)</f>
        <v>1.620769757</v>
      </c>
    </row>
    <row r="1192" ht="15.75" customHeight="1">
      <c r="A1192" s="9">
        <v>45560.0</v>
      </c>
      <c r="B1192" s="6">
        <f>'Daily Returns'!AP1191*(1+'Daily Returns'!AK1192)</f>
        <v>1.852931652</v>
      </c>
      <c r="D1192" s="4">
        <f>'Daily Returns'!AQ1191 * (1 + 'Daily Returns'!AJ1192)</f>
        <v>1.771133169</v>
      </c>
      <c r="F1192" s="7">
        <f>'Daily Returns'!AR1191 * (1 +'Daily Returns'!AL1192)</f>
        <v>1.710432679</v>
      </c>
      <c r="H1192" s="7">
        <f>'Daily Returns'!AS1191*(1+'Daily Returns'!AM1192)</f>
        <v>1.858542073</v>
      </c>
      <c r="J1192" s="5">
        <f>'Daily Returns'!AT1191*(1+'Daily Returns'!AN1192)</f>
        <v>1.629669738</v>
      </c>
      <c r="L1192" s="5">
        <f>'Daily Returns'!AU1191*(1+'Daily Returns'!AO1192)</f>
        <v>1.622438083</v>
      </c>
    </row>
    <row r="1193" ht="15.75" customHeight="1">
      <c r="A1193" s="9">
        <v>45561.0</v>
      </c>
      <c r="B1193" s="6">
        <f>'Daily Returns'!AP1192*(1+'Daily Returns'!AK1193)</f>
        <v>1.860459137</v>
      </c>
      <c r="D1193" s="4">
        <f>'Daily Returns'!AQ1192 * (1 + 'Daily Returns'!AJ1193)</f>
        <v>1.778286776</v>
      </c>
      <c r="F1193" s="7">
        <f>'Daily Returns'!AR1192 * (1 +'Daily Returns'!AL1193)</f>
        <v>1.706158296</v>
      </c>
      <c r="H1193" s="7">
        <f>'Daily Returns'!AS1192*(1+'Daily Returns'!AM1193)</f>
        <v>1.852431679</v>
      </c>
      <c r="J1193" s="5">
        <f>'Daily Returns'!AT1192*(1+'Daily Returns'!AN1193)</f>
        <v>1.630118858</v>
      </c>
      <c r="L1193" s="5">
        <f>'Daily Returns'!AU1192*(1+'Daily Returns'!AO1193)</f>
        <v>1.625775253</v>
      </c>
    </row>
    <row r="1194" ht="15.75" customHeight="1">
      <c r="A1194" s="9">
        <v>45562.0</v>
      </c>
      <c r="B1194" s="6">
        <f>'Daily Returns'!AP1193*(1+'Daily Returns'!AK1194)</f>
        <v>1.861234792</v>
      </c>
      <c r="D1194" s="4">
        <f>'Daily Returns'!AQ1193 * (1 + 'Daily Returns'!AJ1194)</f>
        <v>1.776058582</v>
      </c>
      <c r="F1194" s="7">
        <f>'Daily Returns'!AR1193 * (1 +'Daily Returns'!AL1194)</f>
        <v>1.721720748</v>
      </c>
      <c r="H1194" s="7">
        <f>'Daily Returns'!AS1193*(1+'Daily Returns'!AM1194)</f>
        <v>1.860710283</v>
      </c>
      <c r="J1194" s="5">
        <f>'Daily Returns'!AT1193*(1+'Daily Returns'!AN1194)</f>
        <v>1.626973626</v>
      </c>
      <c r="L1194" s="5">
        <f>'Daily Returns'!AU1193*(1+'Daily Returns'!AO1194)</f>
        <v>1.622438083</v>
      </c>
    </row>
    <row r="1195" ht="15.75" customHeight="1">
      <c r="A1195" s="9">
        <v>45565.0</v>
      </c>
      <c r="B1195" s="6">
        <f>'Daily Returns'!AP1194*(1+'Daily Returns'!AK1195)</f>
        <v>1.856043027</v>
      </c>
      <c r="D1195" s="4">
        <f>'Daily Returns'!AQ1194 * (1 + 'Daily Returns'!AJ1195)</f>
        <v>1.783583743</v>
      </c>
      <c r="F1195" s="7">
        <f>'Daily Returns'!AR1194 * (1 +'Daily Returns'!AL1195)</f>
        <v>1.716460189</v>
      </c>
      <c r="H1195" s="7">
        <f>'Daily Returns'!AS1194*(1+'Daily Returns'!AM1195)</f>
        <v>1.858871111</v>
      </c>
      <c r="J1195" s="5">
        <f>'Daily Returns'!AT1194*(1+'Daily Returns'!AN1195)</f>
        <v>1.63551091</v>
      </c>
      <c r="L1195" s="5">
        <f>'Daily Returns'!AU1194*(1+'Daily Returns'!AO1195)</f>
        <v>1.631114362</v>
      </c>
    </row>
    <row r="1196" ht="15.75" customHeight="1">
      <c r="A1196" s="9">
        <v>45566.0</v>
      </c>
      <c r="B1196" s="6">
        <f>'Daily Returns'!AP1195*(1+'Daily Returns'!AK1196)</f>
        <v>1.852102578</v>
      </c>
      <c r="D1196" s="4">
        <f>'Daily Returns'!AQ1195 * (1 + 'Daily Returns'!AJ1196)</f>
        <v>1.766953608</v>
      </c>
      <c r="F1196" s="7">
        <f>'Daily Returns'!AR1195 * (1 +'Daily Returns'!AL1196)</f>
        <v>1.719638447</v>
      </c>
      <c r="H1196" s="7">
        <f>'Daily Returns'!AS1195*(1+'Daily Returns'!AM1196)</f>
        <v>1.866186696</v>
      </c>
      <c r="J1196" s="5">
        <f>'Daily Returns'!AT1195*(1+'Daily Returns'!AN1196)</f>
        <v>1.633713385</v>
      </c>
      <c r="L1196" s="5">
        <f>'Daily Returns'!AU1195*(1+'Daily Returns'!AO1196)</f>
        <v>1.628444678</v>
      </c>
    </row>
    <row r="1197" ht="15.75" customHeight="1">
      <c r="A1197" s="9">
        <v>45567.0</v>
      </c>
      <c r="B1197" s="6">
        <f>'Daily Returns'!AP1196*(1+'Daily Returns'!AK1197)</f>
        <v>1.8397693</v>
      </c>
      <c r="D1197" s="4">
        <f>'Daily Returns'!AQ1196 * (1 + 'Daily Returns'!AJ1197)</f>
        <v>1.767197447</v>
      </c>
      <c r="F1197" s="7">
        <f>'Daily Returns'!AR1196 * (1 +'Daily Returns'!AL1197)</f>
        <v>1.705391177</v>
      </c>
      <c r="H1197" s="7">
        <f>'Daily Returns'!AS1196*(1+'Daily Returns'!AM1197)</f>
        <v>1.84918321</v>
      </c>
      <c r="J1197" s="5">
        <f>'Daily Returns'!AT1196*(1+'Daily Returns'!AN1197)</f>
        <v>1.635061267</v>
      </c>
      <c r="L1197" s="5">
        <f>'Daily Returns'!AU1196*(1+'Daily Returns'!AO1197)</f>
        <v>1.630780619</v>
      </c>
    </row>
    <row r="1198" ht="15.75" customHeight="1">
      <c r="A1198" s="9">
        <v>45568.0</v>
      </c>
      <c r="B1198" s="6">
        <f>'Daily Returns'!AP1197*(1+'Daily Returns'!AK1198)</f>
        <v>1.824406946</v>
      </c>
      <c r="D1198" s="4">
        <f>'Daily Returns'!AQ1197 * (1 + 'Daily Returns'!AJ1198)</f>
        <v>1.764226789</v>
      </c>
      <c r="F1198" s="7">
        <f>'Daily Returns'!AR1197 * (1 +'Daily Returns'!AL1198)</f>
        <v>1.705610402</v>
      </c>
      <c r="H1198" s="7">
        <f>'Daily Returns'!AS1197*(1+'Daily Returns'!AM1198)</f>
        <v>1.849578664</v>
      </c>
      <c r="J1198" s="5">
        <f>'Daily Returns'!AT1197*(1+'Daily Returns'!AN1198)</f>
        <v>1.63640915</v>
      </c>
      <c r="L1198" s="5">
        <f>'Daily Returns'!AU1197*(1+'Daily Returns'!AO1198)</f>
        <v>1.632449074</v>
      </c>
    </row>
    <row r="1199" ht="15.75" customHeight="1">
      <c r="A1199" s="9">
        <v>45569.0</v>
      </c>
      <c r="B1199" s="6">
        <f>'Daily Returns'!AP1198*(1+'Daily Returns'!AK1199)</f>
        <v>1.824986233</v>
      </c>
      <c r="D1199" s="4">
        <f>'Daily Returns'!AQ1198 * (1 + 'Daily Returns'!AJ1199)</f>
        <v>1.780051903</v>
      </c>
      <c r="F1199" s="7">
        <f>'Daily Returns'!AR1198 * (1 +'Daily Returns'!AL1199)</f>
        <v>1.699144273</v>
      </c>
      <c r="H1199" s="7">
        <f>'Daily Returns'!AS1198*(1+'Daily Returns'!AM1199)</f>
        <v>1.845624332</v>
      </c>
      <c r="J1199" s="5">
        <f>'Daily Returns'!AT1198*(1+'Daily Returns'!AN1199)</f>
        <v>1.63596003</v>
      </c>
      <c r="L1199" s="5">
        <f>'Daily Returns'!AU1198*(1+'Daily Returns'!AO1199)</f>
        <v>1.632449074</v>
      </c>
    </row>
    <row r="1200" ht="15.75" customHeight="1">
      <c r="A1200" s="9">
        <v>45572.0</v>
      </c>
      <c r="B1200" s="6">
        <f>'Daily Returns'!AP1199*(1+'Daily Returns'!AK1200)</f>
        <v>1.816371622</v>
      </c>
      <c r="D1200" s="4">
        <f>'Daily Returns'!AQ1199 * (1 + 'Daily Returns'!AJ1200)</f>
        <v>1.762988325</v>
      </c>
      <c r="F1200" s="7">
        <f>'Daily Returns'!AR1199 * (1 +'Daily Returns'!AL1200)</f>
        <v>1.713391544</v>
      </c>
      <c r="H1200" s="7">
        <f>'Daily Returns'!AS1199*(1+'Daily Returns'!AM1200)</f>
        <v>1.863484734</v>
      </c>
      <c r="J1200" s="5">
        <f>'Daily Returns'!AT1199*(1+'Daily Returns'!AN1200)</f>
        <v>1.631466915</v>
      </c>
      <c r="L1200" s="5">
        <f>'Daily Returns'!AU1199*(1+'Daily Returns'!AO1200)</f>
        <v>1.629112034</v>
      </c>
    </row>
    <row r="1201" ht="15.75" customHeight="1">
      <c r="A1201" s="9">
        <v>45573.0</v>
      </c>
      <c r="B1201" s="6">
        <f>'Daily Returns'!AP1200*(1+'Daily Returns'!AK1201)</f>
        <v>1.819273453</v>
      </c>
      <c r="D1201" s="4">
        <f>'Daily Returns'!AQ1200 * (1 + 'Daily Returns'!AJ1201)</f>
        <v>1.780069919</v>
      </c>
      <c r="F1201" s="7">
        <f>'Daily Returns'!AR1200 * (1 +'Daily Returns'!AL1201)</f>
        <v>1.698705991</v>
      </c>
      <c r="H1201" s="7">
        <f>'Daily Returns'!AS1200*(1+'Daily Returns'!AM1201)</f>
        <v>1.846481249</v>
      </c>
      <c r="J1201" s="5">
        <f>'Daily Returns'!AT1200*(1+'Daily Returns'!AN1201)</f>
        <v>1.644496966</v>
      </c>
      <c r="L1201" s="5">
        <f>'Daily Returns'!AU1200*(1+'Daily Returns'!AO1201)</f>
        <v>1.642960615</v>
      </c>
    </row>
    <row r="1202" ht="15.75" customHeight="1">
      <c r="A1202" s="9">
        <v>45574.0</v>
      </c>
      <c r="B1202" s="6">
        <f>'Daily Returns'!AP1201*(1+'Daily Returns'!AK1202)</f>
        <v>1.820066221</v>
      </c>
      <c r="D1202" s="4">
        <f>'Daily Returns'!AQ1201 * (1 + 'Daily Returns'!AJ1202)</f>
        <v>1.792731557</v>
      </c>
      <c r="F1202" s="7">
        <f>'Daily Returns'!AR1201 * (1 +'Daily Returns'!AL1202)</f>
        <v>1.710432679</v>
      </c>
      <c r="H1202" s="7">
        <f>'Daily Returns'!AS1201*(1+'Daily Returns'!AM1202)</f>
        <v>1.862034941</v>
      </c>
      <c r="J1202" s="5">
        <f>'Daily Returns'!AT1201*(1+'Daily Returns'!AN1202)</f>
        <v>1.641351907</v>
      </c>
      <c r="L1202" s="5">
        <f>'Daily Returns'!AU1201*(1+'Daily Returns'!AO1202)</f>
        <v>1.639790511</v>
      </c>
    </row>
    <row r="1203" ht="15.75" customHeight="1">
      <c r="A1203" s="9">
        <v>45575.0</v>
      </c>
      <c r="B1203" s="6">
        <f>'Daily Returns'!AP1202*(1+'Daily Returns'!AK1203)</f>
        <v>1.81494134</v>
      </c>
      <c r="D1203" s="4">
        <f>'Daily Returns'!AQ1202 * (1 + 'Daily Returns'!AJ1203)</f>
        <v>1.789020602</v>
      </c>
      <c r="F1203" s="7">
        <f>'Daily Returns'!AR1202 * (1 +'Daily Returns'!AL1203)</f>
        <v>1.719528835</v>
      </c>
      <c r="H1203" s="7">
        <f>'Daily Returns'!AS1202*(1+'Daily Returns'!AM1203)</f>
        <v>1.875018287</v>
      </c>
      <c r="J1203" s="5">
        <f>'Daily Returns'!AT1202*(1+'Daily Returns'!AN1203)</f>
        <v>1.640453145</v>
      </c>
      <c r="L1203" s="5">
        <f>'Daily Returns'!AU1202*(1+'Daily Returns'!AO1203)</f>
        <v>1.638121926</v>
      </c>
    </row>
    <row r="1204" ht="15.75" customHeight="1">
      <c r="A1204" s="9">
        <v>45576.0</v>
      </c>
      <c r="B1204" s="6">
        <f>'Daily Returns'!AP1203*(1+'Daily Returns'!AK1204)</f>
        <v>1.81750595</v>
      </c>
      <c r="D1204" s="4">
        <f>'Daily Returns'!AQ1203 * (1 + 'Daily Returns'!AJ1204)</f>
        <v>1.799847755</v>
      </c>
      <c r="F1204" s="7">
        <f>'Daily Returns'!AR1203 * (1 +'Daily Returns'!AL1204)</f>
        <v>1.716679414</v>
      </c>
      <c r="H1204" s="7">
        <f>'Daily Returns'!AS1203*(1+'Daily Returns'!AM1204)</f>
        <v>1.871129965</v>
      </c>
      <c r="J1204" s="5">
        <f>'Daily Returns'!AT1203*(1+'Daily Returns'!AN1204)</f>
        <v>1.651236899</v>
      </c>
      <c r="L1204" s="5">
        <f>'Daily Returns'!AU1203*(1+'Daily Returns'!AO1204)</f>
        <v>1.647799174</v>
      </c>
    </row>
    <row r="1205" ht="15.75" customHeight="1">
      <c r="A1205" s="9">
        <v>45579.0</v>
      </c>
      <c r="B1205" s="6">
        <f>'Daily Returns'!AP1204*(1+'Daily Returns'!AK1205)</f>
        <v>1.821908593</v>
      </c>
      <c r="D1205" s="4">
        <f>'Daily Returns'!AQ1204 * (1 + 'Daily Returns'!AJ1205)</f>
        <v>1.813720981</v>
      </c>
      <c r="F1205" s="7">
        <f>'Daily Returns'!AR1204 * (1 +'Daily Returns'!AL1205)</f>
        <v>1.726542689</v>
      </c>
      <c r="H1205" s="7">
        <f>'Daily Returns'!AS1204*(1+'Daily Returns'!AM1205)</f>
        <v>1.885628912</v>
      </c>
      <c r="J1205" s="5">
        <f>'Daily Returns'!AT1204*(1+'Daily Returns'!AN1205)</f>
        <v>1.655280546</v>
      </c>
      <c r="L1205" s="5">
        <f>'Daily Returns'!AU1204*(1+'Daily Returns'!AO1205)</f>
        <v>1.653472026</v>
      </c>
    </row>
    <row r="1206" ht="15.75" customHeight="1">
      <c r="A1206" s="9">
        <v>45580.0</v>
      </c>
      <c r="B1206" s="6">
        <f>'Daily Returns'!AP1205*(1+'Daily Returns'!AK1206)</f>
        <v>1.830636352</v>
      </c>
      <c r="D1206" s="4">
        <f>'Daily Returns'!AQ1205 * (1 + 'Daily Returns'!AJ1206)</f>
        <v>1.799920378</v>
      </c>
      <c r="F1206" s="7">
        <f>'Daily Returns'!AR1205 * (1 +'Daily Returns'!AL1206)</f>
        <v>1.737502089</v>
      </c>
      <c r="H1206" s="7">
        <f>'Daily Returns'!AS1205*(1+'Daily Returns'!AM1206)</f>
        <v>1.900326092</v>
      </c>
      <c r="J1206" s="5">
        <f>'Daily Returns'!AT1205*(1+'Daily Returns'!AN1206)</f>
        <v>1.666962715</v>
      </c>
      <c r="L1206" s="5">
        <f>'Daily Returns'!AU1205*(1+'Daily Returns'!AO1206)</f>
        <v>1.664817859</v>
      </c>
    </row>
    <row r="1207" ht="15.75" customHeight="1">
      <c r="A1207" s="9">
        <v>45581.0</v>
      </c>
      <c r="B1207" s="6">
        <f>'Daily Returns'!AP1206*(1+'Daily Returns'!AK1207)</f>
        <v>1.839242145</v>
      </c>
      <c r="D1207" s="4">
        <f>'Daily Returns'!AQ1206 * (1 + 'Daily Returns'!AJ1207)</f>
        <v>1.808342206</v>
      </c>
      <c r="F1207" s="7">
        <f>'Daily Returns'!AR1206 * (1 +'Daily Returns'!AL1207)</f>
        <v>1.720295954</v>
      </c>
      <c r="H1207" s="7">
        <f>'Daily Returns'!AS1206*(1+'Daily Returns'!AM1207)</f>
        <v>1.887276534</v>
      </c>
      <c r="J1207" s="5">
        <f>'Daily Returns'!AT1206*(1+'Daily Returns'!AN1207)</f>
        <v>1.664716244</v>
      </c>
      <c r="L1207" s="5">
        <f>'Daily Returns'!AU1206*(1+'Daily Returns'!AO1207)</f>
        <v>1.662148305</v>
      </c>
    </row>
    <row r="1208" ht="15.75" customHeight="1">
      <c r="A1208" s="9">
        <v>45582.0</v>
      </c>
      <c r="B1208" s="6">
        <f>'Daily Returns'!AP1207*(1+'Daily Returns'!AK1208)</f>
        <v>1.846379928</v>
      </c>
      <c r="D1208" s="4">
        <f>'Daily Returns'!AQ1207 * (1 + 'Daily Returns'!AJ1208)</f>
        <v>1.808032979</v>
      </c>
      <c r="F1208" s="7">
        <f>'Daily Returns'!AR1207 * (1 +'Daily Returns'!AL1208)</f>
        <v>1.727309977</v>
      </c>
      <c r="H1208" s="7">
        <f>'Daily Returns'!AS1207*(1+'Daily Returns'!AM1208)</f>
        <v>1.896899032</v>
      </c>
      <c r="J1208" s="5">
        <f>'Daily Returns'!AT1207*(1+'Daily Returns'!AN1208)</f>
        <v>1.673702648</v>
      </c>
      <c r="L1208" s="5">
        <f>'Daily Returns'!AU1207*(1+'Daily Returns'!AO1208)</f>
        <v>1.670156968</v>
      </c>
    </row>
    <row r="1209" ht="15.75" customHeight="1">
      <c r="A1209" s="9">
        <v>45583.0</v>
      </c>
      <c r="B1209" s="6">
        <f>'Daily Returns'!AP1208*(1+'Daily Returns'!AK1209)</f>
        <v>1.852942052</v>
      </c>
      <c r="D1209" s="4">
        <f>'Daily Returns'!AQ1208 * (1 + 'Daily Returns'!AJ1209)</f>
        <v>1.815214486</v>
      </c>
      <c r="F1209" s="7">
        <f>'Daily Returns'!AR1208 * (1 +'Daily Returns'!AL1209)</f>
        <v>1.728296321</v>
      </c>
      <c r="H1209" s="7">
        <f>'Daily Returns'!AS1208*(1+'Daily Returns'!AM1209)</f>
        <v>1.896503578</v>
      </c>
      <c r="J1209" s="5">
        <f>'Daily Returns'!AT1208*(1+'Daily Returns'!AN1209)</f>
        <v>1.68403676</v>
      </c>
      <c r="L1209" s="5">
        <f>'Daily Returns'!AU1208*(1+'Daily Returns'!AO1209)</f>
        <v>1.679500474</v>
      </c>
    </row>
    <row r="1210" ht="15.75" customHeight="1">
      <c r="A1210" s="9">
        <v>45586.0</v>
      </c>
      <c r="B1210" s="6">
        <f>'Daily Returns'!AP1209*(1+'Daily Returns'!AK1210)</f>
        <v>1.850978867</v>
      </c>
      <c r="D1210" s="4">
        <f>'Daily Returns'!AQ1209 * (1 + 'Daily Returns'!AJ1210)</f>
        <v>1.81190535</v>
      </c>
      <c r="F1210" s="7">
        <f>'Daily Returns'!AR1209 * (1 +'Daily Returns'!AL1210)</f>
        <v>1.73596785</v>
      </c>
      <c r="H1210" s="7">
        <f>'Daily Returns'!AS1209*(1+'Daily Returns'!AM1210)</f>
        <v>1.903950981</v>
      </c>
      <c r="J1210" s="5">
        <f>'Daily Returns'!AT1209*(1+'Daily Returns'!AN1210)</f>
        <v>1.691675282</v>
      </c>
      <c r="L1210" s="5">
        <f>'Daily Returns'!AU1209*(1+'Daily Returns'!AO1210)</f>
        <v>1.688510236</v>
      </c>
    </row>
    <row r="1211" ht="15.75" customHeight="1">
      <c r="A1211" s="9">
        <v>45587.0</v>
      </c>
      <c r="B1211" s="6">
        <f>'Daily Returns'!AP1210*(1+'Daily Returns'!AK1211)</f>
        <v>1.853173427</v>
      </c>
      <c r="D1211" s="4">
        <f>'Daily Returns'!AQ1210 * (1 + 'Daily Returns'!AJ1211)</f>
        <v>1.811044695</v>
      </c>
      <c r="F1211" s="7">
        <f>'Daily Returns'!AR1210 * (1 +'Daily Returns'!AL1211)</f>
        <v>1.728405933</v>
      </c>
      <c r="H1211" s="7">
        <f>'Daily Returns'!AS1210*(1+'Daily Returns'!AM1211)</f>
        <v>1.897953574</v>
      </c>
      <c r="J1211" s="5">
        <f>'Daily Returns'!AT1210*(1+'Daily Returns'!AN1211)</f>
        <v>1.68403676</v>
      </c>
      <c r="L1211" s="5">
        <f>'Daily Returns'!AU1210*(1+'Daily Returns'!AO1211)</f>
        <v>1.682503771</v>
      </c>
    </row>
    <row r="1212" ht="15.75" customHeight="1">
      <c r="A1212" s="9">
        <v>45588.0</v>
      </c>
      <c r="B1212" s="6">
        <f>'Daily Returns'!AP1211*(1+'Daily Returns'!AK1212)</f>
        <v>1.849627265</v>
      </c>
      <c r="D1212" s="4">
        <f>'Daily Returns'!AQ1211 * (1 + 'Daily Returns'!AJ1212)</f>
        <v>1.794399384</v>
      </c>
      <c r="F1212" s="7">
        <f>'Daily Returns'!AR1211 * (1 +'Daily Returns'!AL1212)</f>
        <v>1.725666125</v>
      </c>
      <c r="H1212" s="7">
        <f>'Daily Returns'!AS1211*(1+'Daily Returns'!AM1212)</f>
        <v>1.895778479</v>
      </c>
      <c r="J1212" s="5">
        <f>'Daily Returns'!AT1211*(1+'Daily Returns'!AN1212)</f>
        <v>1.68179029</v>
      </c>
      <c r="L1212" s="5">
        <f>'Daily Returns'!AU1211*(1+'Daily Returns'!AO1212)</f>
        <v>1.681502672</v>
      </c>
    </row>
    <row r="1213" ht="15.75" customHeight="1">
      <c r="A1213" s="9">
        <v>45589.0</v>
      </c>
      <c r="B1213" s="6">
        <f>'Daily Returns'!AP1212*(1+'Daily Returns'!AK1213)</f>
        <v>1.836751732</v>
      </c>
      <c r="D1213" s="4">
        <f>'Daily Returns'!AQ1212 * (1 + 'Daily Returns'!AJ1213)</f>
        <v>1.798250165</v>
      </c>
      <c r="F1213" s="7">
        <f>'Daily Returns'!AR1212 * (1 +'Daily Returns'!AL1213)</f>
        <v>1.708459822</v>
      </c>
      <c r="H1213" s="7">
        <f>'Daily Returns'!AS1212*(1+'Daily Returns'!AM1213)</f>
        <v>1.878642973</v>
      </c>
      <c r="J1213" s="5">
        <f>'Daily Returns'!AT1212*(1+'Daily Returns'!AN1213)</f>
        <v>1.674151768</v>
      </c>
      <c r="L1213" s="5">
        <f>'Daily Returns'!AU1212*(1+'Daily Returns'!AO1213)</f>
        <v>1.672159166</v>
      </c>
    </row>
    <row r="1214" ht="15.75" customHeight="1">
      <c r="A1214" s="9">
        <v>45590.0</v>
      </c>
      <c r="B1214" s="6">
        <f>'Daily Returns'!AP1213*(1+'Daily Returns'!AK1214)</f>
        <v>1.828815266</v>
      </c>
      <c r="D1214" s="4">
        <f>'Daily Returns'!AQ1213 * (1 + 'Daily Returns'!AJ1214)</f>
        <v>1.797712488</v>
      </c>
      <c r="F1214" s="7">
        <f>'Daily Returns'!AR1213 * (1 +'Daily Returns'!AL1214)</f>
        <v>1.71404905</v>
      </c>
      <c r="H1214" s="7">
        <f>'Daily Returns'!AS1213*(1+'Daily Returns'!AM1214)</f>
        <v>1.883651847</v>
      </c>
      <c r="J1214" s="5">
        <f>'Daily Returns'!AT1213*(1+'Daily Returns'!AN1214)</f>
        <v>1.672803886</v>
      </c>
      <c r="L1214" s="5">
        <f>'Daily Returns'!AU1213*(1+'Daily Returns'!AO1214)</f>
        <v>1.67149181</v>
      </c>
    </row>
    <row r="1215" ht="15.75" customHeight="1">
      <c r="A1215" s="9">
        <v>45593.0</v>
      </c>
      <c r="B1215" s="6">
        <f>'Daily Returns'!AP1214*(1+'Daily Returns'!AK1215)</f>
        <v>1.831250622</v>
      </c>
      <c r="D1215" s="4">
        <f>'Daily Returns'!AQ1214 * (1 + 'Daily Returns'!AJ1215)</f>
        <v>1.802478224</v>
      </c>
      <c r="F1215" s="7">
        <f>'Daily Returns'!AR1214 * (1 +'Daily Returns'!AL1215)</f>
        <v>1.711309242</v>
      </c>
      <c r="H1215" s="7">
        <f>'Daily Returns'!AS1214*(1+'Daily Returns'!AM1215)</f>
        <v>1.881872408</v>
      </c>
      <c r="J1215" s="5">
        <f>'Daily Returns'!AT1214*(1+'Daily Returns'!AN1215)</f>
        <v>1.666513594</v>
      </c>
      <c r="L1215" s="5">
        <f>'Daily Returns'!AU1214*(1+'Daily Returns'!AO1215)</f>
        <v>1.665818829</v>
      </c>
    </row>
    <row r="1216" ht="15.75" customHeight="1">
      <c r="A1216" s="9">
        <v>45594.0</v>
      </c>
      <c r="B1216" s="6">
        <f>'Daily Returns'!AP1215*(1+'Daily Returns'!AK1216)</f>
        <v>1.826833481</v>
      </c>
      <c r="D1216" s="4">
        <f>'Daily Returns'!AQ1215 * (1 + 'Daily Returns'!AJ1216)</f>
        <v>1.805387423</v>
      </c>
      <c r="F1216" s="7">
        <f>'Daily Returns'!AR1215 * (1 +'Daily Returns'!AL1216)</f>
        <v>1.718871159</v>
      </c>
      <c r="H1216" s="7">
        <f>'Daily Returns'!AS1215*(1+'Daily Returns'!AM1216)</f>
        <v>1.889517436</v>
      </c>
      <c r="J1216" s="5">
        <f>'Daily Returns'!AT1215*(1+'Daily Returns'!AN1216)</f>
        <v>1.675499824</v>
      </c>
      <c r="L1216" s="5">
        <f>'Daily Returns'!AU1215*(1+'Daily Returns'!AO1216)</f>
        <v>1.673494008</v>
      </c>
    </row>
    <row r="1217" ht="15.75" customHeight="1">
      <c r="A1217" s="9">
        <v>45595.0</v>
      </c>
      <c r="B1217" s="6">
        <f>'Daily Returns'!AP1216*(1+'Daily Returns'!AK1217)</f>
        <v>1.827506263</v>
      </c>
      <c r="D1217" s="4">
        <f>'Daily Returns'!AQ1216 * (1 + 'Daily Returns'!AJ1217)</f>
        <v>1.799429645</v>
      </c>
      <c r="F1217" s="7">
        <f>'Daily Returns'!AR1216 * (1 +'Daily Returns'!AL1217)</f>
        <v>1.718871159</v>
      </c>
      <c r="H1217" s="7">
        <f>'Daily Returns'!AS1216*(1+'Daily Returns'!AM1217)</f>
        <v>1.892021772</v>
      </c>
      <c r="J1217" s="5">
        <f>'Daily Returns'!AT1216*(1+'Daily Returns'!AN1217)</f>
        <v>1.673253354</v>
      </c>
      <c r="L1217" s="5">
        <f>'Daily Returns'!AU1216*(1+'Daily Returns'!AO1217)</f>
        <v>1.673160136</v>
      </c>
    </row>
    <row r="1218" ht="15.75" customHeight="1">
      <c r="A1218" s="9">
        <v>45596.0</v>
      </c>
      <c r="B1218" s="6">
        <f>'Daily Returns'!AP1217*(1+'Daily Returns'!AK1218)</f>
        <v>1.816365318</v>
      </c>
      <c r="D1218" s="4">
        <f>'Daily Returns'!AQ1217 * (1 + 'Daily Returns'!AJ1218)</f>
        <v>1.765933262</v>
      </c>
      <c r="F1218" s="7">
        <f>'Daily Returns'!AR1217 * (1 +'Daily Returns'!AL1218)</f>
        <v>1.712624424</v>
      </c>
      <c r="H1218" s="7">
        <f>'Daily Returns'!AS1217*(1+'Daily Returns'!AM1218)</f>
        <v>1.887342544</v>
      </c>
      <c r="J1218" s="5">
        <f>'Daily Returns'!AT1217*(1+'Daily Returns'!AN1218)</f>
        <v>1.670557415</v>
      </c>
      <c r="L1218" s="5">
        <f>'Daily Returns'!AU1217*(1+'Daily Returns'!AO1218)</f>
        <v>1.669155869</v>
      </c>
    </row>
    <row r="1219" ht="15.75" customHeight="1">
      <c r="A1219" s="9">
        <v>45597.0</v>
      </c>
      <c r="B1219" s="6">
        <f>'Daily Returns'!AP1218*(1+'Daily Returns'!AK1219)</f>
        <v>1.812436508</v>
      </c>
      <c r="D1219" s="4">
        <f>'Daily Returns'!AQ1218 * (1 + 'Daily Returns'!AJ1219)</f>
        <v>1.773161227</v>
      </c>
      <c r="F1219" s="7">
        <f>'Daily Returns'!AR1218 * (1 +'Daily Returns'!AL1219)</f>
        <v>1.684787558</v>
      </c>
      <c r="H1219" s="7">
        <f>'Daily Returns'!AS1218*(1+'Daily Returns'!AM1219)</f>
        <v>1.852148808</v>
      </c>
      <c r="J1219" s="5">
        <f>'Daily Returns'!AT1218*(1+'Daily Returns'!AN1219)</f>
        <v>1.647642198</v>
      </c>
      <c r="L1219" s="5">
        <f>'Daily Returns'!AU1218*(1+'Daily Returns'!AO1219)</f>
        <v>1.646798075</v>
      </c>
    </row>
    <row r="1220" ht="15.75" customHeight="1">
      <c r="A1220" s="9">
        <v>45600.0</v>
      </c>
      <c r="B1220" s="6">
        <f>'Daily Returns'!AP1219*(1+'Daily Returns'!AK1220)</f>
        <v>1.81746529</v>
      </c>
      <c r="D1220" s="4">
        <f>'Daily Returns'!AQ1219 * (1 + 'Daily Returns'!AJ1220)</f>
        <v>1.768175098</v>
      </c>
      <c r="F1220" s="7">
        <f>'Daily Returns'!AR1219 * (1 +'Daily Returns'!AL1220)</f>
        <v>1.691582524</v>
      </c>
      <c r="H1220" s="7">
        <f>'Daily Returns'!AS1219*(1+'Daily Returns'!AM1220)</f>
        <v>1.860057674</v>
      </c>
      <c r="J1220" s="5">
        <f>'Daily Returns'!AT1219*(1+'Daily Returns'!AN1220)</f>
        <v>1.652135487</v>
      </c>
      <c r="L1220" s="5">
        <f>'Daily Returns'!AU1219*(1+'Daily Returns'!AO1220)</f>
        <v>1.653805769</v>
      </c>
    </row>
    <row r="1221" ht="15.75" customHeight="1">
      <c r="A1221" s="9">
        <v>45601.0</v>
      </c>
      <c r="B1221" s="6">
        <f>'Daily Returns'!AP1220*(1+'Daily Returns'!AK1221)</f>
        <v>1.822523836</v>
      </c>
      <c r="D1221" s="4">
        <f>'Daily Returns'!AQ1220 * (1 + 'Daily Returns'!AJ1221)</f>
        <v>1.789863533</v>
      </c>
      <c r="F1221" s="7">
        <f>'Daily Returns'!AR1220 * (1 +'Daily Returns'!AL1221)</f>
        <v>1.68928083</v>
      </c>
      <c r="H1221" s="7">
        <f>'Daily Returns'!AS1220*(1+'Daily Returns'!AM1221)</f>
        <v>1.856696421</v>
      </c>
      <c r="J1221" s="5">
        <f>'Daily Returns'!AT1220*(1+'Daily Returns'!AN1221)</f>
        <v>1.652584607</v>
      </c>
      <c r="L1221" s="5">
        <f>'Daily Returns'!AU1220*(1+'Daily Returns'!AO1221)</f>
        <v>1.65280467</v>
      </c>
    </row>
    <row r="1222" ht="15.75" customHeight="1">
      <c r="A1222" s="9">
        <v>45602.0</v>
      </c>
      <c r="B1222" s="6">
        <f>'Daily Returns'!AP1221*(1+'Daily Returns'!AK1222)</f>
        <v>1.823339734</v>
      </c>
      <c r="D1222" s="4">
        <f>'Daily Returns'!AQ1221 * (1 + 'Daily Returns'!AJ1222)</f>
        <v>1.835139921</v>
      </c>
      <c r="F1222" s="7">
        <f>'Daily Returns'!AR1221 * (1 +'Daily Returns'!AL1222)</f>
        <v>1.70922711</v>
      </c>
      <c r="H1222" s="7">
        <f>'Daily Returns'!AS1221*(1+'Daily Returns'!AM1222)</f>
        <v>1.880290594</v>
      </c>
      <c r="J1222" s="5">
        <f>'Daily Returns'!AT1221*(1+'Daily Returns'!AN1222)</f>
        <v>1.66202048</v>
      </c>
      <c r="L1222" s="5">
        <f>'Daily Returns'!AU1221*(1+'Daily Returns'!AO1222)</f>
        <v>1.662815661</v>
      </c>
    </row>
    <row r="1223" ht="15.75" customHeight="1">
      <c r="A1223" s="9">
        <v>45603.0</v>
      </c>
      <c r="B1223" s="6">
        <f>'Daily Returns'!AP1222*(1+'Daily Returns'!AK1223)</f>
        <v>1.835294337</v>
      </c>
      <c r="D1223" s="4">
        <f>'Daily Returns'!AQ1222 * (1 + 'Daily Returns'!AJ1223)</f>
        <v>1.848776846</v>
      </c>
      <c r="F1223" s="7">
        <f>'Daily Returns'!AR1222 * (1 +'Daily Returns'!AL1223)</f>
        <v>1.735529569</v>
      </c>
      <c r="H1223" s="7">
        <f>'Daily Returns'!AS1222*(1+'Daily Returns'!AM1223)</f>
        <v>1.932883472</v>
      </c>
      <c r="J1223" s="5">
        <f>'Daily Returns'!AT1222*(1+'Daily Returns'!AN1223)</f>
        <v>1.680442408</v>
      </c>
      <c r="L1223" s="5">
        <f>'Daily Returns'!AU1222*(1+'Daily Returns'!AO1223)</f>
        <v>1.680167959</v>
      </c>
    </row>
    <row r="1224" ht="15.75" customHeight="1">
      <c r="A1224" s="9">
        <v>45604.0</v>
      </c>
      <c r="B1224" s="6">
        <f>'Daily Returns'!AP1223*(1+'Daily Returns'!AK1224)</f>
        <v>1.832482259</v>
      </c>
      <c r="D1224" s="4">
        <f>'Daily Returns'!AQ1223 * (1 + 'Daily Returns'!AJ1224)</f>
        <v>1.855722701</v>
      </c>
      <c r="F1224" s="7">
        <f>'Daily Returns'!AR1223 * (1 +'Daily Returns'!AL1224)</f>
        <v>1.752516647</v>
      </c>
      <c r="H1224" s="7">
        <f>'Daily Returns'!AS1223*(1+'Daily Returns'!AM1224)</f>
        <v>1.946394089</v>
      </c>
      <c r="J1224" s="5">
        <f>'Daily Returns'!AT1223*(1+'Daily Returns'!AN1224)</f>
        <v>1.693023164</v>
      </c>
      <c r="L1224" s="5">
        <f>'Daily Returns'!AU1223*(1+'Daily Returns'!AO1224)</f>
        <v>1.695184317</v>
      </c>
    </row>
    <row r="1225" ht="15.75" customHeight="1">
      <c r="A1225" s="9">
        <v>45607.0</v>
      </c>
      <c r="B1225" s="6">
        <f>'Daily Returns'!AP1224*(1+'Daily Returns'!AK1225)</f>
        <v>1.825314079</v>
      </c>
      <c r="D1225" s="4">
        <f>'Daily Returns'!AQ1224 * (1 + 'Daily Returns'!AJ1225)</f>
        <v>1.857520896</v>
      </c>
      <c r="F1225" s="7">
        <f>'Daily Returns'!AR1224 * (1 +'Daily Returns'!AL1225)</f>
        <v>1.75218781</v>
      </c>
      <c r="H1225" s="7">
        <f>'Daily Returns'!AS1224*(1+'Daily Returns'!AM1225)</f>
        <v>1.955489113</v>
      </c>
      <c r="J1225" s="5">
        <f>'Daily Returns'!AT1224*(1+'Daily Returns'!AN1225)</f>
        <v>1.689877932</v>
      </c>
      <c r="L1225" s="5">
        <f>'Daily Returns'!AU1224*(1+'Daily Returns'!AO1225)</f>
        <v>1.689845078</v>
      </c>
    </row>
    <row r="1226" ht="15.75" customHeight="1">
      <c r="A1226" s="9">
        <v>45608.0</v>
      </c>
      <c r="B1226" s="6">
        <f>'Daily Returns'!AP1225*(1+'Daily Returns'!AK1226)</f>
        <v>1.830920311</v>
      </c>
      <c r="D1226" s="4">
        <f>'Daily Returns'!AQ1225 * (1 + 'Daily Returns'!AJ1226)</f>
        <v>1.852147088</v>
      </c>
      <c r="F1226" s="7">
        <f>'Daily Returns'!AR1225 * (1 +'Daily Returns'!AL1226)</f>
        <v>1.756242799</v>
      </c>
      <c r="H1226" s="7">
        <f>'Daily Returns'!AS1225*(1+'Daily Returns'!AM1226)</f>
        <v>1.960959451</v>
      </c>
      <c r="J1226" s="5">
        <f>'Daily Returns'!AT1225*(1+'Daily Returns'!AN1226)</f>
        <v>1.693921927</v>
      </c>
      <c r="L1226" s="5">
        <f>'Daily Returns'!AU1225*(1+'Daily Returns'!AO1226)</f>
        <v>1.693515732</v>
      </c>
    </row>
    <row r="1227" ht="15.75" customHeight="1">
      <c r="A1227" s="9">
        <v>45609.0</v>
      </c>
      <c r="B1227" s="6">
        <f>'Daily Returns'!AP1226*(1+'Daily Returns'!AK1227)</f>
        <v>1.830051528</v>
      </c>
      <c r="D1227" s="4">
        <f>'Daily Returns'!AQ1226 * (1 + 'Daily Returns'!AJ1227)</f>
        <v>1.852576786</v>
      </c>
      <c r="F1227" s="7">
        <f>'Daily Returns'!AR1226 * (1 +'Daily Returns'!AL1227)</f>
        <v>1.744516112</v>
      </c>
      <c r="H1227" s="7">
        <f>'Daily Returns'!AS1226*(1+'Daily Returns'!AM1227)</f>
        <v>1.953248413</v>
      </c>
      <c r="J1227" s="5">
        <f>'Daily Returns'!AT1226*(1+'Daily Returns'!AN1227)</f>
        <v>1.706053389</v>
      </c>
      <c r="L1227" s="5">
        <f>'Daily Returns'!AU1226*(1+'Daily Returns'!AO1227)</f>
        <v>1.701858268</v>
      </c>
    </row>
    <row r="1228" ht="15.75" customHeight="1">
      <c r="A1228" s="9">
        <v>45610.0</v>
      </c>
      <c r="B1228" s="6">
        <f>'Daily Returns'!AP1227*(1+'Daily Returns'!AK1228)</f>
        <v>1.832689891</v>
      </c>
      <c r="D1228" s="4">
        <f>'Daily Returns'!AQ1227 * (1 + 'Daily Returns'!AJ1228)</f>
        <v>1.841368697</v>
      </c>
      <c r="F1228" s="7">
        <f>'Daily Returns'!AR1227 * (1 +'Daily Returns'!AL1228)</f>
        <v>1.742214754</v>
      </c>
      <c r="H1228" s="7">
        <f>'Daily Returns'!AS1227*(1+'Daily Returns'!AM1228)</f>
        <v>1.952325688</v>
      </c>
      <c r="J1228" s="5">
        <f>'Daily Returns'!AT1227*(1+'Daily Returns'!AN1228)</f>
        <v>1.713242443</v>
      </c>
      <c r="L1228" s="5">
        <f>'Daily Returns'!AU1227*(1+'Daily Returns'!AO1228)</f>
        <v>1.707864862</v>
      </c>
    </row>
    <row r="1229" ht="15.75" customHeight="1">
      <c r="A1229" s="9">
        <v>45611.0</v>
      </c>
      <c r="B1229" s="6">
        <f>'Daily Returns'!AP1228*(1+'Daily Returns'!AK1229)</f>
        <v>1.827213422</v>
      </c>
      <c r="D1229" s="4">
        <f>'Daily Returns'!AQ1228 * (1 + 'Daily Returns'!AJ1229)</f>
        <v>1.817055264</v>
      </c>
      <c r="F1229" s="7">
        <f>'Daily Returns'!AR1228 * (1 +'Daily Returns'!AL1229)</f>
        <v>1.734981506</v>
      </c>
      <c r="H1229" s="7">
        <f>'Daily Returns'!AS1228*(1+'Daily Returns'!AM1229)</f>
        <v>1.937892347</v>
      </c>
      <c r="J1229" s="5">
        <f>'Daily Returns'!AT1228*(1+'Daily Returns'!AN1229)</f>
        <v>1.716387676</v>
      </c>
      <c r="L1229" s="5">
        <f>'Daily Returns'!AU1228*(1+'Daily Returns'!AO1229)</f>
        <v>1.711535516</v>
      </c>
    </row>
    <row r="1230" ht="15.75" customHeight="1">
      <c r="A1230" s="9">
        <v>45614.0</v>
      </c>
      <c r="B1230" s="6">
        <f>'Daily Returns'!AP1229*(1+'Daily Returns'!AK1230)</f>
        <v>1.833442695</v>
      </c>
      <c r="D1230" s="4">
        <f>'Daily Returns'!AQ1229 * (1 + 'Daily Returns'!AJ1230)</f>
        <v>1.824174487</v>
      </c>
      <c r="F1230" s="7">
        <f>'Daily Returns'!AR1229 * (1 +'Daily Returns'!AL1230)</f>
        <v>1.716898639</v>
      </c>
      <c r="H1230" s="7">
        <f>'Daily Returns'!AS1229*(1+'Daily Returns'!AM1230)</f>
        <v>1.913309438</v>
      </c>
      <c r="J1230" s="5">
        <f>'Daily Returns'!AT1229*(1+'Daily Returns'!AN1230)</f>
        <v>1.706053389</v>
      </c>
      <c r="L1230" s="5">
        <f>'Daily Returns'!AU1229*(1+'Daily Returns'!AO1230)</f>
        <v>1.702525624</v>
      </c>
    </row>
    <row r="1231" ht="15.75" customHeight="1">
      <c r="A1231" s="9">
        <v>45615.0</v>
      </c>
      <c r="B1231" s="6">
        <f>'Daily Returns'!AP1230*(1+'Daily Returns'!AK1231)</f>
        <v>1.843334736</v>
      </c>
      <c r="D1231" s="4">
        <f>'Daily Returns'!AQ1230 * (1 + 'Daily Returns'!AJ1231)</f>
        <v>1.831405514</v>
      </c>
      <c r="F1231" s="7">
        <f>'Daily Returns'!AR1230 * (1 +'Daily Returns'!AL1231)</f>
        <v>1.724899006</v>
      </c>
      <c r="H1231" s="7">
        <f>'Daily Returns'!AS1230*(1+'Daily Returns'!AM1231)</f>
        <v>1.921086284</v>
      </c>
      <c r="J1231" s="5">
        <f>'Daily Returns'!AT1230*(1+'Daily Returns'!AN1231)</f>
        <v>1.709198448</v>
      </c>
      <c r="L1231" s="5">
        <f>'Daily Returns'!AU1230*(1+'Daily Returns'!AO1231)</f>
        <v>1.707864862</v>
      </c>
    </row>
    <row r="1232" ht="15.75" customHeight="1">
      <c r="A1232" s="9">
        <v>45616.0</v>
      </c>
      <c r="B1232" s="6">
        <f>'Daily Returns'!AP1231*(1+'Daily Returns'!AK1232)</f>
        <v>1.837908263</v>
      </c>
      <c r="D1232" s="4">
        <f>'Daily Returns'!AQ1231 * (1 + 'Daily Returns'!AJ1232)</f>
        <v>1.831445805</v>
      </c>
      <c r="F1232" s="7">
        <f>'Daily Returns'!AR1231 * (1 +'Daily Returns'!AL1232)</f>
        <v>1.72994034</v>
      </c>
      <c r="H1232" s="7">
        <f>'Daily Returns'!AS1231*(1+'Daily Returns'!AM1232)</f>
        <v>1.929917673</v>
      </c>
      <c r="J1232" s="5">
        <f>'Daily Returns'!AT1231*(1+'Daily Returns'!AN1232)</f>
        <v>1.710546504</v>
      </c>
      <c r="L1232" s="5">
        <f>'Daily Returns'!AU1231*(1+'Daily Returns'!AO1232)</f>
        <v>1.709866931</v>
      </c>
    </row>
    <row r="1233" ht="15.75" customHeight="1">
      <c r="A1233" s="9">
        <v>45617.0</v>
      </c>
      <c r="B1233" s="6">
        <f>'Daily Returns'!AP1232*(1+'Daily Returns'!AK1233)</f>
        <v>1.848898307</v>
      </c>
      <c r="D1233" s="4">
        <f>'Daily Returns'!AQ1232 * (1 + 'Daily Returns'!AJ1233)</f>
        <v>1.841225726</v>
      </c>
      <c r="F1233" s="7">
        <f>'Daily Returns'!AR1232 * (1 +'Daily Returns'!AL1233)</f>
        <v>1.728953828</v>
      </c>
      <c r="H1233" s="7">
        <f>'Daily Returns'!AS1232*(1+'Daily Returns'!AM1233)</f>
        <v>1.931038023</v>
      </c>
      <c r="J1233" s="5">
        <f>'Daily Returns'!AT1232*(1+'Daily Returns'!AN1233)</f>
        <v>1.710546504</v>
      </c>
      <c r="L1233" s="5">
        <f>'Daily Returns'!AU1232*(1+'Daily Returns'!AO1233)</f>
        <v>1.711869129</v>
      </c>
    </row>
    <row r="1234" ht="15.75" customHeight="1">
      <c r="A1234" s="9">
        <v>45618.0</v>
      </c>
      <c r="B1234" s="6">
        <f>'Daily Returns'!AP1233*(1+'Daily Returns'!AK1234)</f>
        <v>1.856866489</v>
      </c>
      <c r="D1234" s="4">
        <f>'Daily Returns'!AQ1233 * (1 + 'Daily Returns'!AJ1234)</f>
        <v>1.847611097</v>
      </c>
      <c r="F1234" s="7">
        <f>'Daily Returns'!AR1233 * (1 +'Daily Returns'!AL1234)</f>
        <v>1.737831095</v>
      </c>
      <c r="H1234" s="7">
        <f>'Daily Returns'!AS1233*(1+'Daily Returns'!AM1234)</f>
        <v>1.94454864</v>
      </c>
      <c r="J1234" s="5">
        <f>'Daily Returns'!AT1233*(1+'Daily Returns'!AN1234)</f>
        <v>1.735238531</v>
      </c>
      <c r="L1234" s="5">
        <f>'Daily Returns'!AU1233*(1+'Daily Returns'!AO1234)</f>
        <v>1.736562864</v>
      </c>
    </row>
    <row r="1235" ht="15.75" customHeight="1">
      <c r="A1235" s="9">
        <v>45621.0</v>
      </c>
      <c r="B1235" s="6">
        <f>'Daily Returns'!AP1234*(1+'Daily Returns'!AK1235)</f>
        <v>1.857543367</v>
      </c>
      <c r="D1235" s="4">
        <f>'Daily Returns'!AQ1234 * (1 + 'Daily Returns'!AJ1235)</f>
        <v>1.853190882</v>
      </c>
      <c r="F1235" s="7">
        <f>'Daily Returns'!AR1234 * (1 +'Daily Returns'!AL1235)</f>
        <v>1.745393012</v>
      </c>
      <c r="H1235" s="7">
        <f>'Daily Returns'!AS1234*(1+'Daily Returns'!AM1235)</f>
        <v>1.954171138</v>
      </c>
      <c r="J1235" s="5">
        <f>'Daily Returns'!AT1234*(1+'Daily Returns'!AN1235)</f>
        <v>1.74022237</v>
      </c>
      <c r="L1235" s="5">
        <f>'Daily Returns'!AU1234*(1+'Daily Returns'!AO1235)</f>
        <v>1.740567261</v>
      </c>
    </row>
    <row r="1236" ht="15.75" customHeight="1">
      <c r="A1236" s="9">
        <v>45622.0</v>
      </c>
      <c r="B1236" s="6">
        <f>'Daily Returns'!AP1235*(1+'Daily Returns'!AK1236)</f>
        <v>1.86193153</v>
      </c>
      <c r="D1236" s="4">
        <f>'Daily Returns'!AQ1235 * (1 + 'Daily Returns'!AJ1236)</f>
        <v>1.863794841</v>
      </c>
      <c r="F1236" s="7">
        <f>'Daily Returns'!AR1235 * (1 +'Daily Returns'!AL1236)</f>
        <v>1.750872628</v>
      </c>
      <c r="H1236" s="7">
        <f>'Daily Returns'!AS1235*(1+'Daily Returns'!AM1236)</f>
        <v>1.963727221</v>
      </c>
      <c r="J1236" s="5">
        <f>'Daily Returns'!AT1235*(1+'Daily Returns'!AN1236)</f>
        <v>1.738410049</v>
      </c>
      <c r="L1236" s="5">
        <f>'Daily Returns'!AU1235*(1+'Daily Returns'!AO1236)</f>
        <v>1.739899646</v>
      </c>
    </row>
    <row r="1237" ht="15.75" customHeight="1">
      <c r="A1237" s="9">
        <v>45623.0</v>
      </c>
      <c r="B1237" s="6">
        <f>'Daily Returns'!AP1236*(1+'Daily Returns'!AK1237)</f>
        <v>1.867114745</v>
      </c>
      <c r="D1237" s="4">
        <f>'Daily Returns'!AQ1236 * (1 + 'Daily Returns'!AJ1237)</f>
        <v>1.856710556</v>
      </c>
      <c r="F1237" s="7">
        <f>'Daily Returns'!AR1236 * (1 +'Daily Returns'!AL1237)</f>
        <v>1.754050886</v>
      </c>
      <c r="H1237" s="7">
        <f>'Daily Returns'!AS1236*(1+'Daily Returns'!AM1237)</f>
        <v>1.970910988</v>
      </c>
      <c r="J1237" s="5">
        <f>'Daily Returns'!AT1236*(1+'Daily Returns'!AN1237)</f>
        <v>1.739769246</v>
      </c>
      <c r="L1237" s="5">
        <f>'Daily Returns'!AU1236*(1+'Daily Returns'!AO1237)</f>
        <v>1.739899646</v>
      </c>
    </row>
    <row r="1238" ht="15.75" customHeight="1">
      <c r="A1238" s="9">
        <v>45625.0</v>
      </c>
      <c r="B1238" s="6">
        <f>'Daily Returns'!AP1237*(1+'Daily Returns'!AK1238)</f>
        <v>1.873551475</v>
      </c>
      <c r="D1238" s="4">
        <f>'Daily Returns'!AQ1237 * (1 + 'Daily Returns'!AJ1238)</f>
        <v>1.867122989</v>
      </c>
      <c r="F1238" s="7">
        <f>'Daily Returns'!AR1237 * (1 +'Daily Returns'!AL1238)</f>
        <v>1.75185914</v>
      </c>
      <c r="H1238" s="7">
        <f>'Daily Returns'!AS1237*(1+'Daily Returns'!AM1238)</f>
        <v>1.965309034</v>
      </c>
      <c r="J1238" s="5">
        <f>'Daily Returns'!AT1237*(1+'Daily Returns'!AN1238)</f>
        <v>1.746112283</v>
      </c>
      <c r="L1238" s="5">
        <f>'Daily Returns'!AU1237*(1+'Daily Returns'!AO1238)</f>
        <v>1.744905271</v>
      </c>
    </row>
    <row r="1239" ht="15.75" customHeight="1">
      <c r="A1239" s="9">
        <v>45628.0</v>
      </c>
      <c r="B1239" s="6">
        <f>'Daily Returns'!AP1238*(1+'Daily Returns'!AK1239)</f>
        <v>1.864033089</v>
      </c>
      <c r="D1239" s="4">
        <f>'Daily Returns'!AQ1238 * (1 + 'Daily Returns'!AJ1239)</f>
        <v>1.871693706</v>
      </c>
      <c r="F1239" s="7">
        <f>'Daily Returns'!AR1238 * (1 +'Daily Returns'!AL1239)</f>
        <v>1.76599663</v>
      </c>
      <c r="H1239" s="7">
        <f>'Daily Returns'!AS1238*(1+'Daily Returns'!AM1239)</f>
        <v>1.976249305</v>
      </c>
      <c r="J1239" s="5">
        <f>'Daily Returns'!AT1238*(1+'Daily Returns'!AN1239)</f>
        <v>1.751095949</v>
      </c>
      <c r="L1239" s="5">
        <f>'Daily Returns'!AU1238*(1+'Daily Returns'!AO1239)</f>
        <v>1.749577023</v>
      </c>
    </row>
    <row r="1240" ht="15.75" customHeight="1">
      <c r="A1240" s="9">
        <v>45629.0</v>
      </c>
      <c r="B1240" s="6">
        <f>'Daily Returns'!AP1239*(1+'Daily Returns'!AK1240)</f>
        <v>1.867021065</v>
      </c>
      <c r="D1240" s="4">
        <f>'Daily Returns'!AQ1239 * (1 + 'Daily Returns'!AJ1240)</f>
        <v>1.87253784</v>
      </c>
      <c r="F1240" s="7">
        <f>'Daily Returns'!AR1239 * (1 +'Daily Returns'!AL1240)</f>
        <v>1.77049007</v>
      </c>
      <c r="H1240" s="7">
        <f>'Daily Returns'!AS1239*(1+'Daily Returns'!AM1240)</f>
        <v>1.980006012</v>
      </c>
      <c r="J1240" s="5">
        <f>'Daily Returns'!AT1239*(1+'Daily Returns'!AN1240)</f>
        <v>1.756985688</v>
      </c>
      <c r="L1240" s="5">
        <f>'Daily Returns'!AU1239*(1+'Daily Returns'!AO1240)</f>
        <v>1.756250974</v>
      </c>
    </row>
    <row r="1241" ht="15.75" customHeight="1">
      <c r="A1241" s="9">
        <v>45630.0</v>
      </c>
      <c r="B1241" s="6">
        <f>'Daily Returns'!AP1240*(1+'Daily Returns'!AK1241)</f>
        <v>1.858370959</v>
      </c>
      <c r="D1241" s="4">
        <f>'Daily Returns'!AQ1240 * (1 + 'Daily Returns'!AJ1241)</f>
        <v>1.883868567</v>
      </c>
      <c r="F1241" s="7">
        <f>'Daily Returns'!AR1240 * (1 +'Daily Returns'!AL1241)</f>
        <v>1.772353146</v>
      </c>
      <c r="H1241" s="7">
        <f>'Daily Returns'!AS1240*(1+'Daily Returns'!AM1241)</f>
        <v>1.980006012</v>
      </c>
      <c r="J1241" s="5">
        <f>'Daily Returns'!AT1240*(1+'Daily Returns'!AN1241)</f>
        <v>1.754720417</v>
      </c>
      <c r="L1241" s="5">
        <f>'Daily Returns'!AU1240*(1+'Daily Returns'!AO1241)</f>
        <v>1.752580321</v>
      </c>
    </row>
    <row r="1242" ht="15.75" customHeight="1">
      <c r="A1242" s="9">
        <v>45631.0</v>
      </c>
      <c r="B1242" s="6">
        <f>'Daily Returns'!AP1241*(1+'Daily Returns'!AK1242)</f>
        <v>1.862280913</v>
      </c>
      <c r="D1242" s="4">
        <f>'Daily Returns'!AQ1241 * (1 + 'Daily Returns'!AJ1242)</f>
        <v>1.880345732</v>
      </c>
      <c r="F1242" s="7">
        <f>'Daily Returns'!AR1241 * (1 +'Daily Returns'!AL1242)</f>
        <v>1.782655039</v>
      </c>
      <c r="H1242" s="7">
        <f>'Daily Returns'!AS1241*(1+'Daily Returns'!AM1242)</f>
        <v>1.993319003</v>
      </c>
      <c r="J1242" s="5">
        <f>'Daily Returns'!AT1241*(1+'Daily Returns'!AN1242)</f>
        <v>1.75517354</v>
      </c>
      <c r="L1242" s="5">
        <f>'Daily Returns'!AU1241*(1+'Daily Returns'!AO1242)</f>
        <v>1.755917232</v>
      </c>
    </row>
    <row r="1243" ht="15.75" customHeight="1">
      <c r="A1243" s="9">
        <v>45632.0</v>
      </c>
      <c r="B1243" s="6">
        <f>'Daily Returns'!AP1242*(1+'Daily Returns'!AK1243)</f>
        <v>1.851493182</v>
      </c>
      <c r="D1243" s="4">
        <f>'Daily Returns'!AQ1242 * (1 + 'Daily Returns'!AJ1243)</f>
        <v>1.885037195</v>
      </c>
      <c r="F1243" s="7">
        <f>'Daily Returns'!AR1242 * (1 +'Daily Returns'!AL1243)</f>
        <v>1.782764483</v>
      </c>
      <c r="H1243" s="7">
        <f>'Daily Returns'!AS1242*(1+'Daily Returns'!AM1243)</f>
        <v>1.987782858</v>
      </c>
      <c r="J1243" s="5">
        <f>'Daily Returns'!AT1242*(1+'Daily Returns'!AN1243)</f>
        <v>1.75517354</v>
      </c>
      <c r="L1243" s="5">
        <f>'Daily Returns'!AU1242*(1+'Daily Returns'!AO1243)</f>
        <v>1.755917232</v>
      </c>
    </row>
    <row r="1244" ht="15.75" customHeight="1">
      <c r="A1244" s="9">
        <v>45635.0</v>
      </c>
      <c r="B1244" s="6">
        <f>'Daily Returns'!AP1243*(1+'Daily Returns'!AK1244)</f>
        <v>1.852693826</v>
      </c>
      <c r="D1244" s="4">
        <f>'Daily Returns'!AQ1243 * (1 + 'Daily Returns'!AJ1244)</f>
        <v>1.873455526</v>
      </c>
      <c r="F1244" s="7">
        <f>'Daily Returns'!AR1243 * (1 +'Daily Returns'!AL1244)</f>
        <v>1.785833129</v>
      </c>
      <c r="H1244" s="7">
        <f>'Daily Returns'!AS1243*(1+'Daily Returns'!AM1244)</f>
        <v>1.993319003</v>
      </c>
      <c r="J1244" s="5">
        <f>'Daily Returns'!AT1243*(1+'Daily Returns'!AN1244)</f>
        <v>1.757891761</v>
      </c>
      <c r="L1244" s="5">
        <f>'Daily Returns'!AU1243*(1+'Daily Returns'!AO1244)</f>
        <v>1.758920529</v>
      </c>
    </row>
    <row r="1245" ht="15.75" customHeight="1">
      <c r="A1245" s="9">
        <v>45636.0</v>
      </c>
      <c r="B1245" s="6">
        <f>'Daily Returns'!AP1244*(1+'Daily Returns'!AK1245)</f>
        <v>1.852738115</v>
      </c>
      <c r="D1245" s="4">
        <f>'Daily Returns'!AQ1244 * (1 + 'Daily Returns'!AJ1245)</f>
        <v>1.867902604</v>
      </c>
      <c r="F1245" s="7">
        <f>'Daily Returns'!AR1244 * (1 +'Daily Returns'!AL1245)</f>
        <v>1.775641016</v>
      </c>
      <c r="H1245" s="7">
        <f>'Daily Returns'!AS1244*(1+'Daily Returns'!AM1245)</f>
        <v>1.980599091</v>
      </c>
      <c r="J1245" s="5">
        <f>'Daily Returns'!AT1244*(1+'Daily Returns'!AN1245)</f>
        <v>1.759704082</v>
      </c>
      <c r="L1245" s="5">
        <f>'Daily Returns'!AU1244*(1+'Daily Returns'!AO1245)</f>
        <v>1.760922856</v>
      </c>
    </row>
    <row r="1246" ht="15.75" customHeight="1">
      <c r="A1246" s="9">
        <v>45637.0</v>
      </c>
      <c r="B1246" s="6">
        <f>'Daily Returns'!AP1245*(1+'Daily Returns'!AK1246)</f>
        <v>1.855942167</v>
      </c>
      <c r="D1246" s="4">
        <f>'Daily Returns'!AQ1245 * (1 + 'Daily Returns'!AJ1246)</f>
        <v>1.883155897</v>
      </c>
      <c r="F1246" s="7">
        <f>'Daily Returns'!AR1245 * (1 +'Daily Returns'!AL1246)</f>
        <v>1.768078931</v>
      </c>
      <c r="H1246" s="7">
        <f>'Daily Returns'!AS1245*(1+'Daily Returns'!AM1246)</f>
        <v>1.97315189</v>
      </c>
      <c r="J1246" s="5">
        <f>'Daily Returns'!AT1245*(1+'Daily Returns'!AN1246)</f>
        <v>1.75517354</v>
      </c>
      <c r="L1246" s="5">
        <f>'Daily Returns'!AU1245*(1+'Daily Returns'!AO1246)</f>
        <v>1.756584717</v>
      </c>
    </row>
    <row r="1247" ht="15.75" customHeight="1">
      <c r="A1247" s="9">
        <v>45638.0</v>
      </c>
      <c r="B1247" s="6">
        <f>'Daily Returns'!AP1246*(1+'Daily Returns'!AK1247)</f>
        <v>1.84691437</v>
      </c>
      <c r="D1247" s="4">
        <f>'Daily Returns'!AQ1246 * (1 + 'Daily Returns'!AJ1247)</f>
        <v>1.872960491</v>
      </c>
      <c r="F1247" s="7">
        <f>'Daily Returns'!AR1246 * (1 +'Daily Returns'!AL1247)</f>
        <v>1.781887752</v>
      </c>
      <c r="H1247" s="7">
        <f>'Daily Returns'!AS1246*(1+'Daily Returns'!AM1247)</f>
        <v>1.989035026</v>
      </c>
      <c r="J1247" s="5">
        <f>'Daily Returns'!AT1246*(1+'Daily Returns'!AN1247)</f>
        <v>1.748377554</v>
      </c>
      <c r="L1247" s="5">
        <f>'Daily Returns'!AU1246*(1+'Daily Returns'!AO1247)</f>
        <v>1.748575924</v>
      </c>
    </row>
    <row r="1248" ht="15.75" customHeight="1">
      <c r="A1248" s="9">
        <v>45639.0</v>
      </c>
      <c r="B1248" s="6">
        <f>'Daily Returns'!AP1247*(1+'Daily Returns'!AK1248)</f>
        <v>1.839712736</v>
      </c>
      <c r="D1248" s="4">
        <f>'Daily Returns'!AQ1247 * (1 + 'Daily Returns'!AJ1248)</f>
        <v>1.872911794</v>
      </c>
      <c r="F1248" s="7">
        <f>'Daily Returns'!AR1247 * (1 +'Daily Returns'!AL1248)</f>
        <v>1.770380289</v>
      </c>
      <c r="H1248" s="7">
        <f>'Daily Returns'!AS1247*(1+'Daily Returns'!AM1248)</f>
        <v>1.977699301</v>
      </c>
      <c r="J1248" s="5">
        <f>'Daily Returns'!AT1247*(1+'Daily Returns'!AN1248)</f>
        <v>1.759251132</v>
      </c>
      <c r="L1248" s="5">
        <f>'Daily Returns'!AU1247*(1+'Daily Returns'!AO1248)</f>
        <v>1.758586915</v>
      </c>
    </row>
    <row r="1249" ht="15.75" customHeight="1">
      <c r="A1249" s="9">
        <v>45642.0</v>
      </c>
      <c r="B1249" s="6">
        <f>'Daily Returns'!AP1248*(1+'Daily Returns'!AK1249)</f>
        <v>1.829415624</v>
      </c>
      <c r="D1249" s="4">
        <f>'Daily Returns'!AQ1248 * (1 + 'Daily Returns'!AJ1249)</f>
        <v>1.880026986</v>
      </c>
      <c r="F1249" s="7">
        <f>'Daily Returns'!AR1248 * (1 +'Daily Returns'!AL1249)</f>
        <v>1.768298156</v>
      </c>
      <c r="H1249" s="7">
        <f>'Daily Returns'!AS1248*(1+'Daily Returns'!AM1249)</f>
        <v>1.976710566</v>
      </c>
      <c r="J1249" s="5">
        <f>'Daily Returns'!AT1248*(1+'Daily Returns'!AN1249)</f>
        <v>1.741581393</v>
      </c>
      <c r="L1249" s="5">
        <f>'Daily Returns'!AU1248*(1+'Daily Returns'!AO1249)</f>
        <v>1.742569459</v>
      </c>
    </row>
    <row r="1250" ht="15.75" customHeight="1">
      <c r="A1250" s="9">
        <v>45643.0</v>
      </c>
      <c r="B1250" s="6">
        <f>'Daily Returns'!AP1249*(1+'Daily Returns'!AK1250)</f>
        <v>1.826008882</v>
      </c>
      <c r="D1250" s="4">
        <f>'Daily Returns'!AQ1249 * (1 + 'Daily Returns'!AJ1250)</f>
        <v>1.872762562</v>
      </c>
      <c r="F1250" s="7">
        <f>'Daily Returns'!AR1249 * (1 +'Daily Returns'!AL1250)</f>
        <v>1.772133921</v>
      </c>
      <c r="H1250" s="7">
        <f>'Daily Returns'!AS1249*(1+'Daily Returns'!AM1250)</f>
        <v>1.984751251</v>
      </c>
      <c r="J1250" s="5">
        <f>'Daily Returns'!AT1249*(1+'Daily Returns'!AN1250)</f>
        <v>1.733879507</v>
      </c>
      <c r="L1250" s="5">
        <f>'Daily Returns'!AU1249*(1+'Daily Returns'!AO1250)</f>
        <v>1.734059987</v>
      </c>
    </row>
    <row r="1251" ht="15.75" customHeight="1">
      <c r="A1251" s="9">
        <v>45644.0</v>
      </c>
      <c r="B1251" s="6">
        <f>'Daily Returns'!AP1250*(1+'Daily Returns'!AK1251)</f>
        <v>1.800926473</v>
      </c>
      <c r="D1251" s="4">
        <f>'Daily Returns'!AQ1250 * (1 + 'Daily Returns'!AJ1251)</f>
        <v>1.817529175</v>
      </c>
      <c r="F1251" s="7">
        <f>'Daily Returns'!AR1250 * (1 +'Daily Returns'!AL1251)</f>
        <v>1.765546225</v>
      </c>
      <c r="H1251" s="7">
        <f>'Daily Returns'!AS1250*(1+'Daily Returns'!AM1251)</f>
        <v>1.97493133</v>
      </c>
      <c r="J1251" s="5">
        <f>'Daily Returns'!AT1250*(1+'Daily Returns'!AN1251)</f>
        <v>1.726177273</v>
      </c>
      <c r="L1251" s="5">
        <f>'Daily Returns'!AU1250*(1+'Daily Returns'!AO1251)</f>
        <v>1.727552972</v>
      </c>
    </row>
    <row r="1252" ht="15.75" customHeight="1">
      <c r="A1252" s="9">
        <v>45645.0</v>
      </c>
      <c r="B1252" s="6">
        <f>'Daily Returns'!AP1251*(1+'Daily Returns'!AK1252)</f>
        <v>1.793894026</v>
      </c>
      <c r="D1252" s="4">
        <f>'Daily Returns'!AQ1251 * (1 + 'Daily Returns'!AJ1252)</f>
        <v>1.815957013</v>
      </c>
      <c r="F1252" s="7">
        <f>'Daily Returns'!AR1251 * (1 +'Daily Returns'!AL1252)</f>
        <v>1.714566132</v>
      </c>
      <c r="H1252" s="7">
        <f>'Daily Returns'!AS1251*(1+'Daily Returns'!AM1252)</f>
        <v>1.913836709</v>
      </c>
      <c r="J1252" s="5">
        <f>'Daily Returns'!AT1251*(1+'Daily Returns'!AN1252)</f>
        <v>1.725724324</v>
      </c>
      <c r="L1252" s="5">
        <f>'Daily Returns'!AU1251*(1+'Daily Returns'!AO1252)</f>
        <v>1.724883289</v>
      </c>
    </row>
    <row r="1253" ht="15.75" customHeight="1">
      <c r="A1253" s="9">
        <v>45646.0</v>
      </c>
      <c r="B1253" s="6">
        <f>'Daily Returns'!AP1252*(1+'Daily Returns'!AK1253)</f>
        <v>1.80303571</v>
      </c>
      <c r="D1253" s="4">
        <f>'Daily Returns'!AQ1252 * (1 + 'Daily Returns'!AJ1253)</f>
        <v>1.835694649</v>
      </c>
      <c r="F1253" s="7">
        <f>'Daily Returns'!AR1252 * (1 +'Daily Returns'!AL1253)</f>
        <v>1.712138492</v>
      </c>
      <c r="H1253" s="7">
        <f>'Daily Returns'!AS1252*(1+'Daily Returns'!AM1253)</f>
        <v>1.911134545</v>
      </c>
      <c r="J1253" s="5">
        <f>'Daily Returns'!AT1252*(1+'Daily Returns'!AN1253)</f>
        <v>1.686760551</v>
      </c>
      <c r="L1253" s="5">
        <f>'Daily Returns'!AU1252*(1+'Daily Returns'!AO1253)</f>
        <v>1.686841781</v>
      </c>
    </row>
    <row r="1254" ht="15.75" customHeight="1">
      <c r="A1254" s="9">
        <v>45649.0</v>
      </c>
      <c r="B1254" s="6">
        <f>'Daily Returns'!AP1253*(1+'Daily Returns'!AK1254)</f>
        <v>1.801387193</v>
      </c>
      <c r="D1254" s="4">
        <f>'Daily Returns'!AQ1253 * (1 + 'Daily Returns'!AJ1254)</f>
        <v>1.849071356</v>
      </c>
      <c r="F1254" s="7">
        <f>'Daily Returns'!AR1253 * (1 +'Daily Returns'!AL1254)</f>
        <v>1.725380055</v>
      </c>
      <c r="H1254" s="7">
        <f>'Daily Returns'!AS1253*(1+'Daily Returns'!AM1254)</f>
        <v>1.932883472</v>
      </c>
      <c r="J1254" s="5">
        <f>'Daily Returns'!AT1253*(1+'Daily Returns'!AN1254)</f>
        <v>1.676340097</v>
      </c>
      <c r="L1254" s="5">
        <f>'Daily Returns'!AU1253*(1+'Daily Returns'!AO1254)</f>
        <v>1.676497306</v>
      </c>
    </row>
    <row r="1255" ht="15.75" customHeight="1">
      <c r="A1255" s="9">
        <v>45650.0</v>
      </c>
      <c r="B1255" s="6">
        <f>'Daily Returns'!AP1254*(1+'Daily Returns'!AK1255)</f>
        <v>1.801409944</v>
      </c>
      <c r="D1255" s="4">
        <f>'Daily Returns'!AQ1254 * (1 + 'Daily Returns'!AJ1255)</f>
        <v>1.869490651</v>
      </c>
      <c r="F1255" s="7">
        <f>'Daily Returns'!AR1254 * (1 +'Daily Returns'!AL1255)</f>
        <v>1.736856032</v>
      </c>
      <c r="H1255" s="7">
        <f>'Daily Returns'!AS1254*(1+'Daily Returns'!AM1255)</f>
        <v>1.943865658</v>
      </c>
      <c r="J1255" s="5">
        <f>'Daily Returns'!AT1254*(1+'Daily Returns'!AN1255)</f>
        <v>1.688119749</v>
      </c>
      <c r="L1255" s="5">
        <f>'Daily Returns'!AU1254*(1+'Daily Returns'!AO1255)</f>
        <v>1.689511465</v>
      </c>
    </row>
    <row r="1256" ht="15.75" customHeight="1">
      <c r="A1256" s="9">
        <v>45652.0</v>
      </c>
      <c r="B1256" s="6">
        <f>'Daily Returns'!AP1255*(1+'Daily Returns'!AK1256)</f>
        <v>1.798206865</v>
      </c>
      <c r="D1256" s="4">
        <f>'Daily Returns'!AQ1255 * (1 + 'Daily Returns'!AJ1256)</f>
        <v>1.868731638</v>
      </c>
      <c r="F1256" s="7">
        <f>'Daily Returns'!AR1255 * (1 +'Daily Returns'!AL1256)</f>
        <v>1.751973636</v>
      </c>
      <c r="H1256" s="7">
        <f>'Daily Returns'!AS1255*(1+'Daily Returns'!AM1256)</f>
        <v>1.964494437</v>
      </c>
      <c r="J1256" s="5">
        <f>'Daily Returns'!AT1255*(1+'Daily Returns'!AN1256)</f>
        <v>1.698993327</v>
      </c>
      <c r="L1256" s="5">
        <f>'Daily Returns'!AU1255*(1+'Daily Returns'!AO1256)</f>
        <v>1.69985594</v>
      </c>
    </row>
    <row r="1257" ht="15.75" customHeight="1">
      <c r="A1257" s="9">
        <v>45653.0</v>
      </c>
      <c r="B1257" s="6">
        <f>'Daily Returns'!AP1256*(1+'Daily Returns'!AK1257)</f>
        <v>1.794393914</v>
      </c>
      <c r="D1257" s="4">
        <f>'Daily Returns'!AQ1256 * (1 + 'Daily Returns'!AJ1257)</f>
        <v>1.848070941</v>
      </c>
      <c r="F1257" s="7">
        <f>'Daily Returns'!AR1256 * (1 +'Daily Returns'!AL1257)</f>
        <v>1.755173614</v>
      </c>
      <c r="H1257" s="7">
        <f>'Daily Returns'!AS1256*(1+'Daily Returns'!AM1257)</f>
        <v>1.965618432</v>
      </c>
      <c r="J1257" s="5">
        <f>'Daily Returns'!AT1256*(1+'Daily Returns'!AN1257)</f>
        <v>1.704430116</v>
      </c>
      <c r="L1257" s="5">
        <f>'Daily Returns'!AU1256*(1+'Daily Returns'!AO1257)</f>
        <v>1.705195178</v>
      </c>
    </row>
    <row r="1258" ht="15.75" customHeight="1">
      <c r="A1258" s="9">
        <v>45656.0</v>
      </c>
      <c r="B1258" s="6">
        <f>'Daily Returns'!AP1257*(1+'Daily Returns'!AK1258)</f>
        <v>1.794683187</v>
      </c>
      <c r="D1258" s="4">
        <f>'Daily Returns'!AQ1257 * (1 + 'Daily Returns'!AJ1258)</f>
        <v>1.828292886</v>
      </c>
      <c r="F1258" s="7">
        <f>'Daily Returns'!AR1257 * (1 +'Daily Returns'!AL1258)</f>
        <v>1.739063099</v>
      </c>
      <c r="H1258" s="7">
        <f>'Daily Returns'!AS1257*(1+'Daily Returns'!AM1258)</f>
        <v>1.944328539</v>
      </c>
      <c r="J1258" s="5">
        <f>'Daily Returns'!AT1257*(1+'Daily Returns'!AN1258)</f>
        <v>1.702164845</v>
      </c>
      <c r="L1258" s="5">
        <f>'Daily Returns'!AU1257*(1+'Daily Returns'!AO1258)</f>
        <v>1.703526723</v>
      </c>
    </row>
    <row r="1259" ht="15.75" customHeight="1">
      <c r="A1259" s="9">
        <v>45657.0</v>
      </c>
      <c r="B1259" s="6">
        <f>'Daily Returns'!AP1258*(1+'Daily Returns'!AK1259)</f>
        <v>1.797227821</v>
      </c>
      <c r="C1259" s="6">
        <f>'Daily Returns'!AP1258*(1+'Daily Returns'!AK1259)</f>
        <v>1.797227821</v>
      </c>
      <c r="D1259" s="4">
        <f>'Daily Returns'!AQ1258 * (1 + 'Daily Returns'!AJ1259)</f>
        <v>1.820458651</v>
      </c>
      <c r="E1259" s="4">
        <f>'Daily Returns'!AQ1258 * (1 + 'Daily Returns'!AJ1259)</f>
        <v>1.820458651</v>
      </c>
      <c r="F1259" s="7">
        <f>'Daily Returns'!AR1258 * (1 +'Daily Returns'!AL1259)</f>
        <v>1.722731675</v>
      </c>
      <c r="G1259" s="7">
        <f>'Daily Returns'!AR1258 * (1 +'Daily Returns'!AL1259)</f>
        <v>1.722731675</v>
      </c>
      <c r="H1259" s="7">
        <f>'Daily Returns'!AS1258*(1+'Daily Returns'!AM1259)</f>
        <v>1.92284021</v>
      </c>
      <c r="I1259" s="7">
        <f>'Daily Returns'!AS1258*(1+'Daily Returns'!AM1259)</f>
        <v>1.92284021</v>
      </c>
      <c r="J1259" s="5">
        <f>'Daily Returns'!AT1258*(1+'Daily Returns'!AN1259)</f>
        <v>1.68993207</v>
      </c>
      <c r="K1259" s="5">
        <f>'Daily Returns'!AT1258*(1+'Daily Returns'!AN1259)</f>
        <v>1.68993207</v>
      </c>
      <c r="L1259" s="5">
        <f>'Daily Returns'!AU1258*(1+'Daily Returns'!AO1259)</f>
        <v>1.690781832</v>
      </c>
      <c r="M1259" s="5">
        <f>'Daily Returns'!AU1258*(1+'Daily Returns'!AO1259)</f>
        <v>1.690781832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10.29"/>
    <col customWidth="1" min="3" max="3" width="21.86"/>
    <col customWidth="1" min="4" max="4" width="19.0"/>
    <col customWidth="1" min="5" max="5" width="29.71"/>
    <col customWidth="1" min="6" max="6" width="43.29"/>
    <col customWidth="1" min="7" max="7" width="20.57"/>
    <col customWidth="1" min="8" max="8" width="18.57"/>
    <col customWidth="1" min="9" max="9" width="11.86"/>
    <col customWidth="1" min="10" max="10" width="21.0"/>
    <col customWidth="1" min="11" max="11" width="13.57"/>
    <col customWidth="1" min="12" max="12" width="32.0"/>
    <col customWidth="1" min="13" max="13" width="19.43"/>
    <col customWidth="1" min="14" max="15" width="11.86"/>
    <col customWidth="1" min="16" max="16" width="12.86"/>
    <col customWidth="1" min="17" max="17" width="14.14"/>
    <col customWidth="1" min="18" max="18" width="20.57"/>
    <col customWidth="1" min="19" max="19" width="19.43"/>
    <col customWidth="1" min="20" max="20" width="19.86"/>
    <col customWidth="1" min="21" max="21" width="20.43"/>
    <col customWidth="1" min="22" max="22" width="33.0"/>
    <col customWidth="1" min="23" max="23" width="21.0"/>
    <col customWidth="1" min="24" max="24" width="32.0"/>
    <col customWidth="1" min="25" max="25" width="26.86"/>
    <col customWidth="1" min="26" max="26" width="33.0"/>
    <col customWidth="1" min="27" max="27" width="11.0"/>
    <col customWidth="1" min="28" max="28" width="19.57"/>
    <col customWidth="1" min="29" max="29" width="17.57"/>
    <col customWidth="1" min="30" max="30" width="13.57"/>
    <col customWidth="1" min="31" max="31" width="20.43"/>
    <col customWidth="1" min="32" max="32" width="12.71"/>
    <col customWidth="1" min="33" max="33" width="20.29"/>
    <col customWidth="1" min="34" max="35" width="22.14"/>
    <col customWidth="1" min="36" max="38" width="8.71"/>
  </cols>
  <sheetData>
    <row r="1">
      <c r="A1" s="1" t="s">
        <v>53</v>
      </c>
      <c r="B1" s="1" t="s">
        <v>1</v>
      </c>
      <c r="C1" s="1" t="s">
        <v>30</v>
      </c>
      <c r="D1" s="1" t="s">
        <v>16</v>
      </c>
      <c r="E1" s="1" t="s">
        <v>2</v>
      </c>
      <c r="F1" s="1" t="s">
        <v>10</v>
      </c>
      <c r="G1" s="1" t="s">
        <v>17</v>
      </c>
      <c r="H1" s="1" t="s">
        <v>3</v>
      </c>
      <c r="I1" s="1" t="s">
        <v>11</v>
      </c>
      <c r="J1" s="1" t="s">
        <v>22</v>
      </c>
      <c r="K1" s="1" t="s">
        <v>29</v>
      </c>
      <c r="L1" s="1" t="s">
        <v>23</v>
      </c>
      <c r="M1" s="1" t="s">
        <v>18</v>
      </c>
      <c r="N1" s="1" t="s">
        <v>4</v>
      </c>
      <c r="O1" s="1" t="s">
        <v>21</v>
      </c>
      <c r="P1" s="1" t="s">
        <v>19</v>
      </c>
      <c r="Q1" s="1" t="s">
        <v>5</v>
      </c>
      <c r="R1" s="1" t="s">
        <v>27</v>
      </c>
      <c r="S1" s="1" t="s">
        <v>28</v>
      </c>
      <c r="T1" s="1" t="s">
        <v>6</v>
      </c>
      <c r="U1" s="1" t="s">
        <v>12</v>
      </c>
      <c r="V1" s="1" t="s">
        <v>25</v>
      </c>
      <c r="W1" s="1" t="s">
        <v>7</v>
      </c>
      <c r="X1" s="1" t="s">
        <v>13</v>
      </c>
      <c r="Y1" s="1" t="s">
        <v>24</v>
      </c>
      <c r="Z1" s="1" t="s">
        <v>8</v>
      </c>
      <c r="AA1" s="1" t="s">
        <v>14</v>
      </c>
      <c r="AB1" s="1" t="s">
        <v>31</v>
      </c>
      <c r="AC1" s="1" t="s">
        <v>9</v>
      </c>
      <c r="AD1" s="1" t="s">
        <v>15</v>
      </c>
      <c r="AE1" s="1" t="s">
        <v>20</v>
      </c>
      <c r="AF1" s="1" t="s">
        <v>26</v>
      </c>
      <c r="AG1" s="1" t="s">
        <v>32</v>
      </c>
      <c r="AH1" s="1" t="s">
        <v>34</v>
      </c>
      <c r="AI1" s="1" t="s">
        <v>33</v>
      </c>
    </row>
    <row r="2">
      <c r="A2" s="10" t="s">
        <v>54</v>
      </c>
      <c r="B2" s="4">
        <v>0.0175</v>
      </c>
      <c r="C2" s="4">
        <v>0.0375</v>
      </c>
      <c r="D2" s="4">
        <v>0.0216</v>
      </c>
      <c r="E2" s="4">
        <v>0.0175</v>
      </c>
      <c r="F2" s="4">
        <v>0.0375</v>
      </c>
      <c r="G2" s="4">
        <v>0.0216</v>
      </c>
      <c r="H2" s="4">
        <v>0.0175</v>
      </c>
      <c r="I2" s="4">
        <v>0.0375</v>
      </c>
      <c r="J2" s="4">
        <v>0.0216</v>
      </c>
      <c r="K2" s="4">
        <v>0.0175</v>
      </c>
      <c r="L2" s="4">
        <v>0.0375</v>
      </c>
      <c r="M2" s="4">
        <v>0.0216</v>
      </c>
      <c r="N2" s="4">
        <v>0.02</v>
      </c>
      <c r="O2" s="4">
        <v>0.0375</v>
      </c>
      <c r="P2" s="4">
        <v>0.0216</v>
      </c>
      <c r="Q2" s="4">
        <v>0.02</v>
      </c>
      <c r="R2" s="4">
        <v>0.0375</v>
      </c>
      <c r="S2" s="4">
        <v>0.026</v>
      </c>
      <c r="T2" s="4">
        <v>0.02</v>
      </c>
      <c r="U2" s="4">
        <v>0.0375</v>
      </c>
      <c r="V2" s="4">
        <v>0.026</v>
      </c>
      <c r="W2" s="4">
        <v>0.02</v>
      </c>
      <c r="X2" s="4">
        <v>0.0375</v>
      </c>
      <c r="Y2" s="4">
        <v>0.026</v>
      </c>
      <c r="Z2" s="4">
        <v>0.0433</v>
      </c>
      <c r="AA2" s="4">
        <v>0.01</v>
      </c>
      <c r="AB2" s="4">
        <v>0.026</v>
      </c>
      <c r="AC2" s="4">
        <v>0.0434</v>
      </c>
      <c r="AD2" s="4">
        <v>0.022</v>
      </c>
      <c r="AE2" s="4">
        <v>0.026</v>
      </c>
      <c r="AF2" s="4">
        <v>0.0433</v>
      </c>
      <c r="AG2" s="4">
        <v>0.05</v>
      </c>
      <c r="AH2" s="4">
        <v>0.05</v>
      </c>
      <c r="AI2" s="4">
        <v>0.05</v>
      </c>
    </row>
    <row r="3">
      <c r="A3" s="11" t="s">
        <v>55</v>
      </c>
      <c r="B3" s="4">
        <f>SUM(B2:AI2)</f>
        <v>1</v>
      </c>
    </row>
    <row r="5">
      <c r="A5" s="12" t="s">
        <v>56</v>
      </c>
      <c r="B5" s="12" t="s">
        <v>57</v>
      </c>
      <c r="C5" s="13" t="s">
        <v>58</v>
      </c>
      <c r="D5" s="12" t="s">
        <v>59</v>
      </c>
      <c r="F5" s="11" t="s">
        <v>60</v>
      </c>
      <c r="G5" s="14">
        <v>43921.0</v>
      </c>
      <c r="H5" s="14">
        <v>44012.0</v>
      </c>
      <c r="I5" s="14">
        <v>44104.0</v>
      </c>
      <c r="J5" s="14">
        <v>44196.0</v>
      </c>
      <c r="K5" s="14">
        <v>44286.0</v>
      </c>
      <c r="L5" s="14">
        <v>44377.0</v>
      </c>
      <c r="M5" s="14">
        <v>44469.0</v>
      </c>
      <c r="N5" s="14">
        <v>44561.0</v>
      </c>
      <c r="O5" s="14">
        <v>44651.0</v>
      </c>
      <c r="P5" s="14">
        <v>44742.0</v>
      </c>
      <c r="Q5" s="14">
        <v>44834.0</v>
      </c>
      <c r="R5" s="14">
        <v>44926.0</v>
      </c>
      <c r="S5" s="14">
        <v>45016.0</v>
      </c>
      <c r="T5" s="14">
        <v>45107.0</v>
      </c>
      <c r="U5" s="14">
        <v>45199.0</v>
      </c>
      <c r="V5" s="14">
        <v>45291.0</v>
      </c>
      <c r="W5" s="14">
        <v>45382.0</v>
      </c>
      <c r="X5" s="14">
        <v>45473.0</v>
      </c>
      <c r="Y5" s="14">
        <v>45565.0</v>
      </c>
      <c r="Z5" s="14">
        <v>45657.0</v>
      </c>
    </row>
    <row r="6">
      <c r="A6" s="15" t="s">
        <v>61</v>
      </c>
      <c r="B6" s="15" t="s">
        <v>62</v>
      </c>
      <c r="C6" s="16">
        <v>0.07</v>
      </c>
      <c r="D6" s="15" t="s">
        <v>63</v>
      </c>
      <c r="F6" s="11" t="s">
        <v>1</v>
      </c>
      <c r="G6" s="7">
        <v>1.85341253037253E-20</v>
      </c>
      <c r="H6" s="5">
        <v>0.00461981437105937</v>
      </c>
      <c r="I6" s="5">
        <v>0.00461534497132587</v>
      </c>
      <c r="J6" s="5">
        <v>0.00514675290494237</v>
      </c>
      <c r="K6" s="5">
        <v>0.0244980620648823</v>
      </c>
      <c r="L6" s="5">
        <v>0.0255824875650384</v>
      </c>
      <c r="M6" s="5">
        <v>0.0100916369817101</v>
      </c>
      <c r="N6" s="5">
        <v>0.0398917865815796</v>
      </c>
      <c r="O6" s="5">
        <v>0.0205606691192628</v>
      </c>
      <c r="P6" s="5">
        <v>0.00416518984768838</v>
      </c>
      <c r="Q6" s="5">
        <v>0.0198060344393283</v>
      </c>
      <c r="R6" s="5">
        <v>0.0144527711150436</v>
      </c>
      <c r="S6" s="5">
        <v>0.013071273001554</v>
      </c>
      <c r="T6" s="5">
        <v>0.0254973889935332</v>
      </c>
      <c r="U6" s="5">
        <v>0.0179815812046124</v>
      </c>
      <c r="V6" s="5">
        <v>0.0148869278708797</v>
      </c>
      <c r="W6" s="5">
        <v>0.0159901043591429</v>
      </c>
      <c r="X6" s="5">
        <v>0.0175385035075404</v>
      </c>
      <c r="Y6" s="5">
        <v>0.0142380540309451</v>
      </c>
      <c r="Z6" s="5">
        <v>0.0175</v>
      </c>
    </row>
    <row r="7">
      <c r="A7" s="15" t="s">
        <v>64</v>
      </c>
      <c r="B7" s="15" t="s">
        <v>65</v>
      </c>
      <c r="D7" s="15" t="s">
        <v>66</v>
      </c>
      <c r="E7" s="10"/>
      <c r="F7" s="11" t="s">
        <v>2</v>
      </c>
      <c r="G7" s="5">
        <v>0.022510880174409</v>
      </c>
      <c r="H7" s="5">
        <v>0.00977157279394504</v>
      </c>
      <c r="I7" s="5">
        <v>0.0278008014455238</v>
      </c>
      <c r="J7" s="5">
        <v>0.0301111145792361</v>
      </c>
      <c r="K7" s="5">
        <v>0.0201032448040306</v>
      </c>
      <c r="L7" s="5">
        <v>0.0222183523104878</v>
      </c>
      <c r="M7" s="5">
        <v>0.0420137314069453</v>
      </c>
      <c r="N7" s="5">
        <v>0.0143173181314443</v>
      </c>
      <c r="O7" s="5">
        <v>0.00859068075527636</v>
      </c>
      <c r="P7" s="5">
        <v>0.0116311369068248</v>
      </c>
      <c r="Q7" s="5">
        <v>1.59079924070055E-4</v>
      </c>
      <c r="R7" s="5">
        <v>0.00549038970688895</v>
      </c>
      <c r="S7" s="5">
        <v>0.015167994800706</v>
      </c>
      <c r="T7" s="5">
        <v>0.00540875872946431</v>
      </c>
      <c r="U7" s="5">
        <v>0.0143648614517178</v>
      </c>
      <c r="V7" s="5">
        <v>0.0118642639471525</v>
      </c>
      <c r="W7" s="5">
        <v>0.016022609881545</v>
      </c>
      <c r="X7" s="5">
        <v>0.0114007072036654</v>
      </c>
      <c r="Y7" s="5">
        <v>0.00227205403002563</v>
      </c>
      <c r="Z7" s="5">
        <v>0.0175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>
      <c r="A8" s="15" t="s">
        <v>67</v>
      </c>
      <c r="B8" s="15" t="s">
        <v>68</v>
      </c>
      <c r="D8" s="15" t="s">
        <v>66</v>
      </c>
      <c r="F8" s="11" t="s">
        <v>3</v>
      </c>
      <c r="G8" s="7">
        <v>1.72123230470738E-20</v>
      </c>
      <c r="H8" s="5">
        <v>0.0116064891523503</v>
      </c>
      <c r="I8" s="5">
        <v>9.40390272345884E-4</v>
      </c>
      <c r="J8" s="5">
        <v>0.00175365391881979</v>
      </c>
      <c r="K8" s="5">
        <v>0.00539000595722018</v>
      </c>
      <c r="L8" s="5">
        <v>0.0130505655703399</v>
      </c>
      <c r="M8" s="5">
        <v>0.00844426108976862</v>
      </c>
      <c r="N8" s="5">
        <v>9.50769721889923E-4</v>
      </c>
      <c r="O8" s="5">
        <v>0.0141152246528318</v>
      </c>
      <c r="P8" s="5">
        <v>0.0161661510356226</v>
      </c>
      <c r="Q8" s="5">
        <v>0.0118964694693514</v>
      </c>
      <c r="R8" s="5">
        <v>0.00527530530938013</v>
      </c>
      <c r="S8" s="5">
        <v>0.00224174634954277</v>
      </c>
      <c r="T8" s="5">
        <v>0.0133355555168392</v>
      </c>
      <c r="U8" s="5">
        <v>0.0153232080725078</v>
      </c>
      <c r="V8" s="5">
        <v>0.00436657183197458</v>
      </c>
      <c r="W8" s="5">
        <v>0.0184263412506473</v>
      </c>
      <c r="X8" s="5">
        <v>0.00919235137157694</v>
      </c>
      <c r="Y8" s="5">
        <v>0.0185914849101624</v>
      </c>
      <c r="Z8" s="5">
        <v>0.0175</v>
      </c>
    </row>
    <row r="9">
      <c r="A9" s="15" t="s">
        <v>69</v>
      </c>
      <c r="B9" s="15" t="s">
        <v>70</v>
      </c>
      <c r="D9" s="15" t="s">
        <v>63</v>
      </c>
      <c r="F9" s="11" t="s">
        <v>29</v>
      </c>
      <c r="G9" s="5">
        <v>0.0474891198255909</v>
      </c>
      <c r="H9" s="5">
        <v>0.0440021236826452</v>
      </c>
      <c r="I9" s="5">
        <v>0.0366434633108043</v>
      </c>
      <c r="J9" s="5">
        <v>0.0329884785970016</v>
      </c>
      <c r="K9" s="5">
        <v>0.0200086871738668</v>
      </c>
      <c r="L9" s="5">
        <v>0.00914859455413373</v>
      </c>
      <c r="M9" s="5">
        <v>0.00945037052157585</v>
      </c>
      <c r="N9" s="5">
        <v>0.014840125565086</v>
      </c>
      <c r="O9" s="5">
        <v>0.0267334254726288</v>
      </c>
      <c r="P9" s="5">
        <v>0.0380375222098641</v>
      </c>
      <c r="Q9" s="5">
        <v>0.0381384161672501</v>
      </c>
      <c r="R9" s="5">
        <v>0.0447815338686872</v>
      </c>
      <c r="S9" s="5">
        <v>0.0395189858481971</v>
      </c>
      <c r="T9" s="5">
        <v>0.0257582967601631</v>
      </c>
      <c r="U9" s="5">
        <v>0.0223303494371867</v>
      </c>
      <c r="V9" s="5">
        <v>0.0388822363499931</v>
      </c>
      <c r="W9" s="5">
        <v>0.0195609445990744</v>
      </c>
      <c r="X9" s="5">
        <v>0.0318684379172171</v>
      </c>
      <c r="Y9" s="5">
        <v>0.0348984070288668</v>
      </c>
      <c r="Z9" s="5">
        <v>0.0175</v>
      </c>
    </row>
    <row r="10">
      <c r="A10" s="15" t="s">
        <v>71</v>
      </c>
      <c r="B10" s="15" t="s">
        <v>72</v>
      </c>
      <c r="C10" s="16">
        <v>0.08</v>
      </c>
      <c r="D10" s="15" t="s">
        <v>73</v>
      </c>
      <c r="F10" s="11" t="s">
        <v>4</v>
      </c>
      <c r="G10" s="7">
        <v>3.12858853205745E-21</v>
      </c>
      <c r="H10" s="5">
        <v>0.0191167462745993</v>
      </c>
      <c r="I10" s="5">
        <v>0.0194229226784508</v>
      </c>
      <c r="J10" s="5">
        <v>0.0117041723854508</v>
      </c>
      <c r="K10" s="5">
        <v>0.00943114684389056</v>
      </c>
      <c r="L10" s="5">
        <v>3.9841494789478E-4</v>
      </c>
      <c r="M10" s="5">
        <v>0.0147503396434995</v>
      </c>
      <c r="N10" s="5">
        <v>0.0136391072454158</v>
      </c>
      <c r="O10" s="5">
        <v>0.0209119044268747</v>
      </c>
      <c r="P10" s="5">
        <v>0.0186065534591345</v>
      </c>
      <c r="Q10" s="5">
        <v>0.0149661648300658</v>
      </c>
      <c r="R10" s="5">
        <v>0.0187238253061996</v>
      </c>
      <c r="S10" s="5">
        <v>0.0205088313617951</v>
      </c>
      <c r="T10" s="5">
        <v>0.0201012013249911</v>
      </c>
      <c r="U10" s="5">
        <v>0.0194954069071658</v>
      </c>
      <c r="V10" s="5">
        <v>0.0179720220524041</v>
      </c>
      <c r="W10" s="5">
        <v>0.0075650565173358</v>
      </c>
      <c r="X10" s="5">
        <v>0.0186508941782855</v>
      </c>
      <c r="Y10" s="5">
        <v>0.02001999611543</v>
      </c>
      <c r="Z10" s="5">
        <v>0.02</v>
      </c>
    </row>
    <row r="11">
      <c r="A11" s="15" t="s">
        <v>74</v>
      </c>
      <c r="B11" s="15" t="s">
        <v>75</v>
      </c>
      <c r="D11" s="15" t="s">
        <v>73</v>
      </c>
      <c r="F11" s="11" t="s">
        <v>5</v>
      </c>
      <c r="G11" s="5">
        <v>0.0382376101147249</v>
      </c>
      <c r="H11" s="5">
        <v>0.0131371662255441</v>
      </c>
      <c r="I11" s="5">
        <v>0.017129197626901</v>
      </c>
      <c r="J11" s="5">
        <v>0.0158235934200601</v>
      </c>
      <c r="K11" s="5">
        <v>0.0161677233857056</v>
      </c>
      <c r="L11" s="5">
        <v>0.0541892827544718</v>
      </c>
      <c r="M11" s="5">
        <v>0.0092392538923273</v>
      </c>
      <c r="N11" s="5">
        <v>0.0169077258947151</v>
      </c>
      <c r="O11" s="5">
        <v>0.0201370484265365</v>
      </c>
      <c r="P11" s="5">
        <v>0.0188799084385455</v>
      </c>
      <c r="Q11" s="5">
        <v>0.0201036273918139</v>
      </c>
      <c r="R11" s="5">
        <v>0.0188387595440665</v>
      </c>
      <c r="S11" s="5">
        <v>0.0240593729746983</v>
      </c>
      <c r="T11" s="5">
        <v>0.0207326033064322</v>
      </c>
      <c r="U11" s="5">
        <v>0.0214665450357122</v>
      </c>
      <c r="V11" s="5">
        <v>0.0189352075614368</v>
      </c>
      <c r="W11" s="5">
        <v>0.0158255248545468</v>
      </c>
      <c r="X11" s="5">
        <v>0.0209429812081225</v>
      </c>
      <c r="Y11" s="5">
        <v>0.0212620546975602</v>
      </c>
      <c r="Z11" s="5">
        <v>0.02</v>
      </c>
    </row>
    <row r="12">
      <c r="A12" s="15" t="s">
        <v>76</v>
      </c>
      <c r="B12" s="15" t="s">
        <v>77</v>
      </c>
      <c r="D12" s="15" t="s">
        <v>73</v>
      </c>
      <c r="F12" s="11" t="s">
        <v>6</v>
      </c>
      <c r="G12" s="5">
        <v>0.041762389885275</v>
      </c>
      <c r="H12" s="5">
        <v>0.0247281256700852</v>
      </c>
      <c r="I12" s="5">
        <v>0.0214577209039661</v>
      </c>
      <c r="J12" s="5">
        <v>0.011577743109876</v>
      </c>
      <c r="K12" s="5">
        <v>0.0338049921838683</v>
      </c>
      <c r="L12" s="5">
        <v>0.0188516834500604</v>
      </c>
      <c r="M12" s="5">
        <v>0.0275574655593773</v>
      </c>
      <c r="N12" s="5">
        <v>0.0291704495401055</v>
      </c>
      <c r="O12" s="5">
        <v>0.02184712697225</v>
      </c>
      <c r="P12" s="5">
        <v>0.0248860181645538</v>
      </c>
      <c r="Q12" s="5">
        <v>0.0397437621097258</v>
      </c>
      <c r="R12" s="5">
        <v>0.0223027659179163</v>
      </c>
      <c r="S12" s="5">
        <v>0.0288877889453145</v>
      </c>
      <c r="T12" s="5">
        <v>0.019872939963238</v>
      </c>
      <c r="U12" s="5">
        <v>0.0180172959391557</v>
      </c>
      <c r="V12" s="5">
        <v>0.0230139548154602</v>
      </c>
      <c r="W12" s="5">
        <v>0.0357109800142922</v>
      </c>
      <c r="X12" s="5">
        <v>0.0194912755949586</v>
      </c>
      <c r="Y12" s="5">
        <v>0.0193220549705452</v>
      </c>
      <c r="Z12" s="5">
        <v>0.02</v>
      </c>
    </row>
    <row r="13">
      <c r="A13" s="15" t="s">
        <v>78</v>
      </c>
      <c r="B13" s="15" t="s">
        <v>79</v>
      </c>
      <c r="D13" s="15" t="s">
        <v>80</v>
      </c>
      <c r="F13" s="11" t="s">
        <v>7</v>
      </c>
      <c r="G13" s="5">
        <v>0.0</v>
      </c>
      <c r="H13" s="5">
        <v>0.0230179620876712</v>
      </c>
      <c r="I13" s="5">
        <v>0.0219901588991141</v>
      </c>
      <c r="J13" s="5">
        <v>0.040894491084613</v>
      </c>
      <c r="K13" s="5">
        <v>0.0205961375865354</v>
      </c>
      <c r="L13" s="5">
        <v>0.00656061884757297</v>
      </c>
      <c r="M13" s="5">
        <v>0.0284529409047957</v>
      </c>
      <c r="N13" s="5">
        <v>0.0202827173197634</v>
      </c>
      <c r="O13" s="5">
        <v>0.0171039202781067</v>
      </c>
      <c r="P13" s="5">
        <v>0.0176275200881875</v>
      </c>
      <c r="Q13" s="5">
        <v>0.00518644566839437</v>
      </c>
      <c r="R13" s="5">
        <v>0.0201346493254605</v>
      </c>
      <c r="S13" s="5">
        <v>0.00654400671819195</v>
      </c>
      <c r="T13" s="5">
        <v>0.0192932554821378</v>
      </c>
      <c r="U13" s="5">
        <v>0.02102075220946</v>
      </c>
      <c r="V13" s="5">
        <v>0.0200788156783683</v>
      </c>
      <c r="W13" s="5">
        <v>0.0208984386138251</v>
      </c>
      <c r="X13" s="5">
        <v>0.0209148491018188</v>
      </c>
      <c r="Y13" s="5">
        <v>0.0193958942964177</v>
      </c>
      <c r="Z13" s="5">
        <v>0.02</v>
      </c>
    </row>
    <row r="14">
      <c r="A14" s="15" t="s">
        <v>8</v>
      </c>
      <c r="B14" s="15" t="s">
        <v>81</v>
      </c>
      <c r="C14" s="16">
        <v>0.13</v>
      </c>
      <c r="D14" s="15" t="s">
        <v>82</v>
      </c>
      <c r="F14" s="11" t="s">
        <v>8</v>
      </c>
      <c r="G14" s="5">
        <v>0.007520810976655</v>
      </c>
      <c r="H14" s="5">
        <v>0.0322158642681339</v>
      </c>
      <c r="I14" s="7">
        <v>3.99057919220534E-5</v>
      </c>
      <c r="J14" s="7">
        <v>6.52928436241315E-20</v>
      </c>
      <c r="K14" s="5">
        <v>0.0110646737480417</v>
      </c>
      <c r="L14" s="5">
        <v>0.0143336939891364</v>
      </c>
      <c r="M14" s="5">
        <v>0.011444421716307</v>
      </c>
      <c r="N14" s="5">
        <v>7.27519335198989E-4</v>
      </c>
      <c r="O14" s="5">
        <v>0.0210895042063232</v>
      </c>
      <c r="P14" s="5">
        <v>0.00523346598864692</v>
      </c>
      <c r="Q14" s="5">
        <v>0.00340686879856323</v>
      </c>
      <c r="R14" s="5">
        <v>0.0141504514937771</v>
      </c>
      <c r="S14" s="5">
        <v>0.031478666699933</v>
      </c>
      <c r="T14" s="5">
        <v>0.013955947519991</v>
      </c>
      <c r="U14" s="5">
        <v>0.0223731519441191</v>
      </c>
      <c r="V14" s="5">
        <v>0.0632581711551231</v>
      </c>
      <c r="W14" s="5">
        <v>0.0345562877514696</v>
      </c>
      <c r="X14" s="5">
        <v>0.0371642532936884</v>
      </c>
      <c r="Y14" s="5">
        <v>0.0373249776923283</v>
      </c>
      <c r="Z14" s="5">
        <v>0.0433</v>
      </c>
    </row>
    <row r="15">
      <c r="A15" s="15" t="s">
        <v>83</v>
      </c>
      <c r="B15" s="15" t="s">
        <v>84</v>
      </c>
      <c r="D15" s="15" t="s">
        <v>82</v>
      </c>
      <c r="F15" s="11" t="s">
        <v>9</v>
      </c>
      <c r="G15" s="5">
        <v>0.0504829392969846</v>
      </c>
      <c r="H15" s="5">
        <v>0.0324647294981624</v>
      </c>
      <c r="I15" s="5">
        <v>0.0704340141636855</v>
      </c>
      <c r="J15" s="5">
        <v>0.0595189162123472</v>
      </c>
      <c r="K15" s="5">
        <v>0.0477793446778714</v>
      </c>
      <c r="L15" s="5">
        <v>0.0372077225789792</v>
      </c>
      <c r="M15" s="5">
        <v>0.0297296916102828</v>
      </c>
      <c r="N15" s="5">
        <v>0.0506271258399445</v>
      </c>
      <c r="O15" s="5">
        <v>0.0450765327551715</v>
      </c>
      <c r="P15" s="5">
        <v>0.0474815253178613</v>
      </c>
      <c r="Q15" s="5">
        <v>0.0431541836134282</v>
      </c>
      <c r="R15" s="5">
        <v>0.0566014253635244</v>
      </c>
      <c r="S15" s="5">
        <v>0.0281298799254471</v>
      </c>
      <c r="T15" s="5">
        <v>0.0616456124690453</v>
      </c>
      <c r="U15" s="5">
        <v>0.0286409747467657</v>
      </c>
      <c r="V15" s="5">
        <v>0.0196228411066215</v>
      </c>
      <c r="W15" s="5">
        <v>0.0402756827804229</v>
      </c>
      <c r="X15" s="5">
        <v>0.0276444094633296</v>
      </c>
      <c r="Y15" s="5">
        <v>0.0479048201871731</v>
      </c>
      <c r="Z15" s="5">
        <v>0.0434</v>
      </c>
    </row>
    <row r="16">
      <c r="A16" s="15" t="s">
        <v>26</v>
      </c>
      <c r="B16" s="15" t="s">
        <v>85</v>
      </c>
      <c r="D16" s="15" t="s">
        <v>82</v>
      </c>
      <c r="F16" s="11" t="s">
        <v>26</v>
      </c>
      <c r="G16" s="5">
        <v>0.0719962497263603</v>
      </c>
      <c r="H16" s="5">
        <v>0.0653194062337036</v>
      </c>
      <c r="I16" s="5">
        <v>0.0595260800443923</v>
      </c>
      <c r="J16" s="5">
        <v>0.0704810837876528</v>
      </c>
      <c r="K16" s="5">
        <v>0.0711559815740868</v>
      </c>
      <c r="L16" s="5">
        <v>0.0784585834318843</v>
      </c>
      <c r="M16" s="5">
        <v>0.0888258866734101</v>
      </c>
      <c r="N16" s="5">
        <v>0.0786453548248564</v>
      </c>
      <c r="O16" s="5">
        <v>0.0638339630385052</v>
      </c>
      <c r="P16" s="5">
        <v>0.0772850086934917</v>
      </c>
      <c r="Q16" s="5">
        <v>0.0834389475880085</v>
      </c>
      <c r="R16" s="5">
        <v>0.0592481231426984</v>
      </c>
      <c r="S16" s="5">
        <v>0.0703914533746197</v>
      </c>
      <c r="T16" s="5">
        <v>0.0543984400109635</v>
      </c>
      <c r="U16" s="5">
        <v>0.0789858733091151</v>
      </c>
      <c r="V16" s="5">
        <v>0.0471189877382552</v>
      </c>
      <c r="W16" s="5">
        <v>0.0551680294681073</v>
      </c>
      <c r="X16" s="5">
        <v>0.0651913372429818</v>
      </c>
      <c r="Y16" s="5">
        <v>0.0447702021204985</v>
      </c>
      <c r="Z16" s="5">
        <v>0.0433</v>
      </c>
    </row>
    <row r="17">
      <c r="A17" s="15" t="s">
        <v>86</v>
      </c>
      <c r="B17" s="15" t="s">
        <v>87</v>
      </c>
      <c r="C17" s="16">
        <v>0.3</v>
      </c>
      <c r="D17" s="15" t="s">
        <v>88</v>
      </c>
      <c r="F17" s="11" t="s">
        <v>30</v>
      </c>
      <c r="G17" s="5">
        <v>0.0593666887243922</v>
      </c>
      <c r="H17" s="5">
        <v>0.0435688626675333</v>
      </c>
      <c r="I17" s="5">
        <v>0.0895422777312629</v>
      </c>
      <c r="J17" s="5">
        <v>0.0879896182157215</v>
      </c>
      <c r="K17" s="5">
        <v>0.0698604125835353</v>
      </c>
      <c r="L17" s="5">
        <v>0.060228069269479</v>
      </c>
      <c r="M17" s="5">
        <v>0.0510287181448413</v>
      </c>
      <c r="N17" s="5">
        <v>0.0462954027512344</v>
      </c>
      <c r="O17" s="5">
        <v>0.0607755511832538</v>
      </c>
      <c r="P17" s="5">
        <v>0.0908395974002729</v>
      </c>
      <c r="Q17" s="5">
        <v>0.134398610109847</v>
      </c>
      <c r="R17" s="5">
        <v>0.067012079046531</v>
      </c>
      <c r="S17" s="5">
        <v>0.0688424111649436</v>
      </c>
      <c r="T17" s="5">
        <v>0.127846076179813</v>
      </c>
      <c r="U17" s="5">
        <v>0.0573088609110396</v>
      </c>
      <c r="V17" s="5">
        <v>0.0613061873653267</v>
      </c>
      <c r="W17" s="5">
        <v>0.0565860829604606</v>
      </c>
      <c r="X17" s="5">
        <v>0.0546495385694123</v>
      </c>
      <c r="Y17" s="5">
        <v>0.0497798038698983</v>
      </c>
      <c r="Z17" s="5">
        <v>0.0375</v>
      </c>
    </row>
    <row r="18">
      <c r="A18" s="15" t="s">
        <v>89</v>
      </c>
      <c r="B18" s="15" t="s">
        <v>90</v>
      </c>
      <c r="D18" s="15" t="s">
        <v>88</v>
      </c>
      <c r="F18" s="11" t="s">
        <v>10</v>
      </c>
      <c r="G18" s="7">
        <v>2.11482458011897E-20</v>
      </c>
      <c r="H18" s="7">
        <v>5.40531008155345E-19</v>
      </c>
      <c r="I18" s="5">
        <v>0.00754928619242811</v>
      </c>
      <c r="J18" s="7">
        <v>4.18215217067598E-19</v>
      </c>
      <c r="K18" s="5">
        <v>0.0147575772418525</v>
      </c>
      <c r="L18" s="5">
        <v>0.0</v>
      </c>
      <c r="M18" s="5">
        <v>0.0477214315798364</v>
      </c>
      <c r="N18" s="5">
        <v>0.0</v>
      </c>
      <c r="O18" s="5">
        <v>0.0</v>
      </c>
      <c r="P18" s="5">
        <v>0.0</v>
      </c>
      <c r="Q18" s="5">
        <v>0.0217400847883154</v>
      </c>
      <c r="R18" s="7">
        <v>1.97362713706671E-18</v>
      </c>
      <c r="S18" s="5">
        <v>0.011896694406628</v>
      </c>
      <c r="T18" s="7">
        <v>9.520822820984E-18</v>
      </c>
      <c r="U18" s="5">
        <v>0.00585401888469289</v>
      </c>
      <c r="V18" s="5">
        <v>0.0163780697522781</v>
      </c>
      <c r="W18" s="7">
        <v>1.83590773187837E-18</v>
      </c>
      <c r="X18" s="5">
        <v>0.0124172118006128</v>
      </c>
      <c r="Y18" s="5">
        <v>0.00886525826315018</v>
      </c>
      <c r="Z18" s="5">
        <v>0.0375</v>
      </c>
    </row>
    <row r="19">
      <c r="A19" s="15" t="s">
        <v>91</v>
      </c>
      <c r="B19" s="17" t="s">
        <v>92</v>
      </c>
      <c r="D19" s="15" t="s">
        <v>88</v>
      </c>
      <c r="F19" s="11" t="s">
        <v>11</v>
      </c>
      <c r="G19" s="5">
        <v>0.068667105655967</v>
      </c>
      <c r="H19" s="5">
        <v>0.0390780145208191</v>
      </c>
      <c r="I19" s="5">
        <v>0.0314207125368943</v>
      </c>
      <c r="J19" s="5">
        <v>0.0534811499799843</v>
      </c>
      <c r="K19" s="5">
        <v>0.0450933318774278</v>
      </c>
      <c r="L19" s="5">
        <v>0.0438280207187939</v>
      </c>
      <c r="M19" s="5">
        <v>0.0</v>
      </c>
      <c r="N19" s="5">
        <v>0.0459722637071542</v>
      </c>
      <c r="O19" s="5">
        <v>0.0452758581644798</v>
      </c>
      <c r="P19" s="5">
        <v>0.0512369270062956</v>
      </c>
      <c r="Q19" s="5">
        <v>0.0334046222099221</v>
      </c>
      <c r="R19" s="5">
        <v>0.0250542994654752</v>
      </c>
      <c r="S19" s="5">
        <v>0.0401784810804076</v>
      </c>
      <c r="T19" s="7">
        <v>4.9436433412513E-18</v>
      </c>
      <c r="U19" s="5">
        <v>0.0241619216595779</v>
      </c>
      <c r="V19" s="5">
        <v>0.0213126373017834</v>
      </c>
      <c r="W19" s="5">
        <v>0.0447534959299081</v>
      </c>
      <c r="X19" s="5">
        <v>0.03463646600092</v>
      </c>
      <c r="Y19" s="5">
        <v>0.0867612061023863</v>
      </c>
      <c r="Z19" s="5">
        <v>0.0375</v>
      </c>
    </row>
    <row r="20">
      <c r="A20" s="15" t="s">
        <v>93</v>
      </c>
      <c r="B20" s="15" t="s">
        <v>94</v>
      </c>
      <c r="D20" s="15" t="s">
        <v>88</v>
      </c>
      <c r="F20" s="11" t="s">
        <v>23</v>
      </c>
      <c r="G20" s="5">
        <v>0.17196620561964</v>
      </c>
      <c r="H20" s="5">
        <v>0.206688292058576</v>
      </c>
      <c r="I20" s="5">
        <v>0.154089303323522</v>
      </c>
      <c r="J20" s="5">
        <v>0.13258829623878</v>
      </c>
      <c r="K20" s="5">
        <v>0.0328097941163304</v>
      </c>
      <c r="L20" s="5">
        <v>0.036424567318604</v>
      </c>
      <c r="M20" s="5">
        <v>0.0664047959174183</v>
      </c>
      <c r="N20" s="5">
        <v>0.0268029666437877</v>
      </c>
      <c r="O20" s="5">
        <v>0.0371467146890883</v>
      </c>
      <c r="P20" s="5">
        <v>0.0169968753295923</v>
      </c>
      <c r="Q20" s="5">
        <v>0.0548616691056357</v>
      </c>
      <c r="R20" s="5">
        <v>0.130779283819001</v>
      </c>
      <c r="S20" s="5">
        <v>0.0458414732176376</v>
      </c>
      <c r="T20" s="5">
        <v>0.0390308675138016</v>
      </c>
      <c r="U20" s="5">
        <v>0.0702623277191844</v>
      </c>
      <c r="V20" s="5">
        <v>0.101768770430681</v>
      </c>
      <c r="W20" s="5">
        <v>0.00437431890862238</v>
      </c>
      <c r="X20" s="5">
        <v>0.0579297545391138</v>
      </c>
      <c r="Y20" s="5">
        <v>0.104697155687844</v>
      </c>
      <c r="Z20" s="5">
        <v>0.0375</v>
      </c>
    </row>
    <row r="21">
      <c r="A21" s="15" t="s">
        <v>95</v>
      </c>
      <c r="B21" s="15" t="s">
        <v>96</v>
      </c>
      <c r="D21" s="15" t="s">
        <v>88</v>
      </c>
      <c r="F21" s="11" t="s">
        <v>21</v>
      </c>
      <c r="G21" s="7">
        <v>1.54224801571718E-19</v>
      </c>
      <c r="H21" s="5">
        <v>0.0</v>
      </c>
      <c r="I21" s="5">
        <v>0.00724755597435098</v>
      </c>
      <c r="J21" s="5">
        <v>0.0</v>
      </c>
      <c r="K21" s="5">
        <v>0.0227181457913349</v>
      </c>
      <c r="L21" s="5">
        <v>0.0</v>
      </c>
      <c r="M21" s="5">
        <v>0.0129618412200704</v>
      </c>
      <c r="N21" s="5">
        <v>0.0118402576878201</v>
      </c>
      <c r="O21" s="5">
        <v>0.0104683308603834</v>
      </c>
      <c r="P21" s="5">
        <v>0.00436830475507336</v>
      </c>
      <c r="Q21" s="5">
        <v>0.0195813511606317</v>
      </c>
      <c r="R21" s="5">
        <v>0.0127438307820406</v>
      </c>
      <c r="S21" s="5">
        <v>0.00694680914586302</v>
      </c>
      <c r="T21" s="5">
        <v>0.00474230644544016</v>
      </c>
      <c r="U21" s="5">
        <v>0.0</v>
      </c>
      <c r="V21" s="5">
        <v>0.0222080433746336</v>
      </c>
      <c r="W21" s="5">
        <v>0.0119574095829471</v>
      </c>
      <c r="X21" s="5">
        <v>0.0196904022670959</v>
      </c>
      <c r="Y21" s="5">
        <v>0.00885452911265695</v>
      </c>
      <c r="Z21" s="5">
        <v>0.0375</v>
      </c>
    </row>
    <row r="22">
      <c r="A22" s="15" t="s">
        <v>97</v>
      </c>
      <c r="B22" s="15" t="s">
        <v>98</v>
      </c>
      <c r="D22" s="15" t="s">
        <v>88</v>
      </c>
      <c r="F22" s="11" t="s">
        <v>27</v>
      </c>
      <c r="G22" s="7">
        <v>7.76262945391377E-20</v>
      </c>
      <c r="H22" s="5">
        <v>0.0106648307530708</v>
      </c>
      <c r="I22" s="5">
        <v>0.0</v>
      </c>
      <c r="J22" s="5">
        <v>0.0259409355655137</v>
      </c>
      <c r="K22" s="5">
        <v>0.0888034900505523</v>
      </c>
      <c r="L22" s="5">
        <v>0.132747587643835</v>
      </c>
      <c r="M22" s="5">
        <v>0.121883213137833</v>
      </c>
      <c r="N22" s="5">
        <v>0.117972729592252</v>
      </c>
      <c r="O22" s="5">
        <v>0.102144797557936</v>
      </c>
      <c r="P22" s="5">
        <v>0.0998492499831402</v>
      </c>
      <c r="Q22" s="5">
        <v>0.0265254108112212</v>
      </c>
      <c r="R22" s="5">
        <v>0.0311931983730662</v>
      </c>
      <c r="S22" s="5">
        <v>0.0933736210430868</v>
      </c>
      <c r="T22" s="5">
        <v>0.0728816281365506</v>
      </c>
      <c r="U22" s="5">
        <v>0.0971756354772523</v>
      </c>
      <c r="V22" s="5">
        <v>0.0511964695159405</v>
      </c>
      <c r="W22" s="5">
        <v>0.113275087794585</v>
      </c>
      <c r="X22" s="5">
        <v>0.078948453266964</v>
      </c>
      <c r="Y22" s="5">
        <v>0.0370130633617553</v>
      </c>
      <c r="Z22" s="5">
        <v>0.0375</v>
      </c>
    </row>
    <row r="23" ht="15.75" customHeight="1">
      <c r="A23" s="15" t="s">
        <v>12</v>
      </c>
      <c r="B23" s="15" t="s">
        <v>99</v>
      </c>
      <c r="D23" s="15" t="s">
        <v>88</v>
      </c>
      <c r="F23" s="11" t="s">
        <v>12</v>
      </c>
      <c r="G23" s="5">
        <v>0.0</v>
      </c>
      <c r="H23" s="7">
        <v>1.07499442297385E-18</v>
      </c>
      <c r="I23" s="7">
        <v>5.2177754872898E-19</v>
      </c>
      <c r="J23" s="7">
        <v>2.02099869401121E-18</v>
      </c>
      <c r="K23" s="5">
        <v>0.0</v>
      </c>
      <c r="L23" s="5">
        <v>0.00311632119192422</v>
      </c>
      <c r="M23" s="5">
        <v>0.0</v>
      </c>
      <c r="N23" s="5">
        <v>0.00159606842441247</v>
      </c>
      <c r="O23" s="5">
        <v>0.0184761681581853</v>
      </c>
      <c r="P23" s="7">
        <v>1.1073734536648E-19</v>
      </c>
      <c r="Q23" s="7">
        <v>1.21251937385858E-18</v>
      </c>
      <c r="R23" s="5">
        <v>0.00972519473693765</v>
      </c>
      <c r="S23" s="5">
        <v>0.00691367581248881</v>
      </c>
      <c r="T23" s="5">
        <v>0.0277069259179878</v>
      </c>
      <c r="U23" s="5">
        <v>0.0</v>
      </c>
      <c r="V23" s="7">
        <v>4.94879345872478E-20</v>
      </c>
      <c r="W23" s="5">
        <v>9.70914648624269E-4</v>
      </c>
      <c r="X23" s="5">
        <v>0.011838435601881</v>
      </c>
      <c r="Y23" s="5">
        <v>0.0</v>
      </c>
      <c r="Z23" s="5">
        <v>0.0375</v>
      </c>
    </row>
    <row r="24" ht="15.75" customHeight="1">
      <c r="A24" s="15" t="s">
        <v>100</v>
      </c>
      <c r="B24" s="15" t="s">
        <v>101</v>
      </c>
      <c r="D24" s="15" t="s">
        <v>88</v>
      </c>
      <c r="F24" s="11" t="s">
        <v>13</v>
      </c>
      <c r="G24" s="7">
        <v>5.07919034600134E-20</v>
      </c>
      <c r="H24" s="7">
        <v>3.22713990985842E-19</v>
      </c>
      <c r="I24" s="5">
        <v>0.0101508642415409</v>
      </c>
      <c r="J24" s="7">
        <v>1.81572656127039E-18</v>
      </c>
      <c r="K24" s="5">
        <v>0.0259572483389664</v>
      </c>
      <c r="L24" s="5">
        <v>0.0236554338573634</v>
      </c>
      <c r="M24" s="5">
        <v>0.0</v>
      </c>
      <c r="N24" s="5">
        <v>0.0495203111933384</v>
      </c>
      <c r="O24" s="5">
        <v>0.0257125793866728</v>
      </c>
      <c r="P24" s="5">
        <v>0.0367090455256253</v>
      </c>
      <c r="Q24" s="5">
        <v>0.00948825181442591</v>
      </c>
      <c r="R24" s="5">
        <v>0.0234921137769481</v>
      </c>
      <c r="S24" s="5">
        <v>0.0260068341289441</v>
      </c>
      <c r="T24" s="5">
        <v>0.0277921958064064</v>
      </c>
      <c r="U24" s="5">
        <v>0.0452372353482526</v>
      </c>
      <c r="V24" s="5">
        <v>0.0258298222593562</v>
      </c>
      <c r="W24" s="5">
        <v>0.0680826901748515</v>
      </c>
      <c r="X24" s="5">
        <v>0.0298897379539999</v>
      </c>
      <c r="Y24" s="5">
        <v>0.00402898360230852</v>
      </c>
      <c r="Z24" s="5">
        <v>0.0375</v>
      </c>
    </row>
    <row r="25" ht="15.75" customHeight="1">
      <c r="A25" s="15" t="s">
        <v>102</v>
      </c>
      <c r="B25" s="15" t="s">
        <v>103</v>
      </c>
      <c r="C25" s="16">
        <v>0.01</v>
      </c>
      <c r="D25" s="15" t="s">
        <v>104</v>
      </c>
      <c r="E25" s="10"/>
      <c r="F25" s="11" t="s">
        <v>14</v>
      </c>
      <c r="G25" s="5">
        <v>0.01</v>
      </c>
      <c r="H25" s="5">
        <v>0.01</v>
      </c>
      <c r="I25" s="5">
        <v>0.01</v>
      </c>
      <c r="J25" s="5">
        <v>0.01</v>
      </c>
      <c r="K25" s="5">
        <v>0.01</v>
      </c>
      <c r="L25" s="5">
        <v>0.01</v>
      </c>
      <c r="M25" s="5">
        <v>0.01</v>
      </c>
      <c r="N25" s="5">
        <v>0.01</v>
      </c>
      <c r="O25" s="5">
        <v>0.01</v>
      </c>
      <c r="P25" s="5">
        <v>0.01</v>
      </c>
      <c r="Q25" s="5">
        <v>0.01</v>
      </c>
      <c r="R25" s="5">
        <v>0.01</v>
      </c>
      <c r="S25" s="5">
        <v>0.01</v>
      </c>
      <c r="T25" s="5">
        <v>0.01</v>
      </c>
      <c r="U25" s="5">
        <v>0.01</v>
      </c>
      <c r="V25" s="5">
        <v>0.01</v>
      </c>
      <c r="W25" s="5">
        <v>0.01</v>
      </c>
      <c r="X25" s="5">
        <v>0.01</v>
      </c>
      <c r="Y25" s="5">
        <v>0.01</v>
      </c>
      <c r="Z25" s="5">
        <v>0.01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ht="15.75" customHeight="1">
      <c r="A26" s="15" t="s">
        <v>105</v>
      </c>
      <c r="B26" s="15" t="s">
        <v>106</v>
      </c>
      <c r="C26" s="16">
        <v>0.13</v>
      </c>
      <c r="D26" s="15" t="s">
        <v>107</v>
      </c>
      <c r="F26" s="11" t="s">
        <v>15</v>
      </c>
      <c r="G26" s="5">
        <v>8.33194581501088E-4</v>
      </c>
      <c r="H26" s="5">
        <v>0.0349466536963016</v>
      </c>
      <c r="I26" s="5">
        <v>0.0343640516896138</v>
      </c>
      <c r="J26" s="5">
        <v>0.0536983221624167</v>
      </c>
      <c r="K26" s="5">
        <v>0.0676160540059638</v>
      </c>
      <c r="L26" s="5">
        <v>0.0539832280580406</v>
      </c>
      <c r="M26" s="5">
        <v>0.0904901509252513</v>
      </c>
      <c r="N26" s="5">
        <v>0.0129598876539983</v>
      </c>
      <c r="O26" s="5">
        <v>0.0212146313589912</v>
      </c>
      <c r="P26" s="5">
        <v>0.0514224359145679</v>
      </c>
      <c r="Q26" s="5">
        <v>0.0163159297647764</v>
      </c>
      <c r="R26" s="5">
        <v>0.037054225448169</v>
      </c>
      <c r="S26" s="5">
        <v>0.0</v>
      </c>
      <c r="T26" s="5">
        <v>0.0204876436675374</v>
      </c>
      <c r="U26" s="5">
        <v>0.0403001576281712</v>
      </c>
      <c r="V26" s="7">
        <v>2.68293501449895E-20</v>
      </c>
      <c r="W26" s="5">
        <v>0.00840864496588484</v>
      </c>
      <c r="X26" s="5">
        <v>0.0</v>
      </c>
      <c r="Y26" s="5">
        <v>0.0303583856396205</v>
      </c>
      <c r="Z26" s="5">
        <v>0.022</v>
      </c>
    </row>
    <row r="27" ht="15.75" customHeight="1">
      <c r="A27" s="15" t="s">
        <v>108</v>
      </c>
      <c r="B27" s="15" t="s">
        <v>109</v>
      </c>
      <c r="D27" s="15" t="s">
        <v>107</v>
      </c>
      <c r="F27" s="11" t="s">
        <v>16</v>
      </c>
      <c r="G27" s="7">
        <v>1.06328786117724E-19</v>
      </c>
      <c r="H27" s="5">
        <v>0.00912139697802901</v>
      </c>
      <c r="I27" s="7">
        <v>3.50572155645516E-21</v>
      </c>
      <c r="J27" s="7">
        <v>6.04217444309777E-21</v>
      </c>
      <c r="K27" s="5">
        <v>0.0</v>
      </c>
      <c r="L27" s="7">
        <v>3.31328146334945E-19</v>
      </c>
      <c r="M27" s="5">
        <v>0.0</v>
      </c>
      <c r="N27" s="5">
        <v>0.0256295610091555</v>
      </c>
      <c r="O27" s="5">
        <v>0.0</v>
      </c>
      <c r="P27" s="7">
        <v>5.04203756785636E-19</v>
      </c>
      <c r="Q27" s="5">
        <v>0.0</v>
      </c>
      <c r="R27" s="7">
        <v>4.04870669641027E-21</v>
      </c>
      <c r="S27" s="5">
        <v>0.0</v>
      </c>
      <c r="T27" s="5">
        <v>0.0214414279616823</v>
      </c>
      <c r="U27" s="7">
        <v>2.88235069461647E-19</v>
      </c>
      <c r="V27" s="7">
        <v>6.77121831686568E-20</v>
      </c>
      <c r="W27" s="7">
        <v>3.58277757542079E-20</v>
      </c>
      <c r="X27" s="7">
        <v>1.33671288087686E-21</v>
      </c>
      <c r="Y27" s="5">
        <v>0.012841495123053</v>
      </c>
      <c r="Z27" s="5">
        <v>0.0216</v>
      </c>
    </row>
    <row r="28" ht="15.75" customHeight="1">
      <c r="A28" s="15" t="s">
        <v>110</v>
      </c>
      <c r="B28" s="15" t="s">
        <v>111</v>
      </c>
      <c r="D28" s="15" t="s">
        <v>107</v>
      </c>
      <c r="F28" s="11" t="s">
        <v>17</v>
      </c>
      <c r="G28" s="7">
        <v>7.31030082026435E-20</v>
      </c>
      <c r="H28" s="7">
        <v>1.77116926650165E-21</v>
      </c>
      <c r="I28" s="5">
        <v>0.00587569883181735</v>
      </c>
      <c r="J28" s="5">
        <v>0.00244562237630996</v>
      </c>
      <c r="K28" s="7">
        <v>4.5206861256709E-21</v>
      </c>
      <c r="L28" s="7">
        <v>2.49696259872554E-20</v>
      </c>
      <c r="M28" s="5">
        <v>0.0</v>
      </c>
      <c r="N28" s="5">
        <v>0.0060353441644228</v>
      </c>
      <c r="O28" s="5">
        <v>0.0141684075538056</v>
      </c>
      <c r="P28" s="7">
        <v>5.40038139625423E-20</v>
      </c>
      <c r="Q28" s="5">
        <v>0.0</v>
      </c>
      <c r="R28" s="7">
        <v>1.31811016477652E-21</v>
      </c>
      <c r="S28" s="5">
        <v>0.00479050000862483</v>
      </c>
      <c r="T28" s="5">
        <v>0.0139557617497776</v>
      </c>
      <c r="U28" s="5">
        <v>0.00815994447800484</v>
      </c>
      <c r="V28" s="5">
        <v>0.0</v>
      </c>
      <c r="W28" s="5">
        <v>0.0124819415416713</v>
      </c>
      <c r="X28" s="5">
        <v>0.0</v>
      </c>
      <c r="Y28" s="7">
        <v>9.37230340190449E-21</v>
      </c>
      <c r="Z28" s="5">
        <v>0.0216</v>
      </c>
    </row>
    <row r="29" ht="15.75" customHeight="1">
      <c r="A29" s="15" t="s">
        <v>22</v>
      </c>
      <c r="B29" s="15" t="s">
        <v>112</v>
      </c>
      <c r="D29" s="15" t="s">
        <v>107</v>
      </c>
      <c r="F29" s="11" t="s">
        <v>22</v>
      </c>
      <c r="G29" s="5">
        <v>0.0369284588924705</v>
      </c>
      <c r="H29" s="5">
        <v>0.0402420578569476</v>
      </c>
      <c r="I29" s="5">
        <v>0.0515571661498491</v>
      </c>
      <c r="J29" s="5">
        <v>0.0514313264310525</v>
      </c>
      <c r="K29" s="5">
        <v>0.0288701622173372</v>
      </c>
      <c r="L29" s="5">
        <v>0.0542740089453367</v>
      </c>
      <c r="M29" s="5">
        <v>0.025182570780498</v>
      </c>
      <c r="N29" s="5">
        <v>0.0276925388189013</v>
      </c>
      <c r="O29" s="5">
        <v>0.0520940417097295</v>
      </c>
      <c r="P29" s="5">
        <v>0.0429099482194115</v>
      </c>
      <c r="Q29" s="5">
        <v>0.0436237602745137</v>
      </c>
      <c r="R29" s="5">
        <v>0.055674399781056</v>
      </c>
      <c r="S29" s="5">
        <v>0.0473400947557154</v>
      </c>
      <c r="T29" s="5">
        <v>0.0268191468310411</v>
      </c>
      <c r="U29" s="5">
        <v>0.0309099553603815</v>
      </c>
      <c r="V29" s="5">
        <v>0.0335640349392078</v>
      </c>
      <c r="W29" s="5">
        <v>0.0254830811670416</v>
      </c>
      <c r="X29" s="5">
        <v>0.0191098420667824</v>
      </c>
      <c r="Y29" s="5">
        <v>0.0581170508674591</v>
      </c>
      <c r="Z29" s="5">
        <v>0.0216</v>
      </c>
    </row>
    <row r="30" ht="15.75" customHeight="1">
      <c r="A30" s="15" t="s">
        <v>113</v>
      </c>
      <c r="B30" s="15" t="s">
        <v>114</v>
      </c>
      <c r="D30" s="15" t="s">
        <v>107</v>
      </c>
      <c r="F30" s="11" t="s">
        <v>18</v>
      </c>
      <c r="G30" s="5">
        <v>0.0431188964510436</v>
      </c>
      <c r="H30" s="5">
        <v>0.0</v>
      </c>
      <c r="I30" s="5">
        <v>0.0</v>
      </c>
      <c r="J30" s="7">
        <v>6.6491356952064E-21</v>
      </c>
      <c r="K30" s="5">
        <v>0.0</v>
      </c>
      <c r="L30" s="5">
        <v>0.00839615940536974</v>
      </c>
      <c r="M30" s="5">
        <v>0.0</v>
      </c>
      <c r="N30" s="5">
        <v>0.04262707049056</v>
      </c>
      <c r="O30" s="5">
        <v>0.0239166614744343</v>
      </c>
      <c r="P30" s="5">
        <v>0.0146218179960112</v>
      </c>
      <c r="Q30" s="5">
        <v>0.0493661230819796</v>
      </c>
      <c r="R30" s="7">
        <v>3.10662534495451E-21</v>
      </c>
      <c r="S30" s="5">
        <v>0.055786271280846</v>
      </c>
      <c r="T30" s="5">
        <v>0.0210710164541513</v>
      </c>
      <c r="U30" s="5">
        <v>0.011179069191623</v>
      </c>
      <c r="V30" s="5">
        <v>0.0379264014142124</v>
      </c>
      <c r="W30" s="5">
        <v>0.0130691048785204</v>
      </c>
      <c r="X30" s="5">
        <v>0.0552951259228144</v>
      </c>
      <c r="Y30" s="5">
        <v>0.0</v>
      </c>
      <c r="Z30" s="5">
        <v>0.0216</v>
      </c>
    </row>
    <row r="31" ht="15.75" customHeight="1">
      <c r="A31" s="15" t="s">
        <v>19</v>
      </c>
      <c r="B31" s="15" t="s">
        <v>115</v>
      </c>
      <c r="D31" s="15" t="s">
        <v>107</v>
      </c>
      <c r="F31" s="11" t="s">
        <v>19</v>
      </c>
      <c r="G31" s="5">
        <v>0.0491194500749847</v>
      </c>
      <c r="H31" s="5">
        <v>0.0456898914687217</v>
      </c>
      <c r="I31" s="5">
        <v>0.0382030833287196</v>
      </c>
      <c r="J31" s="5">
        <v>0.0224247290302207</v>
      </c>
      <c r="K31" s="5">
        <v>0.0335137837766988</v>
      </c>
      <c r="L31" s="5">
        <v>0.0133466035912528</v>
      </c>
      <c r="M31" s="5">
        <v>0.0143272782942506</v>
      </c>
      <c r="N31" s="5">
        <v>0.0150555978629619</v>
      </c>
      <c r="O31" s="5">
        <v>0.0186062579030392</v>
      </c>
      <c r="P31" s="5">
        <v>0.0210457978700091</v>
      </c>
      <c r="Q31" s="5">
        <v>0.0206941868787301</v>
      </c>
      <c r="R31" s="5">
        <v>0.0372713747707749</v>
      </c>
      <c r="S31" s="5">
        <v>0.0220831339548135</v>
      </c>
      <c r="T31" s="5">
        <v>0.0262250036404344</v>
      </c>
      <c r="U31" s="5">
        <v>0.0394508733418192</v>
      </c>
      <c r="V31" s="5">
        <v>0.0585095636465797</v>
      </c>
      <c r="W31" s="5">
        <v>0.0705572274468817</v>
      </c>
      <c r="X31" s="5">
        <v>0.055595032010403</v>
      </c>
      <c r="Y31" s="5">
        <v>0.0286830683698673</v>
      </c>
      <c r="Z31" s="5">
        <v>0.0216</v>
      </c>
    </row>
    <row r="32" ht="15.75" customHeight="1">
      <c r="A32" s="15" t="s">
        <v>116</v>
      </c>
      <c r="B32" s="15" t="s">
        <v>117</v>
      </c>
      <c r="C32" s="16">
        <v>0.13</v>
      </c>
      <c r="D32" s="15" t="s">
        <v>118</v>
      </c>
      <c r="F32" s="11" t="s">
        <v>28</v>
      </c>
      <c r="G32" s="5">
        <v>0.0390983047788703</v>
      </c>
      <c r="H32" s="5">
        <v>0.0514953653441378</v>
      </c>
      <c r="I32" s="5">
        <v>0.0370516995062724</v>
      </c>
      <c r="J32" s="5">
        <v>0.0572197111420586</v>
      </c>
      <c r="K32" s="5">
        <v>0.0645765905177599</v>
      </c>
      <c r="L32" s="5">
        <v>0.0828045485013086</v>
      </c>
      <c r="M32" s="5">
        <v>0.0333844427021458</v>
      </c>
      <c r="N32" s="5">
        <v>0.0465161749241656</v>
      </c>
      <c r="O32" s="5">
        <v>0.0853264070557446</v>
      </c>
      <c r="P32" s="5">
        <v>0.0911606858277565</v>
      </c>
      <c r="Q32" s="5">
        <v>0.0643904397856982</v>
      </c>
      <c r="R32" s="5">
        <v>0.057331391184909</v>
      </c>
      <c r="S32" s="5">
        <v>0.0301593135615483</v>
      </c>
      <c r="T32" s="5">
        <v>0.0761573178745307</v>
      </c>
      <c r="U32" s="5">
        <v>0.0306623438111294</v>
      </c>
      <c r="V32" s="5">
        <v>0.0299447502105797</v>
      </c>
      <c r="W32" s="5">
        <v>0.0748841227464601</v>
      </c>
      <c r="X32" s="5">
        <v>0.0305052463573255</v>
      </c>
      <c r="Y32" s="5">
        <v>0.04489745584029</v>
      </c>
      <c r="Z32" s="5">
        <v>0.026</v>
      </c>
    </row>
    <row r="33" ht="15.75" customHeight="1">
      <c r="A33" s="15" t="s">
        <v>25</v>
      </c>
      <c r="B33" s="15" t="s">
        <v>119</v>
      </c>
      <c r="D33" s="15" t="s">
        <v>118</v>
      </c>
      <c r="F33" s="11" t="s">
        <v>25</v>
      </c>
      <c r="G33" s="5">
        <v>0.0</v>
      </c>
      <c r="H33" s="5">
        <v>0.0128235187303498</v>
      </c>
      <c r="I33" s="5">
        <v>0.00362293117245128</v>
      </c>
      <c r="J33" s="5">
        <v>0.0159279415523303</v>
      </c>
      <c r="K33" s="7">
        <v>1.94014596060458E-19</v>
      </c>
      <c r="L33" s="5">
        <v>0.00948443523982998</v>
      </c>
      <c r="M33" s="5">
        <v>0.022922806206583</v>
      </c>
      <c r="N33" s="5">
        <v>0.0173931994919085</v>
      </c>
      <c r="O33" s="5">
        <v>0.0</v>
      </c>
      <c r="P33" s="5">
        <v>0.0130530498612209</v>
      </c>
      <c r="Q33" s="7">
        <v>4.9617200681133E-19</v>
      </c>
      <c r="R33" s="5">
        <v>0.0</v>
      </c>
      <c r="S33" s="5">
        <v>0.0243548319028267</v>
      </c>
      <c r="T33" s="5">
        <v>0.0123340362479495</v>
      </c>
      <c r="U33" s="5">
        <v>0.0224622008825317</v>
      </c>
      <c r="V33" s="5">
        <v>0.0249751191797546</v>
      </c>
      <c r="W33" s="5">
        <v>0.01066447210376</v>
      </c>
      <c r="X33" s="5">
        <v>0.022384776168561</v>
      </c>
      <c r="Y33" s="5">
        <v>0.00690674876815696</v>
      </c>
      <c r="Z33" s="5">
        <v>0.026</v>
      </c>
    </row>
    <row r="34" ht="15.75" customHeight="1">
      <c r="A34" s="15" t="s">
        <v>24</v>
      </c>
      <c r="B34" s="15" t="s">
        <v>120</v>
      </c>
      <c r="D34" s="15" t="s">
        <v>118</v>
      </c>
      <c r="F34" s="11" t="s">
        <v>24</v>
      </c>
      <c r="G34" s="5">
        <v>0.0290696556566696</v>
      </c>
      <c r="H34" s="5">
        <v>0.0368292015587746</v>
      </c>
      <c r="I34" s="5">
        <v>0.0493309888275927</v>
      </c>
      <c r="J34" s="5">
        <v>0.00437174278652514</v>
      </c>
      <c r="K34" s="5">
        <v>0.0186149689613874</v>
      </c>
      <c r="L34" s="5">
        <v>0.00378454323117132</v>
      </c>
      <c r="M34" s="5">
        <v>0.0234683550403663</v>
      </c>
      <c r="N34" s="5">
        <v>0.0215873586190119</v>
      </c>
      <c r="O34" s="5">
        <v>0.0198734445277335</v>
      </c>
      <c r="P34" s="5">
        <v>0.00153104582240316</v>
      </c>
      <c r="Q34" s="5">
        <v>0.0251277257962399</v>
      </c>
      <c r="R34" s="5">
        <v>0.0361211899074978</v>
      </c>
      <c r="S34" s="5">
        <v>0.0268792037081039</v>
      </c>
      <c r="T34" s="5">
        <v>0.0128288939070378</v>
      </c>
      <c r="U34" s="5">
        <v>0.0235243699974386</v>
      </c>
      <c r="V34" s="5">
        <v>0.0241575234233444</v>
      </c>
      <c r="W34" s="5">
        <v>0.0214506614813442</v>
      </c>
      <c r="X34" s="5">
        <v>0.0236384305571978</v>
      </c>
      <c r="Y34" s="5">
        <v>0.00756663907641412</v>
      </c>
      <c r="Z34" s="5">
        <v>0.026</v>
      </c>
    </row>
    <row r="35" ht="15.75" customHeight="1">
      <c r="A35" s="15" t="s">
        <v>31</v>
      </c>
      <c r="B35" s="15" t="s">
        <v>121</v>
      </c>
      <c r="D35" s="15" t="s">
        <v>118</v>
      </c>
      <c r="F35" s="11" t="s">
        <v>31</v>
      </c>
      <c r="G35" s="5">
        <v>0.00613221922475995</v>
      </c>
      <c r="H35" s="5">
        <v>0.0</v>
      </c>
      <c r="I35" s="5">
        <v>0.0108242353428905</v>
      </c>
      <c r="J35" s="5">
        <v>0.00223617320070361</v>
      </c>
      <c r="K35" s="5">
        <v>0.00446951531676667</v>
      </c>
      <c r="L35" s="5">
        <v>0.00490881154795865</v>
      </c>
      <c r="M35" s="5">
        <v>0.020100647933628</v>
      </c>
      <c r="N35" s="5">
        <v>0.0100557574689977</v>
      </c>
      <c r="O35" s="5">
        <v>0.00597247457656971</v>
      </c>
      <c r="P35" s="5">
        <v>0.00530904783266807</v>
      </c>
      <c r="Q35" s="7">
        <v>8.02988154676201E-20</v>
      </c>
      <c r="R35" s="5">
        <v>0.00656071662389903</v>
      </c>
      <c r="S35" s="5">
        <v>0.0215373999097614</v>
      </c>
      <c r="T35" s="5">
        <v>4.5303252684164E-4</v>
      </c>
      <c r="U35" s="5">
        <v>0.0243547866786909</v>
      </c>
      <c r="V35" s="5">
        <v>0.0244391064347442</v>
      </c>
      <c r="W35" s="5">
        <v>0.00140197029183245</v>
      </c>
      <c r="X35" s="5">
        <v>0.0241674374745027</v>
      </c>
      <c r="Y35" s="5">
        <v>0.0114939104646285</v>
      </c>
      <c r="Z35" s="5">
        <v>0.026</v>
      </c>
    </row>
    <row r="36" ht="15.75" customHeight="1">
      <c r="A36" s="15" t="s">
        <v>122</v>
      </c>
      <c r="B36" s="15" t="s">
        <v>123</v>
      </c>
      <c r="D36" s="15" t="s">
        <v>118</v>
      </c>
      <c r="F36" s="11" t="s">
        <v>20</v>
      </c>
      <c r="G36" s="5">
        <v>0.0556998203397</v>
      </c>
      <c r="H36" s="5">
        <v>0.0288519143667376</v>
      </c>
      <c r="I36" s="5">
        <v>0.029170145150793</v>
      </c>
      <c r="J36" s="5">
        <v>0.0502444313183821</v>
      </c>
      <c r="K36" s="5">
        <v>0.042338925204086</v>
      </c>
      <c r="L36" s="5">
        <v>0.0290176614797314</v>
      </c>
      <c r="M36" s="5">
        <v>0.0301237484308974</v>
      </c>
      <c r="N36" s="5">
        <v>0.0344475094959161</v>
      </c>
      <c r="O36" s="5">
        <v>0.018827673839952</v>
      </c>
      <c r="P36" s="5">
        <v>0.0189461706559512</v>
      </c>
      <c r="Q36" s="5">
        <v>0.0404818344180617</v>
      </c>
      <c r="R36" s="5">
        <v>0.0299867022836941</v>
      </c>
      <c r="S36" s="5">
        <v>0.0270692511170287</v>
      </c>
      <c r="T36" s="5">
        <v>0.0282267194436402</v>
      </c>
      <c r="U36" s="5">
        <v>0.0289962988439866</v>
      </c>
      <c r="V36" s="5">
        <v>0.0264835009234591</v>
      </c>
      <c r="W36" s="5">
        <v>0.0215987733766031</v>
      </c>
      <c r="X36" s="5">
        <v>0.0293041096579195</v>
      </c>
      <c r="Y36" s="5">
        <v>0.0591352458505103</v>
      </c>
      <c r="Z36" s="5">
        <v>0.026</v>
      </c>
    </row>
    <row r="37" ht="15.75" customHeight="1">
      <c r="A37" s="15" t="s">
        <v>124</v>
      </c>
      <c r="B37" s="15"/>
      <c r="C37" s="16">
        <v>0.15</v>
      </c>
      <c r="D37" s="15" t="s">
        <v>125</v>
      </c>
      <c r="F37" s="11" t="s">
        <v>33</v>
      </c>
      <c r="G37" s="5">
        <v>3.76470667403676E-4</v>
      </c>
      <c r="H37" s="5">
        <v>0.00515126496767634</v>
      </c>
      <c r="I37" s="5">
        <v>0.00173353556900764</v>
      </c>
      <c r="J37" s="5">
        <v>0.00473464778726534</v>
      </c>
      <c r="K37" s="5">
        <v>0.0103318134197875</v>
      </c>
      <c r="L37" s="5">
        <v>0.0104086144033505</v>
      </c>
      <c r="M37" s="5">
        <v>0.00771568529676347</v>
      </c>
      <c r="N37" s="5">
        <v>0.0105986610341103</v>
      </c>
      <c r="O37" s="5">
        <v>0.0109794488811812</v>
      </c>
      <c r="P37" s="5">
        <v>0.014623945320018</v>
      </c>
      <c r="Q37" s="5">
        <v>0.0202577327628619</v>
      </c>
      <c r="R37" s="5">
        <v>0.0232443466046551</v>
      </c>
      <c r="S37" s="5">
        <v>0.0213539692516436</v>
      </c>
      <c r="T37" s="5">
        <v>0.0205983764973628</v>
      </c>
      <c r="U37" s="5">
        <v>0.0261789462885304</v>
      </c>
      <c r="V37" s="5">
        <v>0.0280875469704799</v>
      </c>
      <c r="W37" s="5">
        <v>0.0268329194082463</v>
      </c>
      <c r="X37" s="5">
        <v>0.0243529938673522</v>
      </c>
      <c r="Y37" s="5">
        <v>0.0234543160476578</v>
      </c>
      <c r="Z37" s="5">
        <v>0.05</v>
      </c>
    </row>
    <row r="38" ht="15.75" customHeight="1">
      <c r="A38" s="15" t="s">
        <v>126</v>
      </c>
      <c r="B38" s="15"/>
      <c r="D38" s="15" t="s">
        <v>125</v>
      </c>
      <c r="F38" s="11" t="s">
        <v>32</v>
      </c>
      <c r="G38" s="5">
        <v>0.0185602158118551</v>
      </c>
      <c r="H38" s="5">
        <v>0.00862508375598498</v>
      </c>
      <c r="I38" s="5">
        <v>0.00253421708746568</v>
      </c>
      <c r="J38" s="5">
        <v>0.0</v>
      </c>
      <c r="K38" s="5">
        <v>0.0</v>
      </c>
      <c r="L38" s="5">
        <v>0.00266194379948545</v>
      </c>
      <c r="M38" s="5">
        <v>0.0</v>
      </c>
      <c r="N38" s="5">
        <v>0.0</v>
      </c>
      <c r="O38" s="5">
        <v>0.0</v>
      </c>
      <c r="P38" s="5">
        <v>0.00227144672123733</v>
      </c>
      <c r="Q38" s="5">
        <v>0.00187374991495802</v>
      </c>
      <c r="R38" s="5">
        <v>0.00396808382894717</v>
      </c>
      <c r="S38" s="5">
        <v>0.00478584775443454</v>
      </c>
      <c r="T38" s="5">
        <v>0.00313631551485116</v>
      </c>
      <c r="U38" s="5">
        <v>0.00421600907061076</v>
      </c>
      <c r="V38" s="5">
        <v>0.00288489054469396</v>
      </c>
      <c r="W38" s="5">
        <v>9.62811743697464E-4</v>
      </c>
      <c r="X38" s="5">
        <v>0.0</v>
      </c>
      <c r="Y38" s="5">
        <v>0.0</v>
      </c>
      <c r="Z38" s="5">
        <v>0.05</v>
      </c>
    </row>
    <row r="39" ht="15.75" customHeight="1">
      <c r="A39" s="15" t="s">
        <v>127</v>
      </c>
      <c r="B39" s="15"/>
      <c r="D39" s="15" t="s">
        <v>125</v>
      </c>
      <c r="F39" s="11" t="s">
        <v>34</v>
      </c>
      <c r="G39" s="5">
        <v>0.131063313520741</v>
      </c>
      <c r="H39" s="5">
        <v>0.136223651276338</v>
      </c>
      <c r="I39" s="5">
        <v>0.145732247343526</v>
      </c>
      <c r="J39" s="5">
        <v>0.145265352212734</v>
      </c>
      <c r="K39" s="5">
        <v>0.139668186580212</v>
      </c>
      <c r="L39" s="5">
        <v>0.136929441797164</v>
      </c>
      <c r="M39" s="5">
        <v>0.142284314703236</v>
      </c>
      <c r="N39" s="5">
        <v>0.139401338965889</v>
      </c>
      <c r="O39" s="5">
        <v>0.139020551118818</v>
      </c>
      <c r="P39" s="5">
        <v>0.133104607958744</v>
      </c>
      <c r="Q39" s="5">
        <v>0.12786851732218</v>
      </c>
      <c r="R39" s="5">
        <v>0.122787569566397</v>
      </c>
      <c r="S39" s="5">
        <v>0.123860182993921</v>
      </c>
      <c r="T39" s="5">
        <v>0.126265307987785</v>
      </c>
      <c r="U39" s="5">
        <v>0.119605044640858</v>
      </c>
      <c r="V39" s="5">
        <v>0.119027562484826</v>
      </c>
      <c r="W39" s="5">
        <v>0.122204268848056</v>
      </c>
      <c r="X39" s="5">
        <v>0.125647006132647</v>
      </c>
      <c r="Y39" s="5">
        <v>0.126545683952342</v>
      </c>
      <c r="Z39" s="5">
        <v>0.05</v>
      </c>
    </row>
    <row r="40" ht="15.75" customHeight="1">
      <c r="A40" s="15"/>
      <c r="B40" s="15"/>
      <c r="C40" s="18">
        <f>sum(C6:C39)</f>
        <v>1</v>
      </c>
      <c r="D40" s="15"/>
    </row>
    <row r="41" ht="15.75" customHeight="1"/>
    <row r="42" ht="15.75" customHeight="1">
      <c r="F42" s="19" t="s">
        <v>128</v>
      </c>
    </row>
    <row r="43" ht="15.75" customHeight="1">
      <c r="F43" s="20"/>
    </row>
    <row r="44" ht="15.75" customHeight="1">
      <c r="F44" s="19" t="s">
        <v>129</v>
      </c>
    </row>
    <row r="45" ht="15.75" customHeight="1">
      <c r="F45" s="20"/>
    </row>
    <row r="46" ht="15.75" customHeight="1">
      <c r="F46" s="19" t="s">
        <v>130</v>
      </c>
    </row>
    <row r="47" ht="15.75" customHeight="1">
      <c r="F47" s="20"/>
    </row>
    <row r="48" ht="15.75" customHeight="1">
      <c r="F48" s="19" t="s">
        <v>131</v>
      </c>
    </row>
    <row r="49" ht="15.75" customHeight="1">
      <c r="A49" s="5" t="s">
        <v>132</v>
      </c>
      <c r="B49" s="5" t="s">
        <v>133</v>
      </c>
      <c r="F49" s="20"/>
    </row>
    <row r="50" ht="15.75" customHeight="1">
      <c r="A50" s="5" t="s">
        <v>1</v>
      </c>
      <c r="B50" s="5">
        <v>0.0175</v>
      </c>
      <c r="F50" s="19" t="s">
        <v>134</v>
      </c>
    </row>
    <row r="51" ht="15.75" customHeight="1">
      <c r="A51" s="5" t="s">
        <v>30</v>
      </c>
      <c r="B51" s="5">
        <v>0.0375</v>
      </c>
      <c r="F51" s="20"/>
    </row>
    <row r="52" ht="15.75" customHeight="1">
      <c r="A52" s="5" t="s">
        <v>16</v>
      </c>
      <c r="B52" s="5">
        <v>0.0216</v>
      </c>
      <c r="F52" s="19" t="s">
        <v>135</v>
      </c>
    </row>
    <row r="53" ht="15.75" customHeight="1">
      <c r="A53" s="5" t="s">
        <v>2</v>
      </c>
      <c r="B53" s="5">
        <v>0.0175</v>
      </c>
      <c r="F53" s="20"/>
    </row>
    <row r="54" ht="15.75" customHeight="1">
      <c r="A54" s="5" t="s">
        <v>10</v>
      </c>
      <c r="B54" s="5">
        <v>0.0375</v>
      </c>
      <c r="F54" s="19" t="s">
        <v>136</v>
      </c>
    </row>
    <row r="55" ht="15.75" customHeight="1">
      <c r="A55" s="5" t="s">
        <v>17</v>
      </c>
      <c r="B55" s="5">
        <v>0.0216</v>
      </c>
    </row>
    <row r="56" ht="15.75" customHeight="1">
      <c r="A56" s="5" t="s">
        <v>3</v>
      </c>
      <c r="B56" s="5">
        <v>0.0175</v>
      </c>
    </row>
    <row r="57" ht="15.75" customHeight="1">
      <c r="A57" s="5" t="s">
        <v>11</v>
      </c>
      <c r="B57" s="5">
        <v>0.0375</v>
      </c>
      <c r="D57" s="5" t="s">
        <v>0</v>
      </c>
      <c r="E57" s="5" t="s">
        <v>137</v>
      </c>
      <c r="F57" s="5" t="s">
        <v>138</v>
      </c>
    </row>
    <row r="58" ht="15.75" customHeight="1">
      <c r="A58" s="5" t="s">
        <v>22</v>
      </c>
      <c r="B58" s="5">
        <v>0.0216</v>
      </c>
      <c r="D58" s="21">
        <v>43832.0</v>
      </c>
      <c r="E58" s="5">
        <v>-0.00288566075395029</v>
      </c>
      <c r="F58" s="5">
        <v>0.997114339246049</v>
      </c>
    </row>
    <row r="59" ht="15.75" customHeight="1">
      <c r="A59" s="5" t="s">
        <v>29</v>
      </c>
      <c r="B59" s="5">
        <v>0.0175</v>
      </c>
      <c r="D59" s="21">
        <v>43833.0</v>
      </c>
      <c r="E59" s="5">
        <v>-0.00322320850879305</v>
      </c>
      <c r="F59" s="5">
        <v>0.993900431823552</v>
      </c>
    </row>
    <row r="60" ht="15.75" customHeight="1">
      <c r="A60" s="5" t="s">
        <v>23</v>
      </c>
      <c r="B60" s="5">
        <v>0.0375</v>
      </c>
      <c r="D60" s="21">
        <v>43836.0</v>
      </c>
      <c r="E60" s="5">
        <v>0.00187750864373985</v>
      </c>
      <c r="F60" s="5">
        <v>0.995766488475317</v>
      </c>
    </row>
    <row r="61" ht="15.75" customHeight="1">
      <c r="A61" s="5" t="s">
        <v>18</v>
      </c>
      <c r="B61" s="5">
        <v>0.0216</v>
      </c>
      <c r="D61" s="21">
        <v>43837.0</v>
      </c>
      <c r="E61" s="5">
        <v>-5.00521466391732E-4</v>
      </c>
      <c r="F61" s="5">
        <v>0.995268085972322</v>
      </c>
    </row>
    <row r="62" ht="15.75" customHeight="1">
      <c r="A62" s="5" t="s">
        <v>4</v>
      </c>
      <c r="B62" s="5">
        <v>0.02</v>
      </c>
      <c r="D62" s="21">
        <v>43838.0</v>
      </c>
      <c r="E62" s="5">
        <v>0.00200243784518195</v>
      </c>
      <c r="F62" s="5">
        <v>0.997261048453775</v>
      </c>
    </row>
    <row r="63" ht="15.75" customHeight="1">
      <c r="A63" s="5" t="s">
        <v>21</v>
      </c>
      <c r="B63" s="5">
        <v>0.0375</v>
      </c>
      <c r="D63" s="21">
        <v>43839.0</v>
      </c>
      <c r="E63" s="5">
        <v>-9.8190584690623E-4</v>
      </c>
      <c r="F63" s="5">
        <v>0.996281831999406</v>
      </c>
    </row>
    <row r="64" ht="15.75" customHeight="1">
      <c r="A64" s="5" t="s">
        <v>19</v>
      </c>
      <c r="B64" s="5">
        <v>0.0216</v>
      </c>
      <c r="D64" s="21">
        <v>43840.0</v>
      </c>
      <c r="E64" s="5">
        <v>0.00603005913954253</v>
      </c>
      <c r="F64" s="5">
        <v>1.00228947036601</v>
      </c>
    </row>
    <row r="65" ht="15.75" customHeight="1">
      <c r="A65" s="5" t="s">
        <v>5</v>
      </c>
      <c r="B65" s="5">
        <v>0.02</v>
      </c>
      <c r="D65" s="21">
        <v>43843.0</v>
      </c>
      <c r="E65" s="5">
        <v>0.00298018582327505</v>
      </c>
      <c r="F65" s="5">
        <v>1.00527647923641</v>
      </c>
    </row>
    <row r="66" ht="15.75" customHeight="1">
      <c r="A66" s="5" t="s">
        <v>27</v>
      </c>
      <c r="B66" s="5">
        <v>0.0375</v>
      </c>
      <c r="D66" s="21">
        <v>43844.0</v>
      </c>
      <c r="E66" s="5">
        <v>1.14095996398722E-4</v>
      </c>
      <c r="F66" s="5">
        <v>1.00539117725797</v>
      </c>
    </row>
    <row r="67" ht="15.75" customHeight="1">
      <c r="A67" s="5" t="s">
        <v>28</v>
      </c>
      <c r="B67" s="5">
        <v>0.026</v>
      </c>
      <c r="D67" s="21">
        <v>43845.0</v>
      </c>
      <c r="E67" s="5">
        <v>0.00348267118045418</v>
      </c>
      <c r="F67" s="5">
        <v>1.00889262413609</v>
      </c>
    </row>
    <row r="68" ht="15.75" customHeight="1">
      <c r="A68" s="5" t="s">
        <v>6</v>
      </c>
      <c r="B68" s="5">
        <v>0.02</v>
      </c>
      <c r="D68" s="21">
        <v>43846.0</v>
      </c>
      <c r="E68" s="5">
        <v>0.00566593089243023</v>
      </c>
      <c r="F68" s="5">
        <v>1.01460894002232</v>
      </c>
    </row>
    <row r="69" ht="15.75" customHeight="1">
      <c r="A69" s="5" t="s">
        <v>12</v>
      </c>
      <c r="B69" s="5">
        <v>0.0375</v>
      </c>
      <c r="D69" s="21">
        <v>43847.0</v>
      </c>
      <c r="E69" s="5">
        <v>0.00368207196946258</v>
      </c>
      <c r="F69" s="5">
        <v>1.01834480316035</v>
      </c>
    </row>
    <row r="70" ht="15.75" customHeight="1">
      <c r="A70" s="5" t="s">
        <v>25</v>
      </c>
      <c r="B70" s="5">
        <v>0.026</v>
      </c>
      <c r="D70" s="21">
        <v>43851.0</v>
      </c>
      <c r="E70" s="5">
        <v>-0.00333544352858852</v>
      </c>
      <c r="F70" s="5">
        <v>1.01494817157677</v>
      </c>
    </row>
    <row r="71" ht="15.75" customHeight="1">
      <c r="A71" s="5" t="s">
        <v>7</v>
      </c>
      <c r="B71" s="5">
        <v>0.02</v>
      </c>
      <c r="D71" s="21">
        <v>43852.0</v>
      </c>
      <c r="E71" s="5">
        <v>0.00118069207143347</v>
      </c>
      <c r="F71" s="5">
        <v>1.01614651283587</v>
      </c>
    </row>
    <row r="72" ht="15.75" customHeight="1">
      <c r="A72" s="5" t="s">
        <v>13</v>
      </c>
      <c r="B72" s="5">
        <v>0.0375</v>
      </c>
      <c r="D72" s="21">
        <v>43853.0</v>
      </c>
      <c r="E72" s="5">
        <v>-0.00297495434129993</v>
      </c>
      <c r="F72" s="5">
        <v>1.01312352335611</v>
      </c>
    </row>
    <row r="73" ht="15.75" customHeight="1">
      <c r="A73" s="5" t="s">
        <v>24</v>
      </c>
      <c r="B73" s="5">
        <v>0.026</v>
      </c>
      <c r="D73" s="21">
        <v>43854.0</v>
      </c>
      <c r="E73" s="5">
        <v>-0.00175005393685949</v>
      </c>
      <c r="F73" s="5">
        <v>1.01135050254554</v>
      </c>
    </row>
    <row r="74" ht="15.75" customHeight="1">
      <c r="A74" s="5" t="s">
        <v>8</v>
      </c>
      <c r="B74" s="5">
        <v>0.0433</v>
      </c>
      <c r="D74" s="21">
        <v>43857.0</v>
      </c>
      <c r="E74" s="5">
        <v>-0.0111118440407075</v>
      </c>
      <c r="F74" s="5">
        <v>1.00011253349076</v>
      </c>
    </row>
    <row r="75" ht="15.75" customHeight="1">
      <c r="A75" s="5" t="s">
        <v>14</v>
      </c>
      <c r="B75" s="5">
        <v>0.01</v>
      </c>
      <c r="D75" s="21">
        <v>43858.0</v>
      </c>
      <c r="E75" s="5">
        <v>0.00488712116286072</v>
      </c>
      <c r="F75" s="5">
        <v>1.00500020461843</v>
      </c>
    </row>
    <row r="76" ht="15.75" customHeight="1">
      <c r="A76" s="5" t="s">
        <v>31</v>
      </c>
      <c r="B76" s="5">
        <v>0.026</v>
      </c>
      <c r="D76" s="21">
        <v>43859.0</v>
      </c>
      <c r="E76" s="5">
        <v>-0.00209580616465739</v>
      </c>
      <c r="F76" s="5">
        <v>1.0028939189941</v>
      </c>
    </row>
    <row r="77" ht="15.75" customHeight="1">
      <c r="A77" s="5" t="s">
        <v>9</v>
      </c>
      <c r="B77" s="5">
        <v>0.0434</v>
      </c>
      <c r="D77" s="21">
        <v>43860.0</v>
      </c>
      <c r="E77" s="5">
        <v>0.00118194246110928</v>
      </c>
      <c r="F77" s="5">
        <v>1.00407928190095</v>
      </c>
    </row>
    <row r="78" ht="15.75" customHeight="1">
      <c r="A78" s="5" t="s">
        <v>15</v>
      </c>
      <c r="B78" s="5">
        <v>0.022</v>
      </c>
      <c r="D78" s="21">
        <v>43861.0</v>
      </c>
      <c r="E78" s="5">
        <v>-0.00998029415308544</v>
      </c>
      <c r="F78" s="5">
        <v>0.994058275314566</v>
      </c>
    </row>
    <row r="79" ht="15.75" customHeight="1">
      <c r="A79" s="5" t="s">
        <v>20</v>
      </c>
      <c r="B79" s="5">
        <v>0.026</v>
      </c>
      <c r="D79" s="21">
        <v>43864.0</v>
      </c>
      <c r="E79" s="5">
        <v>0.00120233431985736</v>
      </c>
      <c r="F79" s="5">
        <v>0.995253465694915</v>
      </c>
    </row>
    <row r="80" ht="15.75" customHeight="1">
      <c r="A80" s="5" t="s">
        <v>26</v>
      </c>
      <c r="B80" s="5">
        <v>0.0433</v>
      </c>
      <c r="D80" s="21">
        <v>43865.0</v>
      </c>
      <c r="E80" s="5">
        <v>0.00813925384194528</v>
      </c>
      <c r="F80" s="5">
        <v>1.00335408628928</v>
      </c>
    </row>
    <row r="81" ht="15.75" customHeight="1">
      <c r="A81" s="5" t="s">
        <v>32</v>
      </c>
      <c r="B81" s="5">
        <v>0.05</v>
      </c>
      <c r="D81" s="21">
        <v>43866.0</v>
      </c>
      <c r="E81" s="5">
        <v>0.00850117293076109</v>
      </c>
      <c r="F81" s="5">
        <v>1.01188377288761</v>
      </c>
    </row>
    <row r="82" ht="15.75" customHeight="1">
      <c r="A82" s="5" t="s">
        <v>34</v>
      </c>
      <c r="B82" s="5">
        <v>0.05</v>
      </c>
      <c r="D82" s="21">
        <v>43867.0</v>
      </c>
      <c r="E82" s="5">
        <v>0.00362313925112577</v>
      </c>
      <c r="F82" s="5">
        <v>1.01554996870273</v>
      </c>
    </row>
    <row r="83" ht="15.75" customHeight="1">
      <c r="A83" s="5" t="s">
        <v>33</v>
      </c>
      <c r="B83" s="5">
        <v>0.05</v>
      </c>
      <c r="D83" s="21">
        <v>43868.0</v>
      </c>
      <c r="E83" s="5">
        <v>-0.00510677904947855</v>
      </c>
      <c r="F83" s="5">
        <v>1.01036377939886</v>
      </c>
    </row>
    <row r="84" ht="15.75" customHeight="1">
      <c r="D84" s="21">
        <v>43871.0</v>
      </c>
      <c r="E84" s="5">
        <v>0.00315331768622761</v>
      </c>
      <c r="F84" s="5">
        <v>1.01354977737397</v>
      </c>
    </row>
    <row r="85" ht="15.75" customHeight="1">
      <c r="D85" s="21">
        <v>43872.0</v>
      </c>
      <c r="E85" s="5">
        <v>0.0011799748962474</v>
      </c>
      <c r="F85" s="5">
        <v>1.01474574066736</v>
      </c>
    </row>
    <row r="86" ht="15.75" customHeight="1">
      <c r="D86" s="21">
        <v>43873.0</v>
      </c>
      <c r="E86" s="5">
        <v>0.00250663105388243</v>
      </c>
      <c r="F86" s="5">
        <v>1.01728933385272</v>
      </c>
    </row>
    <row r="87" ht="15.75" customHeight="1">
      <c r="A87" s="21"/>
      <c r="D87" s="21">
        <v>43874.0</v>
      </c>
      <c r="E87" s="5">
        <v>-0.00267849007219906</v>
      </c>
      <c r="F87" s="5">
        <v>1.01456453447144</v>
      </c>
    </row>
    <row r="88" ht="15.75" customHeight="1">
      <c r="A88" s="21"/>
      <c r="D88" s="21">
        <v>43875.0</v>
      </c>
      <c r="E88" s="5">
        <v>-8.64213749557506E-4</v>
      </c>
      <c r="F88" s="5">
        <v>1.01368773385093</v>
      </c>
    </row>
    <row r="89" ht="15.75" customHeight="1">
      <c r="A89" s="21"/>
      <c r="D89" s="21">
        <v>43879.0</v>
      </c>
      <c r="E89" s="5">
        <v>0.00354245893201218</v>
      </c>
      <c r="F89" s="5">
        <v>1.01727868101799</v>
      </c>
    </row>
    <row r="90" ht="15.75" customHeight="1">
      <c r="A90" s="21"/>
      <c r="D90" s="21">
        <v>43880.0</v>
      </c>
      <c r="E90" s="5">
        <v>9.81281344869451E-4</v>
      </c>
      <c r="F90" s="5">
        <v>1.0182769176102</v>
      </c>
    </row>
    <row r="91" ht="15.75" customHeight="1">
      <c r="A91" s="21"/>
      <c r="D91" s="21">
        <v>43881.0</v>
      </c>
      <c r="E91" s="5">
        <v>0.00142943591141446</v>
      </c>
      <c r="F91" s="5">
        <v>1.019732479204</v>
      </c>
    </row>
    <row r="92" ht="15.75" customHeight="1">
      <c r="A92" s="21"/>
      <c r="D92" s="21">
        <v>43882.0</v>
      </c>
      <c r="E92" s="5">
        <v>0.00205150978737457</v>
      </c>
      <c r="F92" s="5">
        <v>1.02182447036559</v>
      </c>
    </row>
    <row r="93" ht="15.75" customHeight="1">
      <c r="A93" s="21"/>
      <c r="D93" s="21">
        <v>43885.0</v>
      </c>
      <c r="E93" s="5">
        <v>-0.0123016235899598</v>
      </c>
      <c r="F93" s="5">
        <v>1.00925437035614</v>
      </c>
    </row>
    <row r="94" ht="15.75" customHeight="1">
      <c r="A94" s="21"/>
      <c r="D94" s="21">
        <v>43886.0</v>
      </c>
      <c r="E94" s="5">
        <v>-0.02497530439969</v>
      </c>
      <c r="F94" s="5">
        <v>0.984047935239784</v>
      </c>
    </row>
    <row r="95" ht="15.75" customHeight="1">
      <c r="A95" s="21"/>
      <c r="D95" s="21">
        <v>43887.0</v>
      </c>
      <c r="E95" s="5">
        <v>-0.0131426252887408</v>
      </c>
      <c r="F95" s="5">
        <v>0.971114961960768</v>
      </c>
    </row>
    <row r="96" ht="15.75" customHeight="1">
      <c r="A96" s="21"/>
      <c r="D96" s="21">
        <v>43888.0</v>
      </c>
      <c r="E96" s="5">
        <v>-0.0214149210958743</v>
      </c>
      <c r="F96" s="5">
        <v>0.950318611675355</v>
      </c>
    </row>
    <row r="97" ht="15.75" customHeight="1">
      <c r="A97" s="21"/>
      <c r="D97" s="21">
        <v>43889.0</v>
      </c>
      <c r="E97" s="5">
        <v>-0.0200157492118955</v>
      </c>
      <c r="F97" s="5">
        <v>0.931297272672665</v>
      </c>
    </row>
    <row r="98" ht="15.75" customHeight="1">
      <c r="A98" s="21"/>
      <c r="D98" s="21">
        <v>43892.0</v>
      </c>
      <c r="E98" s="5">
        <v>0.00426875187583247</v>
      </c>
      <c r="F98" s="5">
        <v>0.935272749652344</v>
      </c>
    </row>
    <row r="99" ht="15.75" customHeight="1">
      <c r="A99" s="21"/>
      <c r="D99" s="21">
        <v>43893.0</v>
      </c>
      <c r="E99" s="5">
        <v>-5.05192374827583E-4</v>
      </c>
      <c r="F99" s="5">
        <v>0.934800256990835</v>
      </c>
    </row>
    <row r="100" ht="15.75" customHeight="1">
      <c r="A100" s="21"/>
      <c r="D100" s="21">
        <v>43894.0</v>
      </c>
      <c r="E100" s="5">
        <v>0.0137249614424855</v>
      </c>
      <c r="F100" s="5">
        <v>0.94763035447446</v>
      </c>
    </row>
    <row r="101" ht="15.75" customHeight="1">
      <c r="A101" s="21"/>
      <c r="D101" s="21">
        <v>43895.0</v>
      </c>
      <c r="E101" s="5">
        <v>6.2604283082934E-4</v>
      </c>
      <c r="F101" s="5">
        <v>0.948223611664155</v>
      </c>
    </row>
    <row r="102" ht="15.75" customHeight="1">
      <c r="A102" s="21"/>
      <c r="D102" s="21">
        <v>43896.0</v>
      </c>
      <c r="E102" s="5">
        <v>-0.0162653419359876</v>
      </c>
      <c r="F102" s="5">
        <v>0.932800430388661</v>
      </c>
    </row>
    <row r="103" ht="15.75" customHeight="1">
      <c r="A103" s="21"/>
      <c r="D103" s="21">
        <v>43899.0</v>
      </c>
      <c r="E103" s="5">
        <v>-0.0644558156574959</v>
      </c>
      <c r="F103" s="5">
        <v>0.872676017802296</v>
      </c>
    </row>
    <row r="104" ht="15.75" customHeight="1">
      <c r="A104" s="21"/>
      <c r="D104" s="21">
        <v>43900.0</v>
      </c>
      <c r="E104" s="5">
        <v>-0.0311740290909295</v>
      </c>
      <c r="F104" s="5">
        <v>0.845471190236371</v>
      </c>
    </row>
    <row r="105" ht="15.75" customHeight="1">
      <c r="A105" s="21"/>
      <c r="B105" s="7"/>
      <c r="D105" s="21">
        <v>43901.0</v>
      </c>
      <c r="E105" s="5">
        <v>0.0136791777460355</v>
      </c>
      <c r="F105" s="5">
        <v>0.857036540926766</v>
      </c>
    </row>
    <row r="106" ht="15.75" customHeight="1">
      <c r="A106" s="21"/>
      <c r="D106" s="21">
        <v>43902.0</v>
      </c>
      <c r="E106" s="5">
        <v>-0.0694889501985751</v>
      </c>
      <c r="F106" s="5">
        <v>0.797481971415947</v>
      </c>
    </row>
    <row r="107" ht="15.75" customHeight="1">
      <c r="A107" s="21"/>
      <c r="D107" s="21">
        <v>43903.0</v>
      </c>
      <c r="E107" s="5">
        <v>0.0047406789934653</v>
      </c>
      <c r="F107" s="5">
        <v>0.801262577445506</v>
      </c>
    </row>
    <row r="108" ht="15.75" customHeight="1">
      <c r="A108" s="21"/>
      <c r="D108" s="21">
        <v>43906.0</v>
      </c>
      <c r="E108" s="5">
        <v>-0.0130622676106033</v>
      </c>
      <c r="F108" s="5">
        <v>0.790796271232551</v>
      </c>
    </row>
    <row r="109" ht="15.75" customHeight="1">
      <c r="A109" s="21"/>
      <c r="D109" s="21">
        <v>43907.0</v>
      </c>
      <c r="E109" s="5">
        <v>-0.0284796696122531</v>
      </c>
      <c r="F109" s="5">
        <v>0.768274654697246</v>
      </c>
    </row>
    <row r="110" ht="15.75" customHeight="1">
      <c r="A110" s="21"/>
      <c r="D110" s="21">
        <v>43908.0</v>
      </c>
      <c r="E110" s="5">
        <v>-0.00865324461026971</v>
      </c>
      <c r="F110" s="5">
        <v>0.76162658618228</v>
      </c>
    </row>
    <row r="111" ht="15.75" customHeight="1">
      <c r="A111" s="21"/>
      <c r="D111" s="21">
        <v>43909.0</v>
      </c>
      <c r="E111" s="5">
        <v>-0.0118819262263484</v>
      </c>
      <c r="F111" s="5">
        <v>0.752576995273237</v>
      </c>
    </row>
    <row r="112" ht="15.75" customHeight="1">
      <c r="A112" s="21"/>
      <c r="D112" s="21">
        <v>43910.0</v>
      </c>
      <c r="E112" s="5">
        <v>-0.0158693816340007</v>
      </c>
      <c r="F112" s="5">
        <v>0.740634063726276</v>
      </c>
    </row>
    <row r="113" ht="15.75" customHeight="1">
      <c r="A113" s="21"/>
      <c r="D113" s="21">
        <v>43913.0</v>
      </c>
      <c r="E113" s="5">
        <v>-0.0334512409011774</v>
      </c>
      <c r="F113" s="5">
        <v>0.715858935240951</v>
      </c>
    </row>
    <row r="114" ht="15.75" customHeight="1">
      <c r="A114" s="21"/>
      <c r="D114" s="21">
        <v>43914.0</v>
      </c>
      <c r="E114" s="5">
        <v>0.0287163977026922</v>
      </c>
      <c r="F114" s="5">
        <v>0.736415825124356</v>
      </c>
    </row>
    <row r="115" ht="15.75" customHeight="1">
      <c r="A115" s="21"/>
      <c r="D115" s="21">
        <v>43915.0</v>
      </c>
      <c r="E115" s="5">
        <v>0.0646789344636208</v>
      </c>
      <c r="F115" s="5">
        <v>0.784046416015547</v>
      </c>
    </row>
    <row r="116" ht="15.75" customHeight="1">
      <c r="A116" s="21"/>
      <c r="D116" s="21">
        <v>43916.0</v>
      </c>
      <c r="E116" s="5">
        <v>0.0393158977372307</v>
      </c>
      <c r="F116" s="5">
        <v>0.814871904728857</v>
      </c>
    </row>
    <row r="117" ht="15.75" customHeight="1">
      <c r="A117" s="21"/>
      <c r="D117" s="21">
        <v>43917.0</v>
      </c>
      <c r="E117" s="5">
        <v>-0.0113568263477864</v>
      </c>
      <c r="F117" s="5">
        <v>0.805617546011161</v>
      </c>
    </row>
    <row r="118" ht="15.75" customHeight="1">
      <c r="A118" s="21"/>
      <c r="D118" s="21">
        <v>43920.0</v>
      </c>
      <c r="E118" s="5">
        <v>0.00134340759539284</v>
      </c>
      <c r="F118" s="5">
        <v>0.806699818741454</v>
      </c>
    </row>
    <row r="119" ht="15.75" customHeight="1">
      <c r="A119" s="21"/>
      <c r="D119" s="21">
        <v>43921.0</v>
      </c>
      <c r="E119" s="5">
        <v>0.0108153746300945</v>
      </c>
      <c r="F119" s="5">
        <v>0.815424579495172</v>
      </c>
    </row>
    <row r="120" ht="15.75" customHeight="1">
      <c r="A120" s="21"/>
      <c r="D120" s="21">
        <v>43922.0</v>
      </c>
      <c r="E120" s="5">
        <v>-0.00707079932666402</v>
      </c>
      <c r="F120" s="5">
        <v>0.809658875927533</v>
      </c>
    </row>
    <row r="121" ht="15.75" customHeight="1">
      <c r="A121" s="21"/>
      <c r="D121" s="21">
        <v>43923.0</v>
      </c>
      <c r="E121" s="5">
        <v>-0.00395251764319897</v>
      </c>
      <c r="F121" s="5">
        <v>0.806458684935457</v>
      </c>
    </row>
    <row r="122" ht="15.75" customHeight="1">
      <c r="A122" s="21"/>
      <c r="D122" s="21">
        <v>43924.0</v>
      </c>
      <c r="E122" s="5">
        <v>-0.00328650476626888</v>
      </c>
      <c r="F122" s="5">
        <v>0.803808254623617</v>
      </c>
    </row>
    <row r="123" ht="15.75" customHeight="1">
      <c r="A123" s="21"/>
      <c r="D123" s="21">
        <v>43927.0</v>
      </c>
      <c r="E123" s="5">
        <v>0.020288370919107</v>
      </c>
      <c r="F123" s="5">
        <v>0.820116214641261</v>
      </c>
    </row>
    <row r="124" ht="15.75" customHeight="1">
      <c r="A124" s="21"/>
      <c r="D124" s="21">
        <v>43928.0</v>
      </c>
      <c r="E124" s="5">
        <v>0.0279495529397686</v>
      </c>
      <c r="F124" s="5">
        <v>0.84303809619914</v>
      </c>
    </row>
    <row r="125" ht="15.75" customHeight="1">
      <c r="A125" s="21"/>
      <c r="D125" s="21">
        <v>43929.0</v>
      </c>
      <c r="E125" s="5">
        <v>0.0218877292027106</v>
      </c>
      <c r="F125" s="5">
        <v>0.861490285756315</v>
      </c>
    </row>
    <row r="126" ht="15.75" customHeight="1">
      <c r="A126" s="21"/>
      <c r="D126" s="21">
        <v>43930.0</v>
      </c>
      <c r="E126" s="5">
        <v>0.0231207035137241</v>
      </c>
      <c r="F126" s="5">
        <v>0.881408547233241</v>
      </c>
    </row>
    <row r="127" ht="15.75" customHeight="1">
      <c r="A127" s="21"/>
      <c r="D127" s="21">
        <v>43934.0</v>
      </c>
      <c r="E127" s="5">
        <v>0.00148566873651612</v>
      </c>
      <c r="F127" s="5">
        <v>0.882718028355963</v>
      </c>
    </row>
    <row r="128" ht="15.75" customHeight="1">
      <c r="A128" s="21"/>
      <c r="D128" s="21">
        <v>43935.0</v>
      </c>
      <c r="E128" s="5">
        <v>0.00521762719115342</v>
      </c>
      <c r="F128" s="5">
        <v>0.887323721942835</v>
      </c>
    </row>
    <row r="129" ht="15.75" customHeight="1">
      <c r="A129" s="21"/>
      <c r="D129" s="21">
        <v>43936.0</v>
      </c>
      <c r="E129" s="5">
        <v>-0.0251278891313424</v>
      </c>
      <c r="F129" s="5">
        <v>0.865027149834245</v>
      </c>
    </row>
    <row r="130" ht="15.75" customHeight="1">
      <c r="A130" s="21"/>
      <c r="D130" s="21">
        <v>43937.0</v>
      </c>
      <c r="E130" s="5">
        <v>0.00204967311357471</v>
      </c>
      <c r="F130" s="5">
        <v>0.866800172725772</v>
      </c>
    </row>
    <row r="131" ht="15.75" customHeight="1">
      <c r="A131" s="21"/>
      <c r="D131" s="21">
        <v>43938.0</v>
      </c>
      <c r="E131" s="5">
        <v>0.0018498741318307</v>
      </c>
      <c r="F131" s="5">
        <v>0.868403643942764</v>
      </c>
    </row>
    <row r="132" ht="15.75" customHeight="1">
      <c r="A132" s="21"/>
      <c r="D132" s="21">
        <v>43941.0</v>
      </c>
      <c r="E132" s="5">
        <v>-0.00611703070085762</v>
      </c>
      <c r="F132" s="5">
        <v>0.86309159219203</v>
      </c>
    </row>
    <row r="133" ht="15.75" customHeight="1">
      <c r="A133" s="21"/>
      <c r="D133" s="21">
        <v>43942.0</v>
      </c>
      <c r="E133" s="5">
        <v>-0.00805754024685867</v>
      </c>
      <c r="F133" s="5">
        <v>0.856137196951217</v>
      </c>
    </row>
    <row r="134" ht="15.75" customHeight="1">
      <c r="A134" s="21"/>
      <c r="D134" s="21">
        <v>43943.0</v>
      </c>
      <c r="E134" s="5">
        <v>0.00726641640166424</v>
      </c>
      <c r="F134" s="5">
        <v>0.862358246321218</v>
      </c>
    </row>
    <row r="135" ht="15.75" customHeight="1">
      <c r="A135" s="21"/>
      <c r="D135" s="21">
        <v>43944.0</v>
      </c>
      <c r="E135" s="5">
        <v>-0.0114972143414153</v>
      </c>
      <c r="F135" s="5">
        <v>0.852443528724176</v>
      </c>
    </row>
    <row r="136" ht="15.75" customHeight="1">
      <c r="A136" s="21"/>
      <c r="D136" s="21">
        <v>43945.0</v>
      </c>
      <c r="E136" s="5">
        <v>0.0165345481084869</v>
      </c>
      <c r="F136" s="5">
        <v>0.866538297259634</v>
      </c>
    </row>
    <row r="137" ht="15.75" customHeight="1">
      <c r="A137" s="21"/>
      <c r="D137" s="21">
        <v>43948.0</v>
      </c>
      <c r="E137" s="5">
        <v>0.0135807301732788</v>
      </c>
      <c r="F137" s="5">
        <v>0.87830652005953</v>
      </c>
    </row>
    <row r="138" ht="15.75" customHeight="1">
      <c r="A138" s="21"/>
      <c r="D138" s="21">
        <v>43949.0</v>
      </c>
      <c r="E138" s="5">
        <v>0.0064433449712512</v>
      </c>
      <c r="F138" s="5">
        <v>0.883965751958773</v>
      </c>
    </row>
    <row r="139" ht="15.75" customHeight="1">
      <c r="A139" s="21"/>
      <c r="D139" s="21">
        <v>43950.0</v>
      </c>
      <c r="E139" s="5">
        <v>0.0279653347573848</v>
      </c>
      <c r="F139" s="5">
        <v>0.908686150126363</v>
      </c>
    </row>
    <row r="140" ht="15.75" customHeight="1">
      <c r="A140" s="21"/>
      <c r="D140" s="21">
        <v>43951.0</v>
      </c>
      <c r="E140" s="5">
        <v>-0.0161173535009766</v>
      </c>
      <c r="F140" s="5">
        <v>0.894040534223335</v>
      </c>
    </row>
    <row r="141" ht="15.75" customHeight="1">
      <c r="A141" s="21"/>
      <c r="D141" s="21">
        <v>43952.0</v>
      </c>
      <c r="E141" s="7">
        <v>-5.61613353460548E-5</v>
      </c>
      <c r="F141" s="5">
        <v>0.89399032371308</v>
      </c>
    </row>
    <row r="142" ht="15.75" customHeight="1">
      <c r="A142" s="21"/>
      <c r="D142" s="21">
        <v>43955.0</v>
      </c>
      <c r="E142" s="5">
        <v>-0.00238249942894322</v>
      </c>
      <c r="F142" s="5">
        <v>0.891860392277353</v>
      </c>
    </row>
    <row r="143" ht="15.75" customHeight="1">
      <c r="A143" s="21"/>
      <c r="D143" s="21">
        <v>43956.0</v>
      </c>
      <c r="E143" s="5">
        <v>-6.05174666067617E-4</v>
      </c>
      <c r="F143" s="5">
        <v>0.891320660962277</v>
      </c>
    </row>
    <row r="144" ht="15.75" customHeight="1">
      <c r="A144" s="21"/>
      <c r="D144" s="21">
        <v>43957.0</v>
      </c>
      <c r="E144" s="5">
        <v>-0.00502626750862111</v>
      </c>
      <c r="F144" s="5">
        <v>0.88684064488432</v>
      </c>
    </row>
    <row r="145" ht="15.75" customHeight="1">
      <c r="A145" s="21"/>
      <c r="D145" s="21">
        <v>43958.0</v>
      </c>
      <c r="E145" s="5">
        <v>0.0151313972479566</v>
      </c>
      <c r="F145" s="5">
        <v>0.900259782977698</v>
      </c>
    </row>
    <row r="146" ht="15.75" customHeight="1">
      <c r="A146" s="21"/>
      <c r="D146" s="21">
        <v>43959.0</v>
      </c>
      <c r="E146" s="5">
        <v>0.0120154891220867</v>
      </c>
      <c r="F146" s="5">
        <v>0.911076844607119</v>
      </c>
    </row>
    <row r="147" ht="15.75" customHeight="1">
      <c r="A147" s="21"/>
      <c r="D147" s="21">
        <v>43962.0</v>
      </c>
      <c r="E147" s="5">
        <v>-0.00594308626714905</v>
      </c>
      <c r="F147" s="5">
        <v>0.905662236323617</v>
      </c>
    </row>
    <row r="148" ht="15.75" customHeight="1">
      <c r="A148" s="21"/>
      <c r="D148" s="21">
        <v>43963.0</v>
      </c>
      <c r="E148" s="5">
        <v>-0.00243275040906175</v>
      </c>
      <c r="F148" s="5">
        <v>0.903458986147729</v>
      </c>
    </row>
    <row r="149" ht="15.75" customHeight="1">
      <c r="A149" s="21"/>
      <c r="D149" s="21">
        <v>43964.0</v>
      </c>
      <c r="E149" s="5">
        <v>-0.00772867269677095</v>
      </c>
      <c r="F149" s="5">
        <v>0.896476447348837</v>
      </c>
    </row>
    <row r="150" ht="15.75" customHeight="1">
      <c r="A150" s="21"/>
      <c r="D150" s="21">
        <v>43965.0</v>
      </c>
      <c r="E150" s="5">
        <v>-0.00184088395235188</v>
      </c>
      <c r="F150" s="5">
        <v>0.894826138243251</v>
      </c>
    </row>
    <row r="151" ht="15.75" customHeight="1">
      <c r="A151" s="21"/>
      <c r="D151" s="21">
        <v>43966.0</v>
      </c>
      <c r="E151" s="5">
        <v>-0.00706104814404897</v>
      </c>
      <c r="F151" s="5">
        <v>0.888507727800562</v>
      </c>
    </row>
    <row r="152" ht="15.75" customHeight="1">
      <c r="A152" s="21"/>
      <c r="D152" s="21">
        <v>43969.0</v>
      </c>
      <c r="E152" s="5">
        <v>0.0125626810783963</v>
      </c>
      <c r="F152" s="5">
        <v>0.899669767020611</v>
      </c>
    </row>
    <row r="153" ht="15.75" customHeight="1">
      <c r="A153" s="21"/>
      <c r="D153" s="21">
        <v>43970.0</v>
      </c>
      <c r="E153" s="5">
        <v>-0.00123325980991788</v>
      </c>
      <c r="F153" s="5">
        <v>0.898560240454746</v>
      </c>
    </row>
    <row r="154" ht="15.75" customHeight="1">
      <c r="A154" s="21"/>
      <c r="D154" s="21">
        <v>43971.0</v>
      </c>
      <c r="E154" s="5">
        <v>0.017054613654505</v>
      </c>
      <c r="F154" s="5">
        <v>0.913884838201001</v>
      </c>
    </row>
    <row r="155" ht="15.75" customHeight="1">
      <c r="A155" s="21"/>
      <c r="D155" s="21">
        <v>43972.0</v>
      </c>
      <c r="E155" s="5">
        <v>-0.00345947791217744</v>
      </c>
      <c r="F155" s="5">
        <v>0.910723273788971</v>
      </c>
    </row>
    <row r="156" ht="15.75" customHeight="1">
      <c r="A156" s="21"/>
      <c r="D156" s="21">
        <v>43973.0</v>
      </c>
      <c r="E156" s="5">
        <v>3.58030747082431E-4</v>
      </c>
      <c r="F156" s="5">
        <v>0.911049340723071</v>
      </c>
    </row>
    <row r="157" ht="15.75" customHeight="1">
      <c r="A157" s="21"/>
      <c r="D157" s="21">
        <v>43977.0</v>
      </c>
      <c r="E157" s="5">
        <v>0.0135181497270394</v>
      </c>
      <c r="F157" s="5">
        <v>0.923365042119686</v>
      </c>
    </row>
    <row r="158" ht="15.75" customHeight="1">
      <c r="A158" s="21"/>
      <c r="D158" s="21">
        <v>43978.0</v>
      </c>
      <c r="E158" s="5">
        <v>0.00719423361513095</v>
      </c>
      <c r="F158" s="5">
        <v>0.93000794594474</v>
      </c>
    </row>
    <row r="159" ht="15.75" customHeight="1">
      <c r="A159" s="21"/>
      <c r="D159" s="21">
        <v>43979.0</v>
      </c>
      <c r="E159" s="5">
        <v>0.00298166859523316</v>
      </c>
      <c r="F159" s="5">
        <v>0.932780921430481</v>
      </c>
    </row>
    <row r="160" ht="15.75" customHeight="1">
      <c r="A160" s="21"/>
      <c r="D160" s="21">
        <v>43980.0</v>
      </c>
      <c r="E160" s="5">
        <v>0.00674577547852604</v>
      </c>
      <c r="F160" s="5">
        <v>0.939073252097103</v>
      </c>
    </row>
    <row r="161" ht="15.75" customHeight="1">
      <c r="A161" s="21"/>
      <c r="D161" s="21">
        <v>43983.0</v>
      </c>
      <c r="E161" s="5">
        <v>0.0132522361036186</v>
      </c>
      <c r="F161" s="5">
        <v>0.951518072552487</v>
      </c>
    </row>
    <row r="162" ht="15.75" customHeight="1">
      <c r="A162" s="21"/>
      <c r="D162" s="21">
        <v>43984.0</v>
      </c>
      <c r="E162" s="5">
        <v>0.0106571688740299</v>
      </c>
      <c r="F162" s="5">
        <v>0.96165856133837</v>
      </c>
    </row>
    <row r="163" ht="15.75" customHeight="1">
      <c r="A163" s="21"/>
      <c r="D163" s="21">
        <v>43985.0</v>
      </c>
      <c r="E163" s="5">
        <v>-0.00368753013339528</v>
      </c>
      <c r="F163" s="5">
        <v>0.958112416415398</v>
      </c>
    </row>
    <row r="164" ht="15.75" customHeight="1">
      <c r="A164" s="21"/>
      <c r="D164" s="21">
        <v>43986.0</v>
      </c>
      <c r="E164" s="5">
        <v>0.00344363093752014</v>
      </c>
      <c r="F164" s="5">
        <v>0.961411801974188</v>
      </c>
    </row>
    <row r="165" ht="15.75" customHeight="1">
      <c r="A165" s="21"/>
      <c r="D165" s="21">
        <v>43987.0</v>
      </c>
      <c r="E165" s="5">
        <v>0.0138331065832859</v>
      </c>
      <c r="F165" s="5">
        <v>0.974711113901326</v>
      </c>
    </row>
    <row r="166" ht="15.75" customHeight="1">
      <c r="A166" s="21"/>
      <c r="D166" s="21">
        <v>43990.0</v>
      </c>
      <c r="E166" s="5">
        <v>0.0132552132794027</v>
      </c>
      <c r="F166" s="5">
        <v>0.987631117601892</v>
      </c>
    </row>
    <row r="167" ht="15.75" customHeight="1">
      <c r="A167" s="21"/>
      <c r="D167" s="21">
        <v>43991.0</v>
      </c>
      <c r="E167" s="5">
        <v>-0.00296824355387966</v>
      </c>
      <c r="F167" s="5">
        <v>0.984699587903459</v>
      </c>
    </row>
    <row r="168" ht="15.75" customHeight="1">
      <c r="A168" s="21"/>
      <c r="D168" s="21">
        <v>43992.0</v>
      </c>
      <c r="E168" s="5">
        <v>0.0103318640205225</v>
      </c>
      <c r="F168" s="5">
        <v>0.994873370146742</v>
      </c>
    </row>
    <row r="169" ht="15.75" customHeight="1">
      <c r="A169" s="21"/>
      <c r="D169" s="21">
        <v>43993.0</v>
      </c>
      <c r="E169" s="5">
        <v>-0.0267971697787354</v>
      </c>
      <c r="F169" s="5">
        <v>0.968213579538577</v>
      </c>
    </row>
    <row r="170" ht="15.75" customHeight="1">
      <c r="A170" s="21"/>
      <c r="D170" s="21">
        <v>43994.0</v>
      </c>
      <c r="E170" s="5">
        <v>0.00265612184136589</v>
      </c>
      <c r="F170" s="5">
        <v>0.970785272774297</v>
      </c>
    </row>
    <row r="171" ht="15.75" customHeight="1">
      <c r="A171" s="21"/>
      <c r="D171" s="21">
        <v>43997.0</v>
      </c>
      <c r="E171" s="5">
        <v>-0.00379371092714327</v>
      </c>
      <c r="F171" s="5">
        <v>0.967102394077063</v>
      </c>
    </row>
    <row r="172" ht="15.75" customHeight="1">
      <c r="A172" s="21"/>
      <c r="D172" s="21">
        <v>43998.0</v>
      </c>
      <c r="E172" s="5">
        <v>-0.00904258908632338</v>
      </c>
      <c r="F172" s="5">
        <v>0.958357284523025</v>
      </c>
    </row>
    <row r="173" ht="15.75" customHeight="1">
      <c r="A173" s="21"/>
      <c r="D173" s="21">
        <v>43999.0</v>
      </c>
      <c r="E173" s="5">
        <v>0.00159432424836497</v>
      </c>
      <c r="F173" s="5">
        <v>0.959885216780337</v>
      </c>
    </row>
    <row r="174" ht="15.75" customHeight="1">
      <c r="A174" s="21"/>
      <c r="D174" s="21">
        <v>44000.0</v>
      </c>
      <c r="E174" s="5">
        <v>8.27671778644026E-4</v>
      </c>
      <c r="F174" s="5">
        <v>0.960679686685004</v>
      </c>
    </row>
    <row r="175" ht="15.75" customHeight="1">
      <c r="A175" s="21"/>
      <c r="D175" s="21">
        <v>44001.0</v>
      </c>
      <c r="E175" s="5">
        <v>0.010192909558884</v>
      </c>
      <c r="F175" s="5">
        <v>0.970471807846441</v>
      </c>
    </row>
    <row r="176" ht="15.75" customHeight="1">
      <c r="A176" s="21"/>
      <c r="D176" s="21">
        <v>44004.0</v>
      </c>
      <c r="E176" s="5">
        <v>0.00152759234545972</v>
      </c>
      <c r="F176" s="5">
        <v>0.971954293151591</v>
      </c>
    </row>
    <row r="177" ht="15.75" customHeight="1">
      <c r="A177" s="21"/>
      <c r="D177" s="21">
        <v>44005.0</v>
      </c>
      <c r="E177" s="5">
        <v>-0.0029220937111255</v>
      </c>
      <c r="F177" s="5">
        <v>0.969114151624072</v>
      </c>
    </row>
    <row r="178" ht="15.75" customHeight="1">
      <c r="A178" s="21"/>
      <c r="D178" s="21">
        <v>44006.0</v>
      </c>
      <c r="E178" s="5">
        <v>-0.0121303861905316</v>
      </c>
      <c r="F178" s="5">
        <v>0.957358422702162</v>
      </c>
    </row>
    <row r="179" ht="15.75" customHeight="1">
      <c r="A179" s="21"/>
      <c r="D179" s="21">
        <v>44007.0</v>
      </c>
      <c r="E179" s="5">
        <v>0.00802270696808398</v>
      </c>
      <c r="F179" s="5">
        <v>0.965039028790929</v>
      </c>
    </row>
    <row r="180" ht="15.75" customHeight="1">
      <c r="A180" s="21"/>
      <c r="D180" s="21">
        <v>44008.0</v>
      </c>
      <c r="E180" s="5">
        <v>-0.00907356254385121</v>
      </c>
      <c r="F180" s="5">
        <v>0.956282686805937</v>
      </c>
    </row>
    <row r="181" ht="15.75" customHeight="1">
      <c r="A181" s="21"/>
      <c r="D181" s="21">
        <v>44011.0</v>
      </c>
      <c r="E181" s="5">
        <v>9.7806317136769E-4</v>
      </c>
      <c r="F181" s="5">
        <v>0.957217991683318</v>
      </c>
    </row>
    <row r="182" ht="15.75" customHeight="1">
      <c r="A182" s="21"/>
      <c r="D182" s="21">
        <v>44012.0</v>
      </c>
      <c r="E182" s="5">
        <v>0.00990862192360798</v>
      </c>
      <c r="F182" s="5">
        <v>0.966702702861384</v>
      </c>
    </row>
    <row r="183" ht="15.75" customHeight="1">
      <c r="A183" s="21"/>
      <c r="D183" s="21">
        <v>44013.0</v>
      </c>
      <c r="E183" s="5">
        <v>-0.00855076139596163</v>
      </c>
      <c r="F183" s="5">
        <v>0.958436658708385</v>
      </c>
    </row>
    <row r="184" ht="15.75" customHeight="1">
      <c r="A184" s="21"/>
      <c r="D184" s="21">
        <v>44014.0</v>
      </c>
      <c r="E184" s="5">
        <v>0.00657972323995868</v>
      </c>
      <c r="F184" s="5">
        <v>0.964742906665717</v>
      </c>
    </row>
    <row r="185" ht="15.75" customHeight="1">
      <c r="A185" s="21"/>
      <c r="D185" s="21">
        <v>44018.0</v>
      </c>
      <c r="E185" s="5">
        <v>0.0123733745424881</v>
      </c>
      <c r="F185" s="5">
        <v>0.9766800319871</v>
      </c>
    </row>
    <row r="186" ht="15.75" customHeight="1">
      <c r="A186" s="21"/>
      <c r="D186" s="21">
        <v>44019.0</v>
      </c>
      <c r="E186" s="5">
        <v>-0.00305030498155982</v>
      </c>
      <c r="F186" s="5">
        <v>0.97370086002014</v>
      </c>
    </row>
    <row r="187" ht="15.75" customHeight="1">
      <c r="A187" s="21"/>
      <c r="D187" s="21">
        <v>44020.0</v>
      </c>
      <c r="E187" s="5">
        <v>0.00352778730845141</v>
      </c>
      <c r="F187" s="5">
        <v>0.977135869556347</v>
      </c>
    </row>
    <row r="188" ht="15.75" customHeight="1">
      <c r="A188" s="21"/>
      <c r="D188" s="21">
        <v>44021.0</v>
      </c>
      <c r="E188" s="5">
        <v>-0.00704922030738763</v>
      </c>
      <c r="F188" s="5">
        <v>0.970247823541594</v>
      </c>
    </row>
    <row r="189" ht="15.75" customHeight="1">
      <c r="A189" s="21"/>
      <c r="D189" s="21">
        <v>44022.0</v>
      </c>
      <c r="E189" s="5">
        <v>0.0118602204878999</v>
      </c>
      <c r="F189" s="5">
        <v>0.981755176656702</v>
      </c>
    </row>
    <row r="190" ht="15.75" customHeight="1">
      <c r="A190" s="21"/>
      <c r="D190" s="21">
        <v>44025.0</v>
      </c>
      <c r="E190" s="5">
        <v>-0.00449684041003521</v>
      </c>
      <c r="F190" s="5">
        <v>0.977340380305551</v>
      </c>
    </row>
    <row r="191" ht="15.75" customHeight="1">
      <c r="A191" s="21"/>
      <c r="D191" s="21">
        <v>44026.0</v>
      </c>
      <c r="E191" s="5">
        <v>0.00850464638094956</v>
      </c>
      <c r="F191" s="5">
        <v>0.985652314633873</v>
      </c>
    </row>
    <row r="192" ht="15.75" customHeight="1">
      <c r="A192" s="21"/>
      <c r="D192" s="21">
        <v>44027.0</v>
      </c>
      <c r="E192" s="5">
        <v>-1.02953470507738E-4</v>
      </c>
      <c r="F192" s="5">
        <v>0.985550838307367</v>
      </c>
    </row>
    <row r="193" ht="15.75" customHeight="1">
      <c r="A193" s="21"/>
      <c r="D193" s="21">
        <v>44028.0</v>
      </c>
      <c r="E193" s="5">
        <v>0.00731235423296278</v>
      </c>
      <c r="F193" s="5">
        <v>0.992757535151664</v>
      </c>
    </row>
    <row r="194" ht="15.75" customHeight="1">
      <c r="A194" s="21"/>
      <c r="D194" s="21">
        <v>44029.0</v>
      </c>
      <c r="E194" s="5">
        <v>0.00723337313892155</v>
      </c>
      <c r="F194" s="5">
        <v>0.999938520839892</v>
      </c>
    </row>
    <row r="195" ht="15.75" customHeight="1">
      <c r="A195" s="21"/>
      <c r="D195" s="21">
        <v>44032.0</v>
      </c>
      <c r="E195" s="5">
        <v>0.00127911823535452</v>
      </c>
      <c r="F195" s="5">
        <v>1.00121756043613</v>
      </c>
    </row>
    <row r="196" ht="15.75" customHeight="1">
      <c r="A196" s="21"/>
      <c r="D196" s="21">
        <v>44033.0</v>
      </c>
      <c r="E196" s="5">
        <v>0.00687846967940309</v>
      </c>
      <c r="F196" s="5">
        <v>1.00810440506807</v>
      </c>
    </row>
    <row r="197" ht="15.75" customHeight="1">
      <c r="A197" s="21"/>
      <c r="D197" s="21">
        <v>44034.0</v>
      </c>
      <c r="E197" s="5">
        <v>0.00514765299164034</v>
      </c>
      <c r="F197" s="5">
        <v>1.01329377672471</v>
      </c>
    </row>
    <row r="198" ht="15.75" customHeight="1">
      <c r="A198" s="21"/>
      <c r="D198" s="21">
        <v>44035.0</v>
      </c>
      <c r="E198" s="5">
        <v>0.00129297298469538</v>
      </c>
      <c r="F198" s="5">
        <v>1.01460393820357</v>
      </c>
    </row>
    <row r="199" ht="15.75" customHeight="1">
      <c r="A199" s="21"/>
      <c r="D199" s="21">
        <v>44036.0</v>
      </c>
      <c r="E199" s="5">
        <v>-3.94221591976586E-4</v>
      </c>
      <c r="F199" s="5">
        <v>1.01420395942383</v>
      </c>
    </row>
    <row r="200" ht="15.75" customHeight="1">
      <c r="A200" s="21"/>
      <c r="D200" s="21">
        <v>44039.0</v>
      </c>
      <c r="E200" s="5">
        <v>0.00510146094269857</v>
      </c>
      <c r="F200" s="5">
        <v>1.01937788131076</v>
      </c>
    </row>
    <row r="201" ht="15.75" customHeight="1">
      <c r="A201" s="21"/>
      <c r="D201" s="21">
        <v>44040.0</v>
      </c>
      <c r="E201" s="5">
        <v>-0.00370811972581232</v>
      </c>
      <c r="F201" s="5">
        <v>1.01559790608101</v>
      </c>
    </row>
    <row r="202" ht="15.75" customHeight="1">
      <c r="A202" s="21"/>
      <c r="D202" s="21">
        <v>44041.0</v>
      </c>
      <c r="E202" s="5">
        <v>0.00366332110019158</v>
      </c>
      <c r="F202" s="5">
        <v>1.01931836731967</v>
      </c>
    </row>
    <row r="203" ht="15.75" customHeight="1">
      <c r="A203" s="21"/>
      <c r="D203" s="21">
        <v>44042.0</v>
      </c>
      <c r="E203" s="5">
        <v>-0.00664281513564563</v>
      </c>
      <c r="F203" s="5">
        <v>1.0125472238412</v>
      </c>
    </row>
    <row r="204" ht="15.75" customHeight="1">
      <c r="A204" s="21"/>
      <c r="D204" s="21">
        <v>44043.0</v>
      </c>
      <c r="E204" s="5">
        <v>0.00209214598150165</v>
      </c>
      <c r="F204" s="5">
        <v>1.01466562044664</v>
      </c>
    </row>
    <row r="205" ht="15.75" customHeight="1">
      <c r="A205" s="21"/>
      <c r="D205" s="21">
        <v>44046.0</v>
      </c>
      <c r="E205" s="5">
        <v>-0.00299565460561387</v>
      </c>
      <c r="F205" s="5">
        <v>1.01162603270759</v>
      </c>
    </row>
    <row r="206" ht="15.75" customHeight="1">
      <c r="A206" s="21"/>
      <c r="D206" s="21">
        <v>44047.0</v>
      </c>
      <c r="E206" s="5">
        <v>0.00883859046479111</v>
      </c>
      <c r="F206" s="5">
        <v>1.02056738091421</v>
      </c>
    </row>
    <row r="207" ht="15.75" customHeight="1">
      <c r="A207" s="21"/>
      <c r="D207" s="21">
        <v>44048.0</v>
      </c>
      <c r="E207" s="5">
        <v>0.0025770412419567</v>
      </c>
      <c r="F207" s="5">
        <v>1.02319742514502</v>
      </c>
    </row>
    <row r="208" ht="15.75" customHeight="1">
      <c r="A208" s="21"/>
      <c r="D208" s="21">
        <v>44049.0</v>
      </c>
      <c r="E208" s="5">
        <v>-0.00211276839024234</v>
      </c>
      <c r="F208" s="5">
        <v>1.0210356459682</v>
      </c>
    </row>
    <row r="209" ht="15.75" customHeight="1">
      <c r="A209" s="21"/>
      <c r="D209" s="21">
        <v>44050.0</v>
      </c>
      <c r="E209" s="5">
        <v>0.00243381836288544</v>
      </c>
      <c r="F209" s="5">
        <v>1.02352066127252</v>
      </c>
    </row>
    <row r="210" ht="15.75" customHeight="1">
      <c r="A210" s="21"/>
      <c r="D210" s="21">
        <v>44053.0</v>
      </c>
      <c r="E210" s="5">
        <v>-8.25007021022448E-4</v>
      </c>
      <c r="F210" s="5">
        <v>1.02267624954081</v>
      </c>
    </row>
    <row r="211" ht="15.75" customHeight="1">
      <c r="A211" s="21"/>
      <c r="D211" s="21">
        <v>44054.0</v>
      </c>
      <c r="E211" s="5">
        <v>0.00348804007219368</v>
      </c>
      <c r="F211" s="5">
        <v>1.02624338528009</v>
      </c>
    </row>
    <row r="212" ht="15.75" customHeight="1">
      <c r="A212" s="21"/>
      <c r="D212" s="21">
        <v>44055.0</v>
      </c>
      <c r="E212" s="5">
        <v>0.00539936243105931</v>
      </c>
      <c r="F212" s="5">
        <v>1.03178444525969</v>
      </c>
    </row>
    <row r="213" ht="15.75" customHeight="1">
      <c r="A213" s="21"/>
      <c r="D213" s="21">
        <v>44056.0</v>
      </c>
      <c r="E213" s="5">
        <v>0.00400240839045246</v>
      </c>
      <c r="F213" s="5">
        <v>1.03591406798054</v>
      </c>
    </row>
    <row r="214" ht="15.75" customHeight="1">
      <c r="A214" s="21"/>
      <c r="D214" s="21">
        <v>44057.0</v>
      </c>
      <c r="E214" s="5">
        <v>9.72398271237532E-4</v>
      </c>
      <c r="F214" s="5">
        <v>1.03692138902939</v>
      </c>
    </row>
    <row r="215" ht="15.75" customHeight="1">
      <c r="A215" s="21"/>
      <c r="D215" s="21">
        <v>44060.0</v>
      </c>
      <c r="E215" s="5">
        <v>0.0152476636141906</v>
      </c>
      <c r="F215" s="5">
        <v>1.05273201756367</v>
      </c>
    </row>
    <row r="216" ht="15.75" customHeight="1">
      <c r="A216" s="21"/>
      <c r="D216" s="21">
        <v>44061.0</v>
      </c>
      <c r="E216" s="5">
        <v>0.00270856602836363</v>
      </c>
      <c r="F216" s="5">
        <v>1.05558341174342</v>
      </c>
    </row>
    <row r="217" ht="15.75" customHeight="1">
      <c r="A217" s="21"/>
      <c r="D217" s="21">
        <v>44062.0</v>
      </c>
      <c r="E217" s="5">
        <v>-0.00118253898097227</v>
      </c>
      <c r="F217" s="5">
        <v>1.05433514321136</v>
      </c>
    </row>
    <row r="218" ht="15.75" customHeight="1">
      <c r="A218" s="21"/>
      <c r="D218" s="21">
        <v>44063.0</v>
      </c>
      <c r="E218" s="7">
        <v>-3.43140583961255E-5</v>
      </c>
      <c r="F218" s="5">
        <v>1.05429896469369</v>
      </c>
    </row>
    <row r="219" ht="15.75" customHeight="1">
      <c r="A219" s="21"/>
      <c r="D219" s="21">
        <v>44064.0</v>
      </c>
      <c r="E219" s="5">
        <v>-0.0035375311120084</v>
      </c>
      <c r="F219" s="5">
        <v>1.05056934930473</v>
      </c>
    </row>
    <row r="220" ht="15.75" customHeight="1">
      <c r="A220" s="21"/>
      <c r="D220" s="21">
        <v>44067.0</v>
      </c>
      <c r="E220" s="5">
        <v>0.00445291257911219</v>
      </c>
      <c r="F220" s="5">
        <v>1.05524744277547</v>
      </c>
    </row>
    <row r="221" ht="15.75" customHeight="1">
      <c r="A221" s="21"/>
      <c r="D221" s="21">
        <v>44068.0</v>
      </c>
      <c r="E221" s="5">
        <v>0.00169713548462051</v>
      </c>
      <c r="F221" s="5">
        <v>1.05703834065566</v>
      </c>
    </row>
    <row r="222" ht="15.75" customHeight="1">
      <c r="A222" s="21"/>
      <c r="D222" s="21">
        <v>44069.0</v>
      </c>
      <c r="E222" s="5">
        <v>-5.48146051477177E-4</v>
      </c>
      <c r="F222" s="5">
        <v>1.05645892926297</v>
      </c>
    </row>
    <row r="223" ht="15.75" customHeight="1">
      <c r="A223" s="21"/>
      <c r="D223" s="21">
        <v>44070.0</v>
      </c>
      <c r="E223" s="7">
        <v>9.72654814924574E-5</v>
      </c>
      <c r="F223" s="5">
        <v>1.0565616862494</v>
      </c>
    </row>
    <row r="224" ht="15.75" customHeight="1">
      <c r="A224" s="21"/>
      <c r="D224" s="21">
        <v>44071.0</v>
      </c>
      <c r="E224" s="5">
        <v>0.00787650646891098</v>
      </c>
      <c r="F224" s="5">
        <v>1.06488370120595</v>
      </c>
    </row>
    <row r="225" ht="15.75" customHeight="1">
      <c r="A225" s="21"/>
      <c r="D225" s="21">
        <v>44074.0</v>
      </c>
      <c r="E225" s="5">
        <v>-0.00535193791346855</v>
      </c>
      <c r="F225" s="5">
        <v>1.05918450975203</v>
      </c>
    </row>
    <row r="226" ht="15.75" customHeight="1">
      <c r="A226" s="21"/>
      <c r="D226" s="21">
        <v>44075.0</v>
      </c>
      <c r="E226" s="7">
        <v>-5.61626808385205E-5</v>
      </c>
      <c r="F226" s="5">
        <v>1.05912502311046</v>
      </c>
    </row>
    <row r="227" ht="15.75" customHeight="1">
      <c r="A227" s="21"/>
      <c r="D227" s="21">
        <v>44076.0</v>
      </c>
      <c r="E227" s="5">
        <v>0.00997736854344312</v>
      </c>
      <c r="F227" s="5">
        <v>1.06969230379962</v>
      </c>
    </row>
    <row r="228" ht="15.75" customHeight="1">
      <c r="A228" s="21"/>
      <c r="D228" s="21">
        <v>44077.0</v>
      </c>
      <c r="E228" s="5">
        <v>-0.0123718117149477</v>
      </c>
      <c r="F228" s="5">
        <v>1.05645827202408</v>
      </c>
    </row>
    <row r="229" ht="15.75" customHeight="1">
      <c r="A229" s="21"/>
      <c r="D229" s="21">
        <v>44078.0</v>
      </c>
      <c r="E229" s="5">
        <v>-0.00610084336425483</v>
      </c>
      <c r="F229" s="5">
        <v>1.05001298558559</v>
      </c>
    </row>
    <row r="230" ht="15.75" customHeight="1">
      <c r="A230" s="21"/>
      <c r="D230" s="21">
        <v>44082.0</v>
      </c>
      <c r="E230" s="5">
        <v>-0.00904700661080431</v>
      </c>
      <c r="F230" s="5">
        <v>1.04051351116357</v>
      </c>
    </row>
    <row r="231" ht="15.75" customHeight="1">
      <c r="A231" s="21"/>
      <c r="D231" s="21">
        <v>44083.0</v>
      </c>
      <c r="E231" s="5">
        <v>0.0121664817023333</v>
      </c>
      <c r="F231" s="5">
        <v>1.05317289975817</v>
      </c>
    </row>
    <row r="232" ht="15.75" customHeight="1">
      <c r="A232" s="21"/>
      <c r="D232" s="21">
        <v>44084.0</v>
      </c>
      <c r="E232" s="5">
        <v>-0.0153785936083977</v>
      </c>
      <c r="F232" s="5">
        <v>1.03697658173341</v>
      </c>
    </row>
    <row r="233" ht="15.75" customHeight="1">
      <c r="A233" s="21"/>
      <c r="D233" s="21">
        <v>44085.0</v>
      </c>
      <c r="E233" s="5">
        <v>0.0110598126921732</v>
      </c>
      <c r="F233" s="5">
        <v>1.04844534849355</v>
      </c>
    </row>
    <row r="234" ht="15.75" customHeight="1">
      <c r="A234" s="21"/>
      <c r="D234" s="21">
        <v>44088.0</v>
      </c>
      <c r="E234" s="5">
        <v>0.00622254687896799</v>
      </c>
      <c r="F234" s="5">
        <v>1.05496934882459</v>
      </c>
    </row>
    <row r="235" ht="15.75" customHeight="1">
      <c r="A235" s="21"/>
      <c r="D235" s="21">
        <v>44089.0</v>
      </c>
      <c r="E235" s="5">
        <v>-7.35217901117703E-4</v>
      </c>
      <c r="F235" s="5">
        <v>1.0541937164742</v>
      </c>
    </row>
    <row r="236" ht="15.75" customHeight="1">
      <c r="A236" s="21"/>
      <c r="D236" s="21">
        <v>44090.0</v>
      </c>
      <c r="E236" s="5">
        <v>0.0020408491033502</v>
      </c>
      <c r="F236" s="5">
        <v>1.05634516677523</v>
      </c>
    </row>
    <row r="237" ht="15.75" customHeight="1">
      <c r="A237" s="21"/>
      <c r="D237" s="21">
        <v>44091.0</v>
      </c>
      <c r="E237" s="5">
        <v>-0.00635805561091589</v>
      </c>
      <c r="F237" s="5">
        <v>1.04962886546055</v>
      </c>
    </row>
    <row r="238" ht="15.75" customHeight="1">
      <c r="A238" s="21"/>
      <c r="D238" s="21">
        <v>44092.0</v>
      </c>
      <c r="E238" s="5">
        <v>-0.00477307268202599</v>
      </c>
      <c r="F238" s="5">
        <v>1.04461891059655</v>
      </c>
    </row>
    <row r="239" ht="15.75" customHeight="1">
      <c r="A239" s="21"/>
      <c r="D239" s="21">
        <v>44095.0</v>
      </c>
      <c r="E239" s="5">
        <v>-0.0128438091518647</v>
      </c>
      <c r="F239" s="5">
        <v>1.03120202467242</v>
      </c>
    </row>
    <row r="240" ht="15.75" customHeight="1">
      <c r="A240" s="21"/>
      <c r="D240" s="21">
        <v>44096.0</v>
      </c>
      <c r="E240" s="5">
        <v>0.00511305673069442</v>
      </c>
      <c r="F240" s="5">
        <v>1.03647461912538</v>
      </c>
    </row>
    <row r="241" ht="15.75" customHeight="1">
      <c r="A241" s="21"/>
      <c r="D241" s="21">
        <v>44097.0</v>
      </c>
      <c r="E241" s="5">
        <v>-0.0124475943933786</v>
      </c>
      <c r="F241" s="5">
        <v>1.02357300346747</v>
      </c>
    </row>
    <row r="242" ht="15.75" customHeight="1">
      <c r="A242" s="21"/>
      <c r="D242" s="21">
        <v>44098.0</v>
      </c>
      <c r="E242" s="5">
        <v>0.0045369572164983</v>
      </c>
      <c r="F242" s="5">
        <v>1.02821691039217</v>
      </c>
    </row>
    <row r="243" ht="15.75" customHeight="1">
      <c r="A243" s="21"/>
      <c r="D243" s="21">
        <v>44099.0</v>
      </c>
      <c r="E243" s="5">
        <v>0.005045234387243</v>
      </c>
      <c r="F243" s="5">
        <v>1.03340450570602</v>
      </c>
    </row>
    <row r="244" ht="15.75" customHeight="1">
      <c r="A244" s="21"/>
      <c r="D244" s="21">
        <v>44102.0</v>
      </c>
      <c r="E244" s="5">
        <v>0.00221624723685242</v>
      </c>
      <c r="F244" s="5">
        <v>1.03569478558635</v>
      </c>
    </row>
    <row r="245" ht="15.75" customHeight="1">
      <c r="A245" s="21"/>
      <c r="D245" s="21">
        <v>44103.0</v>
      </c>
      <c r="E245" s="5">
        <v>-0.00405131094271055</v>
      </c>
      <c r="F245" s="5">
        <v>1.03149886396819</v>
      </c>
    </row>
    <row r="246" ht="15.75" customHeight="1">
      <c r="A246" s="21"/>
      <c r="D246" s="21">
        <v>44104.0</v>
      </c>
      <c r="E246" s="5">
        <v>6.87600895903664E-4</v>
      </c>
      <c r="F246" s="5">
        <v>1.03220812351118</v>
      </c>
    </row>
    <row r="247" ht="15.75" customHeight="1">
      <c r="A247" s="21"/>
      <c r="D247" s="21">
        <v>44105.0</v>
      </c>
      <c r="E247" s="5">
        <v>-5.43832977188137E-4</v>
      </c>
      <c r="F247" s="5">
        <v>1.03164677469429</v>
      </c>
    </row>
    <row r="248" ht="15.75" customHeight="1">
      <c r="A248" s="21"/>
      <c r="D248" s="21">
        <v>44106.0</v>
      </c>
      <c r="E248" s="5">
        <v>0.00262604739223732</v>
      </c>
      <c r="F248" s="5">
        <v>1.03435592801669</v>
      </c>
    </row>
    <row r="249" ht="15.75" customHeight="1">
      <c r="A249" s="21"/>
      <c r="D249" s="21">
        <v>44109.0</v>
      </c>
      <c r="E249" s="5">
        <v>0.0114902428060017</v>
      </c>
      <c r="F249" s="5">
        <v>1.04624092877743</v>
      </c>
    </row>
    <row r="250" ht="15.75" customHeight="1">
      <c r="A250" s="21"/>
      <c r="D250" s="21">
        <v>44110.0</v>
      </c>
      <c r="E250" s="5">
        <v>-0.00811749692050706</v>
      </c>
      <c r="F250" s="5">
        <v>1.03774807125997</v>
      </c>
    </row>
    <row r="251" ht="15.75" customHeight="1">
      <c r="A251" s="21"/>
      <c r="D251" s="21">
        <v>44111.0</v>
      </c>
      <c r="E251" s="5">
        <v>0.0113809229886186</v>
      </c>
      <c r="F251" s="5">
        <v>1.04955860214057</v>
      </c>
    </row>
    <row r="252" ht="15.75" customHeight="1">
      <c r="A252" s="21"/>
      <c r="D252" s="21">
        <v>44112.0</v>
      </c>
      <c r="E252" s="5">
        <v>0.0068123165110686</v>
      </c>
      <c r="F252" s="5">
        <v>1.05670852753526</v>
      </c>
    </row>
    <row r="253" ht="15.75" customHeight="1">
      <c r="A253" s="21"/>
      <c r="D253" s="21">
        <v>44113.0</v>
      </c>
      <c r="E253" s="5">
        <v>0.00587480168589987</v>
      </c>
      <c r="F253" s="5">
        <v>1.06291648057433</v>
      </c>
    </row>
    <row r="254" ht="15.75" customHeight="1">
      <c r="A254" s="21"/>
      <c r="D254" s="21">
        <v>44116.0</v>
      </c>
      <c r="E254" s="5">
        <v>0.0141835853091765</v>
      </c>
      <c r="F254" s="5">
        <v>1.07799244715309</v>
      </c>
    </row>
    <row r="255" ht="15.75" customHeight="1">
      <c r="A255" s="21"/>
      <c r="D255" s="21">
        <v>44117.0</v>
      </c>
      <c r="E255" s="5">
        <v>-0.00567782453927732</v>
      </c>
      <c r="F255" s="5">
        <v>1.07187179518348</v>
      </c>
    </row>
    <row r="256" ht="15.75" customHeight="1">
      <c r="A256" s="21"/>
      <c r="D256" s="21">
        <v>44118.0</v>
      </c>
      <c r="E256" s="5">
        <v>0.00515966026319114</v>
      </c>
      <c r="F256" s="5">
        <v>1.07740228949233</v>
      </c>
    </row>
    <row r="257" ht="15.75" customHeight="1">
      <c r="A257" s="21"/>
      <c r="D257" s="21">
        <v>44119.0</v>
      </c>
      <c r="E257" s="5">
        <v>-0.00217279888442214</v>
      </c>
      <c r="F257" s="5">
        <v>1.07506131099965</v>
      </c>
    </row>
    <row r="258" ht="15.75" customHeight="1">
      <c r="A258" s="21"/>
      <c r="D258" s="21">
        <v>44120.0</v>
      </c>
      <c r="E258" s="5">
        <v>9.9136482275726E-4</v>
      </c>
      <c r="F258" s="5">
        <v>1.07612708896568</v>
      </c>
    </row>
    <row r="259" ht="15.75" customHeight="1">
      <c r="A259" s="21"/>
      <c r="D259" s="21">
        <v>44123.0</v>
      </c>
      <c r="E259" s="5">
        <v>-0.00563166427833358</v>
      </c>
      <c r="F259" s="5">
        <v>1.0700667024798</v>
      </c>
    </row>
    <row r="260" ht="15.75" customHeight="1">
      <c r="A260" s="21"/>
      <c r="D260" s="21">
        <v>44124.0</v>
      </c>
      <c r="E260" s="5">
        <v>-0.00287589820235384</v>
      </c>
      <c r="F260" s="5">
        <v>1.06698929957374</v>
      </c>
    </row>
    <row r="261" ht="15.75" customHeight="1">
      <c r="A261" s="21"/>
      <c r="D261" s="21">
        <v>44125.0</v>
      </c>
      <c r="E261" s="5">
        <v>-6.65291396164593E-4</v>
      </c>
      <c r="F261" s="5">
        <v>1.06627944077294</v>
      </c>
    </row>
    <row r="262" ht="15.75" customHeight="1">
      <c r="A262" s="21"/>
      <c r="D262" s="21">
        <v>44126.0</v>
      </c>
      <c r="E262" s="5">
        <v>0.00756942562503978</v>
      </c>
      <c r="F262" s="5">
        <v>1.07435056369538</v>
      </c>
    </row>
    <row r="263" ht="15.75" customHeight="1">
      <c r="A263" s="21"/>
      <c r="D263" s="21">
        <v>44127.0</v>
      </c>
      <c r="E263" s="5">
        <v>0.00284541075897263</v>
      </c>
      <c r="F263" s="5">
        <v>1.07740753234822</v>
      </c>
    </row>
    <row r="264" ht="15.75" customHeight="1">
      <c r="A264" s="21"/>
      <c r="D264" s="21">
        <v>44130.0</v>
      </c>
      <c r="E264" s="5">
        <v>-0.0114711301682028</v>
      </c>
      <c r="F264" s="5">
        <v>1.06504845030045</v>
      </c>
    </row>
    <row r="265" ht="15.75" customHeight="1">
      <c r="A265" s="21"/>
      <c r="D265" s="21">
        <v>44131.0</v>
      </c>
      <c r="E265" s="5">
        <v>-7.57092310807492E-4</v>
      </c>
      <c r="F265" s="5">
        <v>1.06424211030809</v>
      </c>
    </row>
    <row r="266" ht="15.75" customHeight="1">
      <c r="A266" s="21"/>
      <c r="D266" s="21">
        <v>44132.0</v>
      </c>
      <c r="E266" s="5">
        <v>-0.0211810203121942</v>
      </c>
      <c r="F266" s="5">
        <v>1.04170037655257</v>
      </c>
    </row>
    <row r="267" ht="15.75" customHeight="1">
      <c r="A267" s="21"/>
      <c r="D267" s="21">
        <v>44133.0</v>
      </c>
      <c r="E267" s="5">
        <v>0.00751325288315268</v>
      </c>
      <c r="F267" s="5">
        <v>1.04952693491008</v>
      </c>
    </row>
    <row r="268" ht="15.75" customHeight="1">
      <c r="A268" s="21"/>
      <c r="D268" s="21">
        <v>44134.0</v>
      </c>
      <c r="E268" s="5">
        <v>0.00332203306260391</v>
      </c>
      <c r="F268" s="5">
        <v>1.05301349808795</v>
      </c>
    </row>
    <row r="269" ht="15.75" customHeight="1">
      <c r="A269" s="21"/>
      <c r="D269" s="21">
        <v>44137.0</v>
      </c>
      <c r="E269" s="5">
        <v>0.00208869395132806</v>
      </c>
      <c r="F269" s="5">
        <v>1.05521292101207</v>
      </c>
    </row>
    <row r="270" ht="15.75" customHeight="1">
      <c r="A270" s="21"/>
      <c r="D270" s="21">
        <v>44138.0</v>
      </c>
      <c r="E270" s="5">
        <v>0.00664477551284038</v>
      </c>
      <c r="F270" s="5">
        <v>1.06222457399044</v>
      </c>
    </row>
    <row r="271" ht="15.75" customHeight="1">
      <c r="A271" s="21"/>
      <c r="D271" s="21">
        <v>44139.0</v>
      </c>
      <c r="E271" s="5">
        <v>-0.00746333259455776</v>
      </c>
      <c r="F271" s="5">
        <v>1.05429683870464</v>
      </c>
    </row>
    <row r="272" ht="15.75" customHeight="1">
      <c r="A272" s="21"/>
      <c r="D272" s="21">
        <v>44140.0</v>
      </c>
      <c r="E272" s="5">
        <v>0.016192577495587</v>
      </c>
      <c r="F272" s="5">
        <v>1.07136862196872</v>
      </c>
    </row>
    <row r="273" ht="15.75" customHeight="1">
      <c r="A273" s="21"/>
      <c r="D273" s="21">
        <v>44141.0</v>
      </c>
      <c r="E273" s="5">
        <v>7.02990198512146E-4</v>
      </c>
      <c r="F273" s="5">
        <v>1.07212178360895</v>
      </c>
    </row>
    <row r="274" ht="15.75" customHeight="1">
      <c r="A274" s="21"/>
      <c r="D274" s="21">
        <v>44144.0</v>
      </c>
      <c r="E274" s="5">
        <v>0.0205218494540702</v>
      </c>
      <c r="F274" s="5">
        <v>1.09412370544861</v>
      </c>
    </row>
    <row r="275" ht="15.75" customHeight="1">
      <c r="A275" s="21"/>
      <c r="D275" s="21">
        <v>44145.0</v>
      </c>
      <c r="E275" s="5">
        <v>0.0168098753977822</v>
      </c>
      <c r="F275" s="5">
        <v>1.11251578860696</v>
      </c>
    </row>
    <row r="276" ht="15.75" customHeight="1">
      <c r="A276" s="21"/>
      <c r="D276" s="21">
        <v>44146.0</v>
      </c>
      <c r="E276" s="5">
        <v>-0.004193071527298</v>
      </c>
      <c r="F276" s="5">
        <v>1.10785093033008</v>
      </c>
    </row>
    <row r="277" ht="15.75" customHeight="1">
      <c r="A277" s="21"/>
      <c r="D277" s="21">
        <v>44147.0</v>
      </c>
      <c r="E277" s="5">
        <v>-0.00476287393751036</v>
      </c>
      <c r="F277" s="5">
        <v>1.10257437600736</v>
      </c>
    </row>
    <row r="278" ht="15.75" customHeight="1">
      <c r="A278" s="21"/>
      <c r="D278" s="21">
        <v>44148.0</v>
      </c>
      <c r="E278" s="5">
        <v>0.00770124203412996</v>
      </c>
      <c r="F278" s="5">
        <v>1.11106556813763</v>
      </c>
    </row>
    <row r="279" ht="15.75" customHeight="1">
      <c r="A279" s="21"/>
      <c r="D279" s="21">
        <v>44151.0</v>
      </c>
      <c r="E279" s="5">
        <v>0.0239766328460812</v>
      </c>
      <c r="F279" s="5">
        <v>1.13770517933279</v>
      </c>
    </row>
    <row r="280" ht="15.75" customHeight="1">
      <c r="A280" s="21"/>
      <c r="D280" s="21">
        <v>44152.0</v>
      </c>
      <c r="E280" s="5">
        <v>0.00897333056875381</v>
      </c>
      <c r="F280" s="5">
        <v>1.14791418399672</v>
      </c>
    </row>
    <row r="281" ht="15.75" customHeight="1">
      <c r="A281" s="21"/>
      <c r="D281" s="21">
        <v>44153.0</v>
      </c>
      <c r="E281" s="5">
        <v>-0.0051156054250175</v>
      </c>
      <c r="F281" s="5">
        <v>1.14204190796961</v>
      </c>
    </row>
    <row r="282" ht="15.75" customHeight="1">
      <c r="A282" s="21"/>
      <c r="D282" s="21">
        <v>44154.0</v>
      </c>
      <c r="E282" s="5">
        <v>-0.0041728527972803</v>
      </c>
      <c r="F282" s="5">
        <v>1.13727633519933</v>
      </c>
    </row>
    <row r="283" ht="15.75" customHeight="1">
      <c r="A283" s="21"/>
      <c r="D283" s="21">
        <v>44155.0</v>
      </c>
      <c r="E283" s="5">
        <v>0.00197381223037731</v>
      </c>
      <c r="F283" s="5">
        <v>1.13952110513907</v>
      </c>
    </row>
    <row r="284" ht="15.75" customHeight="1">
      <c r="A284" s="21"/>
      <c r="D284" s="21">
        <v>44158.0</v>
      </c>
      <c r="E284" s="5">
        <v>0.00532979499005275</v>
      </c>
      <c r="F284" s="5">
        <v>1.1455945190163</v>
      </c>
    </row>
    <row r="285" ht="15.75" customHeight="1">
      <c r="A285" s="21"/>
      <c r="D285" s="21">
        <v>44159.0</v>
      </c>
      <c r="E285" s="5">
        <v>0.00240833961209671</v>
      </c>
      <c r="F285" s="5">
        <v>1.14835349967584</v>
      </c>
    </row>
    <row r="286" ht="15.75" customHeight="1">
      <c r="A286" s="21"/>
      <c r="D286" s="21">
        <v>44160.0</v>
      </c>
      <c r="E286" s="5">
        <v>-1.44521445154203E-4</v>
      </c>
      <c r="F286" s="5">
        <v>1.14818753796852</v>
      </c>
    </row>
    <row r="287" ht="15.75" customHeight="1">
      <c r="A287" s="21"/>
      <c r="D287" s="21">
        <v>44162.0</v>
      </c>
      <c r="E287" s="5">
        <v>-0.00273684962770268</v>
      </c>
      <c r="F287" s="5">
        <v>1.1450451213327</v>
      </c>
    </row>
    <row r="288" ht="15.75" customHeight="1">
      <c r="A288" s="21"/>
      <c r="D288" s="21">
        <v>44165.0</v>
      </c>
      <c r="E288" s="5">
        <v>-0.00479959002795491</v>
      </c>
      <c r="F288" s="5">
        <v>1.13954937418679</v>
      </c>
    </row>
    <row r="289" ht="15.75" customHeight="1">
      <c r="A289" s="21"/>
      <c r="D289" s="21">
        <v>44166.0</v>
      </c>
      <c r="E289" s="5">
        <v>0.00683463909060375</v>
      </c>
      <c r="F289" s="5">
        <v>1.14733778288528</v>
      </c>
    </row>
    <row r="290" ht="15.75" customHeight="1">
      <c r="A290" s="21"/>
      <c r="D290" s="21">
        <v>44167.0</v>
      </c>
      <c r="E290" s="5">
        <v>0.00732078046833443</v>
      </c>
      <c r="F290" s="5">
        <v>1.15573719091681</v>
      </c>
    </row>
    <row r="291" ht="15.75" customHeight="1">
      <c r="A291" s="21"/>
      <c r="D291" s="21">
        <v>44168.0</v>
      </c>
      <c r="E291" s="5">
        <v>3.57990588982522E-4</v>
      </c>
      <c r="F291" s="5">
        <v>1.1561509339545</v>
      </c>
    </row>
    <row r="292" ht="15.75" customHeight="1">
      <c r="A292" s="21"/>
      <c r="D292" s="21">
        <v>44169.0</v>
      </c>
      <c r="E292" s="5">
        <v>0.00506979121660627</v>
      </c>
      <c r="F292" s="5">
        <v>1.16201237780453</v>
      </c>
    </row>
    <row r="293" ht="15.75" customHeight="1">
      <c r="A293" s="21"/>
      <c r="D293" s="21">
        <v>44172.0</v>
      </c>
      <c r="E293" s="5">
        <v>-0.00169651975383305</v>
      </c>
      <c r="F293" s="5">
        <v>1.16004100085139</v>
      </c>
    </row>
    <row r="294" ht="15.75" customHeight="1">
      <c r="A294" s="21"/>
      <c r="D294" s="21">
        <v>44173.0</v>
      </c>
      <c r="E294" s="5">
        <v>-2.83502173279001E-4</v>
      </c>
      <c r="F294" s="5">
        <v>1.15971212670655</v>
      </c>
    </row>
    <row r="295" ht="15.75" customHeight="1">
      <c r="A295" s="21"/>
      <c r="D295" s="21">
        <v>44174.0</v>
      </c>
      <c r="E295" s="5">
        <v>0.00549717940915415</v>
      </c>
      <c r="F295" s="5">
        <v>1.16608727233003</v>
      </c>
    </row>
    <row r="296" ht="15.75" customHeight="1">
      <c r="A296" s="21"/>
      <c r="D296" s="21">
        <v>44175.0</v>
      </c>
      <c r="E296" s="5">
        <v>0.00292650944152158</v>
      </c>
      <c r="F296" s="5">
        <v>1.16949983774214</v>
      </c>
    </row>
    <row r="297" ht="15.75" customHeight="1">
      <c r="A297" s="21"/>
      <c r="D297" s="21">
        <v>44176.0</v>
      </c>
      <c r="E297" s="5">
        <v>1.43655134861278E-4</v>
      </c>
      <c r="F297" s="5">
        <v>1.16966784239905</v>
      </c>
    </row>
    <row r="298" ht="15.75" customHeight="1">
      <c r="A298" s="21"/>
      <c r="D298" s="21">
        <v>44179.0</v>
      </c>
      <c r="E298" s="5">
        <v>-5.58958190920615E-4</v>
      </c>
      <c r="F298" s="5">
        <v>1.16901404697789</v>
      </c>
    </row>
    <row r="299" ht="15.75" customHeight="1">
      <c r="A299" s="21"/>
      <c r="D299" s="21">
        <v>44180.0</v>
      </c>
      <c r="E299" s="5">
        <v>0.00435315579172427</v>
      </c>
      <c r="F299" s="5">
        <v>1.1741029472471</v>
      </c>
    </row>
    <row r="300" ht="15.75" customHeight="1">
      <c r="A300" s="21"/>
      <c r="D300" s="21">
        <v>44181.0</v>
      </c>
      <c r="E300" s="5">
        <v>-0.0014154784078063</v>
      </c>
      <c r="F300" s="5">
        <v>1.17244102987673</v>
      </c>
    </row>
    <row r="301" ht="15.75" customHeight="1">
      <c r="A301" s="21"/>
      <c r="D301" s="21">
        <v>44182.0</v>
      </c>
      <c r="E301" s="5">
        <v>0.00561799717194259</v>
      </c>
      <c r="F301" s="5">
        <v>1.17902780026684</v>
      </c>
    </row>
    <row r="302" ht="15.75" customHeight="1">
      <c r="A302" s="21"/>
      <c r="D302" s="21">
        <v>44183.0</v>
      </c>
      <c r="E302" s="5">
        <v>-0.0068638836233197</v>
      </c>
      <c r="F302" s="5">
        <v>1.17093509065715</v>
      </c>
    </row>
    <row r="303" ht="15.75" customHeight="1">
      <c r="A303" s="21"/>
      <c r="D303" s="21">
        <v>44186.0</v>
      </c>
      <c r="E303" s="5">
        <v>-0.00570176840758749</v>
      </c>
      <c r="F303" s="5">
        <v>1.16425868994991</v>
      </c>
    </row>
    <row r="304" ht="15.75" customHeight="1">
      <c r="A304" s="21"/>
      <c r="D304" s="21">
        <v>44187.0</v>
      </c>
      <c r="E304" s="5">
        <v>-0.00638311951624652</v>
      </c>
      <c r="F304" s="5">
        <v>1.15682708758413</v>
      </c>
    </row>
    <row r="305" ht="15.75" customHeight="1">
      <c r="A305" s="21"/>
      <c r="D305" s="21">
        <v>44188.0</v>
      </c>
      <c r="E305" s="5">
        <v>0.00843127640572554</v>
      </c>
      <c r="F305" s="5">
        <v>1.16658061651318</v>
      </c>
    </row>
    <row r="306" ht="15.75" customHeight="1">
      <c r="A306" s="21"/>
      <c r="D306" s="21">
        <v>44189.0</v>
      </c>
      <c r="E306" s="5">
        <v>0.00480724645789922</v>
      </c>
      <c r="F306" s="5">
        <v>1.17218865704977</v>
      </c>
    </row>
    <row r="307" ht="15.75" customHeight="1">
      <c r="A307" s="21"/>
      <c r="D307" s="21">
        <v>44193.0</v>
      </c>
      <c r="E307" s="5">
        <v>4.16068462597184E-4</v>
      </c>
      <c r="F307" s="5">
        <v>1.17267636778218</v>
      </c>
    </row>
    <row r="308" ht="15.75" customHeight="1">
      <c r="A308" s="21"/>
      <c r="D308" s="21">
        <v>44194.0</v>
      </c>
      <c r="E308" s="5">
        <v>0.00137689417540023</v>
      </c>
      <c r="F308" s="5">
        <v>1.17429101904261</v>
      </c>
    </row>
    <row r="309" ht="15.75" customHeight="1">
      <c r="A309" s="21"/>
      <c r="D309" s="21">
        <v>44195.0</v>
      </c>
      <c r="E309" s="5">
        <v>0.00140676395856887</v>
      </c>
      <c r="F309" s="5">
        <v>1.17594296932507</v>
      </c>
    </row>
    <row r="310" ht="15.75" customHeight="1">
      <c r="A310" s="21"/>
      <c r="D310" s="21">
        <v>44196.0</v>
      </c>
      <c r="E310" s="5">
        <v>-0.00163217719899084</v>
      </c>
      <c r="F310" s="5">
        <v>1.17402362202323</v>
      </c>
    </row>
    <row r="311" ht="15.75" customHeight="1">
      <c r="A311" s="21"/>
      <c r="D311" s="21">
        <v>44200.0</v>
      </c>
      <c r="E311" s="5">
        <v>0.00720620674352288</v>
      </c>
      <c r="F311" s="5">
        <v>1.1824838789653</v>
      </c>
    </row>
    <row r="312" ht="15.75" customHeight="1">
      <c r="A312" s="21"/>
      <c r="D312" s="21">
        <v>44201.0</v>
      </c>
      <c r="E312" s="5">
        <v>0.00511581641652719</v>
      </c>
      <c r="F312" s="5">
        <v>1.18853324940559</v>
      </c>
    </row>
    <row r="313" ht="15.75" customHeight="1">
      <c r="A313" s="21"/>
      <c r="D313" s="21">
        <v>44202.0</v>
      </c>
      <c r="E313" s="5">
        <v>0.0092707757853533</v>
      </c>
      <c r="F313" s="5">
        <v>1.19955187467427</v>
      </c>
    </row>
    <row r="314" ht="15.75" customHeight="1">
      <c r="A314" s="21"/>
      <c r="D314" s="21">
        <v>44203.0</v>
      </c>
      <c r="E314" s="5">
        <v>0.00216986340494542</v>
      </c>
      <c r="F314" s="5">
        <v>1.20215473838946</v>
      </c>
    </row>
    <row r="315" ht="15.75" customHeight="1">
      <c r="A315" s="21"/>
      <c r="D315" s="21">
        <v>44204.0</v>
      </c>
      <c r="E315" s="5">
        <v>1.05065781494498E-4</v>
      </c>
      <c r="F315" s="5">
        <v>1.20228104371653</v>
      </c>
    </row>
    <row r="316" ht="15.75" customHeight="1">
      <c r="A316" s="21"/>
      <c r="D316" s="21">
        <v>44207.0</v>
      </c>
      <c r="E316" s="5">
        <v>-0.0058121010545149</v>
      </c>
      <c r="F316" s="5">
        <v>1.19529326479452</v>
      </c>
    </row>
    <row r="317" ht="15.75" customHeight="1">
      <c r="A317" s="21"/>
      <c r="D317" s="21">
        <v>44208.0</v>
      </c>
      <c r="E317" s="5">
        <v>0.00246329981782825</v>
      </c>
      <c r="F317" s="5">
        <v>1.19823763047594</v>
      </c>
    </row>
    <row r="318" ht="15.75" customHeight="1">
      <c r="A318" s="21"/>
      <c r="D318" s="21">
        <v>44209.0</v>
      </c>
      <c r="E318" s="5">
        <v>-5.22752527980035E-4</v>
      </c>
      <c r="F318" s="5">
        <v>1.19761124872549</v>
      </c>
    </row>
    <row r="319" ht="15.75" customHeight="1">
      <c r="A319" s="21"/>
      <c r="D319" s="21">
        <v>44210.0</v>
      </c>
      <c r="E319" s="5">
        <v>0.00595765455861996</v>
      </c>
      <c r="F319" s="5">
        <v>1.20474620284091</v>
      </c>
    </row>
    <row r="320" ht="15.75" customHeight="1">
      <c r="A320" s="21"/>
      <c r="D320" s="21">
        <v>44211.0</v>
      </c>
      <c r="E320" s="5">
        <v>-0.00382326230512791</v>
      </c>
      <c r="F320" s="5">
        <v>1.20014014209634</v>
      </c>
    </row>
    <row r="321" ht="15.75" customHeight="1">
      <c r="A321" s="21"/>
      <c r="D321" s="21">
        <v>44215.0</v>
      </c>
      <c r="E321" s="5">
        <v>0.0119441508866592</v>
      </c>
      <c r="F321" s="5">
        <v>1.21447479703868</v>
      </c>
    </row>
    <row r="322" ht="15.75" customHeight="1">
      <c r="A322" s="21"/>
      <c r="D322" s="21">
        <v>44216.0</v>
      </c>
      <c r="E322" s="5">
        <v>0.00835298384508627</v>
      </c>
      <c r="F322" s="5">
        <v>1.22461928539861</v>
      </c>
    </row>
    <row r="323" ht="15.75" customHeight="1">
      <c r="A323" s="21"/>
      <c r="D323" s="21">
        <v>44217.0</v>
      </c>
      <c r="E323" s="5">
        <v>0.00144133607298468</v>
      </c>
      <c r="F323" s="5">
        <v>1.22638437335032</v>
      </c>
    </row>
    <row r="324" ht="15.75" customHeight="1">
      <c r="A324" s="21"/>
      <c r="D324" s="21">
        <v>44218.0</v>
      </c>
      <c r="E324" s="5">
        <v>-0.00138159171415471</v>
      </c>
      <c r="F324" s="5">
        <v>1.22469001086173</v>
      </c>
    </row>
    <row r="325" ht="15.75" customHeight="1">
      <c r="A325" s="21"/>
      <c r="D325" s="21">
        <v>44221.0</v>
      </c>
      <c r="E325" s="5">
        <v>-0.00134883561873382</v>
      </c>
      <c r="F325" s="5">
        <v>1.22303810535318</v>
      </c>
    </row>
    <row r="326" ht="15.75" customHeight="1">
      <c r="A326" s="21"/>
      <c r="D326" s="21">
        <v>44222.0</v>
      </c>
      <c r="E326" s="5">
        <v>-0.00452450677530823</v>
      </c>
      <c r="F326" s="5">
        <v>1.21750446115905</v>
      </c>
    </row>
    <row r="327" ht="15.75" customHeight="1">
      <c r="A327" s="21"/>
      <c r="D327" s="21">
        <v>44223.0</v>
      </c>
      <c r="E327" s="5">
        <v>-0.012472154277002</v>
      </c>
      <c r="F327" s="5">
        <v>1.20231955768653</v>
      </c>
    </row>
    <row r="328" ht="15.75" customHeight="1">
      <c r="A328" s="21"/>
      <c r="D328" s="21">
        <v>44224.0</v>
      </c>
      <c r="E328" s="5">
        <v>0.0043269636144443</v>
      </c>
      <c r="F328" s="5">
        <v>1.20752195066558</v>
      </c>
    </row>
    <row r="329" ht="15.75" customHeight="1">
      <c r="A329" s="21"/>
      <c r="D329" s="21">
        <v>44225.0</v>
      </c>
      <c r="E329" s="5">
        <v>-0.00548772230752894</v>
      </c>
      <c r="F329" s="5">
        <v>1.20089540552008</v>
      </c>
    </row>
    <row r="330" ht="15.75" customHeight="1">
      <c r="A330" s="21"/>
      <c r="D330" s="21">
        <v>44228.0</v>
      </c>
      <c r="E330" s="5">
        <v>-4.56036887907563E-4</v>
      </c>
      <c r="F330" s="5">
        <v>1.20034775291664</v>
      </c>
    </row>
    <row r="331" ht="15.75" customHeight="1">
      <c r="A331" s="21"/>
      <c r="D331" s="21">
        <v>44229.0</v>
      </c>
      <c r="E331" s="5">
        <v>0.00330236357086443</v>
      </c>
      <c r="F331" s="5">
        <v>1.20431173760824</v>
      </c>
    </row>
    <row r="332" ht="15.75" customHeight="1">
      <c r="A332" s="21"/>
      <c r="D332" s="21">
        <v>44230.0</v>
      </c>
      <c r="E332" s="5">
        <v>0.0016349603553075</v>
      </c>
      <c r="F332" s="5">
        <v>1.20628073955466</v>
      </c>
    </row>
    <row r="333" ht="15.75" customHeight="1">
      <c r="A333" s="21"/>
      <c r="D333" s="21">
        <v>44231.0</v>
      </c>
      <c r="E333" s="5">
        <v>-0.00216361310004188</v>
      </c>
      <c r="F333" s="5">
        <v>1.20367081474423</v>
      </c>
    </row>
    <row r="334" ht="15.75" customHeight="1">
      <c r="A334" s="21"/>
      <c r="D334" s="21">
        <v>44232.0</v>
      </c>
      <c r="E334" s="5">
        <v>0.00247190879310983</v>
      </c>
      <c r="F334" s="5">
        <v>1.20664617921521</v>
      </c>
    </row>
    <row r="335" ht="15.75" customHeight="1">
      <c r="A335" s="21"/>
      <c r="D335" s="21">
        <v>44235.0</v>
      </c>
      <c r="E335" s="5">
        <v>0.00389381185965134</v>
      </c>
      <c r="F335" s="5">
        <v>1.21134463241824</v>
      </c>
    </row>
    <row r="336" ht="15.75" customHeight="1">
      <c r="A336" s="21"/>
      <c r="D336" s="21">
        <v>44236.0</v>
      </c>
      <c r="E336" s="5">
        <v>-0.00678089886991888</v>
      </c>
      <c r="F336" s="5">
        <v>1.20313062696919</v>
      </c>
    </row>
    <row r="337" ht="15.75" customHeight="1">
      <c r="A337" s="21"/>
      <c r="D337" s="21">
        <v>44237.0</v>
      </c>
      <c r="E337" s="5">
        <v>0.00760916353721898</v>
      </c>
      <c r="F337" s="5">
        <v>1.21228544466644</v>
      </c>
    </row>
    <row r="338" ht="15.75" customHeight="1">
      <c r="A338" s="21"/>
      <c r="D338" s="21">
        <v>44238.0</v>
      </c>
      <c r="E338" s="5">
        <v>-0.00421023643407002</v>
      </c>
      <c r="F338" s="5">
        <v>1.20718143631881</v>
      </c>
    </row>
    <row r="339" ht="15.75" customHeight="1">
      <c r="A339" s="21"/>
      <c r="D339" s="21">
        <v>44239.0</v>
      </c>
      <c r="E339" s="5">
        <v>0.00237719087056009</v>
      </c>
      <c r="F339" s="5">
        <v>1.21005113700834</v>
      </c>
    </row>
    <row r="340" ht="15.75" customHeight="1">
      <c r="A340" s="21"/>
      <c r="D340" s="21">
        <v>44243.0</v>
      </c>
      <c r="E340" s="5">
        <v>0.00344541187753258</v>
      </c>
      <c r="F340" s="5">
        <v>1.21422026156821</v>
      </c>
    </row>
    <row r="341" ht="15.75" customHeight="1">
      <c r="A341" s="21"/>
      <c r="D341" s="21">
        <v>44244.0</v>
      </c>
      <c r="E341" s="5">
        <v>0.00275461450189719</v>
      </c>
      <c r="F341" s="5">
        <v>1.21756497030922</v>
      </c>
    </row>
    <row r="342" ht="15.75" customHeight="1">
      <c r="A342" s="21"/>
      <c r="D342" s="21">
        <v>44245.0</v>
      </c>
      <c r="E342" s="5">
        <v>0.00214285093090075</v>
      </c>
      <c r="F342" s="5">
        <v>1.22017403053928</v>
      </c>
    </row>
    <row r="343" ht="15.75" customHeight="1">
      <c r="A343" s="21"/>
      <c r="D343" s="21">
        <v>44246.0</v>
      </c>
      <c r="E343" s="5">
        <v>0.00300240361242964</v>
      </c>
      <c r="F343" s="5">
        <v>1.22383748545637</v>
      </c>
    </row>
    <row r="344" ht="15.75" customHeight="1">
      <c r="A344" s="21"/>
      <c r="D344" s="21">
        <v>44249.0</v>
      </c>
      <c r="E344" s="5">
        <v>0.00785863164978391</v>
      </c>
      <c r="F344" s="5">
        <v>1.23345517345377</v>
      </c>
    </row>
    <row r="345" ht="15.75" customHeight="1">
      <c r="A345" s="21"/>
      <c r="D345" s="21">
        <v>44250.0</v>
      </c>
      <c r="E345" s="5">
        <v>0.00200651957956279</v>
      </c>
      <c r="F345" s="5">
        <v>1.23593012540981</v>
      </c>
    </row>
    <row r="346" ht="15.75" customHeight="1">
      <c r="A346" s="21"/>
      <c r="D346" s="21">
        <v>44251.0</v>
      </c>
      <c r="E346" s="5">
        <v>0.00672306005250058</v>
      </c>
      <c r="F346" s="5">
        <v>1.24423935786364</v>
      </c>
    </row>
    <row r="347" ht="15.75" customHeight="1">
      <c r="A347" s="21"/>
      <c r="D347" s="21">
        <v>44252.0</v>
      </c>
      <c r="E347" s="5">
        <v>-0.00636925124957538</v>
      </c>
      <c r="F347" s="5">
        <v>1.23631448477879</v>
      </c>
    </row>
    <row r="348" ht="15.75" customHeight="1">
      <c r="A348" s="21"/>
      <c r="D348" s="21">
        <v>44253.0</v>
      </c>
      <c r="E348" s="5">
        <v>-0.0094802022425006</v>
      </c>
      <c r="F348" s="5">
        <v>1.22459397342776</v>
      </c>
    </row>
    <row r="349" ht="15.75" customHeight="1">
      <c r="A349" s="21"/>
      <c r="D349" s="21">
        <v>44256.0</v>
      </c>
      <c r="E349" s="5">
        <v>0.00882648612890954</v>
      </c>
      <c r="F349" s="5">
        <v>1.23540283514777</v>
      </c>
    </row>
    <row r="350" ht="15.75" customHeight="1">
      <c r="A350" s="21"/>
      <c r="D350" s="21">
        <v>44257.0</v>
      </c>
      <c r="E350" s="5">
        <v>0.00413914841990421</v>
      </c>
      <c r="F350" s="5">
        <v>1.24051635084081</v>
      </c>
    </row>
    <row r="351" ht="15.75" customHeight="1">
      <c r="A351" s="21"/>
      <c r="D351" s="21">
        <v>44258.0</v>
      </c>
      <c r="E351" s="5">
        <v>-0.00128749814993086</v>
      </c>
      <c r="F351" s="5">
        <v>1.23891918833415</v>
      </c>
    </row>
    <row r="352" ht="15.75" customHeight="1">
      <c r="A352" s="21"/>
      <c r="D352" s="21">
        <v>44259.0</v>
      </c>
      <c r="E352" s="5">
        <v>-0.00577608697127858</v>
      </c>
      <c r="F352" s="5">
        <v>1.23176308335194</v>
      </c>
    </row>
    <row r="353" ht="15.75" customHeight="1">
      <c r="A353" s="21"/>
      <c r="D353" s="21">
        <v>44260.0</v>
      </c>
      <c r="E353" s="5">
        <v>0.0163519513775495</v>
      </c>
      <c r="F353" s="5">
        <v>1.25190481339957</v>
      </c>
    </row>
    <row r="354" ht="15.75" customHeight="1">
      <c r="A354" s="21"/>
      <c r="D354" s="21">
        <v>44263.0</v>
      </c>
      <c r="E354" s="5">
        <v>0.00435828037391016</v>
      </c>
      <c r="F354" s="5">
        <v>1.25736096557782</v>
      </c>
    </row>
    <row r="355" ht="15.75" customHeight="1">
      <c r="A355" s="21"/>
      <c r="B355" s="7"/>
      <c r="D355" s="21">
        <v>44264.0</v>
      </c>
      <c r="E355" s="5">
        <v>6.33510482966406E-4</v>
      </c>
      <c r="F355" s="5">
        <v>1.25815751693038</v>
      </c>
    </row>
    <row r="356" ht="15.75" customHeight="1">
      <c r="A356" s="21"/>
      <c r="D356" s="21">
        <v>44265.0</v>
      </c>
      <c r="E356" s="5">
        <v>0.00793414843964527</v>
      </c>
      <c r="F356" s="5">
        <v>1.26813992543016</v>
      </c>
    </row>
    <row r="357" ht="15.75" customHeight="1">
      <c r="A357" s="21"/>
      <c r="D357" s="21">
        <v>44266.0</v>
      </c>
      <c r="E357" s="5">
        <v>0.0116371298709536</v>
      </c>
      <c r="F357" s="5">
        <v>1.28289743443694</v>
      </c>
    </row>
    <row r="358" ht="15.75" customHeight="1">
      <c r="A358" s="21"/>
      <c r="D358" s="21">
        <v>44267.0</v>
      </c>
      <c r="E358" s="5">
        <v>-0.0010146987494736</v>
      </c>
      <c r="F358" s="5">
        <v>1.28159568001451</v>
      </c>
    </row>
    <row r="359" ht="15.75" customHeight="1">
      <c r="A359" s="21"/>
      <c r="D359" s="21">
        <v>44270.0</v>
      </c>
      <c r="E359" s="5">
        <v>0.0065062168057585</v>
      </c>
      <c r="F359" s="5">
        <v>1.28993401936601</v>
      </c>
    </row>
    <row r="360" ht="15.75" customHeight="1">
      <c r="A360" s="21"/>
      <c r="D360" s="21">
        <v>44271.0</v>
      </c>
      <c r="E360" s="5">
        <v>4.70438957740402E-4</v>
      </c>
      <c r="F360" s="5">
        <v>1.29054085458163</v>
      </c>
    </row>
    <row r="361" ht="15.75" customHeight="1">
      <c r="A361" s="21"/>
      <c r="D361" s="21">
        <v>44272.0</v>
      </c>
      <c r="E361" s="5">
        <v>0.00265619238136445</v>
      </c>
      <c r="F361" s="5">
        <v>1.29396877936741</v>
      </c>
    </row>
    <row r="362" ht="15.75" customHeight="1">
      <c r="A362" s="21"/>
      <c r="D362" s="21">
        <v>44273.0</v>
      </c>
      <c r="E362" s="5">
        <v>-0.00468623242016414</v>
      </c>
      <c r="F362" s="5">
        <v>1.28790494092286</v>
      </c>
    </row>
    <row r="363" ht="15.75" customHeight="1">
      <c r="A363" s="21"/>
      <c r="D363" s="21">
        <v>44274.0</v>
      </c>
      <c r="E363" s="5">
        <v>0.0031905484025933</v>
      </c>
      <c r="F363" s="5">
        <v>1.29201406397481</v>
      </c>
    </row>
    <row r="364" ht="15.75" customHeight="1">
      <c r="A364" s="21"/>
      <c r="D364" s="21">
        <v>44277.0</v>
      </c>
      <c r="E364" s="5">
        <v>0.00586489960711661</v>
      </c>
      <c r="F364" s="5">
        <v>1.29959159675101</v>
      </c>
    </row>
    <row r="365" ht="15.75" customHeight="1">
      <c r="A365" s="21"/>
      <c r="D365" s="21">
        <v>44278.0</v>
      </c>
      <c r="E365" s="5">
        <v>-0.00519307444331097</v>
      </c>
      <c r="F365" s="5">
        <v>1.29284272084318</v>
      </c>
    </row>
    <row r="366" ht="15.75" customHeight="1">
      <c r="A366" s="21"/>
      <c r="D366" s="21">
        <v>44279.0</v>
      </c>
      <c r="E366" s="5">
        <v>0.00384570692062296</v>
      </c>
      <c r="F366" s="5">
        <v>1.297814615042</v>
      </c>
    </row>
    <row r="367" ht="15.75" customHeight="1">
      <c r="A367" s="21"/>
      <c r="D367" s="21">
        <v>44280.0</v>
      </c>
      <c r="E367" s="5">
        <v>0.00216648214106941</v>
      </c>
      <c r="F367" s="5">
        <v>1.30062630722791</v>
      </c>
    </row>
    <row r="368" ht="15.75" customHeight="1">
      <c r="A368" s="21"/>
      <c r="D368" s="21">
        <v>44281.0</v>
      </c>
      <c r="E368" s="5">
        <v>0.0130558013806716</v>
      </c>
      <c r="F368" s="5">
        <v>1.31760702596555</v>
      </c>
    </row>
    <row r="369" ht="15.75" customHeight="1">
      <c r="A369" s="21"/>
      <c r="D369" s="21">
        <v>44284.0</v>
      </c>
      <c r="E369" s="5">
        <v>0.0016332674113743</v>
      </c>
      <c r="F369" s="5">
        <v>1.31975903058206</v>
      </c>
    </row>
    <row r="370" ht="15.75" customHeight="1">
      <c r="A370" s="21"/>
      <c r="B370" s="7"/>
      <c r="D370" s="21">
        <v>44285.0</v>
      </c>
      <c r="E370" s="5">
        <v>-0.00246324712633288</v>
      </c>
      <c r="F370" s="5">
        <v>1.31650813794253</v>
      </c>
    </row>
    <row r="371" ht="15.75" customHeight="1">
      <c r="A371" s="21"/>
      <c r="D371" s="21">
        <v>44286.0</v>
      </c>
      <c r="E371" s="5">
        <v>-0.00211927085898865</v>
      </c>
      <c r="F371" s="5">
        <v>1.31371810061017</v>
      </c>
    </row>
    <row r="372" ht="15.75" customHeight="1">
      <c r="A372" s="21"/>
      <c r="D372" s="21">
        <v>44287.0</v>
      </c>
      <c r="E372" s="5">
        <v>0.00807339580927658</v>
      </c>
      <c r="F372" s="5">
        <v>1.3243242668182</v>
      </c>
    </row>
    <row r="373" ht="15.75" customHeight="1">
      <c r="A373" s="21"/>
      <c r="D373" s="21">
        <v>44291.0</v>
      </c>
      <c r="E373" s="5">
        <v>0.00139878564556439</v>
      </c>
      <c r="F373" s="5">
        <v>1.3261767125927</v>
      </c>
    </row>
    <row r="374" ht="15.75" customHeight="1">
      <c r="A374" s="21"/>
      <c r="D374" s="21">
        <v>44292.0</v>
      </c>
      <c r="E374" s="5">
        <v>-2.34347242988871E-4</v>
      </c>
      <c r="F374" s="5">
        <v>1.32586592673639</v>
      </c>
    </row>
    <row r="375" ht="15.75" customHeight="1">
      <c r="A375" s="21"/>
      <c r="D375" s="21">
        <v>44293.0</v>
      </c>
      <c r="E375" s="5">
        <v>-0.00458322721174841</v>
      </c>
      <c r="F375" s="5">
        <v>1.31978918194184</v>
      </c>
    </row>
    <row r="376" ht="15.75" customHeight="1">
      <c r="A376" s="21"/>
      <c r="D376" s="21">
        <v>44294.0</v>
      </c>
      <c r="E376" s="5">
        <v>0.00353037446180716</v>
      </c>
      <c r="F376" s="5">
        <v>1.32444853196474</v>
      </c>
    </row>
    <row r="377" ht="15.75" customHeight="1">
      <c r="A377" s="21"/>
      <c r="D377" s="21">
        <v>44295.0</v>
      </c>
      <c r="E377" s="5">
        <v>5.37161852919015E-4</v>
      </c>
      <c r="F377" s="5">
        <v>1.32515997519226</v>
      </c>
    </row>
    <row r="378" ht="15.75" customHeight="1">
      <c r="A378" s="21"/>
      <c r="D378" s="21">
        <v>44298.0</v>
      </c>
      <c r="E378" s="5">
        <v>0.00338531857406465</v>
      </c>
      <c r="F378" s="5">
        <v>1.32964606386989</v>
      </c>
    </row>
    <row r="379" ht="15.75" customHeight="1">
      <c r="A379" s="21"/>
      <c r="D379" s="21">
        <v>44299.0</v>
      </c>
      <c r="E379" s="5">
        <v>0.00376042325177629</v>
      </c>
      <c r="F379" s="5">
        <v>1.3346460958451</v>
      </c>
    </row>
    <row r="380" ht="15.75" customHeight="1">
      <c r="A380" s="21"/>
      <c r="D380" s="21">
        <v>44300.0</v>
      </c>
      <c r="E380" s="5">
        <v>0.00274345657107687</v>
      </c>
      <c r="F380" s="5">
        <v>1.33830763944681</v>
      </c>
    </row>
    <row r="381" ht="15.75" customHeight="1">
      <c r="A381" s="21"/>
      <c r="D381" s="21">
        <v>44301.0</v>
      </c>
      <c r="E381" s="5">
        <v>0.00795645430717432</v>
      </c>
      <c r="F381" s="5">
        <v>1.34895582302901</v>
      </c>
    </row>
    <row r="382" ht="15.75" customHeight="1">
      <c r="A382" s="21"/>
      <c r="D382" s="21">
        <v>44302.0</v>
      </c>
      <c r="E382" s="5">
        <v>0.00496698811660983</v>
      </c>
      <c r="F382" s="5">
        <v>1.35565607057182</v>
      </c>
    </row>
    <row r="383" ht="15.75" customHeight="1">
      <c r="A383" s="21"/>
      <c r="D383" s="21">
        <v>44305.0</v>
      </c>
      <c r="E383" s="5">
        <v>-0.0018576533691155</v>
      </c>
      <c r="F383" s="5">
        <v>1.35313773150496</v>
      </c>
    </row>
    <row r="384" ht="15.75" customHeight="1">
      <c r="A384" s="21"/>
      <c r="D384" s="21">
        <v>44306.0</v>
      </c>
      <c r="E384" s="5">
        <v>-0.00148871408750547</v>
      </c>
      <c r="F384" s="5">
        <v>1.35112329630174</v>
      </c>
    </row>
    <row r="385" ht="15.75" customHeight="1">
      <c r="A385" s="21"/>
      <c r="D385" s="21">
        <v>44307.0</v>
      </c>
      <c r="E385" s="5">
        <v>0.00381171157509698</v>
      </c>
      <c r="F385" s="5">
        <v>1.35627338860963</v>
      </c>
    </row>
    <row r="386" ht="15.75" customHeight="1">
      <c r="A386" s="21"/>
      <c r="D386" s="21">
        <v>44308.0</v>
      </c>
      <c r="E386" s="5">
        <v>-0.00447166767610719</v>
      </c>
      <c r="F386" s="5">
        <v>1.35020858473782</v>
      </c>
    </row>
    <row r="387" ht="15.75" customHeight="1">
      <c r="A387" s="21"/>
      <c r="D387" s="21">
        <v>44309.0</v>
      </c>
      <c r="E387" s="5">
        <v>0.00342166370449542</v>
      </c>
      <c r="F387" s="5">
        <v>1.35482854444572</v>
      </c>
    </row>
    <row r="388" ht="15.75" customHeight="1">
      <c r="A388" s="21"/>
      <c r="D388" s="21">
        <v>44312.0</v>
      </c>
      <c r="E388" s="5">
        <v>0.00398942407789868</v>
      </c>
      <c r="F388" s="5">
        <v>1.36023353006236</v>
      </c>
    </row>
    <row r="389" ht="15.75" customHeight="1">
      <c r="A389" s="21"/>
      <c r="D389" s="21">
        <v>44313.0</v>
      </c>
      <c r="E389" s="5">
        <v>-0.00177916910049275</v>
      </c>
      <c r="F389" s="5">
        <v>1.35781344459621</v>
      </c>
    </row>
    <row r="390" ht="15.75" customHeight="1">
      <c r="A390" s="21"/>
      <c r="D390" s="21">
        <v>44314.0</v>
      </c>
      <c r="E390" s="7">
        <v>-2.59996070168112E-5</v>
      </c>
      <c r="F390" s="5">
        <v>1.35777814198025</v>
      </c>
    </row>
    <row r="391" ht="15.75" customHeight="1">
      <c r="A391" s="21"/>
      <c r="D391" s="21">
        <v>44315.0</v>
      </c>
      <c r="E391" s="5">
        <v>0.00471455991611907</v>
      </c>
      <c r="F391" s="5">
        <v>1.36417946838342</v>
      </c>
    </row>
    <row r="392" ht="15.75" customHeight="1">
      <c r="A392" s="21"/>
      <c r="D392" s="21">
        <v>44316.0</v>
      </c>
      <c r="E392" s="5">
        <v>-0.00331565977341738</v>
      </c>
      <c r="F392" s="5">
        <v>1.35965631339638</v>
      </c>
    </row>
    <row r="393" ht="15.75" customHeight="1">
      <c r="A393" s="21"/>
      <c r="D393" s="21">
        <v>44319.0</v>
      </c>
      <c r="E393" s="5">
        <v>0.0109216518065562</v>
      </c>
      <c r="F393" s="5">
        <v>1.37450600622788</v>
      </c>
    </row>
    <row r="394" ht="15.75" customHeight="1">
      <c r="A394" s="21"/>
      <c r="D394" s="21">
        <v>44320.0</v>
      </c>
      <c r="E394" s="5">
        <v>-0.0018740679090251</v>
      </c>
      <c r="F394" s="5">
        <v>1.37193008863084</v>
      </c>
    </row>
    <row r="395" ht="15.75" customHeight="1">
      <c r="A395" s="21"/>
      <c r="D395" s="21">
        <v>44321.0</v>
      </c>
      <c r="E395" s="5">
        <v>0.00308879243958258</v>
      </c>
      <c r="F395" s="5">
        <v>1.37616769591624</v>
      </c>
    </row>
    <row r="396" ht="15.75" customHeight="1">
      <c r="A396" s="21"/>
      <c r="D396" s="21">
        <v>44322.0</v>
      </c>
      <c r="E396" s="5">
        <v>0.00556626820963665</v>
      </c>
      <c r="F396" s="5">
        <v>1.38382781441315</v>
      </c>
    </row>
    <row r="397" ht="15.75" customHeight="1">
      <c r="A397" s="21"/>
      <c r="D397" s="21">
        <v>44323.0</v>
      </c>
      <c r="E397" s="5">
        <v>0.00535486525761092</v>
      </c>
      <c r="F397" s="5">
        <v>1.39123802589907</v>
      </c>
    </row>
    <row r="398" ht="15.75" customHeight="1">
      <c r="A398" s="21"/>
      <c r="D398" s="21">
        <v>44326.0</v>
      </c>
      <c r="E398" s="5">
        <v>0.00204917783480346</v>
      </c>
      <c r="F398" s="5">
        <v>1.39408892002467</v>
      </c>
    </row>
    <row r="399" ht="15.75" customHeight="1">
      <c r="A399" s="21"/>
      <c r="D399" s="21">
        <v>44327.0</v>
      </c>
      <c r="E399" s="5">
        <v>-6.11175081688087E-4</v>
      </c>
      <c r="F399" s="5">
        <v>1.3932368876151</v>
      </c>
    </row>
    <row r="400" ht="15.75" customHeight="1">
      <c r="A400" s="21"/>
      <c r="D400" s="21">
        <v>44328.0</v>
      </c>
      <c r="E400" s="5">
        <v>-0.00548319629536221</v>
      </c>
      <c r="F400" s="5">
        <v>1.38559749627436</v>
      </c>
    </row>
    <row r="401" ht="15.75" customHeight="1">
      <c r="A401" s="21"/>
      <c r="D401" s="21">
        <v>44329.0</v>
      </c>
      <c r="E401" s="5">
        <v>0.00508444593436473</v>
      </c>
      <c r="F401" s="5">
        <v>1.39264249183096</v>
      </c>
    </row>
    <row r="402" ht="15.75" customHeight="1">
      <c r="A402" s="21"/>
      <c r="D402" s="21">
        <v>44330.0</v>
      </c>
      <c r="E402" s="5">
        <v>0.00756441135064622</v>
      </c>
      <c r="F402" s="5">
        <v>1.40317701250356</v>
      </c>
    </row>
    <row r="403" ht="15.75" customHeight="1">
      <c r="A403" s="21"/>
      <c r="D403" s="21">
        <v>44333.0</v>
      </c>
      <c r="E403" s="5">
        <v>0.00282908771847004</v>
      </c>
      <c r="F403" s="5">
        <v>1.40714672335647</v>
      </c>
    </row>
    <row r="404" ht="15.75" customHeight="1">
      <c r="A404" s="21"/>
      <c r="D404" s="21">
        <v>44334.0</v>
      </c>
      <c r="E404" s="5">
        <v>-1.39798485195384E-4</v>
      </c>
      <c r="F404" s="5">
        <v>1.4069500063761</v>
      </c>
    </row>
    <row r="405" ht="15.75" customHeight="1">
      <c r="A405" s="21"/>
      <c r="D405" s="21">
        <v>44335.0</v>
      </c>
      <c r="E405" s="5">
        <v>-0.0062439284336323</v>
      </c>
      <c r="F405" s="5">
        <v>1.39816511122659</v>
      </c>
    </row>
    <row r="406" ht="15.75" customHeight="1">
      <c r="A406" s="21"/>
      <c r="D406" s="21">
        <v>44336.0</v>
      </c>
      <c r="E406" s="5">
        <v>0.00868187554519003</v>
      </c>
      <c r="F406" s="5">
        <v>1.41030380671389</v>
      </c>
    </row>
    <row r="407" ht="15.75" customHeight="1">
      <c r="A407" s="21"/>
      <c r="D407" s="21">
        <v>44337.0</v>
      </c>
      <c r="E407" s="5">
        <v>-4.46790578280562E-4</v>
      </c>
      <c r="F407" s="5">
        <v>1.40967369626053</v>
      </c>
    </row>
    <row r="408" ht="15.75" customHeight="1">
      <c r="A408" s="21"/>
      <c r="D408" s="21">
        <v>44340.0</v>
      </c>
      <c r="E408" s="5">
        <v>0.00687061522799951</v>
      </c>
      <c r="F408" s="5">
        <v>1.41935902182457</v>
      </c>
    </row>
    <row r="409" ht="15.75" customHeight="1">
      <c r="A409" s="21"/>
      <c r="D409" s="21">
        <v>44341.0</v>
      </c>
      <c r="E409" s="5">
        <v>1.24451752482529E-4</v>
      </c>
      <c r="F409" s="5">
        <v>1.41953566354224</v>
      </c>
    </row>
    <row r="410" ht="15.75" customHeight="1">
      <c r="A410" s="21"/>
      <c r="D410" s="21">
        <v>44342.0</v>
      </c>
      <c r="E410" s="5">
        <v>-9.43069602156715E-4</v>
      </c>
      <c r="F410" s="5">
        <v>1.41819694260878</v>
      </c>
    </row>
    <row r="411" ht="15.75" customHeight="1">
      <c r="A411" s="21"/>
      <c r="D411" s="21">
        <v>44343.0</v>
      </c>
      <c r="E411" s="5">
        <v>0.00114899493013156</v>
      </c>
      <c r="F411" s="5">
        <v>1.41982644370576</v>
      </c>
    </row>
    <row r="412" ht="15.75" customHeight="1">
      <c r="A412" s="21"/>
      <c r="D412" s="21">
        <v>44344.0</v>
      </c>
      <c r="E412" s="5">
        <v>7.28176213285306E-4</v>
      </c>
      <c r="F412" s="5">
        <v>1.42086032754906</v>
      </c>
    </row>
    <row r="413" ht="15.75" customHeight="1">
      <c r="A413" s="21"/>
      <c r="D413" s="21">
        <v>44348.0</v>
      </c>
      <c r="E413" s="5">
        <v>0.00287089856752878</v>
      </c>
      <c r="F413" s="5">
        <v>1.42493947342808</v>
      </c>
    </row>
    <row r="414" ht="15.75" customHeight="1">
      <c r="A414" s="21"/>
      <c r="D414" s="21">
        <v>44349.0</v>
      </c>
      <c r="E414" s="5">
        <v>-4.93023423251818E-4</v>
      </c>
      <c r="F414" s="5">
        <v>1.42423694489096</v>
      </c>
    </row>
    <row r="415" ht="15.75" customHeight="1">
      <c r="A415" s="21"/>
      <c r="D415" s="21">
        <v>44350.0</v>
      </c>
      <c r="E415" s="7">
        <v>-7.53422348435056E-5</v>
      </c>
      <c r="F415" s="5">
        <v>1.42412963969659</v>
      </c>
    </row>
    <row r="416" ht="15.75" customHeight="1">
      <c r="A416" s="21"/>
      <c r="D416" s="21">
        <v>44351.0</v>
      </c>
      <c r="E416" s="5">
        <v>0.00257122174615037</v>
      </c>
      <c r="F416" s="5">
        <v>1.42779139279551</v>
      </c>
    </row>
    <row r="417" ht="15.75" customHeight="1">
      <c r="A417" s="21"/>
      <c r="D417" s="21">
        <v>44354.0</v>
      </c>
      <c r="E417" s="5">
        <v>-0.00117456793064156</v>
      </c>
      <c r="F417" s="5">
        <v>1.42611435481389</v>
      </c>
    </row>
    <row r="418" ht="15.75" customHeight="1">
      <c r="A418" s="21"/>
      <c r="D418" s="21">
        <v>44355.0</v>
      </c>
      <c r="E418" s="5">
        <v>5.6133480800148E-4</v>
      </c>
      <c r="F418" s="5">
        <v>1.42691488244144</v>
      </c>
    </row>
    <row r="419" ht="15.75" customHeight="1">
      <c r="A419" s="21"/>
      <c r="D419" s="21">
        <v>44356.0</v>
      </c>
      <c r="E419" s="5">
        <v>-0.00305065778859912</v>
      </c>
      <c r="F419" s="5">
        <v>1.42256185344165</v>
      </c>
    </row>
    <row r="420" ht="15.75" customHeight="1">
      <c r="A420" s="21"/>
      <c r="D420" s="21">
        <v>44357.0</v>
      </c>
      <c r="E420" s="5">
        <v>0.00158796837682178</v>
      </c>
      <c r="F420" s="5">
        <v>1.42482083667899</v>
      </c>
    </row>
    <row r="421" ht="15.75" customHeight="1">
      <c r="A421" s="21"/>
      <c r="D421" s="21">
        <v>44358.0</v>
      </c>
      <c r="E421" s="7">
        <v>9.72671963252809E-5</v>
      </c>
      <c r="F421" s="5">
        <v>1.42495942500704</v>
      </c>
    </row>
    <row r="422" ht="15.75" customHeight="1">
      <c r="A422" s="21"/>
      <c r="D422" s="21">
        <v>44361.0</v>
      </c>
      <c r="E422" s="5">
        <v>0.00193755387167515</v>
      </c>
      <c r="F422" s="5">
        <v>1.42772036065794</v>
      </c>
    </row>
    <row r="423" ht="15.75" customHeight="1">
      <c r="A423" s="21"/>
      <c r="D423" s="21">
        <v>44362.0</v>
      </c>
      <c r="E423" s="5">
        <v>-0.0028421213892128</v>
      </c>
      <c r="F423" s="5">
        <v>1.4236626060831</v>
      </c>
    </row>
    <row r="424" ht="15.75" customHeight="1">
      <c r="A424" s="21"/>
      <c r="D424" s="21">
        <v>44363.0</v>
      </c>
      <c r="E424" s="5">
        <v>-0.006020571981321</v>
      </c>
      <c r="F424" s="5">
        <v>1.41509134288606</v>
      </c>
    </row>
    <row r="425" ht="15.75" customHeight="1">
      <c r="A425" s="21"/>
      <c r="D425" s="21">
        <v>44364.0</v>
      </c>
      <c r="E425" s="5">
        <v>-0.00442739138755911</v>
      </c>
      <c r="F425" s="5">
        <v>1.40882617966196</v>
      </c>
    </row>
    <row r="426" ht="15.75" customHeight="1">
      <c r="A426" s="21"/>
      <c r="D426" s="21">
        <v>44365.0</v>
      </c>
      <c r="E426" s="5">
        <v>-0.0108197028943411</v>
      </c>
      <c r="F426" s="5">
        <v>1.39358309896825</v>
      </c>
    </row>
    <row r="427" ht="15.75" customHeight="1">
      <c r="A427" s="21"/>
      <c r="D427" s="21">
        <v>44368.0</v>
      </c>
      <c r="E427" s="5">
        <v>0.00980781524761174</v>
      </c>
      <c r="F427" s="5">
        <v>1.40725110453512</v>
      </c>
    </row>
    <row r="428" ht="15.75" customHeight="1">
      <c r="A428" s="21"/>
      <c r="D428" s="21">
        <v>44369.0</v>
      </c>
      <c r="E428" s="5">
        <v>-0.00161901600357528</v>
      </c>
      <c r="F428" s="5">
        <v>1.40497274247583</v>
      </c>
    </row>
    <row r="429" ht="15.75" customHeight="1">
      <c r="A429" s="21"/>
      <c r="D429" s="21">
        <v>44370.0</v>
      </c>
      <c r="E429" s="5">
        <v>-0.0034244865451884</v>
      </c>
      <c r="F429" s="5">
        <v>1.40016143222287</v>
      </c>
    </row>
    <row r="430" ht="15.75" customHeight="1">
      <c r="A430" s="21"/>
      <c r="D430" s="21">
        <v>44371.0</v>
      </c>
      <c r="E430" s="5">
        <v>0.00111743447399841</v>
      </c>
      <c r="F430" s="5">
        <v>1.40172602087639</v>
      </c>
    </row>
    <row r="431" ht="15.75" customHeight="1">
      <c r="A431" s="21"/>
      <c r="D431" s="21">
        <v>44372.0</v>
      </c>
      <c r="E431" s="5">
        <v>8.10712666607699E-4</v>
      </c>
      <c r="F431" s="5">
        <v>1.40286241791663</v>
      </c>
    </row>
    <row r="432" ht="15.75" customHeight="1">
      <c r="A432" s="21"/>
      <c r="D432" s="21">
        <v>44375.0</v>
      </c>
      <c r="E432" s="5">
        <v>-0.00488723960017592</v>
      </c>
      <c r="F432" s="5">
        <v>1.39600629315419</v>
      </c>
    </row>
    <row r="433" ht="15.75" customHeight="1">
      <c r="A433" s="21"/>
      <c r="D433" s="21">
        <v>44376.0</v>
      </c>
      <c r="E433" s="5">
        <v>3.66485597671346E-4</v>
      </c>
      <c r="F433" s="5">
        <v>1.39651790935489</v>
      </c>
    </row>
    <row r="434" ht="15.75" customHeight="1">
      <c r="A434" s="21"/>
      <c r="D434" s="21">
        <v>44377.0</v>
      </c>
      <c r="E434" s="5">
        <v>9.11109176035734E-4</v>
      </c>
      <c r="F434" s="5">
        <v>1.3977902896366</v>
      </c>
    </row>
    <row r="435" ht="15.75" customHeight="1">
      <c r="A435" s="21"/>
      <c r="D435" s="21">
        <v>44378.0</v>
      </c>
      <c r="E435" s="5">
        <v>0.00187220052577348</v>
      </c>
      <c r="F435" s="5">
        <v>1.40040723335178</v>
      </c>
    </row>
    <row r="436" ht="15.75" customHeight="1">
      <c r="A436" s="21"/>
      <c r="D436" s="21">
        <v>44379.0</v>
      </c>
      <c r="E436" s="5">
        <v>0.00405897277776946</v>
      </c>
      <c r="F436" s="5">
        <v>1.40609144818975</v>
      </c>
    </row>
    <row r="437" ht="15.75" customHeight="1">
      <c r="A437" s="21"/>
      <c r="D437" s="21">
        <v>44383.0</v>
      </c>
      <c r="E437" s="5">
        <v>-0.00802548803135462</v>
      </c>
      <c r="F437" s="5">
        <v>1.39480687810131</v>
      </c>
    </row>
    <row r="438" ht="15.75" customHeight="1">
      <c r="A438" s="21"/>
      <c r="D438" s="21">
        <v>44384.0</v>
      </c>
      <c r="E438" s="5">
        <v>-0.00613861642743346</v>
      </c>
      <c r="F438" s="5">
        <v>1.3862446936863</v>
      </c>
    </row>
    <row r="439" ht="15.75" customHeight="1">
      <c r="A439" s="21"/>
      <c r="D439" s="21">
        <v>44385.0</v>
      </c>
      <c r="E439" s="5">
        <v>-0.00150640870843025</v>
      </c>
      <c r="F439" s="5">
        <v>1.38415644260772</v>
      </c>
    </row>
    <row r="440" ht="15.75" customHeight="1">
      <c r="A440" s="21"/>
      <c r="D440" s="21">
        <v>44386.0</v>
      </c>
      <c r="E440" s="5">
        <v>0.00515109904964853</v>
      </c>
      <c r="F440" s="5">
        <v>1.3912863695438</v>
      </c>
    </row>
    <row r="441" ht="15.75" customHeight="1">
      <c r="A441" s="21"/>
      <c r="D441" s="21">
        <v>44389.0</v>
      </c>
      <c r="E441" s="5">
        <v>0.00117519375168119</v>
      </c>
      <c r="F441" s="5">
        <v>1.39292140059209</v>
      </c>
    </row>
    <row r="442" ht="15.75" customHeight="1">
      <c r="A442" s="21"/>
      <c r="D442" s="21">
        <v>44390.0</v>
      </c>
      <c r="E442" s="5">
        <v>4.40657557686181E-4</v>
      </c>
      <c r="F442" s="5">
        <v>1.39353520193452</v>
      </c>
    </row>
    <row r="443" ht="15.75" customHeight="1">
      <c r="A443" s="21"/>
      <c r="D443" s="21">
        <v>44391.0</v>
      </c>
      <c r="E443" s="5">
        <v>0.00450973852806841</v>
      </c>
      <c r="F443" s="5">
        <v>1.3998196813249</v>
      </c>
    </row>
    <row r="444" ht="15.75" customHeight="1">
      <c r="A444" s="21"/>
      <c r="D444" s="21">
        <v>44392.0</v>
      </c>
      <c r="E444" s="5">
        <v>-0.00477371743467411</v>
      </c>
      <c r="F444" s="5">
        <v>1.39313733770676</v>
      </c>
    </row>
    <row r="445" ht="15.75" customHeight="1">
      <c r="A445" s="21"/>
      <c r="B445" s="7"/>
      <c r="D445" s="21">
        <v>44393.0</v>
      </c>
      <c r="E445" s="5">
        <v>-0.00486210484875003</v>
      </c>
      <c r="F445" s="5">
        <v>1.38636375790212</v>
      </c>
    </row>
    <row r="446" ht="15.75" customHeight="1">
      <c r="A446" s="21"/>
      <c r="B446" s="7"/>
      <c r="D446" s="21">
        <v>44396.0</v>
      </c>
      <c r="E446" s="5">
        <v>-0.012107944879885</v>
      </c>
      <c r="F446" s="5">
        <v>1.36957774193797</v>
      </c>
    </row>
    <row r="447" ht="15.75" customHeight="1">
      <c r="A447" s="21"/>
      <c r="D447" s="21">
        <v>44397.0</v>
      </c>
      <c r="E447" s="5">
        <v>0.00315501843959203</v>
      </c>
      <c r="F447" s="5">
        <v>1.37389878496824</v>
      </c>
    </row>
    <row r="448" ht="15.75" customHeight="1">
      <c r="A448" s="21"/>
      <c r="D448" s="21">
        <v>44398.0</v>
      </c>
      <c r="E448" s="5">
        <v>0.00529351698954578</v>
      </c>
      <c r="F448" s="5">
        <v>1.38117154152839</v>
      </c>
    </row>
    <row r="449" ht="15.75" customHeight="1">
      <c r="A449" s="21"/>
      <c r="D449" s="21">
        <v>44399.0</v>
      </c>
      <c r="E449" s="5">
        <v>9.82679573331104E-4</v>
      </c>
      <c r="F449" s="5">
        <v>1.38252879058951</v>
      </c>
    </row>
    <row r="450" ht="15.75" customHeight="1">
      <c r="A450" s="21"/>
      <c r="D450" s="21">
        <v>44400.0</v>
      </c>
      <c r="E450" s="5">
        <v>-0.00162907599629028</v>
      </c>
      <c r="F450" s="5">
        <v>1.38027654612258</v>
      </c>
    </row>
    <row r="451" ht="15.75" customHeight="1">
      <c r="A451" s="21"/>
      <c r="D451" s="21">
        <v>44403.0</v>
      </c>
      <c r="E451" s="5">
        <v>0.00374851447093616</v>
      </c>
      <c r="F451" s="5">
        <v>1.38545053272962</v>
      </c>
    </row>
    <row r="452" ht="15.75" customHeight="1">
      <c r="A452" s="21"/>
      <c r="D452" s="21">
        <v>44404.0</v>
      </c>
      <c r="E452" s="5">
        <v>-0.00356848154515933</v>
      </c>
      <c r="F452" s="5">
        <v>1.38050657807184</v>
      </c>
    </row>
    <row r="453" ht="15.75" customHeight="1">
      <c r="A453" s="21"/>
      <c r="D453" s="21">
        <v>44405.0</v>
      </c>
      <c r="E453" s="5">
        <v>0.00614913570359422</v>
      </c>
      <c r="F453" s="5">
        <v>1.38899550036011</v>
      </c>
    </row>
    <row r="454" ht="15.75" customHeight="1">
      <c r="A454" s="21"/>
      <c r="D454" s="21">
        <v>44406.0</v>
      </c>
      <c r="E454" s="5">
        <v>0.0078602544843571</v>
      </c>
      <c r="F454" s="5">
        <v>1.39991335847057</v>
      </c>
    </row>
    <row r="455" ht="15.75" customHeight="1">
      <c r="A455" s="21"/>
      <c r="D455" s="21">
        <v>44407.0</v>
      </c>
      <c r="E455" s="5">
        <v>0.00268669288512478</v>
      </c>
      <c r="F455" s="5">
        <v>1.40367449573056</v>
      </c>
    </row>
    <row r="456" ht="15.75" customHeight="1">
      <c r="A456" s="21"/>
      <c r="D456" s="21">
        <v>44410.0</v>
      </c>
      <c r="E456" s="5">
        <v>-0.00707178968076059</v>
      </c>
      <c r="F456" s="5">
        <v>1.39374800491651</v>
      </c>
    </row>
    <row r="457" ht="15.75" customHeight="1">
      <c r="A457" s="21"/>
      <c r="D457" s="21">
        <v>44411.0</v>
      </c>
      <c r="E457" s="5">
        <v>0.00272819080401464</v>
      </c>
      <c r="F457" s="5">
        <v>1.39755041540664</v>
      </c>
    </row>
    <row r="458" ht="15.75" customHeight="1">
      <c r="A458" s="21"/>
      <c r="D458" s="21">
        <v>44412.0</v>
      </c>
      <c r="E458" s="5">
        <v>-0.0036997681674247</v>
      </c>
      <c r="F458" s="5">
        <v>1.39237980286734</v>
      </c>
    </row>
    <row r="459" ht="15.75" customHeight="1">
      <c r="A459" s="21"/>
      <c r="D459" s="21">
        <v>44413.0</v>
      </c>
      <c r="E459" s="5">
        <v>-0.00761063765673427</v>
      </c>
      <c r="F459" s="5">
        <v>1.38178290470716</v>
      </c>
    </row>
    <row r="460" ht="15.75" customHeight="1">
      <c r="A460" s="21"/>
      <c r="D460" s="21">
        <v>44414.0</v>
      </c>
      <c r="E460" s="5">
        <v>0.00301107935571701</v>
      </c>
      <c r="F460" s="5">
        <v>1.38594356268561</v>
      </c>
    </row>
    <row r="461" ht="15.75" customHeight="1">
      <c r="A461" s="21"/>
      <c r="D461" s="21">
        <v>44417.0</v>
      </c>
      <c r="E461" s="5">
        <v>0.00394720328069473</v>
      </c>
      <c r="F461" s="5">
        <v>1.3914141636631</v>
      </c>
    </row>
    <row r="462" ht="15.75" customHeight="1">
      <c r="A462" s="21"/>
      <c r="D462" s="21">
        <v>44418.0</v>
      </c>
      <c r="E462" s="5">
        <v>0.00581967253959135</v>
      </c>
      <c r="F462" s="5">
        <v>1.39951173846257</v>
      </c>
    </row>
    <row r="463" ht="15.75" customHeight="1">
      <c r="A463" s="21"/>
      <c r="D463" s="21">
        <v>44419.0</v>
      </c>
      <c r="E463" s="5">
        <v>0.00882817697875791</v>
      </c>
      <c r="F463" s="5">
        <v>1.41186687577357</v>
      </c>
    </row>
    <row r="464" ht="15.75" customHeight="1">
      <c r="A464" s="21"/>
      <c r="D464" s="21">
        <v>44420.0</v>
      </c>
      <c r="E464" s="5">
        <v>-5.72771371702306E-4</v>
      </c>
      <c r="F464" s="5">
        <v>1.41105819884647</v>
      </c>
    </row>
    <row r="465" ht="15.75" customHeight="1">
      <c r="A465" s="21"/>
      <c r="D465" s="21">
        <v>44421.0</v>
      </c>
      <c r="E465" s="5">
        <v>0.00156319881193684</v>
      </c>
      <c r="F465" s="5">
        <v>1.41326396334648</v>
      </c>
    </row>
    <row r="466" ht="15.75" customHeight="1">
      <c r="A466" s="21"/>
      <c r="D466" s="21">
        <v>44424.0</v>
      </c>
      <c r="E466" s="5">
        <v>7.28900622719452E-4</v>
      </c>
      <c r="F466" s="5">
        <v>1.41429409232943</v>
      </c>
    </row>
    <row r="467" ht="15.75" customHeight="1">
      <c r="A467" s="21"/>
      <c r="D467" s="21">
        <v>44425.0</v>
      </c>
      <c r="E467" s="5">
        <v>-0.00222317627228043</v>
      </c>
      <c r="F467" s="5">
        <v>1.41114986726134</v>
      </c>
    </row>
    <row r="468" ht="15.75" customHeight="1">
      <c r="A468" s="21"/>
      <c r="D468" s="21">
        <v>44426.0</v>
      </c>
      <c r="E468" s="5">
        <v>-0.00704836869115567</v>
      </c>
      <c r="F468" s="5">
        <v>1.4012035627184</v>
      </c>
    </row>
    <row r="469" ht="15.75" customHeight="1">
      <c r="A469" s="21"/>
      <c r="D469" s="21">
        <v>44427.0</v>
      </c>
      <c r="E469" s="5">
        <v>-0.00483718541138375</v>
      </c>
      <c r="F469" s="5">
        <v>1.39442568128644</v>
      </c>
    </row>
    <row r="470" ht="15.75" customHeight="1">
      <c r="A470" s="21"/>
      <c r="D470" s="21">
        <v>44428.0</v>
      </c>
      <c r="E470" s="5">
        <v>0.00381762897054068</v>
      </c>
      <c r="F470" s="5">
        <v>1.39974908116459</v>
      </c>
    </row>
    <row r="471" ht="15.75" customHeight="1">
      <c r="A471" s="21"/>
      <c r="D471" s="21">
        <v>44431.0</v>
      </c>
      <c r="E471" s="5">
        <v>0.00649014372662206</v>
      </c>
      <c r="F471" s="5">
        <v>1.40883365388255</v>
      </c>
    </row>
    <row r="472" ht="15.75" customHeight="1">
      <c r="A472" s="21"/>
      <c r="D472" s="21">
        <v>44432.0</v>
      </c>
      <c r="E472" s="5">
        <v>0.00134221120988271</v>
      </c>
      <c r="F472" s="5">
        <v>1.41072460620565</v>
      </c>
    </row>
    <row r="473" ht="15.75" customHeight="1">
      <c r="A473" s="21"/>
      <c r="D473" s="21">
        <v>44433.0</v>
      </c>
      <c r="E473" s="5">
        <v>0.00209719138798728</v>
      </c>
      <c r="F473" s="5">
        <v>1.41368316570061</v>
      </c>
    </row>
    <row r="474" ht="15.75" customHeight="1">
      <c r="A474" s="21"/>
      <c r="D474" s="21">
        <v>44434.0</v>
      </c>
      <c r="E474" s="5">
        <v>-0.00278304725225453</v>
      </c>
      <c r="F474" s="5">
        <v>1.40974881865075</v>
      </c>
    </row>
    <row r="475" ht="15.75" customHeight="1">
      <c r="A475" s="21"/>
      <c r="D475" s="21">
        <v>44435.0</v>
      </c>
      <c r="E475" s="5">
        <v>0.00912912481557051</v>
      </c>
      <c r="F475" s="5">
        <v>1.42261859157481</v>
      </c>
    </row>
    <row r="476" ht="15.75" customHeight="1">
      <c r="A476" s="21"/>
      <c r="D476" s="21">
        <v>44438.0</v>
      </c>
      <c r="E476" s="5">
        <v>2.75323992112898E-4</v>
      </c>
      <c r="F476" s="5">
        <v>1.4230102726047</v>
      </c>
    </row>
    <row r="477" ht="15.75" customHeight="1">
      <c r="A477" s="21"/>
      <c r="D477" s="21">
        <v>44439.0</v>
      </c>
      <c r="E477" s="5">
        <v>0.00110831094809226</v>
      </c>
      <c r="F477" s="5">
        <v>1.42458741046908</v>
      </c>
    </row>
    <row r="478" ht="15.75" customHeight="1">
      <c r="A478" s="21"/>
      <c r="B478" s="7"/>
      <c r="D478" s="21">
        <v>44440.0</v>
      </c>
      <c r="E478" s="5">
        <v>-0.00204764483583545</v>
      </c>
      <c r="F478" s="5">
        <v>1.42167036141483</v>
      </c>
    </row>
    <row r="479" ht="15.75" customHeight="1">
      <c r="A479" s="21"/>
      <c r="D479" s="21">
        <v>44441.0</v>
      </c>
      <c r="E479" s="5">
        <v>-1.17465865428985E-4</v>
      </c>
      <c r="F479" s="5">
        <v>1.42150336367547</v>
      </c>
    </row>
    <row r="480" ht="15.75" customHeight="1">
      <c r="A480" s="21"/>
      <c r="D480" s="21">
        <v>44442.0</v>
      </c>
      <c r="E480" s="5">
        <v>0.00204209602921707</v>
      </c>
      <c r="F480" s="5">
        <v>1.42440621004995</v>
      </c>
    </row>
    <row r="481" ht="15.75" customHeight="1">
      <c r="A481" s="21"/>
      <c r="D481" s="21">
        <v>44446.0</v>
      </c>
      <c r="E481" s="5">
        <v>-0.00547917737162562</v>
      </c>
      <c r="F481" s="5">
        <v>1.41660163577585</v>
      </c>
    </row>
    <row r="482" ht="15.75" customHeight="1">
      <c r="A482" s="21"/>
      <c r="D482" s="21">
        <v>44447.0</v>
      </c>
      <c r="E482" s="5">
        <v>-0.00280074552465187</v>
      </c>
      <c r="F482" s="5">
        <v>1.41263409508423</v>
      </c>
    </row>
    <row r="483" ht="15.75" customHeight="1">
      <c r="A483" s="21"/>
      <c r="D483" s="21">
        <v>44448.0</v>
      </c>
      <c r="E483" s="5">
        <v>-8.61165754126642E-4</v>
      </c>
      <c r="F483" s="5">
        <v>1.41141758297843</v>
      </c>
    </row>
    <row r="484" ht="15.75" customHeight="1">
      <c r="A484" s="21"/>
      <c r="D484" s="21">
        <v>44449.0</v>
      </c>
      <c r="E484" s="5">
        <v>-0.0027421260913078</v>
      </c>
      <c r="F484" s="5">
        <v>1.40754729799842</v>
      </c>
    </row>
    <row r="485" ht="15.75" customHeight="1">
      <c r="A485" s="21"/>
      <c r="D485" s="21">
        <v>44452.0</v>
      </c>
      <c r="E485" s="5">
        <v>0.00325335346827364</v>
      </c>
      <c r="F485" s="5">
        <v>1.41212654688212</v>
      </c>
    </row>
    <row r="486" ht="15.75" customHeight="1">
      <c r="A486" s="21"/>
      <c r="D486" s="21">
        <v>44453.0</v>
      </c>
      <c r="E486" s="5">
        <v>-0.00105123925200638</v>
      </c>
      <c r="F486" s="5">
        <v>1.41064206402724</v>
      </c>
    </row>
    <row r="487" ht="15.75" customHeight="1">
      <c r="A487" s="21"/>
      <c r="D487" s="21">
        <v>44454.0</v>
      </c>
      <c r="E487" s="5">
        <v>0.00359890002292805</v>
      </c>
      <c r="F487" s="5">
        <v>1.41571882378381</v>
      </c>
    </row>
    <row r="488" ht="15.75" customHeight="1">
      <c r="A488" s="21"/>
      <c r="D488" s="21">
        <v>44455.0</v>
      </c>
      <c r="E488" s="5">
        <v>-0.00696131852903168</v>
      </c>
      <c r="F488" s="5">
        <v>1.4058635541039</v>
      </c>
    </row>
    <row r="489" ht="15.75" customHeight="1">
      <c r="A489" s="21"/>
      <c r="B489" s="7"/>
      <c r="D489" s="21">
        <v>44456.0</v>
      </c>
      <c r="E489" s="5">
        <v>-0.00612929897206705</v>
      </c>
      <c r="F489" s="5">
        <v>1.39724659606687</v>
      </c>
    </row>
    <row r="490" ht="15.75" customHeight="1">
      <c r="A490" s="21"/>
      <c r="D490" s="21">
        <v>44459.0</v>
      </c>
      <c r="E490" s="5">
        <v>-0.00539679726980166</v>
      </c>
      <c r="F490" s="5">
        <v>1.38970593945197</v>
      </c>
    </row>
    <row r="491" ht="15.75" customHeight="1">
      <c r="A491" s="21"/>
      <c r="D491" s="21">
        <v>44460.0</v>
      </c>
      <c r="E491" s="5">
        <v>1.26703251229515E-4</v>
      </c>
      <c r="F491" s="5">
        <v>1.38988201971276</v>
      </c>
    </row>
    <row r="492" ht="15.75" customHeight="1">
      <c r="A492" s="21"/>
      <c r="D492" s="21">
        <v>44461.0</v>
      </c>
      <c r="E492" s="5">
        <v>0.00706779659438627</v>
      </c>
      <c r="F492" s="5">
        <v>1.39970542311828</v>
      </c>
    </row>
    <row r="493" ht="15.75" customHeight="1">
      <c r="A493" s="21"/>
      <c r="D493" s="21">
        <v>44462.0</v>
      </c>
      <c r="E493" s="5">
        <v>0.00461451303981208</v>
      </c>
      <c r="F493" s="5">
        <v>1.40616438204516</v>
      </c>
    </row>
    <row r="494" ht="15.75" customHeight="1">
      <c r="A494" s="21"/>
      <c r="D494" s="21">
        <v>44463.0</v>
      </c>
      <c r="E494" s="5">
        <v>6.40296860622025E-4</v>
      </c>
      <c r="F494" s="5">
        <v>1.4070647446845</v>
      </c>
    </row>
    <row r="495" ht="15.75" customHeight="1">
      <c r="A495" s="21"/>
      <c r="D495" s="21">
        <v>44466.0</v>
      </c>
      <c r="E495" s="5">
        <v>0.00103290900821544</v>
      </c>
      <c r="F495" s="5">
        <v>1.40851811453442</v>
      </c>
    </row>
    <row r="496" ht="15.75" customHeight="1">
      <c r="A496" s="21"/>
      <c r="D496" s="21">
        <v>44467.0</v>
      </c>
      <c r="E496" s="5">
        <v>-0.00551555486189124</v>
      </c>
      <c r="F496" s="5">
        <v>1.40074935559974</v>
      </c>
    </row>
    <row r="497" ht="15.75" customHeight="1">
      <c r="A497" s="21"/>
      <c r="D497" s="21">
        <v>44468.0</v>
      </c>
      <c r="E497" s="5">
        <v>-0.0069951849323077</v>
      </c>
      <c r="F497" s="5">
        <v>1.39095085481351</v>
      </c>
    </row>
    <row r="498" ht="15.75" customHeight="1">
      <c r="A498" s="21"/>
      <c r="D498" s="21">
        <v>44469.0</v>
      </c>
      <c r="E498" s="7">
        <v>3.42500426814341E-5</v>
      </c>
      <c r="F498" s="5">
        <v>1.39099849493966</v>
      </c>
    </row>
    <row r="499" ht="15.75" customHeight="1">
      <c r="A499" s="21"/>
      <c r="D499" s="21">
        <v>44470.0</v>
      </c>
      <c r="E499" s="5">
        <v>0.00174856151706023</v>
      </c>
      <c r="F499" s="5">
        <v>1.3934307413782</v>
      </c>
    </row>
    <row r="500" ht="15.75" customHeight="1">
      <c r="A500" s="21"/>
      <c r="D500" s="21">
        <v>44473.0</v>
      </c>
      <c r="E500" s="5">
        <v>-0.00186952863399853</v>
      </c>
      <c r="F500" s="5">
        <v>1.3908256827077</v>
      </c>
    </row>
    <row r="501" ht="15.75" customHeight="1">
      <c r="A501" s="21"/>
      <c r="D501" s="21">
        <v>44474.0</v>
      </c>
      <c r="E501" s="5">
        <v>0.00282088223563869</v>
      </c>
      <c r="F501" s="5">
        <v>1.39474903816892</v>
      </c>
    </row>
    <row r="502" ht="15.75" customHeight="1">
      <c r="A502" s="21"/>
      <c r="D502" s="21">
        <v>44475.0</v>
      </c>
      <c r="E502" s="5">
        <v>0.00188691874654679</v>
      </c>
      <c r="F502" s="5">
        <v>1.39738081627577</v>
      </c>
    </row>
    <row r="503" ht="15.75" customHeight="1">
      <c r="A503" s="21"/>
      <c r="D503" s="21">
        <v>44476.0</v>
      </c>
      <c r="E503" s="5">
        <v>0.00378821261051215</v>
      </c>
      <c r="F503" s="5">
        <v>1.40267439190567</v>
      </c>
    </row>
    <row r="504" ht="15.75" customHeight="1">
      <c r="A504" s="21"/>
      <c r="D504" s="21">
        <v>44477.0</v>
      </c>
      <c r="E504" s="5">
        <v>-0.0031401972624837</v>
      </c>
      <c r="F504" s="5">
        <v>1.39826971762005</v>
      </c>
    </row>
    <row r="505" ht="15.75" customHeight="1">
      <c r="A505" s="21"/>
      <c r="D505" s="21">
        <v>44480.0</v>
      </c>
      <c r="E505" s="5">
        <v>-2.09306048081694E-4</v>
      </c>
      <c r="F505" s="5">
        <v>1.3979770513113</v>
      </c>
    </row>
    <row r="506" ht="15.75" customHeight="1">
      <c r="A506" s="21"/>
      <c r="D506" s="21">
        <v>44481.0</v>
      </c>
      <c r="E506" s="5">
        <v>0.00169089360792879</v>
      </c>
      <c r="F506" s="5">
        <v>1.4003408817714</v>
      </c>
    </row>
    <row r="507" ht="15.75" customHeight="1">
      <c r="A507" s="21"/>
      <c r="D507" s="21">
        <v>44482.0</v>
      </c>
      <c r="E507" s="5">
        <v>0.00818548817649859</v>
      </c>
      <c r="F507" s="5">
        <v>1.4118033555022</v>
      </c>
    </row>
    <row r="508" ht="15.75" customHeight="1">
      <c r="A508" s="21"/>
      <c r="D508" s="21">
        <v>44483.0</v>
      </c>
      <c r="E508" s="5">
        <v>0.00918621775801615</v>
      </c>
      <c r="F508" s="5">
        <v>1.42477248855735</v>
      </c>
    </row>
    <row r="509" ht="15.75" customHeight="1">
      <c r="A509" s="21"/>
      <c r="D509" s="21">
        <v>44484.0</v>
      </c>
      <c r="E509" s="5">
        <v>0.0046265501407823</v>
      </c>
      <c r="F509" s="5">
        <v>1.43136426991486</v>
      </c>
    </row>
    <row r="510" ht="15.75" customHeight="1">
      <c r="A510" s="21"/>
      <c r="D510" s="21">
        <v>44487.0</v>
      </c>
      <c r="E510" s="5">
        <v>-0.00391267360805803</v>
      </c>
      <c r="F510" s="5">
        <v>1.42576380871245</v>
      </c>
    </row>
    <row r="511" ht="15.75" customHeight="1">
      <c r="A511" s="21"/>
      <c r="D511" s="21">
        <v>44488.0</v>
      </c>
      <c r="E511" s="5">
        <v>0.00439989426657488</v>
      </c>
      <c r="F511" s="5">
        <v>1.43203701871989</v>
      </c>
    </row>
    <row r="512" ht="15.75" customHeight="1">
      <c r="A512" s="21"/>
      <c r="D512" s="21">
        <v>44489.0</v>
      </c>
      <c r="E512" s="5">
        <v>0.00385075606054056</v>
      </c>
      <c r="F512" s="5">
        <v>1.43755144394865</v>
      </c>
    </row>
    <row r="513" ht="15.75" customHeight="1">
      <c r="A513" s="21"/>
      <c r="D513" s="21">
        <v>44490.0</v>
      </c>
      <c r="E513" s="5">
        <v>-0.00551920389934727</v>
      </c>
      <c r="F513" s="5">
        <v>1.42961730441369</v>
      </c>
    </row>
    <row r="514" ht="15.75" customHeight="1">
      <c r="A514" s="21"/>
      <c r="D514" s="21">
        <v>44491.0</v>
      </c>
      <c r="E514" s="5">
        <v>0.00174274956871698</v>
      </c>
      <c r="F514" s="5">
        <v>1.43210876935439</v>
      </c>
    </row>
    <row r="515" ht="15.75" customHeight="1">
      <c r="A515" s="21"/>
      <c r="D515" s="21">
        <v>44494.0</v>
      </c>
      <c r="E515" s="5">
        <v>0.00366377097575887</v>
      </c>
      <c r="F515" s="5">
        <v>1.43735568789768</v>
      </c>
    </row>
    <row r="516" ht="15.75" customHeight="1">
      <c r="A516" s="21"/>
      <c r="D516" s="21">
        <v>44495.0</v>
      </c>
      <c r="E516" s="5">
        <v>0.00124546314808474</v>
      </c>
      <c r="F516" s="5">
        <v>1.43914586143765</v>
      </c>
    </row>
    <row r="517" ht="15.75" customHeight="1">
      <c r="A517" s="21"/>
      <c r="D517" s="21">
        <v>44496.0</v>
      </c>
      <c r="E517" s="5">
        <v>0.00141109582375028</v>
      </c>
      <c r="F517" s="5">
        <v>1.44117663415249</v>
      </c>
    </row>
    <row r="518" ht="15.75" customHeight="1">
      <c r="A518" s="21"/>
      <c r="D518" s="21">
        <v>44497.0</v>
      </c>
      <c r="E518" s="5">
        <v>0.00128492761629526</v>
      </c>
      <c r="F518" s="5">
        <v>1.44302844180967</v>
      </c>
    </row>
    <row r="519" ht="15.75" customHeight="1">
      <c r="A519" s="21"/>
      <c r="D519" s="21">
        <v>44498.0</v>
      </c>
      <c r="E519" s="5">
        <v>-0.00200871826992247</v>
      </c>
      <c r="F519" s="5">
        <v>1.44012980421459</v>
      </c>
    </row>
    <row r="520" ht="15.75" customHeight="1">
      <c r="A520" s="21"/>
      <c r="D520" s="21">
        <v>44501.0</v>
      </c>
      <c r="E520" s="5">
        <v>-6.05707372361044E-4</v>
      </c>
      <c r="F520" s="5">
        <v>1.43925750697502</v>
      </c>
    </row>
    <row r="521" ht="15.75" customHeight="1">
      <c r="A521" s="21"/>
      <c r="D521" s="21">
        <v>44502.0</v>
      </c>
      <c r="E521" s="5">
        <v>0.00140659512255065</v>
      </c>
      <c r="F521" s="5">
        <v>1.44128195956443</v>
      </c>
    </row>
    <row r="522" ht="15.75" customHeight="1">
      <c r="A522" s="21"/>
      <c r="D522" s="21">
        <v>44503.0</v>
      </c>
      <c r="E522" s="5">
        <v>0.00590986480355329</v>
      </c>
      <c r="F522" s="5">
        <v>1.44979974108925</v>
      </c>
    </row>
    <row r="523" ht="15.75" customHeight="1">
      <c r="A523" s="21"/>
      <c r="D523" s="21">
        <v>44504.0</v>
      </c>
      <c r="E523" s="5">
        <v>-0.00112011377551584</v>
      </c>
      <c r="F523" s="5">
        <v>1.44817580042752</v>
      </c>
    </row>
    <row r="524" ht="15.75" customHeight="1">
      <c r="A524" s="21"/>
      <c r="D524" s="21">
        <v>44505.0</v>
      </c>
      <c r="E524" s="5">
        <v>0.0024439128718867</v>
      </c>
      <c r="F524" s="5">
        <v>1.45171501590694</v>
      </c>
    </row>
    <row r="525" ht="15.75" customHeight="1">
      <c r="A525" s="21"/>
      <c r="D525" s="21">
        <v>44508.0</v>
      </c>
      <c r="E525" s="5">
        <v>0.00721141145344612</v>
      </c>
      <c r="F525" s="5">
        <v>1.46218393019979</v>
      </c>
    </row>
    <row r="526" ht="15.75" customHeight="1">
      <c r="A526" s="21"/>
      <c r="D526" s="21">
        <v>44509.0</v>
      </c>
      <c r="E526" s="5">
        <v>0.0040017100568996</v>
      </c>
      <c r="F526" s="5">
        <v>1.46803516633831</v>
      </c>
    </row>
    <row r="527" ht="15.75" customHeight="1">
      <c r="A527" s="21"/>
      <c r="D527" s="21">
        <v>44510.0</v>
      </c>
      <c r="E527" s="5">
        <v>0.0015300862096113</v>
      </c>
      <c r="F527" s="5">
        <v>1.47028138670155</v>
      </c>
    </row>
    <row r="528" ht="15.75" customHeight="1">
      <c r="A528" s="21"/>
      <c r="D528" s="21">
        <v>44511.0</v>
      </c>
      <c r="E528" s="5">
        <v>0.00376779287432232</v>
      </c>
      <c r="F528" s="5">
        <v>1.47582110243361</v>
      </c>
    </row>
    <row r="529" ht="15.75" customHeight="1">
      <c r="A529" s="21"/>
      <c r="D529" s="21">
        <v>44512.0</v>
      </c>
      <c r="E529" s="5">
        <v>0.00191126248503674</v>
      </c>
      <c r="F529" s="5">
        <v>1.47864178394132</v>
      </c>
    </row>
    <row r="530" ht="15.75" customHeight="1">
      <c r="A530" s="21"/>
      <c r="D530" s="21">
        <v>44515.0</v>
      </c>
      <c r="E530" s="5">
        <v>9.97886210467676E-4</v>
      </c>
      <c r="F530" s="5">
        <v>1.48011730018773</v>
      </c>
    </row>
    <row r="531" ht="15.75" customHeight="1">
      <c r="A531" s="21"/>
      <c r="D531" s="21">
        <v>44516.0</v>
      </c>
      <c r="E531" s="5">
        <v>-0.00516210909345568</v>
      </c>
      <c r="F531" s="5">
        <v>1.47247677321305</v>
      </c>
    </row>
    <row r="532" ht="15.75" customHeight="1">
      <c r="A532" s="21"/>
      <c r="D532" s="21">
        <v>44517.0</v>
      </c>
      <c r="E532" s="5">
        <v>6.60464824706978E-4</v>
      </c>
      <c r="F532" s="5">
        <v>1.47344929232696</v>
      </c>
    </row>
    <row r="533" ht="15.75" customHeight="1">
      <c r="A533" s="21"/>
      <c r="D533" s="21">
        <v>44518.0</v>
      </c>
      <c r="E533" s="5">
        <v>-0.00410238801006277</v>
      </c>
      <c r="F533" s="5">
        <v>1.46740463161668</v>
      </c>
    </row>
    <row r="534" ht="15.75" customHeight="1">
      <c r="A534" s="21"/>
      <c r="D534" s="21">
        <v>44519.0</v>
      </c>
      <c r="E534" s="5">
        <v>-8.17366841576066E-4</v>
      </c>
      <c r="F534" s="5">
        <v>1.46620522372762</v>
      </c>
    </row>
    <row r="535" ht="15.75" customHeight="1">
      <c r="A535" s="21"/>
      <c r="D535" s="21">
        <v>44522.0</v>
      </c>
      <c r="E535" s="5">
        <v>-0.00108771327458618</v>
      </c>
      <c r="F535" s="5">
        <v>1.46461041284251</v>
      </c>
    </row>
    <row r="536" ht="15.75" customHeight="1">
      <c r="A536" s="21"/>
      <c r="D536" s="21">
        <v>44523.0</v>
      </c>
      <c r="E536" s="5">
        <v>0.00598097982535398</v>
      </c>
      <c r="F536" s="5">
        <v>1.47337021817372</v>
      </c>
    </row>
    <row r="537" ht="15.75" customHeight="1">
      <c r="A537" s="21"/>
      <c r="D537" s="21">
        <v>44524.0</v>
      </c>
      <c r="E537" s="5">
        <v>-0.00154905894134744</v>
      </c>
      <c r="F537" s="5">
        <v>1.47108788086334</v>
      </c>
    </row>
    <row r="538" ht="15.75" customHeight="1">
      <c r="A538" s="21"/>
      <c r="D538" s="21">
        <v>44526.0</v>
      </c>
      <c r="E538" s="5">
        <v>-0.00884135570959688</v>
      </c>
      <c r="F538" s="5">
        <v>1.45808146962855</v>
      </c>
    </row>
    <row r="539" ht="15.75" customHeight="1">
      <c r="A539" s="21"/>
      <c r="D539" s="21">
        <v>44529.0</v>
      </c>
      <c r="E539" s="5">
        <v>0.00430770708371722</v>
      </c>
      <c r="F539" s="5">
        <v>1.46436245750391</v>
      </c>
    </row>
    <row r="540" ht="15.75" customHeight="1">
      <c r="A540" s="21"/>
      <c r="D540" s="21">
        <v>44530.0</v>
      </c>
      <c r="E540" s="5">
        <v>-0.0176407338464694</v>
      </c>
      <c r="F540" s="5">
        <v>1.43853002913632</v>
      </c>
    </row>
    <row r="541" ht="15.75" customHeight="1">
      <c r="A541" s="21"/>
      <c r="D541" s="21">
        <v>44531.0</v>
      </c>
      <c r="E541" s="5">
        <v>0.00144621689572159</v>
      </c>
      <c r="F541" s="5">
        <v>1.44061045556946</v>
      </c>
    </row>
    <row r="542" ht="15.75" customHeight="1">
      <c r="A542" s="21"/>
      <c r="D542" s="21">
        <v>44532.0</v>
      </c>
      <c r="E542" s="5">
        <v>0.00876263825751015</v>
      </c>
      <c r="F542" s="5">
        <v>1.4532340038616</v>
      </c>
    </row>
    <row r="543" ht="15.75" customHeight="1">
      <c r="A543" s="21"/>
      <c r="D543" s="21">
        <v>44533.0</v>
      </c>
      <c r="E543" s="5">
        <v>0.00328356726954064</v>
      </c>
      <c r="F543" s="5">
        <v>1.45800579547167</v>
      </c>
    </row>
    <row r="544" ht="15.75" customHeight="1">
      <c r="A544" s="21"/>
      <c r="D544" s="21">
        <v>44536.0</v>
      </c>
      <c r="E544" s="5">
        <v>0.00505419041186844</v>
      </c>
      <c r="F544" s="5">
        <v>1.46537483438359</v>
      </c>
    </row>
    <row r="545" ht="15.75" customHeight="1">
      <c r="A545" s="21"/>
      <c r="D545" s="21">
        <v>44537.0</v>
      </c>
      <c r="E545" s="5">
        <v>0.00726537634856086</v>
      </c>
      <c r="F545" s="5">
        <v>1.47602133404709</v>
      </c>
    </row>
    <row r="546" ht="15.75" customHeight="1">
      <c r="A546" s="21"/>
      <c r="D546" s="21">
        <v>44538.0</v>
      </c>
      <c r="E546" s="5">
        <v>-0.00171256251927204</v>
      </c>
      <c r="F546" s="5">
        <v>1.47349355523276</v>
      </c>
    </row>
    <row r="547" ht="15.75" customHeight="1">
      <c r="A547" s="21"/>
      <c r="D547" s="21">
        <v>44539.0</v>
      </c>
      <c r="E547" s="5">
        <v>-0.00162398899477935</v>
      </c>
      <c r="F547" s="5">
        <v>1.47110061791518</v>
      </c>
    </row>
    <row r="548" ht="15.75" customHeight="1">
      <c r="A548" s="21"/>
      <c r="D548" s="21">
        <v>44540.0</v>
      </c>
      <c r="E548" s="5">
        <v>-0.00233162792575303</v>
      </c>
      <c r="F548" s="5">
        <v>1.46767055863286</v>
      </c>
    </row>
    <row r="549" ht="15.75" customHeight="1">
      <c r="A549" s="21"/>
      <c r="D549" s="21">
        <v>44543.0</v>
      </c>
      <c r="E549" s="5">
        <v>-0.00118254657485207</v>
      </c>
      <c r="F549" s="5">
        <v>1.46593496984074</v>
      </c>
    </row>
    <row r="550" ht="15.75" customHeight="1">
      <c r="A550" s="21"/>
      <c r="D550" s="21">
        <v>44544.0</v>
      </c>
      <c r="E550" s="5">
        <v>0.00278766669090631</v>
      </c>
      <c r="F550" s="5">
        <v>1.4700215079272</v>
      </c>
    </row>
    <row r="551" ht="15.75" customHeight="1">
      <c r="A551" s="21"/>
      <c r="D551" s="21">
        <v>44545.0</v>
      </c>
      <c r="E551" s="5">
        <v>-0.00332195826538685</v>
      </c>
      <c r="F551" s="5">
        <v>1.46513815782864</v>
      </c>
    </row>
    <row r="552" ht="15.75" customHeight="1">
      <c r="A552" s="21"/>
      <c r="D552" s="21">
        <v>44546.0</v>
      </c>
      <c r="E552" s="5">
        <v>0.00784848233104258</v>
      </c>
      <c r="F552" s="5">
        <v>1.4766372687729</v>
      </c>
    </row>
    <row r="553" ht="15.75" customHeight="1">
      <c r="A553" s="21"/>
      <c r="B553" s="7"/>
      <c r="D553" s="21">
        <v>44547.0</v>
      </c>
      <c r="E553" s="5">
        <v>-0.0147654574334843</v>
      </c>
      <c r="F553" s="5">
        <v>1.45483404403613</v>
      </c>
    </row>
    <row r="554" ht="15.75" customHeight="1">
      <c r="A554" s="21"/>
      <c r="D554" s="21">
        <v>44550.0</v>
      </c>
      <c r="E554" s="5">
        <v>-0.00434332851783299</v>
      </c>
      <c r="F554" s="5">
        <v>1.44851522184396</v>
      </c>
    </row>
    <row r="555" ht="15.75" customHeight="1">
      <c r="A555" s="21"/>
      <c r="D555" s="21">
        <v>44551.0</v>
      </c>
      <c r="E555" s="5">
        <v>-0.00340812506745962</v>
      </c>
      <c r="F555" s="5">
        <v>1.44357850080579</v>
      </c>
    </row>
    <row r="556" ht="15.75" customHeight="1">
      <c r="A556" s="21"/>
      <c r="D556" s="21">
        <v>44552.0</v>
      </c>
      <c r="E556" s="5">
        <v>0.00518895034034747</v>
      </c>
      <c r="F556" s="5">
        <v>1.45106915795887</v>
      </c>
    </row>
    <row r="557" ht="15.75" customHeight="1">
      <c r="A557" s="21"/>
      <c r="D557" s="21">
        <v>44553.0</v>
      </c>
      <c r="E557" s="5">
        <v>0.006886295138662</v>
      </c>
      <c r="F557" s="5">
        <v>1.46106164844718</v>
      </c>
    </row>
    <row r="558" ht="15.75" customHeight="1">
      <c r="A558" s="21"/>
      <c r="D558" s="21">
        <v>44557.0</v>
      </c>
      <c r="E558" s="5">
        <v>0.00280643859856396</v>
      </c>
      <c r="F558" s="5">
        <v>1.46516202825227</v>
      </c>
    </row>
    <row r="559" ht="15.75" customHeight="1">
      <c r="A559" s="21"/>
      <c r="D559" s="21">
        <v>44558.0</v>
      </c>
      <c r="E559" s="5">
        <v>0.00591185766552364</v>
      </c>
      <c r="F559" s="5">
        <v>1.47382385762022</v>
      </c>
    </row>
    <row r="560" ht="15.75" customHeight="1">
      <c r="A560" s="21"/>
      <c r="D560" s="21">
        <v>44559.0</v>
      </c>
      <c r="E560" s="5">
        <v>0.00641973195889913</v>
      </c>
      <c r="F560" s="5">
        <v>1.48328541174078</v>
      </c>
    </row>
    <row r="561" ht="15.75" customHeight="1">
      <c r="A561" s="21"/>
      <c r="D561" s="21">
        <v>44560.0</v>
      </c>
      <c r="E561" s="5">
        <v>7.29169860890074E-4</v>
      </c>
      <c r="F561" s="5">
        <v>1.48436697875812</v>
      </c>
    </row>
    <row r="562" ht="15.75" customHeight="1">
      <c r="A562" s="21"/>
      <c r="D562" s="21">
        <v>44561.0</v>
      </c>
      <c r="E562" s="5">
        <v>0.002792341422621</v>
      </c>
      <c r="F562" s="5">
        <v>1.48851183815927</v>
      </c>
    </row>
    <row r="563" ht="15.75" customHeight="1">
      <c r="A563" s="21"/>
      <c r="D563" s="21">
        <v>44564.0</v>
      </c>
      <c r="E563" s="5">
        <v>-0.00112988219993938</v>
      </c>
      <c r="F563" s="5">
        <v>1.48682999512894</v>
      </c>
    </row>
    <row r="564" ht="15.75" customHeight="1">
      <c r="A564" s="21"/>
      <c r="D564" s="21">
        <v>44565.0</v>
      </c>
      <c r="E564" s="5">
        <v>-0.00149752912652619</v>
      </c>
      <c r="F564" s="5">
        <v>1.48460342390504</v>
      </c>
    </row>
    <row r="565" ht="15.75" customHeight="1">
      <c r="A565" s="21"/>
      <c r="D565" s="21">
        <v>44566.0</v>
      </c>
      <c r="E565" s="5">
        <v>0.00142196437798817</v>
      </c>
      <c r="F565" s="5">
        <v>1.48671447708927</v>
      </c>
    </row>
    <row r="566" ht="15.75" customHeight="1">
      <c r="A566" s="21"/>
      <c r="D566" s="21">
        <v>44567.0</v>
      </c>
      <c r="E566" s="5">
        <v>1.78807329007385E-4</v>
      </c>
      <c r="F566" s="5">
        <v>1.48698031253392</v>
      </c>
    </row>
    <row r="567" ht="15.75" customHeight="1">
      <c r="A567" s="21"/>
      <c r="D567" s="21">
        <v>44568.0</v>
      </c>
      <c r="E567" s="5">
        <v>0.00454067225551129</v>
      </c>
      <c r="F567" s="5">
        <v>1.49373220278353</v>
      </c>
    </row>
    <row r="568" ht="15.75" customHeight="1">
      <c r="A568" s="21"/>
      <c r="D568" s="21">
        <v>44571.0</v>
      </c>
      <c r="E568" s="5">
        <v>-0.00302279147396282</v>
      </c>
      <c r="F568" s="5">
        <v>1.48921696181657</v>
      </c>
    </row>
    <row r="569" ht="15.75" customHeight="1">
      <c r="A569" s="21"/>
      <c r="D569" s="21">
        <v>44572.0</v>
      </c>
      <c r="E569" s="5">
        <v>0.00203590012138889</v>
      </c>
      <c r="F569" s="5">
        <v>1.49224885880991</v>
      </c>
    </row>
    <row r="570" ht="15.75" customHeight="1">
      <c r="A570" s="21"/>
      <c r="D570" s="21">
        <v>44573.0</v>
      </c>
      <c r="E570" s="5">
        <v>0.01030762865496</v>
      </c>
      <c r="F570" s="5">
        <v>1.50763040590731</v>
      </c>
    </row>
    <row r="571" ht="15.75" customHeight="1">
      <c r="A571" s="21"/>
      <c r="D571" s="21">
        <v>44574.0</v>
      </c>
      <c r="E571" s="5">
        <v>-0.00220440027916171</v>
      </c>
      <c r="F571" s="5">
        <v>1.50430698501966</v>
      </c>
    </row>
    <row r="572" ht="15.75" customHeight="1">
      <c r="A572" s="21"/>
      <c r="D572" s="21">
        <v>44575.0</v>
      </c>
      <c r="E572" s="5">
        <v>4.92414775116812E-4</v>
      </c>
      <c r="F572" s="5">
        <v>1.50504772800539</v>
      </c>
    </row>
    <row r="573" ht="15.75" customHeight="1">
      <c r="A573" s="21"/>
      <c r="D573" s="21">
        <v>44579.0</v>
      </c>
      <c r="E573" s="5">
        <v>-0.00115983070924627</v>
      </c>
      <c r="F573" s="5">
        <v>1.50330212743157</v>
      </c>
    </row>
    <row r="574" ht="15.75" customHeight="1">
      <c r="A574" s="21"/>
      <c r="D574" s="21">
        <v>44580.0</v>
      </c>
      <c r="E574" s="5">
        <v>0.00247196399528819</v>
      </c>
      <c r="F574" s="5">
        <v>1.50701823616462</v>
      </c>
    </row>
    <row r="575" ht="15.75" customHeight="1">
      <c r="A575" s="21"/>
      <c r="D575" s="21">
        <v>44581.0</v>
      </c>
      <c r="E575" s="5">
        <v>-0.00185159619459011</v>
      </c>
      <c r="F575" s="5">
        <v>1.50422784693336</v>
      </c>
    </row>
    <row r="576" ht="15.75" customHeight="1">
      <c r="A576" s="21"/>
      <c r="D576" s="21">
        <v>44582.0</v>
      </c>
      <c r="E576" s="5">
        <v>-0.00458642372388404</v>
      </c>
      <c r="F576" s="5">
        <v>1.49732882065006</v>
      </c>
    </row>
    <row r="577" ht="15.75" customHeight="1">
      <c r="A577" s="21"/>
      <c r="B577" s="7"/>
      <c r="D577" s="21">
        <v>44585.0</v>
      </c>
      <c r="E577" s="5">
        <v>-0.00520429590718508</v>
      </c>
      <c r="F577" s="5">
        <v>1.48953627839704</v>
      </c>
    </row>
    <row r="578" ht="15.75" customHeight="1">
      <c r="A578" s="21"/>
      <c r="D578" s="21">
        <v>44586.0</v>
      </c>
      <c r="E578" s="5">
        <v>-1.46458516336717E-4</v>
      </c>
      <c r="F578" s="5">
        <v>1.48931812312367</v>
      </c>
    </row>
    <row r="579" ht="15.75" customHeight="1">
      <c r="A579" s="21"/>
      <c r="D579" s="21">
        <v>44587.0</v>
      </c>
      <c r="E579" s="5">
        <v>0.00195823226067432</v>
      </c>
      <c r="F579" s="5">
        <v>1.49223455391878</v>
      </c>
    </row>
    <row r="580" ht="15.75" customHeight="1">
      <c r="A580" s="21"/>
      <c r="D580" s="21">
        <v>44588.0</v>
      </c>
      <c r="E580" s="5">
        <v>0.00177370163509245</v>
      </c>
      <c r="F580" s="5">
        <v>1.49488133278701</v>
      </c>
    </row>
    <row r="581" ht="15.75" customHeight="1">
      <c r="A581" s="21"/>
      <c r="D581" s="21">
        <v>44589.0</v>
      </c>
      <c r="E581" s="5">
        <v>0.00292331977930656</v>
      </c>
      <c r="F581" s="5">
        <v>1.49925134895486</v>
      </c>
    </row>
    <row r="582" ht="15.75" customHeight="1">
      <c r="A582" s="21"/>
      <c r="D582" s="21">
        <v>44592.0</v>
      </c>
      <c r="E582" s="5">
        <v>0.00705784750978438</v>
      </c>
      <c r="F582" s="5">
        <v>1.50983283635462</v>
      </c>
    </row>
    <row r="583" ht="15.75" customHeight="1">
      <c r="A583" s="21"/>
      <c r="D583" s="21">
        <v>44593.0</v>
      </c>
      <c r="E583" s="5">
        <v>0.00774111684751689</v>
      </c>
      <c r="F583" s="5">
        <v>1.52152062876106</v>
      </c>
    </row>
    <row r="584" ht="15.75" customHeight="1">
      <c r="A584" s="21"/>
      <c r="D584" s="21">
        <v>44594.0</v>
      </c>
      <c r="E584" s="5">
        <v>0.00646195196441943</v>
      </c>
      <c r="F584" s="5">
        <v>1.53135262197699</v>
      </c>
    </row>
    <row r="585" ht="15.75" customHeight="1">
      <c r="A585" s="21"/>
      <c r="D585" s="21">
        <v>44595.0</v>
      </c>
      <c r="E585" s="5">
        <v>-0.00130898701510007</v>
      </c>
      <c r="F585" s="5">
        <v>1.52934810127928</v>
      </c>
    </row>
    <row r="586" ht="15.75" customHeight="1">
      <c r="A586" s="21"/>
      <c r="D586" s="21">
        <v>44596.0</v>
      </c>
      <c r="E586" s="5">
        <v>-0.00161613022973411</v>
      </c>
      <c r="F586" s="5">
        <v>1.52687647558102</v>
      </c>
    </row>
    <row r="587" ht="15.75" customHeight="1">
      <c r="A587" s="21"/>
      <c r="D587" s="21">
        <v>44599.0</v>
      </c>
      <c r="E587" s="5">
        <v>0.00367054563140655</v>
      </c>
      <c r="F587" s="5">
        <v>1.53248094535816</v>
      </c>
    </row>
    <row r="588" ht="15.75" customHeight="1">
      <c r="A588" s="21"/>
      <c r="D588" s="21">
        <v>44600.0</v>
      </c>
      <c r="E588" s="5">
        <v>0.00606519111013342</v>
      </c>
      <c r="F588" s="5">
        <v>1.5417757351644</v>
      </c>
    </row>
    <row r="589" ht="15.75" customHeight="1">
      <c r="A589" s="21"/>
      <c r="D589" s="21">
        <v>44601.0</v>
      </c>
      <c r="E589" s="5">
        <v>0.00504600749191853</v>
      </c>
      <c r="F589" s="5">
        <v>1.54955554707489</v>
      </c>
    </row>
    <row r="590" ht="15.75" customHeight="1">
      <c r="A590" s="21"/>
      <c r="D590" s="21">
        <v>44602.0</v>
      </c>
      <c r="E590" s="5">
        <v>-0.00543464902435235</v>
      </c>
      <c r="F590" s="5">
        <v>1.5411342565328</v>
      </c>
    </row>
    <row r="591" ht="15.75" customHeight="1">
      <c r="A591" s="21"/>
      <c r="D591" s="21">
        <v>44603.0</v>
      </c>
      <c r="E591" s="5">
        <v>5.25034568661993E-4</v>
      </c>
      <c r="F591" s="5">
        <v>1.54194340529243</v>
      </c>
    </row>
    <row r="592" ht="15.75" customHeight="1">
      <c r="A592" s="21"/>
      <c r="D592" s="21">
        <v>44606.0</v>
      </c>
      <c r="E592" s="5">
        <v>-0.00353761536581521</v>
      </c>
      <c r="F592" s="5">
        <v>1.53648860260865</v>
      </c>
    </row>
    <row r="593" ht="15.75" customHeight="1">
      <c r="A593" s="21"/>
      <c r="D593" s="21">
        <v>44607.0</v>
      </c>
      <c r="E593" s="5">
        <v>-0.00420218967968024</v>
      </c>
      <c r="F593" s="5">
        <v>1.53003198605982</v>
      </c>
    </row>
    <row r="594" ht="15.75" customHeight="1">
      <c r="A594" s="21"/>
      <c r="D594" s="21">
        <v>44608.0</v>
      </c>
      <c r="E594" s="5">
        <v>0.00100016959544052</v>
      </c>
      <c r="F594" s="5">
        <v>1.53156227753233</v>
      </c>
    </row>
    <row r="595" ht="15.75" customHeight="1">
      <c r="A595" s="21"/>
      <c r="D595" s="21">
        <v>44609.0</v>
      </c>
      <c r="E595" s="5">
        <v>0.0038690584183472</v>
      </c>
      <c r="F595" s="5">
        <v>1.53748798145544</v>
      </c>
    </row>
    <row r="596" ht="15.75" customHeight="1">
      <c r="A596" s="21"/>
      <c r="D596" s="21">
        <v>44610.0</v>
      </c>
      <c r="E596" s="5">
        <v>0.00119871613167607</v>
      </c>
      <c r="F596" s="5">
        <v>1.53933099310107</v>
      </c>
    </row>
    <row r="597" ht="15.75" customHeight="1">
      <c r="A597" s="21"/>
      <c r="D597" s="21">
        <v>44614.0</v>
      </c>
      <c r="E597" s="5">
        <v>-0.00310126592968564</v>
      </c>
      <c r="F597" s="5">
        <v>1.53455711833766</v>
      </c>
    </row>
    <row r="598" ht="15.75" customHeight="1">
      <c r="A598" s="21"/>
      <c r="D598" s="21">
        <v>44615.0</v>
      </c>
      <c r="E598" s="5">
        <v>-0.00177515029877667</v>
      </c>
      <c r="F598" s="5">
        <v>1.53183304881055</v>
      </c>
    </row>
    <row r="599" ht="15.75" customHeight="1">
      <c r="A599" s="21"/>
      <c r="D599" s="21">
        <v>44616.0</v>
      </c>
      <c r="E599" s="5">
        <v>-0.00443255099513306</v>
      </c>
      <c r="F599" s="5">
        <v>1.52504312070567</v>
      </c>
    </row>
    <row r="600" ht="15.75" customHeight="1">
      <c r="A600" s="21"/>
      <c r="B600" s="7"/>
      <c r="D600" s="21">
        <v>44617.0</v>
      </c>
      <c r="E600" s="5">
        <v>0.0140910524341926</v>
      </c>
      <c r="F600" s="5">
        <v>1.54653258328394</v>
      </c>
    </row>
    <row r="601" ht="15.75" customHeight="1">
      <c r="A601" s="21"/>
      <c r="D601" s="21">
        <v>44620.0</v>
      </c>
      <c r="E601" s="5">
        <v>-3.73133093992307E-4</v>
      </c>
      <c r="F601" s="5">
        <v>1.54595552079617</v>
      </c>
    </row>
    <row r="602" ht="15.75" customHeight="1">
      <c r="A602" s="21"/>
      <c r="D602" s="21">
        <v>44621.0</v>
      </c>
      <c r="E602" s="5">
        <v>0.0011347906504162</v>
      </c>
      <c r="F602" s="5">
        <v>1.54770985666713</v>
      </c>
    </row>
    <row r="603" ht="15.75" customHeight="1">
      <c r="A603" s="21"/>
      <c r="D603" s="21">
        <v>44622.0</v>
      </c>
      <c r="E603" s="5">
        <v>0.0094361971789609</v>
      </c>
      <c r="F603" s="5">
        <v>1.56231435205047</v>
      </c>
    </row>
    <row r="604" ht="15.75" customHeight="1">
      <c r="A604" s="21"/>
      <c r="D604" s="21">
        <v>44623.0</v>
      </c>
      <c r="E604" s="7">
        <v>-7.00417455559262E-5</v>
      </c>
      <c r="F604" s="5">
        <v>1.56220492482614</v>
      </c>
    </row>
    <row r="605" ht="15.75" customHeight="1">
      <c r="A605" s="21"/>
      <c r="D605" s="21">
        <v>44624.0</v>
      </c>
      <c r="E605" s="5">
        <v>0.0106763512915625</v>
      </c>
      <c r="F605" s="5">
        <v>1.57888357339299</v>
      </c>
    </row>
    <row r="606" ht="15.75" customHeight="1">
      <c r="A606" s="21"/>
      <c r="D606" s="21">
        <v>44627.0</v>
      </c>
      <c r="E606" s="5">
        <v>-0.00726294266053173</v>
      </c>
      <c r="F606" s="5">
        <v>1.56741623253179</v>
      </c>
    </row>
    <row r="607" ht="15.75" customHeight="1">
      <c r="A607" s="21"/>
      <c r="D607" s="21">
        <v>44628.0</v>
      </c>
      <c r="E607" s="5">
        <v>-0.00816596789763897</v>
      </c>
      <c r="F607" s="5">
        <v>1.55461676189469</v>
      </c>
    </row>
    <row r="608" ht="15.75" customHeight="1">
      <c r="A608" s="21"/>
      <c r="D608" s="21">
        <v>44629.0</v>
      </c>
      <c r="E608" s="5">
        <v>0.00167457656877255</v>
      </c>
      <c r="F608" s="5">
        <v>1.55722008669758</v>
      </c>
    </row>
    <row r="609" ht="15.75" customHeight="1">
      <c r="A609" s="21"/>
      <c r="D609" s="21">
        <v>44630.0</v>
      </c>
      <c r="E609" s="5">
        <v>0.00450285186015224</v>
      </c>
      <c r="F609" s="5">
        <v>1.56423201806163</v>
      </c>
    </row>
    <row r="610" ht="15.75" customHeight="1">
      <c r="A610" s="21"/>
      <c r="D610" s="21">
        <v>44631.0</v>
      </c>
      <c r="E610" s="5">
        <v>0.00648348752535394</v>
      </c>
      <c r="F610" s="5">
        <v>1.5743736968375</v>
      </c>
    </row>
    <row r="611" ht="15.75" customHeight="1">
      <c r="A611" s="21"/>
      <c r="D611" s="21">
        <v>44634.0</v>
      </c>
      <c r="E611" s="5">
        <v>-0.00400315787494394</v>
      </c>
      <c r="F611" s="5">
        <v>1.5680712303749</v>
      </c>
    </row>
    <row r="612" ht="15.75" customHeight="1">
      <c r="A612" s="21"/>
      <c r="D612" s="21">
        <v>44635.0</v>
      </c>
      <c r="E612" s="5">
        <v>-6.45032274931959E-4</v>
      </c>
      <c r="F612" s="5">
        <v>1.56705977382191</v>
      </c>
    </row>
    <row r="613" ht="15.75" customHeight="1">
      <c r="A613" s="21"/>
      <c r="D613" s="21">
        <v>44636.0</v>
      </c>
      <c r="E613" s="5">
        <v>0.0036801852256298</v>
      </c>
      <c r="F613" s="5">
        <v>1.57282684404921</v>
      </c>
    </row>
    <row r="614" ht="15.75" customHeight="1">
      <c r="A614" s="21"/>
      <c r="D614" s="21">
        <v>44637.0</v>
      </c>
      <c r="E614" s="5">
        <v>0.00466516405071782</v>
      </c>
      <c r="F614" s="5">
        <v>1.58016433930007</v>
      </c>
    </row>
    <row r="615" ht="15.75" customHeight="1">
      <c r="A615" s="21"/>
      <c r="D615" s="21">
        <v>44638.0</v>
      </c>
      <c r="E615" s="5">
        <v>0.00147584990745271</v>
      </c>
      <c r="F615" s="5">
        <v>1.58249642469399</v>
      </c>
    </row>
    <row r="616" ht="15.75" customHeight="1">
      <c r="A616" s="21"/>
      <c r="D616" s="21">
        <v>44641.0</v>
      </c>
      <c r="E616" s="5">
        <v>0.0023427537294175</v>
      </c>
      <c r="F616" s="5">
        <v>1.58620382409473</v>
      </c>
    </row>
    <row r="617" ht="15.75" customHeight="1">
      <c r="A617" s="21"/>
      <c r="D617" s="21">
        <v>44642.0</v>
      </c>
      <c r="E617" s="7">
        <v>-3.64413516124766E-5</v>
      </c>
      <c r="F617" s="5">
        <v>1.58614602068345</v>
      </c>
    </row>
    <row r="618" ht="15.75" customHeight="1">
      <c r="A618" s="21"/>
      <c r="D618" s="21">
        <v>44643.0</v>
      </c>
      <c r="E618" s="5">
        <v>0.00218082088609276</v>
      </c>
      <c r="F618" s="5">
        <v>1.58960512105375</v>
      </c>
    </row>
    <row r="619" ht="15.75" customHeight="1">
      <c r="A619" s="21"/>
      <c r="D619" s="21">
        <v>44644.0</v>
      </c>
      <c r="E619" s="5">
        <v>2.26368889856034E-4</v>
      </c>
      <c r="F619" s="5">
        <v>1.58996495820031</v>
      </c>
    </row>
    <row r="620" ht="15.75" customHeight="1">
      <c r="A620" s="21"/>
      <c r="D620" s="21">
        <v>44645.0</v>
      </c>
      <c r="E620" s="5">
        <v>-0.00180471586314463</v>
      </c>
      <c r="F620" s="5">
        <v>1.5870955232184</v>
      </c>
    </row>
    <row r="621" ht="15.75" customHeight="1">
      <c r="A621" s="21"/>
      <c r="D621" s="21">
        <v>44648.0</v>
      </c>
      <c r="E621" s="5">
        <v>0.00767488619859214</v>
      </c>
      <c r="F621" s="5">
        <v>1.5992763007454</v>
      </c>
    </row>
    <row r="622" ht="15.75" customHeight="1">
      <c r="A622" s="21"/>
      <c r="D622" s="21">
        <v>44649.0</v>
      </c>
      <c r="E622" s="5">
        <v>0.00233181113567414</v>
      </c>
      <c r="F622" s="5">
        <v>1.6030055110325</v>
      </c>
    </row>
    <row r="623" ht="15.75" customHeight="1">
      <c r="A623" s="21"/>
      <c r="D623" s="21">
        <v>44650.0</v>
      </c>
      <c r="E623" s="5">
        <v>3.64598217906193E-4</v>
      </c>
      <c r="F623" s="5">
        <v>1.60358996398511</v>
      </c>
    </row>
    <row r="624" ht="15.75" customHeight="1">
      <c r="A624" s="21"/>
      <c r="D624" s="21">
        <v>44651.0</v>
      </c>
      <c r="E624" s="5">
        <v>-9.71152904258717E-4</v>
      </c>
      <c r="F624" s="5">
        <v>1.60203263293435</v>
      </c>
    </row>
    <row r="625" ht="15.75" customHeight="1">
      <c r="A625" s="21"/>
      <c r="D625" s="21">
        <v>44652.0</v>
      </c>
      <c r="E625" s="5">
        <v>0.00792988925789258</v>
      </c>
      <c r="F625" s="5">
        <v>1.61473657430105</v>
      </c>
    </row>
    <row r="626" ht="15.75" customHeight="1">
      <c r="A626" s="21"/>
      <c r="D626" s="21">
        <v>44655.0</v>
      </c>
      <c r="E626" s="5">
        <v>0.00172028473922151</v>
      </c>
      <c r="F626" s="5">
        <v>1.61751438098768</v>
      </c>
    </row>
    <row r="627" ht="15.75" customHeight="1">
      <c r="A627" s="21"/>
      <c r="D627" s="21">
        <v>44656.0</v>
      </c>
      <c r="E627" s="5">
        <v>0.00263646311157863</v>
      </c>
      <c r="F627" s="5">
        <v>1.6217788979856</v>
      </c>
    </row>
    <row r="628" ht="15.75" customHeight="1">
      <c r="A628" s="21"/>
      <c r="D628" s="21">
        <v>44657.0</v>
      </c>
      <c r="E628" s="5">
        <v>0.00273011341812062</v>
      </c>
      <c r="F628" s="5">
        <v>1.62620653831622</v>
      </c>
    </row>
    <row r="629" ht="15.75" customHeight="1">
      <c r="A629" s="21"/>
      <c r="D629" s="21">
        <v>44658.0</v>
      </c>
      <c r="E629" s="5">
        <v>2.87308102455496E-4</v>
      </c>
      <c r="F629" s="5">
        <v>1.62667376063094</v>
      </c>
    </row>
    <row r="630" ht="15.75" customHeight="1">
      <c r="A630" s="21"/>
      <c r="D630" s="21">
        <v>44659.0</v>
      </c>
      <c r="E630" s="5">
        <v>0.00262884944563606</v>
      </c>
      <c r="F630" s="5">
        <v>1.63095004104481</v>
      </c>
    </row>
    <row r="631" ht="15.75" customHeight="1">
      <c r="A631" s="21"/>
      <c r="D631" s="21">
        <v>44662.0</v>
      </c>
      <c r="E631" s="5">
        <v>6.38432459744472E-4</v>
      </c>
      <c r="F631" s="5">
        <v>1.63199129249123</v>
      </c>
    </row>
    <row r="632" ht="15.75" customHeight="1">
      <c r="A632" s="21"/>
      <c r="D632" s="21">
        <v>44663.0</v>
      </c>
      <c r="E632" s="5">
        <v>6.68451123296871E-4</v>
      </c>
      <c r="F632" s="5">
        <v>1.63308219890391</v>
      </c>
    </row>
    <row r="633" ht="15.75" customHeight="1">
      <c r="A633" s="21"/>
      <c r="D633" s="21">
        <v>44664.0</v>
      </c>
      <c r="E633" s="5">
        <v>0.00288590841420841</v>
      </c>
      <c r="F633" s="5">
        <v>1.63779512456282</v>
      </c>
    </row>
    <row r="634" ht="15.75" customHeight="1">
      <c r="A634" s="21"/>
      <c r="D634" s="21">
        <v>44665.0</v>
      </c>
      <c r="E634" s="5">
        <v>0.00268857217211968</v>
      </c>
      <c r="F634" s="5">
        <v>1.64219845495835</v>
      </c>
    </row>
    <row r="635" ht="15.75" customHeight="1">
      <c r="A635" s="21"/>
      <c r="D635" s="21">
        <v>44669.0</v>
      </c>
      <c r="E635" s="5">
        <v>0.00171182308812036</v>
      </c>
      <c r="F635" s="5">
        <v>1.64500960818883</v>
      </c>
    </row>
    <row r="636" ht="15.75" customHeight="1">
      <c r="A636" s="21"/>
      <c r="D636" s="21">
        <v>44670.0</v>
      </c>
      <c r="E636" s="5">
        <v>-3.18399661756627E-4</v>
      </c>
      <c r="F636" s="5">
        <v>1.64448583768599</v>
      </c>
    </row>
    <row r="637" ht="15.75" customHeight="1">
      <c r="A637" s="21"/>
      <c r="D637" s="21">
        <v>44671.0</v>
      </c>
      <c r="E637" s="5">
        <v>0.00405653243034509</v>
      </c>
      <c r="F637" s="5">
        <v>1.65115674781781</v>
      </c>
    </row>
    <row r="638" ht="15.75" customHeight="1">
      <c r="A638" s="21"/>
      <c r="D638" s="21">
        <v>44672.0</v>
      </c>
      <c r="E638" s="5">
        <v>-0.00384514567715127</v>
      </c>
      <c r="F638" s="5">
        <v>1.64480780958664</v>
      </c>
    </row>
    <row r="639" ht="15.75" customHeight="1">
      <c r="A639" s="21"/>
      <c r="D639" s="21">
        <v>44673.0</v>
      </c>
      <c r="E639" s="5">
        <v>-0.0158115365359446</v>
      </c>
      <c r="F639" s="5">
        <v>1.61880087081075</v>
      </c>
    </row>
    <row r="640" ht="15.75" customHeight="1">
      <c r="A640" s="21"/>
      <c r="D640" s="21">
        <v>44676.0</v>
      </c>
      <c r="E640" s="5">
        <v>-0.00746871099822542</v>
      </c>
      <c r="F640" s="5">
        <v>1.60671051494299</v>
      </c>
    </row>
    <row r="641" ht="15.75" customHeight="1">
      <c r="A641" s="21"/>
      <c r="D641" s="21">
        <v>44677.0</v>
      </c>
      <c r="E641" s="5">
        <v>-0.0100806047583222</v>
      </c>
      <c r="F641" s="5">
        <v>1.59051390128081</v>
      </c>
    </row>
    <row r="642" ht="15.75" customHeight="1">
      <c r="A642" s="21"/>
      <c r="D642" s="21">
        <v>44678.0</v>
      </c>
      <c r="E642" s="5">
        <v>-0.00430884064566055</v>
      </c>
      <c r="F642" s="5">
        <v>1.58366063033548</v>
      </c>
    </row>
    <row r="643" ht="15.75" customHeight="1">
      <c r="A643" s="21"/>
      <c r="D643" s="21">
        <v>44679.0</v>
      </c>
      <c r="E643" s="5">
        <v>0.00686103922552939</v>
      </c>
      <c r="F643" s="5">
        <v>1.59452618804014</v>
      </c>
    </row>
    <row r="644" ht="15.75" customHeight="1">
      <c r="A644" s="21"/>
      <c r="B644" s="7"/>
      <c r="D644" s="21">
        <v>44680.0</v>
      </c>
      <c r="E644" s="5">
        <v>-0.00941130365285883</v>
      </c>
      <c r="F644" s="5">
        <v>1.57951961790206</v>
      </c>
    </row>
    <row r="645" ht="15.75" customHeight="1">
      <c r="A645" s="21"/>
      <c r="D645" s="21">
        <v>44683.0</v>
      </c>
      <c r="E645" s="5">
        <v>-0.00252112102778824</v>
      </c>
      <c r="F645" s="5">
        <v>1.57553745777956</v>
      </c>
    </row>
    <row r="646" ht="15.75" customHeight="1">
      <c r="A646" s="21"/>
      <c r="D646" s="21">
        <v>44684.0</v>
      </c>
      <c r="E646" s="5">
        <v>0.0038000858775742</v>
      </c>
      <c r="F646" s="5">
        <v>1.58152463542246</v>
      </c>
    </row>
    <row r="647" ht="15.75" customHeight="1">
      <c r="A647" s="21"/>
      <c r="D647" s="21">
        <v>44685.0</v>
      </c>
      <c r="E647" s="5">
        <v>0.00980450028381918</v>
      </c>
      <c r="F647" s="5">
        <v>1.59703069415933</v>
      </c>
    </row>
    <row r="648" ht="15.75" customHeight="1">
      <c r="A648" s="21"/>
      <c r="D648" s="21">
        <v>44686.0</v>
      </c>
      <c r="E648" s="5">
        <v>-0.0101567136759515</v>
      </c>
      <c r="F648" s="5">
        <v>1.58081011066704</v>
      </c>
    </row>
    <row r="649" ht="15.75" customHeight="1">
      <c r="A649" s="21"/>
      <c r="D649" s="21">
        <v>44687.0</v>
      </c>
      <c r="E649" s="5">
        <v>-0.00344748910063584</v>
      </c>
      <c r="F649" s="5">
        <v>1.57536028504034</v>
      </c>
    </row>
    <row r="650" ht="15.75" customHeight="1">
      <c r="A650" s="21"/>
      <c r="D650" s="21">
        <v>44690.0</v>
      </c>
      <c r="E650" s="5">
        <v>-0.0146168556203976</v>
      </c>
      <c r="F650" s="5">
        <v>1.5523334712038</v>
      </c>
    </row>
    <row r="651" ht="15.75" customHeight="1">
      <c r="A651" s="21"/>
      <c r="D651" s="21">
        <v>44691.0</v>
      </c>
      <c r="E651" s="5">
        <v>-0.00265892057266666</v>
      </c>
      <c r="F651" s="5">
        <v>1.54820593980158</v>
      </c>
    </row>
    <row r="652" ht="15.75" customHeight="1">
      <c r="A652" s="21"/>
      <c r="D652" s="21">
        <v>44692.0</v>
      </c>
      <c r="E652" s="5">
        <v>6.61761563081057E-4</v>
      </c>
      <c r="F652" s="5">
        <v>1.54923048298427</v>
      </c>
    </row>
    <row r="653" ht="15.75" customHeight="1">
      <c r="A653" s="21"/>
      <c r="D653" s="21">
        <v>44693.0</v>
      </c>
      <c r="E653" s="5">
        <v>-0.0103305446720561</v>
      </c>
      <c r="F653" s="5">
        <v>1.53322608827249</v>
      </c>
    </row>
    <row r="654" ht="15.75" customHeight="1">
      <c r="A654" s="21"/>
      <c r="D654" s="21">
        <v>44694.0</v>
      </c>
      <c r="E654" s="5">
        <v>0.0109543118111356</v>
      </c>
      <c r="F654" s="5">
        <v>1.5500215249204</v>
      </c>
    </row>
    <row r="655" ht="15.75" customHeight="1">
      <c r="A655" s="21"/>
      <c r="D655" s="21">
        <v>44697.0</v>
      </c>
      <c r="E655" s="5">
        <v>0.00569071180446155</v>
      </c>
      <c r="F655" s="5">
        <v>1.55884225070943</v>
      </c>
    </row>
    <row r="656" ht="15.75" customHeight="1">
      <c r="A656" s="21"/>
      <c r="D656" s="21">
        <v>44698.0</v>
      </c>
      <c r="E656" s="5">
        <v>0.00911273674670514</v>
      </c>
      <c r="F656" s="5">
        <v>1.57304756976979</v>
      </c>
    </row>
    <row r="657" ht="15.75" customHeight="1">
      <c r="A657" s="21"/>
      <c r="D657" s="21">
        <v>44699.0</v>
      </c>
      <c r="E657" s="5">
        <v>-0.0157887686823283</v>
      </c>
      <c r="F657" s="5">
        <v>1.54821108556439</v>
      </c>
    </row>
    <row r="658" ht="15.75" customHeight="1">
      <c r="A658" s="21"/>
      <c r="D658" s="21">
        <v>44700.0</v>
      </c>
      <c r="E658" s="5">
        <v>-0.00482313636959346</v>
      </c>
      <c r="F658" s="5">
        <v>1.5407438523698</v>
      </c>
    </row>
    <row r="659" ht="15.75" customHeight="1">
      <c r="A659" s="21"/>
      <c r="B659" s="7"/>
      <c r="D659" s="21">
        <v>44701.0</v>
      </c>
      <c r="E659" s="5">
        <v>0.00158959434658688</v>
      </c>
      <c r="F659" s="5">
        <v>1.54319301008707</v>
      </c>
    </row>
    <row r="660" ht="15.75" customHeight="1">
      <c r="A660" s="21"/>
      <c r="D660" s="21">
        <v>44704.0</v>
      </c>
      <c r="E660" s="5">
        <v>0.00851561217920626</v>
      </c>
      <c r="F660" s="5">
        <v>1.55633424327863</v>
      </c>
    </row>
    <row r="661" ht="15.75" customHeight="1">
      <c r="A661" s="21"/>
      <c r="D661" s="21">
        <v>44705.0</v>
      </c>
      <c r="E661" s="5">
        <v>0.00191542055774142</v>
      </c>
      <c r="F661" s="5">
        <v>1.55931527788292</v>
      </c>
    </row>
    <row r="662" ht="15.75" customHeight="1">
      <c r="A662" s="21"/>
      <c r="D662" s="21">
        <v>44706.0</v>
      </c>
      <c r="E662" s="5">
        <v>0.0024647972134364</v>
      </c>
      <c r="F662" s="5">
        <v>1.56315867383472</v>
      </c>
    </row>
    <row r="663" ht="15.75" customHeight="1">
      <c r="A663" s="21"/>
      <c r="D663" s="21">
        <v>44707.0</v>
      </c>
      <c r="E663" s="5">
        <v>0.0036477568069423</v>
      </c>
      <c r="F663" s="5">
        <v>1.56886069652753</v>
      </c>
    </row>
    <row r="664" ht="15.75" customHeight="1">
      <c r="A664" s="21"/>
      <c r="D664" s="21">
        <v>44708.0</v>
      </c>
      <c r="E664" s="5">
        <v>0.00744306667720341</v>
      </c>
      <c r="F664" s="5">
        <v>1.58053783129903</v>
      </c>
    </row>
    <row r="665" ht="15.75" customHeight="1">
      <c r="A665" s="21"/>
      <c r="D665" s="21">
        <v>44712.0</v>
      </c>
      <c r="E665" s="5">
        <v>-0.00855086432180677</v>
      </c>
      <c r="F665" s="5">
        <v>1.56702286674811</v>
      </c>
    </row>
    <row r="666" ht="15.75" customHeight="1">
      <c r="A666" s="21"/>
      <c r="D666" s="21">
        <v>44713.0</v>
      </c>
      <c r="E666" s="5">
        <v>0.00256704363169118</v>
      </c>
      <c r="F666" s="5">
        <v>1.57104548281891</v>
      </c>
    </row>
    <row r="667" ht="15.75" customHeight="1">
      <c r="A667" s="21"/>
      <c r="D667" s="21">
        <v>44714.0</v>
      </c>
      <c r="E667" s="5">
        <v>0.00570907746403133</v>
      </c>
      <c r="F667" s="5">
        <v>1.58001470317984</v>
      </c>
    </row>
    <row r="668" ht="15.75" customHeight="1">
      <c r="A668" s="21"/>
      <c r="D668" s="21">
        <v>44715.0</v>
      </c>
      <c r="E668" s="5">
        <v>-0.00225770294503269</v>
      </c>
      <c r="F668" s="5">
        <v>1.57644749933127</v>
      </c>
    </row>
    <row r="669" ht="15.75" customHeight="1">
      <c r="A669" s="21"/>
      <c r="D669" s="21">
        <v>44718.0</v>
      </c>
      <c r="E669" s="5">
        <v>-0.00418131116262765</v>
      </c>
      <c r="F669" s="5">
        <v>1.56985588180502</v>
      </c>
    </row>
    <row r="670" ht="15.75" customHeight="1">
      <c r="A670" s="21"/>
      <c r="D670" s="21">
        <v>44719.0</v>
      </c>
      <c r="E670" s="5">
        <v>-8.02595065050742E-4</v>
      </c>
      <c r="F670" s="5">
        <v>1.56859592322144</v>
      </c>
    </row>
    <row r="671" ht="15.75" customHeight="1">
      <c r="A671" s="21"/>
      <c r="D671" s="21">
        <v>44720.0</v>
      </c>
      <c r="E671" s="5">
        <v>-0.0080372762648957</v>
      </c>
      <c r="F671" s="5">
        <v>1.55598868443852</v>
      </c>
    </row>
    <row r="672" ht="15.75" customHeight="1">
      <c r="A672" s="21"/>
      <c r="D672" s="21">
        <v>44721.0</v>
      </c>
      <c r="E672" s="5">
        <v>-0.0196377841982428</v>
      </c>
      <c r="F672" s="5">
        <v>1.52543251443861</v>
      </c>
    </row>
    <row r="673" ht="15.75" customHeight="1">
      <c r="A673" s="21"/>
      <c r="D673" s="21">
        <v>44722.0</v>
      </c>
      <c r="E673" s="5">
        <v>0.00194860858609237</v>
      </c>
      <c r="F673" s="5">
        <v>1.52840498533375</v>
      </c>
    </row>
    <row r="674" ht="15.75" customHeight="1">
      <c r="A674" s="21"/>
      <c r="D674" s="21">
        <v>44725.0</v>
      </c>
      <c r="E674" s="5">
        <v>-0.0190867875526042</v>
      </c>
      <c r="F674" s="5">
        <v>1.49923264408435</v>
      </c>
    </row>
    <row r="675" ht="15.75" customHeight="1">
      <c r="A675" s="21"/>
      <c r="D675" s="21">
        <v>44726.0</v>
      </c>
      <c r="E675" s="5">
        <v>-0.00388722417306296</v>
      </c>
      <c r="F675" s="5">
        <v>1.49340479070922</v>
      </c>
    </row>
    <row r="676" ht="15.75" customHeight="1">
      <c r="A676" s="21"/>
      <c r="D676" s="21">
        <v>44727.0</v>
      </c>
      <c r="E676" s="5">
        <v>-0.00599563603988472</v>
      </c>
      <c r="F676" s="5">
        <v>1.4844508791239</v>
      </c>
    </row>
    <row r="677" ht="15.75" customHeight="1">
      <c r="A677" s="21"/>
      <c r="D677" s="21">
        <v>44728.0</v>
      </c>
      <c r="E677" s="5">
        <v>-0.012199425686073</v>
      </c>
      <c r="F677" s="5">
        <v>1.46634143093941</v>
      </c>
    </row>
    <row r="678" ht="15.75" customHeight="1">
      <c r="A678" s="21"/>
      <c r="D678" s="21">
        <v>44729.0</v>
      </c>
      <c r="E678" s="5">
        <v>-0.0017150037865655</v>
      </c>
      <c r="F678" s="5">
        <v>1.46382664983295</v>
      </c>
    </row>
    <row r="679" ht="15.75" customHeight="1">
      <c r="A679" s="21"/>
      <c r="D679" s="21">
        <v>44733.0</v>
      </c>
      <c r="E679" s="5">
        <v>0.0126063286905167</v>
      </c>
      <c r="F679" s="5">
        <v>1.48228012972668</v>
      </c>
    </row>
    <row r="680" ht="15.75" customHeight="1">
      <c r="A680" s="21"/>
      <c r="D680" s="21">
        <v>44734.0</v>
      </c>
      <c r="E680" s="5">
        <v>-0.00587093588428358</v>
      </c>
      <c r="F680" s="5">
        <v>1.47357775812251</v>
      </c>
    </row>
    <row r="681" ht="15.75" customHeight="1">
      <c r="A681" s="21"/>
      <c r="D681" s="21">
        <v>44735.0</v>
      </c>
      <c r="E681" s="5">
        <v>-0.00203689502796346</v>
      </c>
      <c r="F681" s="5">
        <v>1.47057623491367</v>
      </c>
    </row>
    <row r="682" ht="15.75" customHeight="1">
      <c r="A682" s="21"/>
      <c r="D682" s="21">
        <v>44736.0</v>
      </c>
      <c r="E682" s="5">
        <v>0.0148657577335599</v>
      </c>
      <c r="F682" s="5">
        <v>1.49243746495063</v>
      </c>
    </row>
    <row r="683" ht="15.75" customHeight="1">
      <c r="A683" s="21"/>
      <c r="D683" s="21">
        <v>44739.0</v>
      </c>
      <c r="E683" s="5">
        <v>0.00390125169786316</v>
      </c>
      <c r="F683" s="5">
        <v>1.49825983914472</v>
      </c>
    </row>
    <row r="684" ht="15.75" customHeight="1">
      <c r="A684" s="21"/>
      <c r="D684" s="21">
        <v>44740.0</v>
      </c>
      <c r="E684" s="5">
        <v>-4.64688373967948E-4</v>
      </c>
      <c r="F684" s="5">
        <v>1.49756361521629</v>
      </c>
    </row>
    <row r="685" ht="15.75" customHeight="1">
      <c r="A685" s="21"/>
      <c r="D685" s="21">
        <v>44741.0</v>
      </c>
      <c r="E685" s="5">
        <v>-0.00198776448816151</v>
      </c>
      <c r="F685" s="5">
        <v>1.4945868114432</v>
      </c>
    </row>
    <row r="686" ht="15.75" customHeight="1">
      <c r="A686" s="21"/>
      <c r="D686" s="21">
        <v>44742.0</v>
      </c>
      <c r="E686" s="5">
        <v>-0.0043537318921518</v>
      </c>
      <c r="F686" s="5">
        <v>1.48807978117663</v>
      </c>
    </row>
    <row r="687" ht="15.75" customHeight="1">
      <c r="A687" s="21"/>
      <c r="D687" s="21">
        <v>44743.0</v>
      </c>
      <c r="E687" s="5">
        <v>0.0100684203970642</v>
      </c>
      <c r="F687" s="5">
        <v>1.50306239399788</v>
      </c>
    </row>
    <row r="688" ht="15.75" customHeight="1">
      <c r="A688" s="21"/>
      <c r="D688" s="21">
        <v>44747.0</v>
      </c>
      <c r="E688" s="5">
        <v>-0.0153536995076503</v>
      </c>
      <c r="F688" s="5">
        <v>1.47998482565919</v>
      </c>
    </row>
    <row r="689" ht="15.75" customHeight="1">
      <c r="A689" s="21"/>
      <c r="D689" s="21">
        <v>44748.0</v>
      </c>
      <c r="E689" s="5">
        <v>0.00221912545665174</v>
      </c>
      <c r="F689" s="5">
        <v>1.48326909766127</v>
      </c>
    </row>
    <row r="690" ht="15.75" customHeight="1">
      <c r="A690" s="21"/>
      <c r="D690" s="21">
        <v>44749.0</v>
      </c>
      <c r="E690" s="5">
        <v>0.00667447662728849</v>
      </c>
      <c r="F690" s="5">
        <v>1.49316914258559</v>
      </c>
    </row>
    <row r="691" ht="15.75" customHeight="1">
      <c r="A691" s="21"/>
      <c r="D691" s="21">
        <v>44750.0</v>
      </c>
      <c r="E691" s="5">
        <v>-0.00361095195592123</v>
      </c>
      <c r="F691" s="5">
        <v>1.48777738054965</v>
      </c>
    </row>
    <row r="692" ht="15.75" customHeight="1">
      <c r="A692" s="21"/>
      <c r="D692" s="21">
        <v>44753.0</v>
      </c>
      <c r="E692" s="5">
        <v>-0.00560972151766048</v>
      </c>
      <c r="F692" s="5">
        <v>1.47943136376449</v>
      </c>
    </row>
    <row r="693" ht="15.75" customHeight="1">
      <c r="A693" s="21"/>
      <c r="D693" s="21">
        <v>44754.0</v>
      </c>
      <c r="E693" s="5">
        <v>-0.00609109020514136</v>
      </c>
      <c r="F693" s="5">
        <v>1.47042001387549</v>
      </c>
    </row>
    <row r="694" ht="15.75" customHeight="1">
      <c r="A694" s="21"/>
      <c r="D694" s="21">
        <v>44755.0</v>
      </c>
      <c r="E694" s="5">
        <v>-0.00157855953776513</v>
      </c>
      <c r="F694" s="5">
        <v>1.46809886833806</v>
      </c>
    </row>
    <row r="695" ht="15.75" customHeight="1">
      <c r="A695" s="21"/>
      <c r="D695" s="21">
        <v>44756.0</v>
      </c>
      <c r="E695" s="5">
        <v>-0.0126209000783676</v>
      </c>
      <c r="F695" s="5">
        <v>1.4495701392156</v>
      </c>
    </row>
    <row r="696" ht="15.75" customHeight="1">
      <c r="A696" s="21"/>
      <c r="D696" s="21">
        <v>44757.0</v>
      </c>
      <c r="E696" s="5">
        <v>0.00332162380380008</v>
      </c>
      <c r="F696" s="5">
        <v>1.4543850658953</v>
      </c>
    </row>
    <row r="697" ht="15.75" customHeight="1">
      <c r="A697" s="21"/>
      <c r="D697" s="21">
        <v>44760.0</v>
      </c>
      <c r="E697" s="5">
        <v>-0.00433762931568599</v>
      </c>
      <c r="F697" s="5">
        <v>1.44807648259717</v>
      </c>
    </row>
    <row r="698" ht="15.75" customHeight="1">
      <c r="A698" s="21"/>
      <c r="D698" s="21">
        <v>44761.0</v>
      </c>
      <c r="E698" s="5">
        <v>0.00606753913739084</v>
      </c>
      <c r="F698" s="5">
        <v>1.45686274332927</v>
      </c>
    </row>
    <row r="699" ht="15.75" customHeight="1">
      <c r="A699" s="21"/>
      <c r="D699" s="21">
        <v>44762.0</v>
      </c>
      <c r="E699" s="5">
        <v>-0.0023835190605109</v>
      </c>
      <c r="F699" s="5">
        <v>1.45339028321199</v>
      </c>
    </row>
    <row r="700" ht="15.75" customHeight="1">
      <c r="A700" s="21"/>
      <c r="D700" s="21">
        <v>44763.0</v>
      </c>
      <c r="E700" s="5">
        <v>0.00772559631567793</v>
      </c>
      <c r="F700" s="5">
        <v>1.46461858982922</v>
      </c>
    </row>
    <row r="701" ht="15.75" customHeight="1">
      <c r="A701" s="21"/>
      <c r="D701" s="21">
        <v>44764.0</v>
      </c>
      <c r="E701" s="5">
        <v>-0.00815022379320566</v>
      </c>
      <c r="F701" s="5">
        <v>1.45268162055042</v>
      </c>
    </row>
    <row r="702" ht="15.75" customHeight="1">
      <c r="A702" s="21"/>
      <c r="D702" s="21">
        <v>44767.0</v>
      </c>
      <c r="E702" s="5">
        <v>-0.00187342037346049</v>
      </c>
      <c r="F702" s="5">
        <v>1.44996013720633</v>
      </c>
    </row>
    <row r="703" ht="15.75" customHeight="1">
      <c r="A703" s="21"/>
      <c r="D703" s="21">
        <v>44768.0</v>
      </c>
      <c r="E703" s="5">
        <v>0.00480085206043289</v>
      </c>
      <c r="F703" s="5">
        <v>1.45692118131858</v>
      </c>
    </row>
    <row r="704" ht="15.75" customHeight="1">
      <c r="A704" s="21"/>
      <c r="D704" s="21">
        <v>44769.0</v>
      </c>
      <c r="E704" s="5">
        <v>0.00690096104649476</v>
      </c>
      <c r="F704" s="5">
        <v>1.46697533763868</v>
      </c>
    </row>
    <row r="705" ht="15.75" customHeight="1">
      <c r="A705" s="21"/>
      <c r="D705" s="21">
        <v>44770.0</v>
      </c>
      <c r="E705" s="5">
        <v>0.00531633231441521</v>
      </c>
      <c r="F705" s="5">
        <v>1.47477426603062</v>
      </c>
    </row>
    <row r="706" ht="15.75" customHeight="1">
      <c r="A706" s="21"/>
      <c r="D706" s="21">
        <v>44771.0</v>
      </c>
      <c r="E706" s="5">
        <v>0.00479700807381924</v>
      </c>
      <c r="F706" s="5">
        <v>1.48184877009183</v>
      </c>
    </row>
    <row r="707" ht="15.75" customHeight="1">
      <c r="A707" s="21"/>
      <c r="D707" s="21">
        <v>44774.0</v>
      </c>
      <c r="E707" s="5">
        <v>-0.00808278979114196</v>
      </c>
      <c r="F707" s="5">
        <v>1.46987129798091</v>
      </c>
    </row>
    <row r="708" ht="15.75" customHeight="1">
      <c r="A708" s="21"/>
      <c r="D708" s="21">
        <v>44775.0</v>
      </c>
      <c r="E708" s="5">
        <v>-0.00685166317828082</v>
      </c>
      <c r="F708" s="5">
        <v>1.45980023493172</v>
      </c>
    </row>
    <row r="709" ht="15.75" customHeight="1">
      <c r="A709" s="21"/>
      <c r="D709" s="21">
        <v>44776.0</v>
      </c>
      <c r="E709" s="5">
        <v>0.00281199770598763</v>
      </c>
      <c r="F709" s="5">
        <v>1.46390518984355</v>
      </c>
    </row>
    <row r="710" ht="15.75" customHeight="1">
      <c r="A710" s="21"/>
      <c r="D710" s="21">
        <v>44777.0</v>
      </c>
      <c r="E710" s="5">
        <v>-0.00284580025311052</v>
      </c>
      <c r="F710" s="5">
        <v>1.45973920808377</v>
      </c>
    </row>
    <row r="711" ht="15.75" customHeight="1">
      <c r="A711" s="21"/>
      <c r="D711" s="21">
        <v>44778.0</v>
      </c>
      <c r="E711" s="5">
        <v>0.00357667670077665</v>
      </c>
      <c r="F711" s="5">
        <v>1.46496022329853</v>
      </c>
    </row>
    <row r="712" ht="15.75" customHeight="1">
      <c r="A712" s="21"/>
      <c r="D712" s="21">
        <v>44781.0</v>
      </c>
      <c r="E712" s="5">
        <v>0.00658372806324479</v>
      </c>
      <c r="F712" s="5">
        <v>1.4746051230322</v>
      </c>
    </row>
    <row r="713" ht="15.75" customHeight="1">
      <c r="A713" s="21"/>
      <c r="D713" s="21">
        <v>44782.0</v>
      </c>
      <c r="E713" s="5">
        <v>0.0015414752710514</v>
      </c>
      <c r="F713" s="5">
        <v>1.47687819036392</v>
      </c>
    </row>
    <row r="714" ht="15.75" customHeight="1">
      <c r="A714" s="21"/>
      <c r="D714" s="21">
        <v>44783.0</v>
      </c>
      <c r="E714" s="5">
        <v>0.00446792620643018</v>
      </c>
      <c r="F714" s="5">
        <v>1.48347677313435</v>
      </c>
    </row>
    <row r="715" ht="15.75" customHeight="1">
      <c r="A715" s="21"/>
      <c r="D715" s="21">
        <v>44784.0</v>
      </c>
      <c r="E715" s="5">
        <v>-8.65319095069442E-4</v>
      </c>
      <c r="F715" s="5">
        <v>1.48219309235546</v>
      </c>
    </row>
    <row r="716" ht="15.75" customHeight="1">
      <c r="A716" s="21"/>
      <c r="D716" s="21">
        <v>44785.0</v>
      </c>
      <c r="E716" s="5">
        <v>0.00234936781162002</v>
      </c>
      <c r="F716" s="5">
        <v>1.48567530909725</v>
      </c>
    </row>
    <row r="717" ht="15.75" customHeight="1">
      <c r="A717" s="21"/>
      <c r="D717" s="21">
        <v>44788.0</v>
      </c>
      <c r="E717" s="5">
        <v>-0.00574270903864895</v>
      </c>
      <c r="F717" s="5">
        <v>1.4771435080712</v>
      </c>
    </row>
    <row r="718" ht="15.75" customHeight="1">
      <c r="A718" s="21"/>
      <c r="D718" s="21">
        <v>44789.0</v>
      </c>
      <c r="E718" s="5">
        <v>0.00677225615312385</v>
      </c>
      <c r="F718" s="5">
        <v>1.48714710228278</v>
      </c>
    </row>
    <row r="719" ht="15.75" customHeight="1">
      <c r="A719" s="21"/>
      <c r="D719" s="21">
        <v>44790.0</v>
      </c>
      <c r="E719" s="5">
        <v>-0.00345863270618313</v>
      </c>
      <c r="F719" s="5">
        <v>1.48200360667592</v>
      </c>
    </row>
    <row r="720" ht="15.75" customHeight="1">
      <c r="A720" s="21"/>
      <c r="D720" s="21">
        <v>44791.0</v>
      </c>
      <c r="E720" s="5">
        <v>0.0044905425340771</v>
      </c>
      <c r="F720" s="5">
        <v>1.48865860690735</v>
      </c>
    </row>
    <row r="721" ht="15.75" customHeight="1">
      <c r="A721" s="21"/>
      <c r="D721" s="21">
        <v>44792.0</v>
      </c>
      <c r="E721" s="5">
        <v>-0.00447112908064787</v>
      </c>
      <c r="F721" s="5">
        <v>1.48200262211885</v>
      </c>
    </row>
    <row r="722" ht="15.75" customHeight="1">
      <c r="A722" s="21"/>
      <c r="D722" s="21">
        <v>44795.0</v>
      </c>
      <c r="E722" s="5">
        <v>-0.00667513349301228</v>
      </c>
      <c r="F722" s="5">
        <v>1.47211005677922</v>
      </c>
    </row>
    <row r="723" ht="15.75" customHeight="1">
      <c r="A723" s="21"/>
      <c r="D723" s="21">
        <v>44796.0</v>
      </c>
      <c r="E723" s="5">
        <v>0.00125622175407222</v>
      </c>
      <c r="F723" s="5">
        <v>1.47395935345693</v>
      </c>
    </row>
    <row r="724" ht="15.75" customHeight="1">
      <c r="A724" s="21"/>
      <c r="D724" s="21">
        <v>44797.0</v>
      </c>
      <c r="E724" s="5">
        <v>7.37531331285234E-4</v>
      </c>
      <c r="F724" s="5">
        <v>1.47504644466115</v>
      </c>
    </row>
    <row r="725" ht="15.75" customHeight="1">
      <c r="A725" s="21"/>
      <c r="D725" s="21">
        <v>44798.0</v>
      </c>
      <c r="E725" s="5">
        <v>0.00677454059505291</v>
      </c>
      <c r="F725" s="5">
        <v>1.48503920668009</v>
      </c>
    </row>
    <row r="726" ht="15.75" customHeight="1">
      <c r="A726" s="21"/>
      <c r="D726" s="21">
        <v>44799.0</v>
      </c>
      <c r="E726" s="5">
        <v>-0.00937365294164605</v>
      </c>
      <c r="F726" s="5">
        <v>1.47111896455193</v>
      </c>
    </row>
    <row r="727" ht="15.75" customHeight="1">
      <c r="A727" s="21"/>
      <c r="D727" s="21">
        <v>44802.0</v>
      </c>
      <c r="E727" s="5">
        <v>0.00134327602686583</v>
      </c>
      <c r="F727" s="5">
        <v>1.47309508338968</v>
      </c>
    </row>
    <row r="728" ht="15.75" customHeight="1">
      <c r="A728" s="21"/>
      <c r="D728" s="21">
        <v>44803.0</v>
      </c>
      <c r="E728" s="5">
        <v>-0.00496990208085295</v>
      </c>
      <c r="F728" s="5">
        <v>1.46577394506945</v>
      </c>
    </row>
    <row r="729" ht="15.75" customHeight="1">
      <c r="A729" s="21"/>
      <c r="D729" s="21">
        <v>44804.0</v>
      </c>
      <c r="E729" s="5">
        <v>-0.00800102127599495</v>
      </c>
      <c r="F729" s="5">
        <v>1.45404625654915</v>
      </c>
    </row>
    <row r="730" ht="15.75" customHeight="1">
      <c r="A730" s="21"/>
      <c r="D730" s="21">
        <v>44805.0</v>
      </c>
      <c r="E730" s="5">
        <v>-0.00715385607585761</v>
      </c>
      <c r="F730" s="5">
        <v>1.44364421890216</v>
      </c>
    </row>
    <row r="731" ht="15.75" customHeight="1">
      <c r="A731" s="21"/>
      <c r="D731" s="21">
        <v>44806.0</v>
      </c>
      <c r="E731" s="5">
        <v>0.00700664958411041</v>
      </c>
      <c r="F731" s="5">
        <v>1.45375932806813</v>
      </c>
    </row>
    <row r="732" ht="15.75" customHeight="1">
      <c r="A732" s="21"/>
      <c r="D732" s="21">
        <v>44810.0</v>
      </c>
      <c r="E732" s="5">
        <v>-0.00223729944737668</v>
      </c>
      <c r="F732" s="5">
        <v>1.45050683312683</v>
      </c>
    </row>
    <row r="733" ht="15.75" customHeight="1">
      <c r="A733" s="21"/>
      <c r="D733" s="21">
        <v>44811.0</v>
      </c>
      <c r="E733" s="5">
        <v>0.010818365937281</v>
      </c>
      <c r="F733" s="5">
        <v>1.46619894684212</v>
      </c>
    </row>
    <row r="734" ht="15.75" customHeight="1">
      <c r="A734" s="21"/>
      <c r="D734" s="21">
        <v>44812.0</v>
      </c>
      <c r="E734" s="5">
        <v>0.00457682863451595</v>
      </c>
      <c r="F734" s="5">
        <v>1.47290948816593</v>
      </c>
    </row>
    <row r="735" ht="15.75" customHeight="1">
      <c r="A735" s="21"/>
      <c r="D735" s="21">
        <v>44813.0</v>
      </c>
      <c r="E735" s="5">
        <v>0.00925621832357721</v>
      </c>
      <c r="F735" s="5">
        <v>1.48654305995926</v>
      </c>
    </row>
    <row r="736" ht="15.75" customHeight="1">
      <c r="A736" s="21"/>
      <c r="D736" s="21">
        <v>44816.0</v>
      </c>
      <c r="E736" s="5">
        <v>0.00917315085311266</v>
      </c>
      <c r="F736" s="5">
        <v>1.50017934369791</v>
      </c>
    </row>
    <row r="737" ht="15.75" customHeight="1">
      <c r="A737" s="21"/>
      <c r="D737" s="21">
        <v>44817.0</v>
      </c>
      <c r="E737" s="5">
        <v>-0.0120658641254367</v>
      </c>
      <c r="F737" s="5">
        <v>1.48207838357307</v>
      </c>
    </row>
    <row r="738" ht="15.75" customHeight="1">
      <c r="A738" s="21"/>
      <c r="D738" s="21">
        <v>44818.0</v>
      </c>
      <c r="E738" s="5">
        <v>-0.00330493869275515</v>
      </c>
      <c r="F738" s="5">
        <v>1.4771802053775</v>
      </c>
    </row>
    <row r="739" ht="15.75" customHeight="1">
      <c r="A739" s="21"/>
      <c r="D739" s="21">
        <v>44819.0</v>
      </c>
      <c r="E739" s="5">
        <v>-0.00721934340445977</v>
      </c>
      <c r="F739" s="5">
        <v>1.46651593420461</v>
      </c>
    </row>
    <row r="740" ht="15.75" customHeight="1">
      <c r="A740" s="21"/>
      <c r="D740" s="21">
        <v>44820.0</v>
      </c>
      <c r="E740" s="5">
        <v>0.00263744849558909</v>
      </c>
      <c r="F740" s="5">
        <v>1.47038379444903</v>
      </c>
    </row>
    <row r="741" ht="15.75" customHeight="1">
      <c r="A741" s="21"/>
      <c r="D741" s="21">
        <v>44823.0</v>
      </c>
      <c r="E741" s="5">
        <v>0.00597232909531311</v>
      </c>
      <c r="F741" s="5">
        <v>1.4791654103659</v>
      </c>
    </row>
    <row r="742" ht="15.75" customHeight="1">
      <c r="A742" s="21"/>
      <c r="D742" s="21">
        <v>44824.0</v>
      </c>
      <c r="E742" s="5">
        <v>-0.0125204879001354</v>
      </c>
      <c r="F742" s="5">
        <v>1.46064553774311</v>
      </c>
    </row>
    <row r="743" ht="15.75" customHeight="1">
      <c r="A743" s="21"/>
      <c r="D743" s="21">
        <v>44825.0</v>
      </c>
      <c r="E743" s="5">
        <v>-0.00455105011793398</v>
      </c>
      <c r="F743" s="5">
        <v>1.45399806669631</v>
      </c>
    </row>
    <row r="744" ht="15.75" customHeight="1">
      <c r="A744" s="21"/>
      <c r="D744" s="21">
        <v>44826.0</v>
      </c>
      <c r="E744" s="5">
        <v>-0.00659241443044248</v>
      </c>
      <c r="F744" s="5">
        <v>1.44441270885958</v>
      </c>
    </row>
    <row r="745" ht="15.75" customHeight="1">
      <c r="A745" s="21"/>
      <c r="D745" s="21">
        <v>44827.0</v>
      </c>
      <c r="E745" s="5">
        <v>-0.0165162224741029</v>
      </c>
      <c r="F745" s="5">
        <v>1.42055646721564</v>
      </c>
    </row>
    <row r="746" ht="15.75" customHeight="1">
      <c r="A746" s="21"/>
      <c r="D746" s="21">
        <v>44830.0</v>
      </c>
      <c r="E746" s="5">
        <v>-0.00599249759252634</v>
      </c>
      <c r="F746" s="5">
        <v>1.4120437860058</v>
      </c>
    </row>
    <row r="747" ht="15.75" customHeight="1">
      <c r="A747" s="21"/>
      <c r="D747" s="21">
        <v>44831.0</v>
      </c>
      <c r="E747" s="5">
        <v>-0.00162094475307515</v>
      </c>
      <c r="F747" s="5">
        <v>1.40975494103976</v>
      </c>
    </row>
    <row r="748" ht="15.75" customHeight="1">
      <c r="A748" s="21"/>
      <c r="D748" s="21">
        <v>44832.0</v>
      </c>
      <c r="E748" s="5">
        <v>0.00928478638517239</v>
      </c>
      <c r="F748" s="5">
        <v>1.42284421452276</v>
      </c>
    </row>
    <row r="749" ht="15.75" customHeight="1">
      <c r="A749" s="21"/>
      <c r="D749" s="21">
        <v>44833.0</v>
      </c>
      <c r="E749" s="5">
        <v>-0.00833126009390048</v>
      </c>
      <c r="F749" s="5">
        <v>1.41099012929847</v>
      </c>
    </row>
    <row r="750" ht="15.75" customHeight="1">
      <c r="A750" s="21"/>
      <c r="D750" s="21">
        <v>44834.0</v>
      </c>
      <c r="E750" s="5">
        <v>-0.00861553317680922</v>
      </c>
      <c r="F750" s="5">
        <v>1.39883369702734</v>
      </c>
    </row>
    <row r="751" ht="15.75" customHeight="1">
      <c r="A751" s="21"/>
      <c r="D751" s="21">
        <v>44837.0</v>
      </c>
      <c r="E751" s="5">
        <v>0.0161580279669011</v>
      </c>
      <c r="F751" s="5">
        <v>1.42143609102496</v>
      </c>
    </row>
    <row r="752" ht="15.75" customHeight="1">
      <c r="A752" s="21"/>
      <c r="D752" s="21">
        <v>44838.0</v>
      </c>
      <c r="E752" s="5">
        <v>0.0163788622288409</v>
      </c>
      <c r="F752" s="5">
        <v>1.44471759692696</v>
      </c>
    </row>
    <row r="753" ht="15.75" customHeight="1">
      <c r="A753" s="21"/>
      <c r="D753" s="21">
        <v>44839.0</v>
      </c>
      <c r="E753" s="5">
        <v>-0.00635577159435767</v>
      </c>
      <c r="F753" s="5">
        <v>1.43553530186254</v>
      </c>
    </row>
    <row r="754" ht="15.75" customHeight="1">
      <c r="A754" s="21"/>
      <c r="D754" s="21">
        <v>44840.0</v>
      </c>
      <c r="E754" s="5">
        <v>-0.0130431995395859</v>
      </c>
      <c r="F754" s="5">
        <v>1.41681132847423</v>
      </c>
    </row>
    <row r="755" ht="15.75" customHeight="1">
      <c r="A755" s="21"/>
      <c r="D755" s="21">
        <v>44841.0</v>
      </c>
      <c r="E755" s="5">
        <v>-0.0094183385201934</v>
      </c>
      <c r="F755" s="5">
        <v>1.40346731976341</v>
      </c>
    </row>
    <row r="756" ht="15.75" customHeight="1">
      <c r="A756" s="21"/>
      <c r="D756" s="21">
        <v>44844.0</v>
      </c>
      <c r="E756" s="5">
        <v>-0.00273351601699912</v>
      </c>
      <c r="F756" s="5">
        <v>1.3996309193655</v>
      </c>
    </row>
    <row r="757" ht="15.75" customHeight="1">
      <c r="A757" s="21"/>
      <c r="D757" s="21">
        <v>44845.0</v>
      </c>
      <c r="E757" s="5">
        <v>-0.00183838314981892</v>
      </c>
      <c r="F757" s="5">
        <v>1.39705786146738</v>
      </c>
    </row>
    <row r="758" ht="15.75" customHeight="1">
      <c r="A758" s="21"/>
      <c r="D758" s="21">
        <v>44846.0</v>
      </c>
      <c r="E758" s="5">
        <v>2.81606643735658E-4</v>
      </c>
      <c r="F758" s="5">
        <v>1.39745128224285</v>
      </c>
    </row>
    <row r="759" ht="15.75" customHeight="1">
      <c r="A759" s="21"/>
      <c r="D759" s="21">
        <v>44847.0</v>
      </c>
      <c r="E759" s="5">
        <v>0.0187094974546477</v>
      </c>
      <c r="F759" s="5">
        <v>1.42359689345097</v>
      </c>
    </row>
    <row r="760" ht="15.75" customHeight="1">
      <c r="A760" s="21"/>
      <c r="D760" s="21">
        <v>44848.0</v>
      </c>
      <c r="E760" s="5">
        <v>-0.0144140708618933</v>
      </c>
      <c r="F760" s="5">
        <v>1.40307706694999</v>
      </c>
    </row>
    <row r="761" ht="15.75" customHeight="1">
      <c r="A761" s="21"/>
      <c r="D761" s="21">
        <v>44851.0</v>
      </c>
      <c r="E761" s="5">
        <v>0.0118326157295211</v>
      </c>
      <c r="F761" s="5">
        <v>1.41967913872212</v>
      </c>
    </row>
    <row r="762" ht="15.75" customHeight="1">
      <c r="A762" s="21"/>
      <c r="D762" s="21">
        <v>44852.0</v>
      </c>
      <c r="E762" s="5">
        <v>-1.10686809098368E-4</v>
      </c>
      <c r="F762" s="5">
        <v>1.41952199896831</v>
      </c>
    </row>
    <row r="763" ht="15.75" customHeight="1">
      <c r="A763" s="21"/>
      <c r="D763" s="21">
        <v>44853.0</v>
      </c>
      <c r="E763" s="5">
        <v>-0.00710993308647657</v>
      </c>
      <c r="F763" s="5">
        <v>1.40942929254086</v>
      </c>
    </row>
    <row r="764" ht="15.75" customHeight="1">
      <c r="A764" s="21"/>
      <c r="D764" s="21">
        <v>44854.0</v>
      </c>
      <c r="E764" s="5">
        <v>-1.56850027264402E-4</v>
      </c>
      <c r="F764" s="5">
        <v>1.4092082235179</v>
      </c>
    </row>
    <row r="765" ht="15.75" customHeight="1">
      <c r="A765" s="21"/>
      <c r="D765" s="21">
        <v>44855.0</v>
      </c>
      <c r="E765" s="5">
        <v>0.0134086907615054</v>
      </c>
      <c r="F765" s="5">
        <v>1.42810386080562</v>
      </c>
    </row>
    <row r="766" ht="15.75" customHeight="1">
      <c r="A766" s="21"/>
      <c r="D766" s="21">
        <v>44858.0</v>
      </c>
      <c r="E766" s="5">
        <v>-0.00134897034180662</v>
      </c>
      <c r="F766" s="5">
        <v>1.42617739105237</v>
      </c>
    </row>
    <row r="767" ht="15.75" customHeight="1">
      <c r="A767" s="21"/>
      <c r="D767" s="21">
        <v>44859.0</v>
      </c>
      <c r="E767" s="5">
        <v>0.00955545135433868</v>
      </c>
      <c r="F767" s="5">
        <v>1.43980515973523</v>
      </c>
    </row>
    <row r="768" ht="15.75" customHeight="1">
      <c r="A768" s="21"/>
      <c r="D768" s="21">
        <v>44860.0</v>
      </c>
      <c r="E768" s="5">
        <v>0.00178458022955822</v>
      </c>
      <c r="F768" s="5">
        <v>1.44237460755771</v>
      </c>
    </row>
    <row r="769" ht="15.75" customHeight="1">
      <c r="A769" s="21"/>
      <c r="D769" s="21">
        <v>44861.0</v>
      </c>
      <c r="E769" s="5">
        <v>-3.91471600390968E-4</v>
      </c>
      <c r="F769" s="5">
        <v>1.44180995886173</v>
      </c>
    </row>
    <row r="770" ht="15.75" customHeight="1">
      <c r="A770" s="21"/>
      <c r="D770" s="21">
        <v>44862.0</v>
      </c>
      <c r="E770" s="5">
        <v>-2.54394543167739E-4</v>
      </c>
      <c r="F770" s="5">
        <v>1.44144317027591</v>
      </c>
    </row>
    <row r="771" ht="15.75" customHeight="1">
      <c r="A771" s="21"/>
      <c r="D771" s="21">
        <v>44865.0</v>
      </c>
      <c r="E771" s="5">
        <v>-0.00270337443222057</v>
      </c>
      <c r="F771" s="5">
        <v>1.43754640966389</v>
      </c>
    </row>
    <row r="772" ht="15.75" customHeight="1">
      <c r="A772" s="21"/>
      <c r="D772" s="21">
        <v>44866.0</v>
      </c>
      <c r="E772" s="5">
        <v>4.17947036759253E-4</v>
      </c>
      <c r="F772" s="5">
        <v>1.43814722792601</v>
      </c>
    </row>
    <row r="773" ht="15.75" customHeight="1">
      <c r="A773" s="21"/>
      <c r="D773" s="21">
        <v>44867.0</v>
      </c>
      <c r="E773" s="5">
        <v>-0.010531183860912</v>
      </c>
      <c r="F773" s="5">
        <v>1.42300183504966</v>
      </c>
    </row>
    <row r="774" ht="15.75" customHeight="1">
      <c r="A774" s="21"/>
      <c r="D774" s="21">
        <v>44868.0</v>
      </c>
      <c r="E774" s="5">
        <v>0.00409221868593055</v>
      </c>
      <c r="F774" s="5">
        <v>1.42882506974916</v>
      </c>
    </row>
    <row r="775" ht="15.75" customHeight="1">
      <c r="A775" s="21"/>
      <c r="D775" s="21">
        <v>44869.0</v>
      </c>
      <c r="E775" s="5">
        <v>0.029460478995771</v>
      </c>
      <c r="F775" s="5">
        <v>1.47091894070514</v>
      </c>
    </row>
    <row r="776" ht="15.75" customHeight="1">
      <c r="A776" s="21"/>
      <c r="D776" s="21">
        <v>44872.0</v>
      </c>
      <c r="E776" s="5">
        <v>0.00123671352444668</v>
      </c>
      <c r="F776" s="5">
        <v>1.47273804605247</v>
      </c>
    </row>
    <row r="777" ht="15.75" customHeight="1">
      <c r="A777" s="21"/>
      <c r="D777" s="21">
        <v>44873.0</v>
      </c>
      <c r="E777" s="5">
        <v>0.00328910060204631</v>
      </c>
      <c r="F777" s="5">
        <v>1.4775820296464</v>
      </c>
    </row>
    <row r="778" ht="15.75" customHeight="1">
      <c r="A778" s="21"/>
      <c r="D778" s="21">
        <v>44874.0</v>
      </c>
      <c r="E778" s="5">
        <v>-0.0136011490258602</v>
      </c>
      <c r="F778" s="5">
        <v>1.45748521626325</v>
      </c>
    </row>
    <row r="779" ht="15.75" customHeight="1">
      <c r="A779" s="21"/>
      <c r="D779" s="21">
        <v>44875.0</v>
      </c>
      <c r="E779" s="5">
        <v>0.0254593260740003</v>
      </c>
      <c r="F779" s="5">
        <v>1.49459180763213</v>
      </c>
    </row>
    <row r="780" ht="15.75" customHeight="1">
      <c r="A780" s="21"/>
      <c r="D780" s="21">
        <v>44876.0</v>
      </c>
      <c r="E780" s="5">
        <v>-0.00102031917333867</v>
      </c>
      <c r="F780" s="5">
        <v>1.49306684695449</v>
      </c>
    </row>
    <row r="781" ht="15.75" customHeight="1">
      <c r="A781" s="21"/>
      <c r="D781" s="21">
        <v>44879.0</v>
      </c>
      <c r="E781" s="5">
        <v>-0.00816140061112129</v>
      </c>
      <c r="F781" s="5">
        <v>1.48088133027731</v>
      </c>
    </row>
    <row r="782" ht="15.75" customHeight="1">
      <c r="A782" s="21"/>
      <c r="D782" s="21">
        <v>44880.0</v>
      </c>
      <c r="E782" s="5">
        <v>0.00609347318965116</v>
      </c>
      <c r="F782" s="5">
        <v>1.48990504096041</v>
      </c>
    </row>
    <row r="783" ht="15.75" customHeight="1">
      <c r="A783" s="21"/>
      <c r="D783" s="21">
        <v>44881.0</v>
      </c>
      <c r="E783" s="5">
        <v>-0.00424958100450635</v>
      </c>
      <c r="F783" s="5">
        <v>1.48357356879982</v>
      </c>
    </row>
    <row r="784" ht="15.75" customHeight="1">
      <c r="A784" s="21"/>
      <c r="D784" s="21">
        <v>44882.0</v>
      </c>
      <c r="E784" s="5">
        <v>0.00682431538100156</v>
      </c>
      <c r="F784" s="5">
        <v>1.49369794272423</v>
      </c>
    </row>
    <row r="785" ht="15.75" customHeight="1">
      <c r="A785" s="21"/>
      <c r="D785" s="21">
        <v>44883.0</v>
      </c>
      <c r="E785" s="5">
        <v>0.00819585187347561</v>
      </c>
      <c r="F785" s="5">
        <v>1.50594006980652</v>
      </c>
    </row>
    <row r="786" ht="15.75" customHeight="1">
      <c r="A786" s="21"/>
      <c r="B786" s="7"/>
      <c r="D786" s="21">
        <v>44886.0</v>
      </c>
      <c r="E786" s="5">
        <v>-0.00324332896003742</v>
      </c>
      <c r="F786" s="5">
        <v>1.50105581076603</v>
      </c>
    </row>
    <row r="787" ht="15.75" customHeight="1">
      <c r="A787" s="21"/>
      <c r="D787" s="21">
        <v>44887.0</v>
      </c>
      <c r="E787" s="5">
        <v>0.00738311131083654</v>
      </c>
      <c r="F787" s="5">
        <v>1.51213827290069</v>
      </c>
    </row>
    <row r="788" ht="15.75" customHeight="1">
      <c r="A788" s="21"/>
      <c r="D788" s="21">
        <v>44888.0</v>
      </c>
      <c r="E788" s="5">
        <v>0.0075807706375743</v>
      </c>
      <c r="F788" s="5">
        <v>1.52360144631985</v>
      </c>
    </row>
    <row r="789" ht="15.75" customHeight="1">
      <c r="A789" s="21"/>
      <c r="D789" s="21">
        <v>44890.0</v>
      </c>
      <c r="E789" s="5">
        <v>0.00460453444447234</v>
      </c>
      <c r="F789" s="5">
        <v>1.53061692165908</v>
      </c>
    </row>
    <row r="790" ht="15.75" customHeight="1">
      <c r="A790" s="21"/>
      <c r="D790" s="21">
        <v>44893.0</v>
      </c>
      <c r="E790" s="5">
        <v>-0.00903141291859616</v>
      </c>
      <c r="F790" s="5">
        <v>1.51679328821939</v>
      </c>
    </row>
    <row r="791" ht="15.75" customHeight="1">
      <c r="A791" s="21"/>
      <c r="D791" s="21">
        <v>44894.0</v>
      </c>
      <c r="E791" s="5">
        <v>4.97771313231598E-4</v>
      </c>
      <c r="F791" s="5">
        <v>1.51754830440636</v>
      </c>
    </row>
    <row r="792" ht="15.75" customHeight="1">
      <c r="A792" s="21"/>
      <c r="D792" s="21">
        <v>44895.0</v>
      </c>
      <c r="E792" s="5">
        <v>0.0111089864107101</v>
      </c>
      <c r="F792" s="5">
        <v>1.53440672789761</v>
      </c>
    </row>
    <row r="793" ht="15.75" customHeight="1">
      <c r="A793" s="21"/>
      <c r="D793" s="21">
        <v>44896.0</v>
      </c>
      <c r="E793" s="5">
        <v>0.00437263908636778</v>
      </c>
      <c r="F793" s="5">
        <v>1.5411161347304</v>
      </c>
    </row>
    <row r="794" ht="15.75" customHeight="1">
      <c r="A794" s="21"/>
      <c r="D794" s="21">
        <v>44897.0</v>
      </c>
      <c r="E794" s="5">
        <v>0.00279904159588147</v>
      </c>
      <c r="F794" s="5">
        <v>1.5454297828956</v>
      </c>
    </row>
    <row r="795" ht="15.75" customHeight="1">
      <c r="A795" s="21"/>
      <c r="D795" s="21">
        <v>44900.0</v>
      </c>
      <c r="E795" s="5">
        <v>-0.00770620335980446</v>
      </c>
      <c r="F795" s="5">
        <v>1.5335203867103</v>
      </c>
    </row>
    <row r="796" ht="15.75" customHeight="1">
      <c r="A796" s="21"/>
      <c r="D796" s="21">
        <v>44901.0</v>
      </c>
      <c r="E796" s="5">
        <v>-0.0037303453084845</v>
      </c>
      <c r="F796" s="5">
        <v>1.52779982613027</v>
      </c>
    </row>
    <row r="797" ht="15.75" customHeight="1">
      <c r="A797" s="21"/>
      <c r="D797" s="21">
        <v>44902.0</v>
      </c>
      <c r="E797" s="5">
        <v>-0.00351544679548974</v>
      </c>
      <c r="F797" s="5">
        <v>1.52242892712735</v>
      </c>
    </row>
    <row r="798" ht="15.75" customHeight="1">
      <c r="A798" s="21"/>
      <c r="D798" s="21">
        <v>44903.0</v>
      </c>
      <c r="E798" s="5">
        <v>0.0085973145789206</v>
      </c>
      <c r="F798" s="5">
        <v>1.53551772753792</v>
      </c>
    </row>
    <row r="799" ht="15.75" customHeight="1">
      <c r="A799" s="21"/>
      <c r="D799" s="21">
        <v>44904.0</v>
      </c>
      <c r="E799" s="5">
        <v>-0.00119973524637739</v>
      </c>
      <c r="F799" s="5">
        <v>1.53367551279875</v>
      </c>
    </row>
    <row r="800" ht="15.75" customHeight="1">
      <c r="A800" s="21"/>
      <c r="D800" s="21">
        <v>44907.0</v>
      </c>
      <c r="E800" s="5">
        <v>0.00457468574651021</v>
      </c>
      <c r="F800" s="5">
        <v>1.54069159630692</v>
      </c>
    </row>
    <row r="801" ht="15.75" customHeight="1">
      <c r="A801" s="21"/>
      <c r="D801" s="21">
        <v>44908.0</v>
      </c>
      <c r="E801" s="5">
        <v>-9.8896918772865E-4</v>
      </c>
      <c r="F801" s="5">
        <v>1.53916789979038</v>
      </c>
    </row>
    <row r="802" ht="15.75" customHeight="1">
      <c r="A802" s="21"/>
      <c r="D802" s="21">
        <v>44909.0</v>
      </c>
      <c r="E802" s="5">
        <v>0.00242810695337457</v>
      </c>
      <c r="F802" s="5">
        <v>1.54290516407028</v>
      </c>
    </row>
    <row r="803" ht="15.75" customHeight="1">
      <c r="A803" s="21"/>
      <c r="D803" s="21">
        <v>44910.0</v>
      </c>
      <c r="E803" s="5">
        <v>-0.012057357196512</v>
      </c>
      <c r="F803" s="5">
        <v>1.52430180538674</v>
      </c>
    </row>
    <row r="804" ht="15.75" customHeight="1">
      <c r="A804" s="21"/>
      <c r="D804" s="21">
        <v>44911.0</v>
      </c>
      <c r="E804" s="5">
        <v>-0.00521201304003137</v>
      </c>
      <c r="F804" s="5">
        <v>1.51635712450012</v>
      </c>
    </row>
    <row r="805" ht="15.75" customHeight="1">
      <c r="A805" s="21"/>
      <c r="D805" s="21">
        <v>44914.0</v>
      </c>
      <c r="E805" s="5">
        <v>-0.00506377259510043</v>
      </c>
      <c r="F805" s="5">
        <v>1.50867863684869</v>
      </c>
    </row>
    <row r="806" ht="15.75" customHeight="1">
      <c r="A806" s="21"/>
      <c r="D806" s="21">
        <v>44915.0</v>
      </c>
      <c r="E806" s="5">
        <v>0.00503962517746057</v>
      </c>
      <c r="F806" s="5">
        <v>1.51628181169165</v>
      </c>
    </row>
    <row r="807" ht="15.75" customHeight="1">
      <c r="A807" s="21"/>
      <c r="D807" s="21">
        <v>44916.0</v>
      </c>
      <c r="E807" s="5">
        <v>0.00512021474367425</v>
      </c>
      <c r="F807" s="5">
        <v>1.52404550017944</v>
      </c>
    </row>
    <row r="808" ht="15.75" customHeight="1">
      <c r="A808" s="21"/>
      <c r="D808" s="21">
        <v>44917.0</v>
      </c>
      <c r="E808" s="5">
        <v>7.08634486432053E-4</v>
      </c>
      <c r="F808" s="5">
        <v>1.52512549137976</v>
      </c>
    </row>
    <row r="809" ht="15.75" customHeight="1">
      <c r="A809" s="21"/>
      <c r="D809" s="21">
        <v>44918.0</v>
      </c>
      <c r="E809" s="5">
        <v>0.00395931892213766</v>
      </c>
      <c r="F809" s="5">
        <v>1.53116394959641</v>
      </c>
    </row>
    <row r="810" ht="15.75" customHeight="1">
      <c r="A810" s="21"/>
      <c r="D810" s="21">
        <v>44922.0</v>
      </c>
      <c r="E810" s="5">
        <v>0.00552059632782268</v>
      </c>
      <c r="F810" s="5">
        <v>1.53961688767385</v>
      </c>
    </row>
    <row r="811" ht="15.75" customHeight="1">
      <c r="A811" s="21"/>
      <c r="D811" s="21">
        <v>44923.0</v>
      </c>
      <c r="E811" s="5">
        <v>-0.00688025556703591</v>
      </c>
      <c r="F811" s="5">
        <v>1.52902393001133</v>
      </c>
    </row>
    <row r="812" ht="15.75" customHeight="1">
      <c r="A812" s="21"/>
      <c r="D812" s="21">
        <v>44924.0</v>
      </c>
      <c r="E812" s="5">
        <v>0.0061336501503007</v>
      </c>
      <c r="F812" s="5">
        <v>1.53840242786945</v>
      </c>
    </row>
    <row r="813" ht="15.75" customHeight="1">
      <c r="A813" s="21"/>
      <c r="D813" s="21">
        <v>44925.0</v>
      </c>
      <c r="E813" s="5">
        <v>-0.00194052067558479</v>
      </c>
      <c r="F813" s="5">
        <v>1.5354171261508</v>
      </c>
    </row>
    <row r="814" ht="15.75" customHeight="1">
      <c r="A814" s="21"/>
      <c r="D814" s="21">
        <v>44929.0</v>
      </c>
      <c r="E814" s="5">
        <v>0.0010271685204485</v>
      </c>
      <c r="F814" s="5">
        <v>1.53699425828854</v>
      </c>
    </row>
    <row r="815" ht="15.75" customHeight="1">
      <c r="A815" s="21"/>
      <c r="D815" s="21">
        <v>44930.0</v>
      </c>
      <c r="E815" s="5">
        <v>0.0137746913089817</v>
      </c>
      <c r="F815" s="5">
        <v>1.55816587974015</v>
      </c>
    </row>
    <row r="816" ht="15.75" customHeight="1">
      <c r="A816" s="21"/>
      <c r="D816" s="21">
        <v>44931.0</v>
      </c>
      <c r="E816" s="5">
        <v>-0.00386179753978425</v>
      </c>
      <c r="F816" s="5">
        <v>1.55214855857919</v>
      </c>
    </row>
    <row r="817" ht="15.75" customHeight="1">
      <c r="A817" s="21"/>
      <c r="D817" s="21">
        <v>44932.0</v>
      </c>
      <c r="E817" s="5">
        <v>0.0108497013683907</v>
      </c>
      <c r="F817" s="5">
        <v>1.56898890691915</v>
      </c>
    </row>
    <row r="818" ht="15.75" customHeight="1">
      <c r="A818" s="21"/>
      <c r="D818" s="21">
        <v>44935.0</v>
      </c>
      <c r="E818" s="5">
        <v>-3.66928901390226E-4</v>
      </c>
      <c r="F818" s="5">
        <v>1.56841319954324</v>
      </c>
    </row>
    <row r="819" ht="15.75" customHeight="1">
      <c r="A819" s="21"/>
      <c r="D819" s="21">
        <v>44936.0</v>
      </c>
      <c r="E819" s="7">
        <v>-4.20792340882123E-5</v>
      </c>
      <c r="F819" s="5">
        <v>1.56834720191707</v>
      </c>
    </row>
    <row r="820" ht="15.75" customHeight="1">
      <c r="A820" s="21"/>
      <c r="D820" s="21">
        <v>44937.0</v>
      </c>
      <c r="E820" s="5">
        <v>0.00265947648971519</v>
      </c>
      <c r="F820" s="5">
        <v>1.57251818442828</v>
      </c>
    </row>
    <row r="821" ht="15.75" customHeight="1">
      <c r="A821" s="21"/>
      <c r="D821" s="21">
        <v>44938.0</v>
      </c>
      <c r="E821" s="5">
        <v>3.75523293844967E-4</v>
      </c>
      <c r="F821" s="5">
        <v>1.57310870163653</v>
      </c>
    </row>
    <row r="822" ht="15.75" customHeight="1">
      <c r="A822" s="21"/>
      <c r="D822" s="21">
        <v>44939.0</v>
      </c>
      <c r="E822" s="5">
        <v>0.00461395254465858</v>
      </c>
      <c r="F822" s="5">
        <v>1.58036695053347</v>
      </c>
    </row>
    <row r="823" ht="15.75" customHeight="1">
      <c r="A823" s="21"/>
      <c r="D823" s="21">
        <v>44943.0</v>
      </c>
      <c r="E823" s="5">
        <v>2.20022287259435E-4</v>
      </c>
      <c r="F823" s="5">
        <v>1.58071466648463</v>
      </c>
    </row>
    <row r="824" ht="15.75" customHeight="1">
      <c r="A824" s="21"/>
      <c r="D824" s="21">
        <v>44944.0</v>
      </c>
      <c r="E824" s="5">
        <v>-0.00859913962339952</v>
      </c>
      <c r="F824" s="5">
        <v>1.56712188036278</v>
      </c>
    </row>
    <row r="825" ht="15.75" customHeight="1">
      <c r="A825" s="21"/>
      <c r="D825" s="21">
        <v>44945.0</v>
      </c>
      <c r="E825" s="5">
        <v>8.41621795607814E-4</v>
      </c>
      <c r="F825" s="5">
        <v>1.56844080429366</v>
      </c>
    </row>
    <row r="826" ht="15.75" customHeight="1">
      <c r="A826" s="21"/>
      <c r="D826" s="21">
        <v>44946.0</v>
      </c>
      <c r="E826" s="5">
        <v>0.0023552023921144</v>
      </c>
      <c r="F826" s="5">
        <v>1.57213479982783</v>
      </c>
    </row>
    <row r="827" ht="15.75" customHeight="1">
      <c r="A827" s="21"/>
      <c r="D827" s="21">
        <v>44949.0</v>
      </c>
      <c r="E827" s="5">
        <v>-0.00488443321036379</v>
      </c>
      <c r="F827" s="5">
        <v>1.56445581240038</v>
      </c>
    </row>
    <row r="828" ht="15.75" customHeight="1">
      <c r="A828" s="21"/>
      <c r="D828" s="21">
        <v>44950.0</v>
      </c>
      <c r="E828" s="5">
        <v>-8.02352527516874E-4</v>
      </c>
      <c r="F828" s="5">
        <v>1.56320056732511</v>
      </c>
    </row>
    <row r="829" ht="15.75" customHeight="1">
      <c r="A829" s="21"/>
      <c r="D829" s="21">
        <v>44951.0</v>
      </c>
      <c r="E829" s="5">
        <v>0.00142328554031712</v>
      </c>
      <c r="F829" s="5">
        <v>1.5654254480892</v>
      </c>
    </row>
    <row r="830" ht="15.75" customHeight="1">
      <c r="A830" s="21"/>
      <c r="D830" s="21">
        <v>44952.0</v>
      </c>
      <c r="E830" s="5">
        <v>0.00516234434778597</v>
      </c>
      <c r="F830" s="5">
        <v>1.57350671330302</v>
      </c>
    </row>
    <row r="831" ht="15.75" customHeight="1">
      <c r="A831" s="21"/>
      <c r="D831" s="21">
        <v>44953.0</v>
      </c>
      <c r="E831" s="5">
        <v>0.00223137570468663</v>
      </c>
      <c r="F831" s="5">
        <v>1.57701779795425</v>
      </c>
    </row>
    <row r="832" ht="15.75" customHeight="1">
      <c r="A832" s="21"/>
      <c r="D832" s="21">
        <v>44956.0</v>
      </c>
      <c r="E832" s="5">
        <v>-0.00616300293021593</v>
      </c>
      <c r="F832" s="5">
        <v>1.56729863264446</v>
      </c>
    </row>
    <row r="833" ht="15.75" customHeight="1">
      <c r="A833" s="21"/>
      <c r="D833" s="21">
        <v>44957.0</v>
      </c>
      <c r="E833" s="5">
        <v>0.00827813304811886</v>
      </c>
      <c r="F833" s="5">
        <v>1.58027293925162</v>
      </c>
    </row>
    <row r="834" ht="15.75" customHeight="1">
      <c r="A834" s="21"/>
      <c r="D834" s="21">
        <v>44958.0</v>
      </c>
      <c r="E834" s="5">
        <v>0.00286519458406342</v>
      </c>
      <c r="F834" s="5">
        <v>1.58480072871851</v>
      </c>
    </row>
    <row r="835" ht="15.75" customHeight="1">
      <c r="A835" s="21"/>
      <c r="D835" s="21">
        <v>44959.0</v>
      </c>
      <c r="E835" s="5">
        <v>-0.00176139722073633</v>
      </c>
      <c r="F835" s="5">
        <v>1.58200926511952</v>
      </c>
    </row>
    <row r="836" ht="15.75" customHeight="1">
      <c r="A836" s="21"/>
      <c r="D836" s="21">
        <v>44960.0</v>
      </c>
      <c r="E836" s="5">
        <v>-9.99363347981497E-4</v>
      </c>
      <c r="F836" s="5">
        <v>1.58042826304379</v>
      </c>
    </row>
    <row r="837" ht="15.75" customHeight="1">
      <c r="A837" s="21"/>
      <c r="D837" s="21">
        <v>44963.0</v>
      </c>
      <c r="E837" s="5">
        <v>-0.00319711628489367</v>
      </c>
      <c r="F837" s="5">
        <v>1.57537545010691</v>
      </c>
    </row>
    <row r="838" ht="15.75" customHeight="1">
      <c r="A838" s="21"/>
      <c r="D838" s="21">
        <v>44964.0</v>
      </c>
      <c r="E838" s="5">
        <v>-8.97605126664595E-4</v>
      </c>
      <c r="F838" s="5">
        <v>1.57396138502647</v>
      </c>
    </row>
    <row r="839" ht="15.75" customHeight="1">
      <c r="A839" s="21"/>
      <c r="D839" s="21">
        <v>44965.0</v>
      </c>
      <c r="E839" s="5">
        <v>-0.00395437547826065</v>
      </c>
      <c r="F839" s="5">
        <v>1.56773735072179</v>
      </c>
    </row>
    <row r="840" ht="15.75" customHeight="1">
      <c r="A840" s="21"/>
      <c r="D840" s="21">
        <v>44966.0</v>
      </c>
      <c r="E840" s="5">
        <v>-0.00298527565023617</v>
      </c>
      <c r="F840" s="5">
        <v>1.56305722258272</v>
      </c>
    </row>
    <row r="841" ht="15.75" customHeight="1">
      <c r="A841" s="21"/>
      <c r="D841" s="21">
        <v>44967.0</v>
      </c>
      <c r="E841" s="5">
        <v>0.00463246419116894</v>
      </c>
      <c r="F841" s="5">
        <v>1.57029802919508</v>
      </c>
    </row>
    <row r="842" ht="15.75" customHeight="1">
      <c r="A842" s="21"/>
      <c r="D842" s="21">
        <v>44970.0</v>
      </c>
      <c r="E842" s="5">
        <v>4.69390576286628E-4</v>
      </c>
      <c r="F842" s="5">
        <v>1.57103511229195</v>
      </c>
    </row>
    <row r="843" ht="15.75" customHeight="1">
      <c r="A843" s="21"/>
      <c r="D843" s="21">
        <v>44971.0</v>
      </c>
      <c r="E843" s="5">
        <v>0.00445745452922028</v>
      </c>
      <c r="F843" s="5">
        <v>1.5780379298688</v>
      </c>
    </row>
    <row r="844" ht="15.75" customHeight="1">
      <c r="A844" s="21"/>
      <c r="D844" s="21">
        <v>44972.0</v>
      </c>
      <c r="E844" s="5">
        <v>-0.00350795234720006</v>
      </c>
      <c r="F844" s="5">
        <v>1.57250224800874</v>
      </c>
    </row>
    <row r="845" ht="15.75" customHeight="1">
      <c r="A845" s="21"/>
      <c r="D845" s="21">
        <v>44973.0</v>
      </c>
      <c r="E845" s="5">
        <v>-2.54392522906832E-4</v>
      </c>
      <c r="F845" s="5">
        <v>1.5721022151946</v>
      </c>
    </row>
    <row r="846" ht="15.75" customHeight="1">
      <c r="A846" s="21"/>
      <c r="D846" s="21">
        <v>44974.0</v>
      </c>
      <c r="E846" s="5">
        <v>0.0024485993946887</v>
      </c>
      <c r="F846" s="5">
        <v>1.57595166372711</v>
      </c>
    </row>
    <row r="847" ht="15.75" customHeight="1">
      <c r="A847" s="21"/>
      <c r="D847" s="21">
        <v>44978.0</v>
      </c>
      <c r="E847" s="5">
        <v>-0.00564899040296688</v>
      </c>
      <c r="F847" s="5">
        <v>1.56704912790318</v>
      </c>
    </row>
    <row r="848" ht="15.75" customHeight="1">
      <c r="A848" s="21"/>
      <c r="D848" s="21">
        <v>44979.0</v>
      </c>
      <c r="E848" s="5">
        <v>-0.00113177873754975</v>
      </c>
      <c r="F848" s="5">
        <v>1.56527557501952</v>
      </c>
    </row>
    <row r="849" ht="15.75" customHeight="1">
      <c r="A849" s="21"/>
      <c r="D849" s="21">
        <v>44980.0</v>
      </c>
      <c r="E849" s="5">
        <v>-0.00444287444041043</v>
      </c>
      <c r="F849" s="5">
        <v>1.55832125217507</v>
      </c>
    </row>
    <row r="850" ht="15.75" customHeight="1">
      <c r="A850" s="21"/>
      <c r="D850" s="21">
        <v>44981.0</v>
      </c>
      <c r="E850" s="5">
        <v>-0.00184415175793881</v>
      </c>
      <c r="F850" s="5">
        <v>1.55544747129843</v>
      </c>
    </row>
    <row r="851" ht="15.75" customHeight="1">
      <c r="A851" s="21"/>
      <c r="D851" s="21">
        <v>44984.0</v>
      </c>
      <c r="E851" s="5">
        <v>3.27666342749322E-4</v>
      </c>
      <c r="F851" s="5">
        <v>1.55595713908269</v>
      </c>
    </row>
    <row r="852" ht="15.75" customHeight="1">
      <c r="A852" s="21"/>
      <c r="D852" s="21">
        <v>44985.0</v>
      </c>
      <c r="E852" s="5">
        <v>-0.00416802920288563</v>
      </c>
      <c r="F852" s="5">
        <v>1.54947186428856</v>
      </c>
    </row>
    <row r="853" ht="15.75" customHeight="1">
      <c r="A853" s="21"/>
      <c r="D853" s="21">
        <v>44986.0</v>
      </c>
      <c r="E853" s="5">
        <v>0.00396053751703415</v>
      </c>
      <c r="F853" s="5">
        <v>1.55560860573866</v>
      </c>
    </row>
    <row r="854" ht="15.75" customHeight="1">
      <c r="A854" s="21"/>
      <c r="D854" s="21">
        <v>44987.0</v>
      </c>
      <c r="E854" s="5">
        <v>0.00332721781055616</v>
      </c>
      <c r="F854" s="5">
        <v>1.56078445439793</v>
      </c>
    </row>
    <row r="855" ht="15.75" customHeight="1">
      <c r="A855" s="21"/>
      <c r="D855" s="21">
        <v>44988.0</v>
      </c>
      <c r="E855" s="5">
        <v>0.00437259381694502</v>
      </c>
      <c r="F855" s="5">
        <v>1.56760913085281</v>
      </c>
    </row>
    <row r="856" ht="15.75" customHeight="1">
      <c r="A856" s="21"/>
      <c r="D856" s="21">
        <v>44991.0</v>
      </c>
      <c r="E856" s="5">
        <v>-0.0041805963552087</v>
      </c>
      <c r="F856" s="5">
        <v>1.56105558983398</v>
      </c>
    </row>
    <row r="857" ht="15.75" customHeight="1">
      <c r="A857" s="21"/>
      <c r="D857" s="21">
        <v>44992.0</v>
      </c>
      <c r="E857" s="5">
        <v>-0.00860367290521783</v>
      </c>
      <c r="F857" s="5">
        <v>1.54762477815219</v>
      </c>
    </row>
    <row r="858" ht="15.75" customHeight="1">
      <c r="A858" s="21"/>
      <c r="D858" s="21">
        <v>44993.0</v>
      </c>
      <c r="E858" s="5">
        <v>5.05215825301178E-4</v>
      </c>
      <c r="F858" s="5">
        <v>1.54840666268174</v>
      </c>
    </row>
    <row r="859" ht="15.75" customHeight="1">
      <c r="A859" s="21"/>
      <c r="D859" s="21">
        <v>44994.0</v>
      </c>
      <c r="E859" s="5">
        <v>-0.0090340465797342</v>
      </c>
      <c r="F859" s="5">
        <v>1.5344182847667</v>
      </c>
    </row>
    <row r="860" ht="15.75" customHeight="1">
      <c r="A860" s="21"/>
      <c r="D860" s="21">
        <v>44995.0</v>
      </c>
      <c r="E860" s="5">
        <v>-0.00499252170367816</v>
      </c>
      <c r="F860" s="5">
        <v>1.52675766817748</v>
      </c>
    </row>
    <row r="861" ht="15.75" customHeight="1">
      <c r="A861" s="21"/>
      <c r="D861" s="21">
        <v>44998.0</v>
      </c>
      <c r="E861" s="5">
        <v>0.00304887023590719</v>
      </c>
      <c r="F861" s="5">
        <v>1.53141255418943</v>
      </c>
    </row>
    <row r="862" ht="15.75" customHeight="1">
      <c r="A862" s="21"/>
      <c r="D862" s="21">
        <v>44999.0</v>
      </c>
      <c r="E862" s="5">
        <v>0.00407068204496488</v>
      </c>
      <c r="F862" s="5">
        <v>1.5376464477772</v>
      </c>
    </row>
    <row r="863" ht="15.75" customHeight="1">
      <c r="A863" s="21"/>
      <c r="D863" s="21">
        <v>45000.0</v>
      </c>
      <c r="E863" s="5">
        <v>-0.00729019878501619</v>
      </c>
      <c r="F863" s="5">
        <v>1.52643669951183</v>
      </c>
    </row>
    <row r="864" ht="15.75" customHeight="1">
      <c r="A864" s="21"/>
      <c r="D864" s="21">
        <v>45001.0</v>
      </c>
      <c r="E864" s="5">
        <v>0.00357517087746603</v>
      </c>
      <c r="F864" s="5">
        <v>1.53189397154622</v>
      </c>
    </row>
    <row r="865" ht="15.75" customHeight="1">
      <c r="A865" s="21"/>
      <c r="D865" s="21">
        <v>45002.0</v>
      </c>
      <c r="E865" s="5">
        <v>-0.00381035102938074</v>
      </c>
      <c r="F865" s="5">
        <v>1.52605691777484</v>
      </c>
    </row>
    <row r="866" ht="15.75" customHeight="1">
      <c r="A866" s="21"/>
      <c r="D866" s="21">
        <v>45005.0</v>
      </c>
      <c r="E866" s="5">
        <v>0.009071032347024</v>
      </c>
      <c r="F866" s="5">
        <v>1.53989982943937</v>
      </c>
    </row>
    <row r="867" ht="15.75" customHeight="1">
      <c r="A867" s="21"/>
      <c r="D867" s="21">
        <v>45006.0</v>
      </c>
      <c r="E867" s="5">
        <v>-0.00243106060364773</v>
      </c>
      <c r="F867" s="5">
        <v>1.53615623963046</v>
      </c>
    </row>
    <row r="868" ht="15.75" customHeight="1">
      <c r="A868" s="21"/>
      <c r="D868" s="21">
        <v>45007.0</v>
      </c>
      <c r="E868" s="5">
        <v>-0.00201754048640832</v>
      </c>
      <c r="F868" s="5">
        <v>1.53305698222356</v>
      </c>
    </row>
    <row r="869" ht="15.75" customHeight="1">
      <c r="A869" s="21"/>
      <c r="D869" s="21">
        <v>45008.0</v>
      </c>
      <c r="E869" s="5">
        <v>0.00436590546883789</v>
      </c>
      <c r="F869" s="5">
        <v>1.53975016408629</v>
      </c>
    </row>
    <row r="870" ht="15.75" customHeight="1">
      <c r="A870" s="21"/>
      <c r="D870" s="21">
        <v>45009.0</v>
      </c>
      <c r="E870" s="5">
        <v>0.00338419040515003</v>
      </c>
      <c r="F870" s="5">
        <v>1.54496097181792</v>
      </c>
    </row>
    <row r="871" ht="15.75" customHeight="1">
      <c r="A871" s="21"/>
      <c r="D871" s="21">
        <v>45012.0</v>
      </c>
      <c r="E871" s="5">
        <v>0.00492706208197381</v>
      </c>
      <c r="F871" s="5">
        <v>1.55257309044029</v>
      </c>
    </row>
    <row r="872" ht="15.75" customHeight="1">
      <c r="A872" s="21"/>
      <c r="D872" s="21">
        <v>45013.0</v>
      </c>
      <c r="E872" s="5">
        <v>6.14790000595141E-4</v>
      </c>
      <c r="F872" s="5">
        <v>1.55352759685149</v>
      </c>
    </row>
    <row r="873" ht="15.75" customHeight="1">
      <c r="A873" s="21"/>
      <c r="D873" s="21">
        <v>45014.0</v>
      </c>
      <c r="E873" s="5">
        <v>0.00470053407254812</v>
      </c>
      <c r="F873" s="5">
        <v>1.56083000625313</v>
      </c>
    </row>
    <row r="874" ht="15.75" customHeight="1">
      <c r="A874" s="21"/>
      <c r="D874" s="21">
        <v>45015.0</v>
      </c>
      <c r="E874" s="5">
        <v>0.00382869661220004</v>
      </c>
      <c r="F874" s="5">
        <v>1.56680595081029</v>
      </c>
    </row>
    <row r="875" ht="15.75" customHeight="1">
      <c r="A875" s="21"/>
      <c r="D875" s="21">
        <v>45016.0</v>
      </c>
      <c r="E875" s="5">
        <v>0.00151953975771467</v>
      </c>
      <c r="F875" s="5">
        <v>1.56918677474517</v>
      </c>
    </row>
    <row r="876" ht="15.75" customHeight="1">
      <c r="A876" s="21"/>
      <c r="D876" s="21">
        <v>45019.0</v>
      </c>
      <c r="E876" s="5">
        <v>0.00487615671227884</v>
      </c>
      <c r="F876" s="5">
        <v>1.57683837536966</v>
      </c>
    </row>
    <row r="877" ht="15.75" customHeight="1">
      <c r="A877" s="21"/>
      <c r="D877" s="21">
        <v>45020.0</v>
      </c>
      <c r="E877" s="5">
        <v>-7.57323397124298E-4</v>
      </c>
      <c r="F877" s="5">
        <v>1.57564419877451</v>
      </c>
    </row>
    <row r="878" ht="15.75" customHeight="1">
      <c r="A878" s="21"/>
      <c r="D878" s="21">
        <v>45021.0</v>
      </c>
      <c r="E878" s="5">
        <v>0.00344516579471393</v>
      </c>
      <c r="F878" s="5">
        <v>1.58107255427277</v>
      </c>
    </row>
    <row r="879" ht="15.75" customHeight="1">
      <c r="A879" s="21"/>
      <c r="D879" s="21">
        <v>45022.0</v>
      </c>
      <c r="E879" s="5">
        <v>-3.30069726998929E-4</v>
      </c>
      <c r="F879" s="5">
        <v>1.58055069008642</v>
      </c>
    </row>
    <row r="880" ht="15.75" customHeight="1">
      <c r="A880" s="21"/>
      <c r="D880" s="21">
        <v>45026.0</v>
      </c>
      <c r="E880" s="5">
        <v>-2.16181914676495E-4</v>
      </c>
      <c r="F880" s="5">
        <v>1.58020900361199</v>
      </c>
    </row>
    <row r="881" ht="15.75" customHeight="1">
      <c r="A881" s="21"/>
      <c r="D881" s="21">
        <v>45027.0</v>
      </c>
      <c r="E881" s="5">
        <v>0.00825679138273172</v>
      </c>
      <c r="F881" s="5">
        <v>1.59325645969593</v>
      </c>
    </row>
    <row r="882" ht="15.75" customHeight="1">
      <c r="A882" s="21"/>
      <c r="D882" s="21">
        <v>45028.0</v>
      </c>
      <c r="E882" s="5">
        <v>0.00357300542714639</v>
      </c>
      <c r="F882" s="5">
        <v>1.59894917367326</v>
      </c>
    </row>
    <row r="883" ht="15.75" customHeight="1">
      <c r="A883" s="21"/>
      <c r="D883" s="21">
        <v>45029.0</v>
      </c>
      <c r="E883" s="5">
        <v>0.00833756675282843</v>
      </c>
      <c r="F883" s="5">
        <v>1.61228051914314</v>
      </c>
    </row>
    <row r="884" ht="15.75" customHeight="1">
      <c r="A884" s="21"/>
      <c r="D884" s="21">
        <v>45030.0</v>
      </c>
      <c r="E884" s="5">
        <v>-0.0025401948592127</v>
      </c>
      <c r="F884" s="5">
        <v>1.6081850124568</v>
      </c>
    </row>
    <row r="885" ht="15.75" customHeight="1">
      <c r="A885" s="21"/>
      <c r="D885" s="21">
        <v>45033.0</v>
      </c>
      <c r="E885" s="5">
        <v>-0.0031028546246219</v>
      </c>
      <c r="F885" s="5">
        <v>1.60319504815365</v>
      </c>
    </row>
    <row r="886" ht="15.75" customHeight="1">
      <c r="A886" s="21"/>
      <c r="D886" s="21">
        <v>45034.0</v>
      </c>
      <c r="E886" s="5">
        <v>0.00157977082451789</v>
      </c>
      <c r="F886" s="5">
        <v>1.60572772891674</v>
      </c>
    </row>
    <row r="887" ht="15.75" customHeight="1">
      <c r="A887" s="21"/>
      <c r="D887" s="21">
        <v>45035.0</v>
      </c>
      <c r="E887" s="5">
        <v>-0.00711675708323268</v>
      </c>
      <c r="F887" s="5">
        <v>1.59430015472823</v>
      </c>
    </row>
    <row r="888" ht="15.75" customHeight="1">
      <c r="A888" s="21"/>
      <c r="D888" s="21">
        <v>45036.0</v>
      </c>
      <c r="E888" s="5">
        <v>-0.00485420986885851</v>
      </c>
      <c r="F888" s="5">
        <v>1.58656108718322</v>
      </c>
    </row>
    <row r="889" ht="15.75" customHeight="1">
      <c r="A889" s="21"/>
      <c r="D889" s="21">
        <v>45037.0</v>
      </c>
      <c r="E889" s="5">
        <v>-0.00605545993014281</v>
      </c>
      <c r="F889" s="5">
        <v>1.57695373009306</v>
      </c>
    </row>
    <row r="890" ht="15.75" customHeight="1">
      <c r="A890" s="21"/>
      <c r="D890" s="21">
        <v>45040.0</v>
      </c>
      <c r="E890" s="5">
        <v>0.00217727740413596</v>
      </c>
      <c r="F890" s="5">
        <v>1.58038719581696</v>
      </c>
    </row>
    <row r="891" ht="15.75" customHeight="1">
      <c r="A891" s="21"/>
      <c r="D891" s="21">
        <v>45041.0</v>
      </c>
      <c r="E891" s="5">
        <v>-0.00951724616460492</v>
      </c>
      <c r="F891" s="5">
        <v>1.56534626183898</v>
      </c>
    </row>
    <row r="892" ht="15.75" customHeight="1">
      <c r="A892" s="21"/>
      <c r="D892" s="21">
        <v>45042.0</v>
      </c>
      <c r="E892" s="5">
        <v>6.37144249967473E-4</v>
      </c>
      <c r="F892" s="5">
        <v>1.56634361320892</v>
      </c>
    </row>
    <row r="893" ht="15.75" customHeight="1">
      <c r="A893" s="21"/>
      <c r="D893" s="21">
        <v>45043.0</v>
      </c>
      <c r="E893" s="5">
        <v>3.64403707059982E-4</v>
      </c>
      <c r="F893" s="5">
        <v>1.5669143946281</v>
      </c>
    </row>
    <row r="894" ht="15.75" customHeight="1">
      <c r="A894" s="21"/>
      <c r="D894" s="21">
        <v>45044.0</v>
      </c>
      <c r="E894" s="5">
        <v>0.00769191455418331</v>
      </c>
      <c r="F894" s="5">
        <v>1.5789669662653</v>
      </c>
    </row>
    <row r="895" ht="15.75" customHeight="1">
      <c r="A895" s="21"/>
      <c r="D895" s="21">
        <v>45047.0</v>
      </c>
      <c r="E895" s="5">
        <v>0.00256729966551781</v>
      </c>
      <c r="F895" s="5">
        <v>1.58302064762966</v>
      </c>
    </row>
    <row r="896" ht="15.75" customHeight="1">
      <c r="A896" s="21"/>
      <c r="B896" s="7"/>
      <c r="D896" s="21">
        <v>45048.0</v>
      </c>
      <c r="E896" s="5">
        <v>-0.00656140661802942</v>
      </c>
      <c r="F896" s="5">
        <v>1.57263380547582</v>
      </c>
    </row>
    <row r="897" ht="15.75" customHeight="1">
      <c r="A897" s="21"/>
      <c r="D897" s="21">
        <v>45049.0</v>
      </c>
      <c r="E897" s="5">
        <v>-0.00312635159376273</v>
      </c>
      <c r="F897" s="5">
        <v>1.56771719927167</v>
      </c>
    </row>
    <row r="898" ht="15.75" customHeight="1">
      <c r="A898" s="21"/>
      <c r="D898" s="21">
        <v>45050.0</v>
      </c>
      <c r="E898" s="5">
        <v>-5.13631894515044E-4</v>
      </c>
      <c r="F898" s="5">
        <v>1.56691196971654</v>
      </c>
    </row>
    <row r="899" ht="15.75" customHeight="1">
      <c r="A899" s="21"/>
      <c r="D899" s="21">
        <v>45051.0</v>
      </c>
      <c r="E899" s="5">
        <v>0.0110731917921718</v>
      </c>
      <c r="F899" s="5">
        <v>1.58426268647866</v>
      </c>
    </row>
    <row r="900" ht="15.75" customHeight="1">
      <c r="A900" s="21"/>
      <c r="D900" s="21">
        <v>45054.0</v>
      </c>
      <c r="E900" s="5">
        <v>-2.99833072752974E-4</v>
      </c>
      <c r="F900" s="5">
        <v>1.58378767212933</v>
      </c>
    </row>
    <row r="901" ht="15.75" customHeight="1">
      <c r="A901" s="21"/>
      <c r="D901" s="21">
        <v>45055.0</v>
      </c>
      <c r="E901" s="5">
        <v>6.80362379002496E-4</v>
      </c>
      <c r="F901" s="5">
        <v>1.58486522167777</v>
      </c>
    </row>
    <row r="902" ht="15.75" customHeight="1">
      <c r="A902" s="21"/>
      <c r="D902" s="21">
        <v>45056.0</v>
      </c>
      <c r="E902" s="5">
        <v>0.00227672302260601</v>
      </c>
      <c r="F902" s="5">
        <v>1.5884735208157</v>
      </c>
    </row>
    <row r="903" ht="15.75" customHeight="1">
      <c r="A903" s="21"/>
      <c r="D903" s="21">
        <v>45057.0</v>
      </c>
      <c r="E903" s="5">
        <v>-0.00505711252448792</v>
      </c>
      <c r="F903" s="5">
        <v>1.58044043147876</v>
      </c>
    </row>
    <row r="904" ht="15.75" customHeight="1">
      <c r="A904" s="21"/>
      <c r="D904" s="21">
        <v>45058.0</v>
      </c>
      <c r="E904" s="5">
        <v>3.15107623530784E-4</v>
      </c>
      <c r="F904" s="5">
        <v>1.58093844030726</v>
      </c>
    </row>
    <row r="905" ht="15.75" customHeight="1">
      <c r="A905" s="21"/>
      <c r="D905" s="21">
        <v>45061.0</v>
      </c>
      <c r="E905" s="5">
        <v>0.00442419279075499</v>
      </c>
      <c r="F905" s="5">
        <v>1.58793281675749</v>
      </c>
    </row>
    <row r="906" ht="15.75" customHeight="1">
      <c r="A906" s="21"/>
      <c r="D906" s="21">
        <v>45062.0</v>
      </c>
      <c r="E906" s="5">
        <v>-0.00914058131022069</v>
      </c>
      <c r="F906" s="5">
        <v>1.57341818773075</v>
      </c>
    </row>
    <row r="907" ht="15.75" customHeight="1">
      <c r="A907" s="21"/>
      <c r="D907" s="21">
        <v>45063.0</v>
      </c>
      <c r="E907" s="5">
        <v>0.00225220660428752</v>
      </c>
      <c r="F907" s="5">
        <v>1.57696185056447</v>
      </c>
    </row>
    <row r="908" ht="15.75" customHeight="1">
      <c r="A908" s="21"/>
      <c r="B908" s="7"/>
      <c r="D908" s="21">
        <v>45064.0</v>
      </c>
      <c r="E908" s="5">
        <v>-0.0032026398370517</v>
      </c>
      <c r="F908" s="5">
        <v>1.57191140972034</v>
      </c>
    </row>
    <row r="909" ht="15.75" customHeight="1">
      <c r="A909" s="21"/>
      <c r="D909" s="21">
        <v>45065.0</v>
      </c>
      <c r="E909" s="5">
        <v>0.00261199888828517</v>
      </c>
      <c r="F909" s="5">
        <v>1.57601724057501</v>
      </c>
    </row>
    <row r="910" ht="15.75" customHeight="1">
      <c r="A910" s="21"/>
      <c r="D910" s="21">
        <v>45068.0</v>
      </c>
      <c r="E910" s="5">
        <v>-1.59347994008147E-4</v>
      </c>
      <c r="F910" s="5">
        <v>1.5757661053892</v>
      </c>
    </row>
    <row r="911" ht="15.75" customHeight="1">
      <c r="A911" s="21"/>
      <c r="D911" s="21">
        <v>45069.0</v>
      </c>
      <c r="E911" s="5">
        <v>-0.00540558769192525</v>
      </c>
      <c r="F911" s="5">
        <v>1.56724816352456</v>
      </c>
    </row>
    <row r="912" ht="15.75" customHeight="1">
      <c r="A912" s="21"/>
      <c r="D912" s="21">
        <v>45070.0</v>
      </c>
      <c r="E912" s="5">
        <v>-0.00647192425646269</v>
      </c>
      <c r="F912" s="5">
        <v>1.55710505211915</v>
      </c>
    </row>
    <row r="913" ht="15.75" customHeight="1">
      <c r="A913" s="21"/>
      <c r="D913" s="21">
        <v>45071.0</v>
      </c>
      <c r="E913" s="5">
        <v>-0.00547422340834055</v>
      </c>
      <c r="F913" s="5">
        <v>1.54858111119359</v>
      </c>
    </row>
    <row r="914" ht="15.75" customHeight="1">
      <c r="A914" s="21"/>
      <c r="D914" s="21">
        <v>45072.0</v>
      </c>
      <c r="E914" s="5">
        <v>0.00758714347087427</v>
      </c>
      <c r="F914" s="5">
        <v>1.5603304182605</v>
      </c>
    </row>
    <row r="915" ht="15.75" customHeight="1">
      <c r="A915" s="21"/>
      <c r="D915" s="21">
        <v>45076.0</v>
      </c>
      <c r="E915" s="5">
        <v>-0.0035312462726907</v>
      </c>
      <c r="F915" s="5">
        <v>1.55482050728685</v>
      </c>
    </row>
    <row r="916" ht="15.75" customHeight="1">
      <c r="A916" s="21"/>
      <c r="D916" s="21">
        <v>45077.0</v>
      </c>
      <c r="E916" s="7">
        <v>-4.5233560307492E-5</v>
      </c>
      <c r="F916" s="5">
        <v>1.55475017721967</v>
      </c>
    </row>
    <row r="917" ht="15.75" customHeight="1">
      <c r="A917" s="21"/>
      <c r="D917" s="21">
        <v>45078.0</v>
      </c>
      <c r="E917" s="5">
        <v>0.00747414507148651</v>
      </c>
      <c r="F917" s="5">
        <v>1.56637060559413</v>
      </c>
    </row>
    <row r="918" ht="15.75" customHeight="1">
      <c r="A918" s="21"/>
      <c r="D918" s="21">
        <v>45079.0</v>
      </c>
      <c r="E918" s="5">
        <v>0.00865843742156813</v>
      </c>
      <c r="F918" s="5">
        <v>1.57993292746165</v>
      </c>
    </row>
    <row r="919" ht="15.75" customHeight="1">
      <c r="A919" s="21"/>
      <c r="D919" s="21">
        <v>45082.0</v>
      </c>
      <c r="E919" s="5">
        <v>-0.00208036584920769</v>
      </c>
      <c r="F919" s="5">
        <v>1.57664608895532</v>
      </c>
    </row>
    <row r="920" ht="15.75" customHeight="1">
      <c r="A920" s="21"/>
      <c r="D920" s="21">
        <v>45083.0</v>
      </c>
      <c r="E920" s="5">
        <v>-6.9785476414668E-4</v>
      </c>
      <c r="F920" s="5">
        <v>1.57554581897077</v>
      </c>
    </row>
    <row r="921" ht="15.75" customHeight="1">
      <c r="A921" s="21"/>
      <c r="D921" s="21">
        <v>45084.0</v>
      </c>
      <c r="E921" s="5">
        <v>-7.35803791142513E-4</v>
      </c>
      <c r="F921" s="5">
        <v>1.57438652638405</v>
      </c>
    </row>
    <row r="922" ht="15.75" customHeight="1">
      <c r="A922" s="21"/>
      <c r="D922" s="21">
        <v>45085.0</v>
      </c>
      <c r="E922" s="5">
        <v>0.00487347573714361</v>
      </c>
      <c r="F922" s="5">
        <v>1.58205926092127</v>
      </c>
    </row>
    <row r="923" ht="15.75" customHeight="1">
      <c r="A923" s="21"/>
      <c r="D923" s="21">
        <v>45086.0</v>
      </c>
      <c r="E923" s="5">
        <v>-0.00170599808519675</v>
      </c>
      <c r="F923" s="5">
        <v>1.57936027085147</v>
      </c>
    </row>
    <row r="924" ht="15.75" customHeight="1">
      <c r="A924" s="21"/>
      <c r="D924" s="21">
        <v>45089.0</v>
      </c>
      <c r="E924" s="5">
        <v>0.002255245816986</v>
      </c>
      <c r="F924" s="5">
        <v>1.58292211649582</v>
      </c>
    </row>
    <row r="925" ht="15.75" customHeight="1">
      <c r="A925" s="21"/>
      <c r="D925" s="21">
        <v>45090.0</v>
      </c>
      <c r="E925" s="5">
        <v>2.98821500558472E-4</v>
      </c>
      <c r="F925" s="5">
        <v>1.58339512765794</v>
      </c>
    </row>
    <row r="926" ht="15.75" customHeight="1">
      <c r="A926" s="21"/>
      <c r="D926" s="21">
        <v>45091.0</v>
      </c>
      <c r="E926" s="5">
        <v>-0.00627775393961637</v>
      </c>
      <c r="F926" s="5">
        <v>1.57345496265732</v>
      </c>
    </row>
    <row r="927" ht="15.75" customHeight="1">
      <c r="A927" s="21"/>
      <c r="D927" s="21">
        <v>45092.0</v>
      </c>
      <c r="E927" s="5">
        <v>0.00222351389568353</v>
      </c>
      <c r="F927" s="5">
        <v>1.57695356163102</v>
      </c>
    </row>
    <row r="928" ht="15.75" customHeight="1">
      <c r="A928" s="21"/>
      <c r="D928" s="21">
        <v>45093.0</v>
      </c>
      <c r="E928" s="5">
        <v>0.00542134358828552</v>
      </c>
      <c r="F928" s="5">
        <v>1.58550276871139</v>
      </c>
    </row>
    <row r="929" ht="15.75" customHeight="1">
      <c r="A929" s="21"/>
      <c r="B929" s="7"/>
      <c r="D929" s="21">
        <v>45097.0</v>
      </c>
      <c r="E929" s="5">
        <v>-0.00615735188867359</v>
      </c>
      <c r="F929" s="5">
        <v>1.57574027024397</v>
      </c>
    </row>
    <row r="930" ht="15.75" customHeight="1">
      <c r="A930" s="21"/>
      <c r="D930" s="21">
        <v>45098.0</v>
      </c>
      <c r="E930" s="5">
        <v>8.67242443602516E-4</v>
      </c>
      <c r="F930" s="5">
        <v>1.57710681908642</v>
      </c>
    </row>
    <row r="931" ht="15.75" customHeight="1">
      <c r="A931" s="21"/>
      <c r="D931" s="21">
        <v>45099.0</v>
      </c>
      <c r="E931" s="5">
        <v>-0.00239990973786595</v>
      </c>
      <c r="F931" s="5">
        <v>1.57332190507364</v>
      </c>
    </row>
    <row r="932" ht="15.75" customHeight="1">
      <c r="A932" s="21"/>
      <c r="D932" s="21">
        <v>45100.0</v>
      </c>
      <c r="E932" s="5">
        <v>-0.0070189639010521</v>
      </c>
      <c r="F932" s="5">
        <v>1.56227881541719</v>
      </c>
    </row>
    <row r="933" ht="15.75" customHeight="1">
      <c r="A933" s="21"/>
      <c r="D933" s="21">
        <v>45103.0</v>
      </c>
      <c r="E933" s="5">
        <v>0.00737028090441489</v>
      </c>
      <c r="F933" s="5">
        <v>1.57379324913783</v>
      </c>
    </row>
    <row r="934" ht="15.75" customHeight="1">
      <c r="A934" s="21"/>
      <c r="D934" s="21">
        <v>45104.0</v>
      </c>
      <c r="E934" s="5">
        <v>0.00340492036694796</v>
      </c>
      <c r="F934" s="5">
        <v>1.57915188982519</v>
      </c>
    </row>
    <row r="935" ht="15.75" customHeight="1">
      <c r="A935" s="21"/>
      <c r="D935" s="21">
        <v>45105.0</v>
      </c>
      <c r="E935" s="5">
        <v>-0.00332651138261944</v>
      </c>
      <c r="F935" s="5">
        <v>1.5738988230888</v>
      </c>
    </row>
    <row r="936" ht="15.75" customHeight="1">
      <c r="A936" s="21"/>
      <c r="D936" s="21">
        <v>45106.0</v>
      </c>
      <c r="E936" s="5">
        <v>0.00415018953093641</v>
      </c>
      <c r="F936" s="5">
        <v>1.58043080150713</v>
      </c>
    </row>
    <row r="937" ht="15.75" customHeight="1">
      <c r="A937" s="21"/>
      <c r="D937" s="21">
        <v>45107.0</v>
      </c>
      <c r="E937" s="5">
        <v>0.00693899385785616</v>
      </c>
      <c r="F937" s="5">
        <v>1.59139740113156</v>
      </c>
    </row>
    <row r="938" ht="15.75" customHeight="1">
      <c r="A938" s="21"/>
      <c r="D938" s="21">
        <v>45110.0</v>
      </c>
      <c r="E938" s="5">
        <v>0.00422940501255646</v>
      </c>
      <c r="F938" s="5">
        <v>1.59812806527687</v>
      </c>
    </row>
    <row r="939" ht="15.75" customHeight="1">
      <c r="A939" s="21"/>
      <c r="D939" s="21">
        <v>45112.0</v>
      </c>
      <c r="E939" s="5">
        <v>-0.00452306668929469</v>
      </c>
      <c r="F939" s="5">
        <v>1.59089962545959</v>
      </c>
    </row>
    <row r="940" ht="15.75" customHeight="1">
      <c r="A940" s="21"/>
      <c r="D940" s="21">
        <v>45113.0</v>
      </c>
      <c r="E940" s="5">
        <v>-0.0126178500322678</v>
      </c>
      <c r="F940" s="5">
        <v>1.57082589256915</v>
      </c>
    </row>
    <row r="941" ht="15.75" customHeight="1">
      <c r="A941" s="21"/>
      <c r="D941" s="21">
        <v>45114.0</v>
      </c>
      <c r="E941" s="5">
        <v>-0.0045963975748555</v>
      </c>
      <c r="F941" s="5">
        <v>1.56360575224603</v>
      </c>
    </row>
    <row r="942" ht="15.75" customHeight="1">
      <c r="A942" s="21"/>
      <c r="D942" s="21">
        <v>45117.0</v>
      </c>
      <c r="E942" s="5">
        <v>-0.00151576201022792</v>
      </c>
      <c r="F942" s="5">
        <v>1.5612356980478</v>
      </c>
    </row>
    <row r="943" ht="15.75" customHeight="1">
      <c r="A943" s="21"/>
      <c r="D943" s="21">
        <v>45118.0</v>
      </c>
      <c r="E943" s="5">
        <v>0.00516304802441103</v>
      </c>
      <c r="F943" s="5">
        <v>1.56929643293424</v>
      </c>
    </row>
    <row r="944" ht="15.75" customHeight="1">
      <c r="A944" s="21"/>
      <c r="D944" s="21">
        <v>45119.0</v>
      </c>
      <c r="E944" s="5">
        <v>0.00870954789702008</v>
      </c>
      <c r="F944" s="5">
        <v>1.58296429538151</v>
      </c>
    </row>
    <row r="945" ht="15.75" customHeight="1">
      <c r="A945" s="21"/>
      <c r="D945" s="21">
        <v>45120.0</v>
      </c>
      <c r="E945" s="5">
        <v>0.00575617369765643</v>
      </c>
      <c r="F945" s="5">
        <v>1.59207611282291</v>
      </c>
    </row>
    <row r="946" ht="15.75" customHeight="1">
      <c r="A946" s="21"/>
      <c r="D946" s="21">
        <v>45121.0</v>
      </c>
      <c r="E946" s="5">
        <v>-0.0043663576338487</v>
      </c>
      <c r="F946" s="5">
        <v>1.58512453913402</v>
      </c>
    </row>
    <row r="947" ht="15.75" customHeight="1">
      <c r="A947" s="21"/>
      <c r="D947" s="21">
        <v>45124.0</v>
      </c>
      <c r="E947" s="5">
        <v>1.59514343068164E-4</v>
      </c>
      <c r="F947" s="5">
        <v>1.58537738923356</v>
      </c>
    </row>
    <row r="948" ht="15.75" customHeight="1">
      <c r="A948" s="21"/>
      <c r="D948" s="21">
        <v>45125.0</v>
      </c>
      <c r="E948" s="5">
        <v>0.00838125704117811</v>
      </c>
      <c r="F948" s="5">
        <v>1.59866484464</v>
      </c>
    </row>
    <row r="949" ht="15.75" customHeight="1">
      <c r="A949" s="21"/>
      <c r="D949" s="21">
        <v>45126.0</v>
      </c>
      <c r="E949" s="5">
        <v>0.00418068452683104</v>
      </c>
      <c r="F949" s="5">
        <v>1.60534835801957</v>
      </c>
    </row>
    <row r="950" ht="15.75" customHeight="1">
      <c r="A950" s="21"/>
      <c r="D950" s="21">
        <v>45127.0</v>
      </c>
      <c r="E950" s="5">
        <v>0.002014806890883</v>
      </c>
      <c r="F950" s="5">
        <v>1.60858282495358</v>
      </c>
    </row>
    <row r="951" ht="15.75" customHeight="1">
      <c r="A951" s="21"/>
      <c r="D951" s="21">
        <v>45128.0</v>
      </c>
      <c r="E951" s="5">
        <v>0.00349717858133233</v>
      </c>
      <c r="F951" s="5">
        <v>1.61420832635531</v>
      </c>
    </row>
    <row r="952" ht="15.75" customHeight="1">
      <c r="A952" s="21"/>
      <c r="D952" s="21">
        <v>45131.0</v>
      </c>
      <c r="E952" s="5">
        <v>0.00193905691229115</v>
      </c>
      <c r="F952" s="5">
        <v>1.6173383681684</v>
      </c>
    </row>
    <row r="953" ht="15.75" customHeight="1">
      <c r="A953" s="21"/>
      <c r="D953" s="21">
        <v>45132.0</v>
      </c>
      <c r="E953" s="5">
        <v>-1.51712595415757E-4</v>
      </c>
      <c r="F953" s="5">
        <v>1.6170929975669</v>
      </c>
    </row>
    <row r="954" ht="15.75" customHeight="1">
      <c r="A954" s="21"/>
      <c r="D954" s="21">
        <v>45133.0</v>
      </c>
      <c r="E954" s="5">
        <v>-1.76439143589652E-4</v>
      </c>
      <c r="F954" s="5">
        <v>1.61680767906331</v>
      </c>
    </row>
    <row r="955" ht="15.75" customHeight="1">
      <c r="A955" s="21"/>
      <c r="D955" s="21">
        <v>45134.0</v>
      </c>
      <c r="E955" s="5">
        <v>-0.00382796179161306</v>
      </c>
      <c r="F955" s="5">
        <v>1.61061860104347</v>
      </c>
    </row>
    <row r="956" ht="15.75" customHeight="1">
      <c r="A956" s="21"/>
      <c r="D956" s="21">
        <v>45135.0</v>
      </c>
      <c r="E956" s="5">
        <v>-3.84349345451378E-4</v>
      </c>
      <c r="F956" s="5">
        <v>1.60999956083838</v>
      </c>
    </row>
    <row r="957" ht="15.75" customHeight="1">
      <c r="A957" s="21"/>
      <c r="D957" s="21">
        <v>45138.0</v>
      </c>
      <c r="E957" s="5">
        <v>0.00256209684933195</v>
      </c>
      <c r="F957" s="5">
        <v>1.61412453564063</v>
      </c>
    </row>
    <row r="958" ht="15.75" customHeight="1">
      <c r="A958" s="21"/>
      <c r="D958" s="21">
        <v>45139.0</v>
      </c>
      <c r="E958" s="5">
        <v>-0.00844583334312214</v>
      </c>
      <c r="F958" s="5">
        <v>1.60049190881757</v>
      </c>
    </row>
    <row r="959" ht="15.75" customHeight="1">
      <c r="A959" s="21"/>
      <c r="D959" s="21">
        <v>45140.0</v>
      </c>
      <c r="E959" s="5">
        <v>-0.0111918388316802</v>
      </c>
      <c r="F959" s="5">
        <v>1.58257946132267</v>
      </c>
    </row>
    <row r="960" ht="15.75" customHeight="1">
      <c r="A960" s="21"/>
      <c r="B960" s="7"/>
      <c r="D960" s="21">
        <v>45141.0</v>
      </c>
      <c r="E960" s="5">
        <v>-0.00526977163596651</v>
      </c>
      <c r="F960" s="5">
        <v>1.57423962896573</v>
      </c>
    </row>
    <row r="961" ht="15.75" customHeight="1">
      <c r="A961" s="21"/>
      <c r="D961" s="21">
        <v>45142.0</v>
      </c>
      <c r="E961" s="5">
        <v>-0.00112142844041914</v>
      </c>
      <c r="F961" s="5">
        <v>1.57247423187377</v>
      </c>
    </row>
    <row r="962" ht="15.75" customHeight="1">
      <c r="A962" s="21"/>
      <c r="D962" s="21">
        <v>45145.0</v>
      </c>
      <c r="E962" s="5">
        <v>0.00343818103066794</v>
      </c>
      <c r="F962" s="5">
        <v>1.57788068294902</v>
      </c>
    </row>
    <row r="963" ht="15.75" customHeight="1">
      <c r="A963" s="21"/>
      <c r="D963" s="21">
        <v>45146.0</v>
      </c>
      <c r="E963" s="5">
        <v>-0.00603135214831073</v>
      </c>
      <c r="F963" s="5">
        <v>1.56836392890213</v>
      </c>
    </row>
    <row r="964" ht="15.75" customHeight="1">
      <c r="A964" s="21"/>
      <c r="D964" s="21">
        <v>45147.0</v>
      </c>
      <c r="E964" s="5">
        <v>0.00188392330408703</v>
      </c>
      <c r="F964" s="5">
        <v>1.57131860625708</v>
      </c>
    </row>
    <row r="965" ht="15.75" customHeight="1">
      <c r="A965" s="21"/>
      <c r="D965" s="21">
        <v>45148.0</v>
      </c>
      <c r="E965" s="5">
        <v>7.90580167809748E-4</v>
      </c>
      <c r="F965" s="5">
        <v>1.5725608595845</v>
      </c>
    </row>
    <row r="966" ht="15.75" customHeight="1">
      <c r="A966" s="21"/>
      <c r="D966" s="21">
        <v>45149.0</v>
      </c>
      <c r="E966" s="5">
        <v>2.70384450927845E-4</v>
      </c>
      <c r="F966" s="5">
        <v>1.57298605558907</v>
      </c>
    </row>
    <row r="967" ht="15.75" customHeight="1">
      <c r="A967" s="21"/>
      <c r="D967" s="21">
        <v>45152.0</v>
      </c>
      <c r="E967" s="5">
        <v>1.04180346633124E-4</v>
      </c>
      <c r="F967" s="5">
        <v>1.57314992982159</v>
      </c>
    </row>
    <row r="968" ht="15.75" customHeight="1">
      <c r="A968" s="21"/>
      <c r="D968" s="21">
        <v>45153.0</v>
      </c>
      <c r="E968" s="5">
        <v>-0.00693390032838525</v>
      </c>
      <c r="F968" s="5">
        <v>1.5622418650066</v>
      </c>
    </row>
    <row r="969" ht="15.75" customHeight="1">
      <c r="A969" s="21"/>
      <c r="D969" s="21">
        <v>45154.0</v>
      </c>
      <c r="E969" s="5">
        <v>-0.00141883308163173</v>
      </c>
      <c r="F969" s="5">
        <v>1.56002530456702</v>
      </c>
    </row>
    <row r="970" ht="15.75" customHeight="1">
      <c r="A970" s="21"/>
      <c r="D970" s="21">
        <v>45155.0</v>
      </c>
      <c r="E970" s="5">
        <v>-0.00355342718531211</v>
      </c>
      <c r="F970" s="5">
        <v>1.55448186824</v>
      </c>
    </row>
    <row r="971" ht="15.75" customHeight="1">
      <c r="A971" s="21"/>
      <c r="D971" s="21">
        <v>45156.0</v>
      </c>
      <c r="E971" s="5">
        <v>-0.00371936944959346</v>
      </c>
      <c r="F971" s="5">
        <v>1.54870017586932</v>
      </c>
    </row>
    <row r="972" ht="15.75" customHeight="1">
      <c r="A972" s="21"/>
      <c r="D972" s="21">
        <v>45159.0</v>
      </c>
      <c r="E972" s="5">
        <v>-0.00493563158136493</v>
      </c>
      <c r="F972" s="5">
        <v>1.54105636237123</v>
      </c>
    </row>
    <row r="973" ht="15.75" customHeight="1">
      <c r="A973" s="21"/>
      <c r="D973" s="21">
        <v>45160.0</v>
      </c>
      <c r="E973" s="5">
        <v>-0.00355888884762582</v>
      </c>
      <c r="F973" s="5">
        <v>1.53557191406963</v>
      </c>
    </row>
    <row r="974" ht="15.75" customHeight="1">
      <c r="A974" s="21"/>
      <c r="D974" s="21">
        <v>45161.0</v>
      </c>
      <c r="E974" s="5">
        <v>0.00334134410366775</v>
      </c>
      <c r="F974" s="5">
        <v>1.54070278823046</v>
      </c>
    </row>
    <row r="975" ht="15.75" customHeight="1">
      <c r="A975" s="21"/>
      <c r="D975" s="21">
        <v>45162.0</v>
      </c>
      <c r="E975" s="5">
        <v>2.69574636402085E-4</v>
      </c>
      <c r="F975" s="5">
        <v>1.5411181226244</v>
      </c>
    </row>
    <row r="976" ht="15.75" customHeight="1">
      <c r="A976" s="21"/>
      <c r="D976" s="21">
        <v>45163.0</v>
      </c>
      <c r="E976" s="5">
        <v>3.4500031920897E-4</v>
      </c>
      <c r="F976" s="5">
        <v>1.54164980886864</v>
      </c>
    </row>
    <row r="977" ht="15.75" customHeight="1">
      <c r="A977" s="21"/>
      <c r="D977" s="21">
        <v>45166.0</v>
      </c>
      <c r="E977" s="5">
        <v>0.00569451490955836</v>
      </c>
      <c r="F977" s="5">
        <v>1.55042875669057</v>
      </c>
    </row>
    <row r="978" ht="15.75" customHeight="1">
      <c r="A978" s="21"/>
      <c r="D978" s="21">
        <v>45167.0</v>
      </c>
      <c r="E978" s="5">
        <v>0.0106631595797404</v>
      </c>
      <c r="F978" s="5">
        <v>1.56696122594018</v>
      </c>
    </row>
    <row r="979" ht="15.75" customHeight="1">
      <c r="A979" s="21"/>
      <c r="D979" s="21">
        <v>45168.0</v>
      </c>
      <c r="E979" s="5">
        <v>-8.81145925788998E-4</v>
      </c>
      <c r="F979" s="5">
        <v>1.56558050444007</v>
      </c>
    </row>
    <row r="980" ht="15.75" customHeight="1">
      <c r="A980" s="21"/>
      <c r="D980" s="21">
        <v>45169.0</v>
      </c>
      <c r="E980" s="5">
        <v>-0.00132425875345583</v>
      </c>
      <c r="F980" s="5">
        <v>1.56350727075282</v>
      </c>
    </row>
    <row r="981" ht="15.75" customHeight="1">
      <c r="A981" s="21"/>
      <c r="D981" s="21">
        <v>45170.0</v>
      </c>
      <c r="E981" s="5">
        <v>0.00335200481812093</v>
      </c>
      <c r="F981" s="5">
        <v>1.56874815465755</v>
      </c>
    </row>
    <row r="982" ht="15.75" customHeight="1">
      <c r="A982" s="21"/>
      <c r="D982" s="21">
        <v>45174.0</v>
      </c>
      <c r="E982" s="5">
        <v>-0.0029096017218887</v>
      </c>
      <c r="F982" s="5">
        <v>1.56418372232555</v>
      </c>
    </row>
    <row r="983" ht="15.75" customHeight="1">
      <c r="A983" s="21"/>
      <c r="D983" s="21">
        <v>45175.0</v>
      </c>
      <c r="E983" s="5">
        <v>-0.00311556667915683</v>
      </c>
      <c r="F983" s="5">
        <v>1.5593104036402</v>
      </c>
    </row>
    <row r="984" ht="15.75" customHeight="1">
      <c r="A984" s="21"/>
      <c r="D984" s="21">
        <v>45176.0</v>
      </c>
      <c r="E984" s="5">
        <v>-2.96008269638354E-4</v>
      </c>
      <c r="F984" s="5">
        <v>1.55884883486579</v>
      </c>
    </row>
    <row r="985" ht="15.75" customHeight="1">
      <c r="A985" s="21"/>
      <c r="D985" s="21">
        <v>45177.0</v>
      </c>
      <c r="E985" s="5">
        <v>0.00111273547809171</v>
      </c>
      <c r="F985" s="5">
        <v>1.56058342126932</v>
      </c>
    </row>
    <row r="986" ht="15.75" customHeight="1">
      <c r="A986" s="21"/>
      <c r="D986" s="21">
        <v>45180.0</v>
      </c>
      <c r="E986" s="5">
        <v>0.00590596976038218</v>
      </c>
      <c r="F986" s="5">
        <v>1.56980017976389</v>
      </c>
    </row>
    <row r="987" ht="15.75" customHeight="1">
      <c r="A987" s="21"/>
      <c r="D987" s="21">
        <v>45181.0</v>
      </c>
      <c r="E987" s="5">
        <v>0.00243737954148455</v>
      </c>
      <c r="F987" s="5">
        <v>1.57362637860627</v>
      </c>
    </row>
    <row r="988" ht="15.75" customHeight="1">
      <c r="A988" s="21"/>
      <c r="D988" s="21">
        <v>45182.0</v>
      </c>
      <c r="E988" s="5">
        <v>0.00113054153934992</v>
      </c>
      <c r="F988" s="5">
        <v>1.5754054285947</v>
      </c>
    </row>
    <row r="989" ht="15.75" customHeight="1">
      <c r="A989" s="21"/>
      <c r="D989" s="21">
        <v>45183.0</v>
      </c>
      <c r="E989" s="5">
        <v>0.00611042825044705</v>
      </c>
      <c r="F989" s="5">
        <v>1.58503183043149</v>
      </c>
    </row>
    <row r="990" ht="15.75" customHeight="1">
      <c r="A990" s="21"/>
      <c r="D990" s="21">
        <v>45184.0</v>
      </c>
      <c r="E990" s="5">
        <v>-4.6600718476497E-4</v>
      </c>
      <c r="F990" s="5">
        <v>1.58429319421043</v>
      </c>
    </row>
    <row r="991" ht="15.75" customHeight="1">
      <c r="A991" s="21"/>
      <c r="D991" s="21">
        <v>45187.0</v>
      </c>
      <c r="E991" s="5">
        <v>-0.00216688431183724</v>
      </c>
      <c r="F991" s="5">
        <v>1.58086021414255</v>
      </c>
    </row>
    <row r="992" ht="15.75" customHeight="1">
      <c r="A992" s="21"/>
      <c r="D992" s="21">
        <v>45188.0</v>
      </c>
      <c r="E992" s="5">
        <v>-0.00494826017004915</v>
      </c>
      <c r="F992" s="5">
        <v>1.57303770651049</v>
      </c>
    </row>
    <row r="993" ht="15.75" customHeight="1">
      <c r="A993" s="21"/>
      <c r="D993" s="21">
        <v>45189.0</v>
      </c>
      <c r="E993" s="5">
        <v>5.59147045609789E-4</v>
      </c>
      <c r="F993" s="5">
        <v>1.57391726589672</v>
      </c>
    </row>
    <row r="994" ht="15.75" customHeight="1">
      <c r="A994" s="21"/>
      <c r="D994" s="21">
        <v>45190.0</v>
      </c>
      <c r="E994" s="5">
        <v>-0.0100081069179283</v>
      </c>
      <c r="F994" s="5">
        <v>1.55816533361965</v>
      </c>
    </row>
    <row r="995" ht="15.75" customHeight="1">
      <c r="A995" s="21"/>
      <c r="D995" s="21">
        <v>45191.0</v>
      </c>
      <c r="E995" s="5">
        <v>-3.87603584420293E-4</v>
      </c>
      <c r="F995" s="5">
        <v>1.55756138315122</v>
      </c>
    </row>
    <row r="996" ht="15.75" customHeight="1">
      <c r="A996" s="21"/>
      <c r="D996" s="21">
        <v>45194.0</v>
      </c>
      <c r="E996" s="5">
        <v>0.00112693859518024</v>
      </c>
      <c r="F996" s="5">
        <v>1.55931665918825</v>
      </c>
    </row>
    <row r="997" ht="15.75" customHeight="1">
      <c r="A997" s="21"/>
      <c r="D997" s="21">
        <v>45195.0</v>
      </c>
      <c r="E997" s="5">
        <v>-0.00865453863652394</v>
      </c>
      <c r="F997" s="5">
        <v>1.54582149291473</v>
      </c>
    </row>
    <row r="998" ht="15.75" customHeight="1">
      <c r="A998" s="21"/>
      <c r="B998" s="7"/>
      <c r="D998" s="21">
        <v>45196.0</v>
      </c>
      <c r="E998" s="5">
        <v>-0.00479807830257033</v>
      </c>
      <c r="F998" s="5">
        <v>1.53840452034993</v>
      </c>
    </row>
    <row r="999" ht="15.75" customHeight="1">
      <c r="A999" s="21"/>
      <c r="D999" s="21">
        <v>45197.0</v>
      </c>
      <c r="E999" s="5">
        <v>9.4144350556746E-4</v>
      </c>
      <c r="F999" s="5">
        <v>1.53985284129455</v>
      </c>
    </row>
    <row r="1000" ht="15.75" customHeight="1">
      <c r="A1000" s="21"/>
      <c r="D1000" s="21">
        <v>45198.0</v>
      </c>
      <c r="E1000" s="5">
        <v>-0.00689327909026626</v>
      </c>
      <c r="F1000" s="5">
        <v>1.52923820590157</v>
      </c>
    </row>
    <row r="1001" ht="15.75" customHeight="1">
      <c r="A1001" s="21"/>
      <c r="D1001" s="21">
        <v>45201.0</v>
      </c>
      <c r="E1001" s="5">
        <v>-0.0122379754203187</v>
      </c>
      <c r="F1001" s="5">
        <v>1.51052342632593</v>
      </c>
    </row>
    <row r="1002" ht="15.75" customHeight="1">
      <c r="A1002" s="21"/>
      <c r="D1002" s="21">
        <v>45202.0</v>
      </c>
      <c r="E1002" s="5">
        <v>-0.00778167619427766</v>
      </c>
      <c r="F1002" s="5">
        <v>1.49876902213839</v>
      </c>
    </row>
    <row r="1003" ht="15.75" customHeight="1">
      <c r="A1003" s="21"/>
      <c r="D1003" s="21">
        <v>45203.0</v>
      </c>
      <c r="E1003" s="7">
        <v>9.1108690029524E-5</v>
      </c>
      <c r="F1003" s="5">
        <v>1.49890557302066</v>
      </c>
    </row>
    <row r="1004" ht="15.75" customHeight="1">
      <c r="A1004" s="21"/>
      <c r="D1004" s="21">
        <v>45204.0</v>
      </c>
      <c r="E1004" s="5">
        <v>0.00273027899512716</v>
      </c>
      <c r="F1004" s="5">
        <v>1.50299800342236</v>
      </c>
    </row>
    <row r="1005" ht="15.75" customHeight="1">
      <c r="A1005" s="21"/>
      <c r="D1005" s="21">
        <v>45205.0</v>
      </c>
      <c r="E1005" s="5">
        <v>0.00418043189783513</v>
      </c>
      <c r="F1005" s="5">
        <v>1.50928118421824</v>
      </c>
    </row>
    <row r="1006" ht="15.75" customHeight="1">
      <c r="A1006" s="21"/>
      <c r="D1006" s="21">
        <v>45208.0</v>
      </c>
      <c r="E1006" s="5">
        <v>0.00456159404447311</v>
      </c>
      <c r="F1006" s="5">
        <v>1.51616591227961</v>
      </c>
    </row>
    <row r="1007" ht="15.75" customHeight="1">
      <c r="A1007" s="21"/>
      <c r="D1007" s="21">
        <v>45209.0</v>
      </c>
      <c r="E1007" s="5">
        <v>0.00419192300896945</v>
      </c>
      <c r="F1007" s="5">
        <v>1.52252156305271</v>
      </c>
    </row>
    <row r="1008" ht="15.75" customHeight="1">
      <c r="A1008" s="21"/>
      <c r="D1008" s="21">
        <v>45210.0</v>
      </c>
      <c r="E1008" s="5">
        <v>0.00748478420465803</v>
      </c>
      <c r="F1008" s="5">
        <v>1.5339173083991</v>
      </c>
    </row>
    <row r="1009" ht="15.75" customHeight="1">
      <c r="A1009" s="21"/>
      <c r="D1009" s="21">
        <v>45211.0</v>
      </c>
      <c r="E1009" s="5">
        <v>-0.00804571023829724</v>
      </c>
      <c r="F1009" s="5">
        <v>1.52157585420621</v>
      </c>
    </row>
    <row r="1010" ht="15.75" customHeight="1">
      <c r="A1010" s="21"/>
      <c r="D1010" s="21">
        <v>45212.0</v>
      </c>
      <c r="E1010" s="5">
        <v>0.00356591183104375</v>
      </c>
      <c r="F1010" s="5">
        <v>1.52700165954655</v>
      </c>
    </row>
    <row r="1011" ht="15.75" customHeight="1">
      <c r="A1011" s="21"/>
      <c r="D1011" s="21">
        <v>45215.0</v>
      </c>
      <c r="E1011" s="5">
        <v>0.00565634528258106</v>
      </c>
      <c r="F1011" s="5">
        <v>1.53563890818002</v>
      </c>
    </row>
    <row r="1012" ht="15.75" customHeight="1">
      <c r="A1012" s="21"/>
      <c r="D1012" s="21">
        <v>45216.0</v>
      </c>
      <c r="E1012" s="5">
        <v>-0.00165289702193893</v>
      </c>
      <c r="F1012" s="5">
        <v>1.53310065520192</v>
      </c>
    </row>
    <row r="1013" ht="15.75" customHeight="1">
      <c r="A1013" s="21"/>
      <c r="D1013" s="21">
        <v>45217.0</v>
      </c>
      <c r="E1013" s="5">
        <v>-0.00387542322241694</v>
      </c>
      <c r="F1013" s="5">
        <v>1.52715924132045</v>
      </c>
    </row>
    <row r="1014" ht="15.75" customHeight="1">
      <c r="A1014" s="21"/>
      <c r="D1014" s="21">
        <v>45218.0</v>
      </c>
      <c r="E1014" s="5">
        <v>-0.00486024358231552</v>
      </c>
      <c r="F1014" s="5">
        <v>1.51973687541865</v>
      </c>
    </row>
    <row r="1015" ht="15.75" customHeight="1">
      <c r="A1015" s="21"/>
      <c r="D1015" s="21">
        <v>45219.0</v>
      </c>
      <c r="E1015" s="5">
        <v>-0.00623491177503626</v>
      </c>
      <c r="F1015" s="5">
        <v>1.51026145007914</v>
      </c>
    </row>
    <row r="1016" ht="15.75" customHeight="1">
      <c r="A1016" s="21"/>
      <c r="D1016" s="21">
        <v>45222.0</v>
      </c>
      <c r="E1016" s="5">
        <v>-0.00255021940764764</v>
      </c>
      <c r="F1016" s="5">
        <v>1.50640995201853</v>
      </c>
    </row>
    <row r="1017" ht="15.75" customHeight="1">
      <c r="A1017" s="21"/>
      <c r="D1017" s="21">
        <v>45223.0</v>
      </c>
      <c r="E1017" s="5">
        <v>0.00204589039692443</v>
      </c>
      <c r="F1017" s="5">
        <v>1.50949190167319</v>
      </c>
    </row>
    <row r="1018" ht="15.75" customHeight="1">
      <c r="A1018" s="21"/>
      <c r="D1018" s="21">
        <v>45224.0</v>
      </c>
      <c r="E1018" s="5">
        <v>-0.00262036363357414</v>
      </c>
      <c r="F1018" s="5">
        <v>1.50553648398887</v>
      </c>
    </row>
    <row r="1019" ht="15.75" customHeight="1">
      <c r="A1019" s="21"/>
      <c r="D1019" s="21">
        <v>45225.0</v>
      </c>
      <c r="E1019" s="5">
        <v>0.00448831290685519</v>
      </c>
      <c r="F1019" s="5">
        <v>1.5122938028217</v>
      </c>
    </row>
    <row r="1020" ht="15.75" customHeight="1">
      <c r="A1020" s="21"/>
      <c r="D1020" s="21">
        <v>45226.0</v>
      </c>
      <c r="E1020" s="5">
        <v>-0.00591343687382056</v>
      </c>
      <c r="F1020" s="5">
        <v>1.50335094888405</v>
      </c>
    </row>
    <row r="1021" ht="15.75" customHeight="1">
      <c r="A1021" s="21"/>
      <c r="D1021" s="21">
        <v>45229.0</v>
      </c>
      <c r="E1021" s="5">
        <v>0.00741247143753888</v>
      </c>
      <c r="F1021" s="5">
        <v>1.51449449485325</v>
      </c>
    </row>
    <row r="1022" ht="15.75" customHeight="1">
      <c r="A1022" s="21"/>
      <c r="D1022" s="21">
        <v>45230.0</v>
      </c>
      <c r="E1022" s="5">
        <v>0.00356259256537693</v>
      </c>
      <c r="F1022" s="5">
        <v>1.51989002168092</v>
      </c>
    </row>
    <row r="1023" ht="15.75" customHeight="1">
      <c r="A1023" s="21"/>
      <c r="D1023" s="21">
        <v>45231.0</v>
      </c>
      <c r="E1023" s="5">
        <v>0.00723451742484296</v>
      </c>
      <c r="F1023" s="5">
        <v>1.53088569252661</v>
      </c>
    </row>
    <row r="1024" ht="15.75" customHeight="1">
      <c r="A1024" s="21"/>
      <c r="D1024" s="21">
        <v>45232.0</v>
      </c>
      <c r="E1024" s="5">
        <v>0.0108046249987954</v>
      </c>
      <c r="F1024" s="5">
        <v>1.54742633835038</v>
      </c>
    </row>
    <row r="1025" ht="15.75" customHeight="1">
      <c r="A1025" s="21"/>
      <c r="D1025" s="21">
        <v>45233.0</v>
      </c>
      <c r="E1025" s="5">
        <v>0.00845868305526239</v>
      </c>
      <c r="F1025" s="5">
        <v>1.56051552729785</v>
      </c>
    </row>
    <row r="1026" ht="15.75" customHeight="1">
      <c r="A1026" s="21"/>
      <c r="D1026" s="21">
        <v>45236.0</v>
      </c>
      <c r="E1026" s="5">
        <v>-9.03413886529695E-4</v>
      </c>
      <c r="F1026" s="5">
        <v>1.55910573590035</v>
      </c>
    </row>
    <row r="1027" ht="15.75" customHeight="1">
      <c r="A1027" s="21"/>
      <c r="D1027" s="21">
        <v>45237.0</v>
      </c>
      <c r="E1027" s="5">
        <v>-0.00963017769352122</v>
      </c>
      <c r="F1027" s="5">
        <v>1.54409127062064</v>
      </c>
    </row>
    <row r="1028" ht="15.75" customHeight="1">
      <c r="A1028" s="21"/>
      <c r="D1028" s="21">
        <v>45238.0</v>
      </c>
      <c r="E1028" s="5">
        <v>-0.0041487779109671</v>
      </c>
      <c r="F1028" s="5">
        <v>1.53768517886457</v>
      </c>
    </row>
    <row r="1029" ht="15.75" customHeight="1">
      <c r="A1029" s="21"/>
      <c r="D1029" s="21">
        <v>45239.0</v>
      </c>
      <c r="E1029" s="5">
        <v>4.44061289918584E-4</v>
      </c>
      <c r="F1029" s="5">
        <v>1.53836800532859</v>
      </c>
    </row>
    <row r="1030" ht="15.75" customHeight="1">
      <c r="A1030" s="21"/>
      <c r="D1030" s="21">
        <v>45240.0</v>
      </c>
      <c r="E1030" s="5">
        <v>-0.00230594621600419</v>
      </c>
      <c r="F1030" s="5">
        <v>1.53482061144788</v>
      </c>
    </row>
    <row r="1031" ht="15.75" customHeight="1">
      <c r="A1031" s="21"/>
      <c r="D1031" s="21">
        <v>45243.0</v>
      </c>
      <c r="E1031" s="5">
        <v>-0.00209984561669494</v>
      </c>
      <c r="F1031" s="5">
        <v>1.53159772511452</v>
      </c>
    </row>
    <row r="1032" ht="15.75" customHeight="1">
      <c r="A1032" s="21"/>
      <c r="B1032" s="7"/>
      <c r="D1032" s="21">
        <v>45244.0</v>
      </c>
      <c r="E1032" s="5">
        <v>0.0138271321706761</v>
      </c>
      <c r="F1032" s="5">
        <v>1.55277532929198</v>
      </c>
    </row>
    <row r="1033" ht="15.75" customHeight="1">
      <c r="A1033" s="21"/>
      <c r="D1033" s="21">
        <v>45245.0</v>
      </c>
      <c r="E1033" s="5">
        <v>0.00283650161715126</v>
      </c>
      <c r="F1033" s="5">
        <v>1.55717977902459</v>
      </c>
    </row>
    <row r="1034" ht="15.75" customHeight="1">
      <c r="A1034" s="21"/>
      <c r="D1034" s="21">
        <v>45246.0</v>
      </c>
      <c r="E1034" s="5">
        <v>-0.00341202944155928</v>
      </c>
      <c r="F1034" s="5">
        <v>1.55186663577276</v>
      </c>
    </row>
    <row r="1035" ht="15.75" customHeight="1">
      <c r="A1035" s="21"/>
      <c r="D1035" s="21">
        <v>45247.0</v>
      </c>
      <c r="E1035" s="5">
        <v>7.04936007295824E-4</v>
      </c>
      <c r="F1035" s="5">
        <v>1.55296060244283</v>
      </c>
    </row>
    <row r="1036" ht="15.75" customHeight="1">
      <c r="A1036" s="21"/>
      <c r="D1036" s="21">
        <v>45250.0</v>
      </c>
      <c r="E1036" s="5">
        <v>0.00270924251210904</v>
      </c>
      <c r="F1036" s="5">
        <v>1.5571679493266</v>
      </c>
    </row>
    <row r="1037" ht="15.75" customHeight="1">
      <c r="A1037" s="21"/>
      <c r="D1037" s="21">
        <v>45251.0</v>
      </c>
      <c r="E1037" s="5">
        <v>0.00481738843846182</v>
      </c>
      <c r="F1037" s="5">
        <v>1.56466943220243</v>
      </c>
    </row>
    <row r="1038" ht="15.75" customHeight="1">
      <c r="A1038" s="21"/>
      <c r="D1038" s="21">
        <v>45252.0</v>
      </c>
      <c r="E1038" s="5">
        <v>0.00281207946821762</v>
      </c>
      <c r="F1038" s="5">
        <v>1.56906940698728</v>
      </c>
    </row>
    <row r="1039" ht="15.75" customHeight="1">
      <c r="A1039" s="21"/>
      <c r="D1039" s="21">
        <v>45254.0</v>
      </c>
      <c r="E1039" s="5">
        <v>0.00462380187196154</v>
      </c>
      <c r="F1039" s="5">
        <v>1.57632447304854</v>
      </c>
    </row>
    <row r="1040" ht="15.75" customHeight="1">
      <c r="A1040" s="21"/>
      <c r="D1040" s="21">
        <v>45257.0</v>
      </c>
      <c r="E1040" s="5">
        <v>9.61932782943783E-4</v>
      </c>
      <c r="F1040" s="5">
        <v>1.57784079123572</v>
      </c>
    </row>
    <row r="1041" ht="15.75" customHeight="1">
      <c r="A1041" s="21"/>
      <c r="D1041" s="21">
        <v>45258.0</v>
      </c>
      <c r="E1041" s="5">
        <v>0.00551722759346571</v>
      </c>
      <c r="F1041" s="5">
        <v>1.58654609798723</v>
      </c>
    </row>
    <row r="1042" ht="15.75" customHeight="1">
      <c r="A1042" s="21"/>
      <c r="D1042" s="21">
        <v>45259.0</v>
      </c>
      <c r="E1042" s="5">
        <v>-0.00194376363858754</v>
      </c>
      <c r="F1042" s="5">
        <v>1.58346222737102</v>
      </c>
    </row>
    <row r="1043" ht="15.75" customHeight="1">
      <c r="A1043" s="21"/>
      <c r="D1043" s="21">
        <v>45260.0</v>
      </c>
      <c r="E1043" s="5">
        <v>0.00424975920250047</v>
      </c>
      <c r="F1043" s="5">
        <v>1.5901915605436</v>
      </c>
    </row>
    <row r="1044" ht="15.75" customHeight="1">
      <c r="A1044" s="21"/>
      <c r="D1044" s="21">
        <v>45261.0</v>
      </c>
      <c r="E1044" s="5">
        <v>0.0106854780765735</v>
      </c>
      <c r="F1044" s="5">
        <v>1.60718351760134</v>
      </c>
    </row>
    <row r="1045" ht="15.75" customHeight="1">
      <c r="A1045" s="21"/>
      <c r="D1045" s="21">
        <v>45264.0</v>
      </c>
      <c r="E1045" s="5">
        <v>-0.00106980164805532</v>
      </c>
      <c r="F1045" s="5">
        <v>1.60546415002548</v>
      </c>
    </row>
    <row r="1046" ht="15.75" customHeight="1">
      <c r="A1046" s="21"/>
      <c r="D1046" s="21">
        <v>45265.0</v>
      </c>
      <c r="E1046" s="5">
        <v>-0.00746033919487264</v>
      </c>
      <c r="F1046" s="5">
        <v>1.59348684290108</v>
      </c>
    </row>
    <row r="1047" ht="15.75" customHeight="1">
      <c r="A1047" s="21"/>
      <c r="D1047" s="21">
        <v>45266.0</v>
      </c>
      <c r="E1047" s="5">
        <v>-0.00266665171068854</v>
      </c>
      <c r="F1047" s="5">
        <v>1.5892375684855</v>
      </c>
    </row>
    <row r="1048" ht="15.75" customHeight="1">
      <c r="A1048" s="21"/>
      <c r="D1048" s="21">
        <v>45267.0</v>
      </c>
      <c r="E1048" s="5">
        <v>-0.00475256355336858</v>
      </c>
      <c r="F1048" s="5">
        <v>1.58168461593987</v>
      </c>
    </row>
    <row r="1049" ht="15.75" customHeight="1">
      <c r="A1049" s="21"/>
      <c r="D1049" s="21">
        <v>45268.0</v>
      </c>
      <c r="E1049" s="5">
        <v>-0.00223196940376155</v>
      </c>
      <c r="F1049" s="5">
        <v>1.57815434427069</v>
      </c>
    </row>
    <row r="1050" ht="15.75" customHeight="1">
      <c r="A1050" s="21"/>
      <c r="D1050" s="21">
        <v>45271.0</v>
      </c>
      <c r="E1050" s="5">
        <v>0.00456056204818652</v>
      </c>
      <c r="F1050" s="5">
        <v>1.58535161507936</v>
      </c>
    </row>
    <row r="1051" ht="15.75" customHeight="1">
      <c r="A1051" s="21"/>
      <c r="D1051" s="21">
        <v>45272.0</v>
      </c>
      <c r="E1051" s="5">
        <v>0.00107340538985501</v>
      </c>
      <c r="F1051" s="5">
        <v>1.5870533400478</v>
      </c>
    </row>
    <row r="1052" ht="15.75" customHeight="1">
      <c r="A1052" s="21"/>
      <c r="D1052" s="21">
        <v>45273.0</v>
      </c>
      <c r="E1052" s="5">
        <v>0.012172104749462</v>
      </c>
      <c r="F1052" s="5">
        <v>1.60637111954584</v>
      </c>
    </row>
    <row r="1053" ht="15.75" customHeight="1">
      <c r="A1053" s="21"/>
      <c r="D1053" s="21">
        <v>45274.0</v>
      </c>
      <c r="E1053" s="5">
        <v>0.00328166217507838</v>
      </c>
      <c r="F1053" s="5">
        <v>1.61164268688799</v>
      </c>
    </row>
    <row r="1054" ht="15.75" customHeight="1">
      <c r="A1054" s="21"/>
      <c r="D1054" s="21">
        <v>45275.0</v>
      </c>
      <c r="E1054" s="5">
        <v>-4.72345495532889E-4</v>
      </c>
      <c r="F1054" s="5">
        <v>1.61088143472443</v>
      </c>
    </row>
    <row r="1055" ht="15.75" customHeight="1">
      <c r="A1055" s="21"/>
      <c r="D1055" s="21">
        <v>45278.0</v>
      </c>
      <c r="E1055" s="5">
        <v>0.00434790063948782</v>
      </c>
      <c r="F1055" s="5">
        <v>1.61788538714461</v>
      </c>
    </row>
    <row r="1056" ht="15.75" customHeight="1">
      <c r="A1056" s="21"/>
      <c r="D1056" s="21">
        <v>45279.0</v>
      </c>
      <c r="E1056" s="5">
        <v>0.0084038572999091</v>
      </c>
      <c r="F1056" s="5">
        <v>1.63148186506578</v>
      </c>
    </row>
    <row r="1057" ht="15.75" customHeight="1">
      <c r="A1057" s="21"/>
      <c r="D1057" s="21">
        <v>45280.0</v>
      </c>
      <c r="E1057" s="5">
        <v>-0.00384692714600775</v>
      </c>
      <c r="F1057" s="5">
        <v>1.62520567319084</v>
      </c>
    </row>
    <row r="1058" ht="15.75" customHeight="1">
      <c r="A1058" s="21"/>
      <c r="D1058" s="21">
        <v>45281.0</v>
      </c>
      <c r="E1058" s="5">
        <v>0.00791112531923009</v>
      </c>
      <c r="F1058" s="5">
        <v>1.63806287894098</v>
      </c>
    </row>
    <row r="1059" ht="15.75" customHeight="1">
      <c r="A1059" s="21"/>
      <c r="D1059" s="21">
        <v>45282.0</v>
      </c>
      <c r="E1059" s="5">
        <v>0.00369303957787207</v>
      </c>
      <c r="F1059" s="5">
        <v>1.64411230998395</v>
      </c>
    </row>
    <row r="1060" ht="15.75" customHeight="1">
      <c r="A1060" s="21"/>
      <c r="D1060" s="21">
        <v>45286.0</v>
      </c>
      <c r="E1060" s="5">
        <v>7.67616032173706E-4</v>
      </c>
      <c r="F1060" s="5">
        <v>1.64537435695179</v>
      </c>
    </row>
    <row r="1061" ht="15.75" customHeight="1">
      <c r="A1061" s="21"/>
      <c r="D1061" s="21">
        <v>45287.0</v>
      </c>
      <c r="E1061" s="5">
        <v>-1.93684986720541E-4</v>
      </c>
      <c r="F1061" s="5">
        <v>1.64505567264131</v>
      </c>
    </row>
    <row r="1062" ht="15.75" customHeight="1">
      <c r="A1062" s="21"/>
      <c r="D1062" s="21">
        <v>45288.0</v>
      </c>
      <c r="E1062" s="5">
        <v>-0.00374374443691453</v>
      </c>
      <c r="F1062" s="5">
        <v>1.63889700461845</v>
      </c>
    </row>
    <row r="1063" ht="15.75" customHeight="1">
      <c r="A1063" s="21"/>
      <c r="D1063" s="21">
        <v>45289.0</v>
      </c>
      <c r="E1063" s="5">
        <v>-2.39607749751652E-4</v>
      </c>
      <c r="F1063" s="5">
        <v>1.6385043121951</v>
      </c>
    </row>
    <row r="1064" ht="15.75" customHeight="1">
      <c r="A1064" s="21"/>
      <c r="D1064" s="21">
        <v>45293.0</v>
      </c>
      <c r="E1064" s="5">
        <v>-0.00144099281497553</v>
      </c>
      <c r="F1064" s="5">
        <v>1.63614323925392</v>
      </c>
    </row>
    <row r="1065" ht="15.75" customHeight="1">
      <c r="A1065" s="21"/>
      <c r="D1065" s="21">
        <v>45294.0</v>
      </c>
      <c r="E1065" s="5">
        <v>-3.8638293003012E-4</v>
      </c>
      <c r="F1065" s="5">
        <v>1.63551106143518</v>
      </c>
    </row>
    <row r="1066" ht="15.75" customHeight="1">
      <c r="A1066" s="21"/>
      <c r="D1066" s="21">
        <v>45295.0</v>
      </c>
      <c r="E1066" s="5">
        <v>0.0041999610988903</v>
      </c>
      <c r="F1066" s="5">
        <v>1.64238014427002</v>
      </c>
    </row>
    <row r="1067" ht="15.75" customHeight="1">
      <c r="A1067" s="21"/>
      <c r="D1067" s="21">
        <v>45296.0</v>
      </c>
      <c r="E1067" s="7">
        <v>4.04958501809771E-5</v>
      </c>
      <c r="F1067" s="5">
        <v>1.64244665385028</v>
      </c>
    </row>
    <row r="1068" ht="15.75" customHeight="1">
      <c r="A1068" s="21"/>
      <c r="D1068" s="21">
        <v>45299.0</v>
      </c>
      <c r="E1068" s="5">
        <v>0.00446556907670171</v>
      </c>
      <c r="F1068" s="5">
        <v>1.64978111283785</v>
      </c>
    </row>
    <row r="1069" ht="15.75" customHeight="1">
      <c r="A1069" s="21"/>
      <c r="D1069" s="21">
        <v>45300.0</v>
      </c>
      <c r="E1069" s="5">
        <v>-0.00588525190294017</v>
      </c>
      <c r="F1069" s="5">
        <v>1.64007173540408</v>
      </c>
    </row>
    <row r="1070" ht="15.75" customHeight="1">
      <c r="A1070" s="21"/>
      <c r="D1070" s="21">
        <v>45301.0</v>
      </c>
      <c r="E1070" s="5">
        <v>-0.00136835008493134</v>
      </c>
      <c r="F1070" s="5">
        <v>1.63782754310565</v>
      </c>
    </row>
    <row r="1071" ht="15.75" customHeight="1">
      <c r="A1071" s="21"/>
      <c r="D1071" s="21">
        <v>45302.0</v>
      </c>
      <c r="E1071" s="5">
        <v>-0.00280999884828368</v>
      </c>
      <c r="F1071" s="5">
        <v>1.63322524959583</v>
      </c>
    </row>
    <row r="1072" ht="15.75" customHeight="1">
      <c r="A1072" s="21"/>
      <c r="D1072" s="21">
        <v>45303.0</v>
      </c>
      <c r="E1072" s="5">
        <v>0.00309179317697338</v>
      </c>
      <c r="F1072" s="5">
        <v>1.63827484427899</v>
      </c>
    </row>
    <row r="1073" ht="15.75" customHeight="1">
      <c r="A1073" s="21"/>
      <c r="D1073" s="21">
        <v>45307.0</v>
      </c>
      <c r="E1073" s="5">
        <v>-0.00384760633064753</v>
      </c>
      <c r="F1073" s="5">
        <v>1.63197140761681</v>
      </c>
    </row>
    <row r="1074" ht="15.75" customHeight="1">
      <c r="A1074" s="21"/>
      <c r="D1074" s="21">
        <v>45308.0</v>
      </c>
      <c r="E1074" s="5">
        <v>-0.00877692873036643</v>
      </c>
      <c r="F1074" s="5">
        <v>1.61764771088216</v>
      </c>
    </row>
    <row r="1075" ht="15.75" customHeight="1">
      <c r="A1075" s="21"/>
      <c r="D1075" s="21">
        <v>45309.0</v>
      </c>
      <c r="E1075" s="5">
        <v>2.97158320017929E-4</v>
      </c>
      <c r="F1075" s="5">
        <v>1.6181284083583</v>
      </c>
    </row>
    <row r="1076" ht="15.75" customHeight="1">
      <c r="A1076" s="21"/>
      <c r="D1076" s="21">
        <v>45310.0</v>
      </c>
      <c r="E1076" s="5">
        <v>8.13870081244964E-4</v>
      </c>
      <c r="F1076" s="5">
        <v>1.61944535465748</v>
      </c>
    </row>
    <row r="1077" ht="15.75" customHeight="1">
      <c r="A1077" s="21"/>
      <c r="D1077" s="21">
        <v>45313.0</v>
      </c>
      <c r="E1077" s="5">
        <v>0.00425636813805881</v>
      </c>
      <c r="F1077" s="5">
        <v>1.62633831026637</v>
      </c>
    </row>
    <row r="1078" ht="15.75" customHeight="1">
      <c r="A1078" s="21"/>
      <c r="D1078" s="21">
        <v>45314.0</v>
      </c>
      <c r="E1078" s="5">
        <v>0.00908954622021392</v>
      </c>
      <c r="F1078" s="5">
        <v>1.64112098750724</v>
      </c>
    </row>
    <row r="1079" ht="15.75" customHeight="1">
      <c r="A1079" s="21"/>
      <c r="D1079" s="21">
        <v>45315.0</v>
      </c>
      <c r="E1079" s="5">
        <v>-0.00311500934746866</v>
      </c>
      <c r="F1079" s="5">
        <v>1.63600888029083</v>
      </c>
    </row>
    <row r="1080" ht="15.75" customHeight="1">
      <c r="A1080" s="21"/>
      <c r="D1080" s="21">
        <v>45316.0</v>
      </c>
      <c r="E1080" s="5">
        <v>0.00367835472064423</v>
      </c>
      <c r="F1080" s="5">
        <v>1.64202670127866</v>
      </c>
    </row>
    <row r="1081" ht="15.75" customHeight="1">
      <c r="A1081" s="21"/>
      <c r="D1081" s="21">
        <v>45317.0</v>
      </c>
      <c r="E1081" s="5">
        <v>0.00559662951420496</v>
      </c>
      <c r="F1081" s="5">
        <v>1.65121651637815</v>
      </c>
    </row>
    <row r="1082" ht="15.75" customHeight="1">
      <c r="A1082" s="21"/>
      <c r="D1082" s="21">
        <v>45320.0</v>
      </c>
      <c r="E1082" s="5">
        <v>0.00877613118347789</v>
      </c>
      <c r="F1082" s="5">
        <v>1.66570780913821</v>
      </c>
    </row>
    <row r="1083" ht="15.75" customHeight="1">
      <c r="A1083" s="21"/>
      <c r="D1083" s="21">
        <v>45321.0</v>
      </c>
      <c r="E1083" s="5">
        <v>0.00163339736317008</v>
      </c>
      <c r="F1083" s="5">
        <v>1.66842857188147</v>
      </c>
    </row>
    <row r="1084" ht="15.75" customHeight="1">
      <c r="A1084" s="21"/>
      <c r="D1084" s="21">
        <v>45322.0</v>
      </c>
      <c r="E1084" s="5">
        <v>-0.00441955291465769</v>
      </c>
      <c r="F1084" s="5">
        <v>1.66105486352371</v>
      </c>
    </row>
    <row r="1085" ht="15.75" customHeight="1">
      <c r="A1085" s="21"/>
      <c r="D1085" s="21">
        <v>45323.0</v>
      </c>
      <c r="E1085" s="5">
        <v>0.0041602164455302</v>
      </c>
      <c r="F1085" s="5">
        <v>1.66796521128387</v>
      </c>
    </row>
    <row r="1086" ht="15.75" customHeight="1">
      <c r="A1086" s="21"/>
      <c r="D1086" s="21">
        <v>45324.0</v>
      </c>
      <c r="E1086" s="5">
        <v>-0.00626109543058722</v>
      </c>
      <c r="F1086" s="5">
        <v>1.65752192192112</v>
      </c>
    </row>
    <row r="1087" ht="15.75" customHeight="1">
      <c r="A1087" s="21"/>
      <c r="D1087" s="21">
        <v>45327.0</v>
      </c>
      <c r="E1087" s="5">
        <v>-0.00359164152981079</v>
      </c>
      <c r="F1087" s="5">
        <v>1.65156869734978</v>
      </c>
    </row>
    <row r="1088" ht="15.75" customHeight="1">
      <c r="A1088" s="21"/>
      <c r="D1088" s="21">
        <v>45328.0</v>
      </c>
      <c r="E1088" s="5">
        <v>0.00210021093762727</v>
      </c>
      <c r="F1088" s="5">
        <v>1.6550373399922</v>
      </c>
    </row>
    <row r="1089" ht="15.75" customHeight="1">
      <c r="A1089" s="21"/>
      <c r="D1089" s="21">
        <v>45329.0</v>
      </c>
      <c r="E1089" s="5">
        <v>-6.61058104457936E-4</v>
      </c>
      <c r="F1089" s="5">
        <v>1.65394326414542</v>
      </c>
    </row>
    <row r="1090" ht="15.75" customHeight="1">
      <c r="A1090" s="21"/>
      <c r="D1090" s="21">
        <v>45330.0</v>
      </c>
      <c r="E1090" s="7">
        <v>1.15951511498206E-6</v>
      </c>
      <c r="F1090" s="5">
        <v>1.65394518191763</v>
      </c>
    </row>
    <row r="1091" ht="15.75" customHeight="1">
      <c r="A1091" s="21"/>
      <c r="D1091" s="21">
        <v>45331.0</v>
      </c>
      <c r="E1091" s="5">
        <v>-0.00236027934587955</v>
      </c>
      <c r="F1091" s="5">
        <v>1.65004140926553</v>
      </c>
    </row>
    <row r="1092" ht="15.75" customHeight="1">
      <c r="A1092" s="21"/>
      <c r="D1092" s="21">
        <v>45334.0</v>
      </c>
      <c r="E1092" s="5">
        <v>0.0044910313270328</v>
      </c>
      <c r="F1092" s="5">
        <v>1.65745179692545</v>
      </c>
    </row>
    <row r="1093" ht="15.75" customHeight="1">
      <c r="A1093" s="21"/>
      <c r="D1093" s="21">
        <v>45335.0</v>
      </c>
      <c r="E1093" s="5">
        <v>-0.00933422930843286</v>
      </c>
      <c r="F1093" s="5">
        <v>1.64198076178527</v>
      </c>
    </row>
    <row r="1094" ht="15.75" customHeight="1">
      <c r="A1094" s="21"/>
      <c r="D1094" s="21">
        <v>45336.0</v>
      </c>
      <c r="E1094" s="5">
        <v>0.00636550352593507</v>
      </c>
      <c r="F1094" s="5">
        <v>1.65243279611393</v>
      </c>
    </row>
    <row r="1095" ht="15.75" customHeight="1">
      <c r="A1095" s="21"/>
      <c r="D1095" s="21">
        <v>45337.0</v>
      </c>
      <c r="E1095" s="5">
        <v>0.0110823201093753</v>
      </c>
      <c r="F1095" s="5">
        <v>1.6707455853197</v>
      </c>
    </row>
    <row r="1096" ht="15.75" customHeight="1">
      <c r="A1096" s="21"/>
      <c r="D1096" s="21">
        <v>45338.0</v>
      </c>
      <c r="E1096" s="5">
        <v>0.00257141278499301</v>
      </c>
      <c r="F1096" s="5">
        <v>1.67504176187826</v>
      </c>
    </row>
    <row r="1097" ht="15.75" customHeight="1">
      <c r="A1097" s="21"/>
      <c r="D1097" s="21">
        <v>45342.0</v>
      </c>
      <c r="E1097" s="5">
        <v>0.00294746824285049</v>
      </c>
      <c r="F1097" s="5">
        <v>1.67997889427684</v>
      </c>
    </row>
    <row r="1098" ht="15.75" customHeight="1">
      <c r="A1098" s="21"/>
      <c r="D1098" s="21">
        <v>45343.0</v>
      </c>
      <c r="E1098" s="5">
        <v>8.67659801927062E-4</v>
      </c>
      <c r="F1098" s="5">
        <v>1.68143654443149</v>
      </c>
    </row>
    <row r="1099" ht="15.75" customHeight="1">
      <c r="A1099" s="21"/>
      <c r="D1099" s="21">
        <v>45344.0</v>
      </c>
      <c r="E1099" s="5">
        <v>-1.61821920365537E-4</v>
      </c>
      <c r="F1099" s="5">
        <v>1.6811644511409</v>
      </c>
    </row>
    <row r="1100" ht="15.75" customHeight="1">
      <c r="A1100" s="21"/>
      <c r="D1100" s="21">
        <v>45345.0</v>
      </c>
      <c r="E1100" s="5">
        <v>0.00289955204446728</v>
      </c>
      <c r="F1100" s="5">
        <v>1.68603907496229</v>
      </c>
    </row>
    <row r="1101" ht="15.75" customHeight="1">
      <c r="A1101" s="21"/>
      <c r="D1101" s="21">
        <v>45348.0</v>
      </c>
      <c r="E1101" s="5">
        <v>-0.0102620994979737</v>
      </c>
      <c r="F1101" s="5">
        <v>1.66873677421756</v>
      </c>
    </row>
    <row r="1102" ht="15.75" customHeight="1">
      <c r="A1102" s="21"/>
      <c r="D1102" s="21">
        <v>45349.0</v>
      </c>
      <c r="E1102" s="5">
        <v>0.00302222295491493</v>
      </c>
      <c r="F1102" s="5">
        <v>1.67378006880231</v>
      </c>
    </row>
    <row r="1103" ht="15.75" customHeight="1">
      <c r="A1103" s="21"/>
      <c r="D1103" s="21">
        <v>45350.0</v>
      </c>
      <c r="E1103" s="5">
        <v>-0.00215747876227454</v>
      </c>
      <c r="F1103" s="5">
        <v>1.67016892385115</v>
      </c>
    </row>
    <row r="1104" ht="15.75" customHeight="1">
      <c r="A1104" s="21"/>
      <c r="B1104" s="7"/>
      <c r="D1104" s="21">
        <v>45351.0</v>
      </c>
      <c r="E1104" s="5">
        <v>0.00210044640896479</v>
      </c>
      <c r="F1104" s="5">
        <v>1.67367702416961</v>
      </c>
    </row>
    <row r="1105" ht="15.75" customHeight="1">
      <c r="A1105" s="21"/>
      <c r="D1105" s="21">
        <v>45352.0</v>
      </c>
      <c r="E1105" s="5">
        <v>0.00179916000027967</v>
      </c>
      <c r="F1105" s="5">
        <v>1.67668823692489</v>
      </c>
    </row>
    <row r="1106" ht="15.75" customHeight="1">
      <c r="A1106" s="21"/>
      <c r="D1106" s="21">
        <v>45355.0</v>
      </c>
      <c r="E1106" s="5">
        <v>0.00196172465960092</v>
      </c>
      <c r="F1106" s="5">
        <v>1.67997743758573</v>
      </c>
    </row>
    <row r="1107" ht="15.75" customHeight="1">
      <c r="A1107" s="21"/>
      <c r="D1107" s="21">
        <v>45356.0</v>
      </c>
      <c r="E1107" s="5">
        <v>-0.0015460904739289</v>
      </c>
      <c r="F1107" s="5">
        <v>1.67738004047306</v>
      </c>
    </row>
    <row r="1108" ht="15.75" customHeight="1">
      <c r="A1108" s="21"/>
      <c r="D1108" s="21">
        <v>45357.0</v>
      </c>
      <c r="E1108" s="5">
        <v>0.00401662312043522</v>
      </c>
      <c r="F1108" s="5">
        <v>1.68411744392538</v>
      </c>
    </row>
    <row r="1109" ht="15.75" customHeight="1">
      <c r="A1109" s="21"/>
      <c r="D1109" s="21">
        <v>45358.0</v>
      </c>
      <c r="E1109" s="5">
        <v>0.00629948592786731</v>
      </c>
      <c r="F1109" s="5">
        <v>1.69472651806426</v>
      </c>
    </row>
    <row r="1110" ht="15.75" customHeight="1">
      <c r="A1110" s="21"/>
      <c r="D1110" s="21">
        <v>45359.0</v>
      </c>
      <c r="E1110" s="5">
        <v>-8.64811005215792E-4</v>
      </c>
      <c r="F1110" s="5">
        <v>1.69326089992061</v>
      </c>
    </row>
    <row r="1111" ht="15.75" customHeight="1">
      <c r="A1111" s="21"/>
      <c r="D1111" s="21">
        <v>45362.0</v>
      </c>
      <c r="E1111" s="5">
        <v>7.67791810694555E-4</v>
      </c>
      <c r="F1111" s="5">
        <v>1.69456097177294</v>
      </c>
    </row>
    <row r="1112" ht="15.75" customHeight="1">
      <c r="A1112" s="21"/>
      <c r="D1112" s="21">
        <v>45363.0</v>
      </c>
      <c r="E1112" s="5">
        <v>-0.00363628403455899</v>
      </c>
      <c r="F1112" s="5">
        <v>1.68839906676569</v>
      </c>
    </row>
    <row r="1113" ht="15.75" customHeight="1">
      <c r="A1113" s="21"/>
      <c r="D1113" s="21">
        <v>45364.0</v>
      </c>
      <c r="E1113" s="5">
        <v>0.00537293195119069</v>
      </c>
      <c r="F1113" s="5">
        <v>1.69747072005788</v>
      </c>
    </row>
    <row r="1114" ht="15.75" customHeight="1">
      <c r="A1114" s="21"/>
      <c r="D1114" s="21">
        <v>45365.0</v>
      </c>
      <c r="E1114" s="5">
        <v>-0.0055582732992297</v>
      </c>
      <c r="F1114" s="5">
        <v>1.68803571387836</v>
      </c>
    </row>
    <row r="1115" ht="15.75" customHeight="1">
      <c r="A1115" s="21"/>
      <c r="D1115" s="21">
        <v>45366.0</v>
      </c>
      <c r="E1115" s="5">
        <v>0.00508537192602837</v>
      </c>
      <c r="F1115" s="5">
        <v>1.69662000330785</v>
      </c>
    </row>
    <row r="1116" ht="15.75" customHeight="1">
      <c r="A1116" s="21"/>
      <c r="D1116" s="21">
        <v>45369.0</v>
      </c>
      <c r="E1116" s="5">
        <v>0.00130540368120865</v>
      </c>
      <c r="F1116" s="5">
        <v>1.69883477730578</v>
      </c>
    </row>
    <row r="1117" ht="15.75" customHeight="1">
      <c r="A1117" s="21"/>
      <c r="B1117" s="7"/>
      <c r="D1117" s="21">
        <v>45370.0</v>
      </c>
      <c r="E1117" s="5">
        <v>-0.00210386526183635</v>
      </c>
      <c r="F1117" s="5">
        <v>1.69526065783221</v>
      </c>
    </row>
    <row r="1118" ht="15.75" customHeight="1">
      <c r="A1118" s="21"/>
      <c r="D1118" s="21">
        <v>45371.0</v>
      </c>
      <c r="E1118" s="5">
        <v>0.00804432072521891</v>
      </c>
      <c r="F1118" s="5">
        <v>1.70889787827665</v>
      </c>
    </row>
    <row r="1119" ht="15.75" customHeight="1">
      <c r="A1119" s="21"/>
      <c r="D1119" s="21">
        <v>45372.0</v>
      </c>
      <c r="E1119" s="5">
        <v>-1.70406160014115E-4</v>
      </c>
      <c r="F1119" s="5">
        <v>1.70860667155136</v>
      </c>
    </row>
    <row r="1120" ht="15.75" customHeight="1">
      <c r="A1120" s="21"/>
      <c r="D1120" s="21">
        <v>45373.0</v>
      </c>
      <c r="E1120" s="5">
        <v>-0.00547752809674976</v>
      </c>
      <c r="F1120" s="5">
        <v>1.69924773050164</v>
      </c>
    </row>
    <row r="1121" ht="15.75" customHeight="1">
      <c r="A1121" s="21"/>
      <c r="D1121" s="21">
        <v>45376.0</v>
      </c>
      <c r="E1121" s="5">
        <v>-0.00310887274628115</v>
      </c>
      <c r="F1121" s="5">
        <v>1.69396498554311</v>
      </c>
    </row>
    <row r="1122" ht="15.75" customHeight="1">
      <c r="A1122" s="21"/>
      <c r="D1122" s="21">
        <v>45377.0</v>
      </c>
      <c r="E1122" s="5">
        <v>0.00144899098325443</v>
      </c>
      <c r="F1122" s="5">
        <v>1.69641952553311</v>
      </c>
    </row>
    <row r="1123" ht="15.75" customHeight="1">
      <c r="A1123" s="21"/>
      <c r="D1123" s="21">
        <v>45378.0</v>
      </c>
      <c r="E1123" s="5">
        <v>0.00969271588966928</v>
      </c>
      <c r="F1123" s="5">
        <v>1.71286243802379</v>
      </c>
    </row>
    <row r="1124" ht="15.75" customHeight="1">
      <c r="A1124" s="21"/>
      <c r="D1124" s="21">
        <v>45379.0</v>
      </c>
      <c r="E1124" s="5">
        <v>0.00297216424497884</v>
      </c>
      <c r="F1124" s="5">
        <v>1.71795334651865</v>
      </c>
    </row>
    <row r="1125" ht="15.75" customHeight="1">
      <c r="A1125" s="21"/>
      <c r="D1125" s="21">
        <v>45383.0</v>
      </c>
      <c r="E1125" s="5">
        <v>0.00120686349338309</v>
      </c>
      <c r="F1125" s="5">
        <v>1.7200266816959</v>
      </c>
    </row>
    <row r="1126" ht="15.75" customHeight="1">
      <c r="A1126" s="21"/>
      <c r="D1126" s="21">
        <v>45384.0</v>
      </c>
      <c r="E1126" s="5">
        <v>-7.34367314068872E-4</v>
      </c>
      <c r="F1126" s="5">
        <v>1.71876355032153</v>
      </c>
    </row>
    <row r="1127" ht="15.75" customHeight="1">
      <c r="A1127" s="21"/>
      <c r="D1127" s="21">
        <v>45385.0</v>
      </c>
      <c r="E1127" s="5">
        <v>-5.39210956713524E-4</v>
      </c>
      <c r="F1127" s="5">
        <v>1.7178367741832</v>
      </c>
    </row>
    <row r="1128" ht="15.75" customHeight="1">
      <c r="A1128" s="21"/>
      <c r="D1128" s="21">
        <v>45386.0</v>
      </c>
      <c r="E1128" s="5">
        <v>-0.00226131911516477</v>
      </c>
      <c r="F1128" s="5">
        <v>1.71395219704901</v>
      </c>
    </row>
    <row r="1129" ht="15.75" customHeight="1">
      <c r="A1129" s="21"/>
      <c r="D1129" s="21">
        <v>45387.0</v>
      </c>
      <c r="E1129" s="5">
        <v>0.0042458776499583</v>
      </c>
      <c r="F1129" s="5">
        <v>1.72122942837555</v>
      </c>
    </row>
    <row r="1130" ht="15.75" customHeight="1">
      <c r="A1130" s="21"/>
      <c r="D1130" s="21">
        <v>45390.0</v>
      </c>
      <c r="E1130" s="5">
        <v>6.94529942160806E-4</v>
      </c>
      <c r="F1130" s="5">
        <v>1.72242487375089</v>
      </c>
    </row>
    <row r="1131" ht="15.75" customHeight="1">
      <c r="A1131" s="21"/>
      <c r="D1131" s="21">
        <v>45391.0</v>
      </c>
      <c r="E1131" s="5">
        <v>0.00386028898170997</v>
      </c>
      <c r="F1131" s="5">
        <v>1.72907393151285</v>
      </c>
    </row>
    <row r="1132" ht="15.75" customHeight="1">
      <c r="A1132" s="21"/>
      <c r="D1132" s="21">
        <v>45392.0</v>
      </c>
      <c r="E1132" s="5">
        <v>-0.00554424031046888</v>
      </c>
      <c r="F1132" s="5">
        <v>1.71948753012198</v>
      </c>
    </row>
    <row r="1133" ht="15.75" customHeight="1">
      <c r="A1133" s="21"/>
      <c r="D1133" s="21">
        <v>45393.0</v>
      </c>
      <c r="E1133" s="5">
        <v>6.53256317450029E-4</v>
      </c>
      <c r="F1133" s="5">
        <v>1.72061079621381</v>
      </c>
    </row>
    <row r="1134" ht="15.75" customHeight="1">
      <c r="A1134" s="21"/>
      <c r="D1134" s="21">
        <v>45394.0</v>
      </c>
      <c r="E1134" s="5">
        <v>-0.00670130098511226</v>
      </c>
      <c r="F1134" s="5">
        <v>1.70908046539015</v>
      </c>
    </row>
    <row r="1135" ht="15.75" customHeight="1">
      <c r="A1135" s="21"/>
      <c r="D1135" s="21">
        <v>45397.0</v>
      </c>
      <c r="E1135" s="5">
        <v>-0.00384651897644175</v>
      </c>
      <c r="F1135" s="5">
        <v>1.70250645494776</v>
      </c>
    </row>
    <row r="1136" ht="15.75" customHeight="1">
      <c r="A1136" s="21"/>
      <c r="D1136" s="21">
        <v>45398.0</v>
      </c>
      <c r="E1136" s="5">
        <v>-0.00267599362870338</v>
      </c>
      <c r="F1136" s="5">
        <v>1.69795055852149</v>
      </c>
    </row>
    <row r="1137" ht="15.75" customHeight="1">
      <c r="A1137" s="21"/>
      <c r="D1137" s="21">
        <v>45399.0</v>
      </c>
      <c r="E1137" s="5">
        <v>0.00567767747435222</v>
      </c>
      <c r="F1137" s="5">
        <v>1.70759097416017</v>
      </c>
    </row>
    <row r="1138" ht="15.75" customHeight="1">
      <c r="A1138" s="21"/>
      <c r="D1138" s="21">
        <v>45400.0</v>
      </c>
      <c r="E1138" s="5">
        <v>0.00129698577566712</v>
      </c>
      <c r="F1138" s="5">
        <v>1.70980569536431</v>
      </c>
    </row>
    <row r="1139" ht="15.75" customHeight="1">
      <c r="A1139" s="21"/>
      <c r="D1139" s="21">
        <v>45401.0</v>
      </c>
      <c r="E1139" s="5">
        <v>0.00196002378595017</v>
      </c>
      <c r="F1139" s="5">
        <v>1.71315695519658</v>
      </c>
    </row>
    <row r="1140" ht="15.75" customHeight="1">
      <c r="A1140" s="21"/>
      <c r="D1140" s="21">
        <v>45404.0</v>
      </c>
      <c r="E1140" s="5">
        <v>0.00154006745864596</v>
      </c>
      <c r="F1140" s="5">
        <v>1.71579533247483</v>
      </c>
    </row>
    <row r="1141" ht="15.75" customHeight="1">
      <c r="A1141" s="21"/>
      <c r="D1141" s="21">
        <v>45405.0</v>
      </c>
      <c r="E1141" s="5">
        <v>-0.00210665558929151</v>
      </c>
      <c r="F1141" s="5">
        <v>1.71218074264759</v>
      </c>
    </row>
    <row r="1142" ht="15.75" customHeight="1">
      <c r="A1142" s="21"/>
      <c r="D1142" s="21">
        <v>45406.0</v>
      </c>
      <c r="E1142" s="5">
        <v>-5.65289445426937E-4</v>
      </c>
      <c r="F1142" s="5">
        <v>1.71121286494511</v>
      </c>
    </row>
    <row r="1143" ht="15.75" customHeight="1">
      <c r="A1143" s="21"/>
      <c r="D1143" s="21">
        <v>45407.0</v>
      </c>
      <c r="E1143" s="5">
        <v>0.00641616155614682</v>
      </c>
      <c r="F1143" s="5">
        <v>1.72219228314356</v>
      </c>
    </row>
    <row r="1144" ht="15.75" customHeight="1">
      <c r="A1144" s="21"/>
      <c r="D1144" s="21">
        <v>45408.0</v>
      </c>
      <c r="E1144" s="5">
        <v>8.92159758443084E-4</v>
      </c>
      <c r="F1144" s="5">
        <v>1.72372875379488</v>
      </c>
    </row>
    <row r="1145" ht="15.75" customHeight="1">
      <c r="A1145" s="21"/>
      <c r="D1145" s="21">
        <v>45411.0</v>
      </c>
      <c r="E1145" s="5">
        <v>0.00209227440573492</v>
      </c>
      <c r="F1145" s="5">
        <v>1.72733526734887</v>
      </c>
    </row>
    <row r="1146" ht="15.75" customHeight="1">
      <c r="A1146" s="21"/>
      <c r="D1146" s="21">
        <v>45412.0</v>
      </c>
      <c r="E1146" s="5">
        <v>-0.00687377111947739</v>
      </c>
      <c r="F1146" s="5">
        <v>1.71546196007452</v>
      </c>
    </row>
    <row r="1147" ht="15.75" customHeight="1">
      <c r="A1147" s="21"/>
      <c r="D1147" s="21">
        <v>45413.0</v>
      </c>
      <c r="E1147" s="5">
        <v>0.0044421957293761</v>
      </c>
      <c r="F1147" s="5">
        <v>1.72308237786747</v>
      </c>
    </row>
    <row r="1148" ht="15.75" customHeight="1">
      <c r="A1148" s="21"/>
      <c r="D1148" s="21">
        <v>45414.0</v>
      </c>
      <c r="E1148" s="5">
        <v>0.00402317305358921</v>
      </c>
      <c r="F1148" s="5">
        <v>1.73001463645922</v>
      </c>
    </row>
    <row r="1149" ht="15.75" customHeight="1">
      <c r="A1149" s="21"/>
      <c r="D1149" s="21">
        <v>45415.0</v>
      </c>
      <c r="E1149" s="7">
        <v>5.19986737980432E-5</v>
      </c>
      <c r="F1149" s="5">
        <v>1.73010459492596</v>
      </c>
    </row>
    <row r="1150" ht="15.75" customHeight="1">
      <c r="A1150" s="21"/>
      <c r="D1150" s="21">
        <v>45418.0</v>
      </c>
      <c r="E1150" s="5">
        <v>0.0059732641732645</v>
      </c>
      <c r="F1150" s="5">
        <v>1.74043896671884</v>
      </c>
    </row>
    <row r="1151" ht="15.75" customHeight="1">
      <c r="A1151" s="21"/>
      <c r="B1151" s="7"/>
      <c r="D1151" s="21">
        <v>45419.0</v>
      </c>
      <c r="E1151" s="5">
        <v>0.00100061429344619</v>
      </c>
      <c r="F1151" s="5">
        <v>1.74218047482581</v>
      </c>
    </row>
    <row r="1152" ht="15.75" customHeight="1">
      <c r="A1152" s="21"/>
      <c r="D1152" s="21">
        <v>45420.0</v>
      </c>
      <c r="E1152" s="5">
        <v>0.00127978691294587</v>
      </c>
      <c r="F1152" s="5">
        <v>1.74441009459748</v>
      </c>
    </row>
    <row r="1153" ht="15.75" customHeight="1">
      <c r="A1153" s="21"/>
      <c r="D1153" s="21">
        <v>45421.0</v>
      </c>
      <c r="E1153" s="5">
        <v>0.00814792571812914</v>
      </c>
      <c r="F1153" s="5">
        <v>1.75862341847021</v>
      </c>
    </row>
    <row r="1154" ht="15.75" customHeight="1">
      <c r="A1154" s="21"/>
      <c r="D1154" s="21">
        <v>45422.0</v>
      </c>
      <c r="E1154" s="5">
        <v>7.10849012810047E-4</v>
      </c>
      <c r="F1154" s="5">
        <v>1.75987353419114</v>
      </c>
    </row>
    <row r="1155" ht="15.75" customHeight="1">
      <c r="A1155" s="21"/>
      <c r="D1155" s="21">
        <v>45425.0</v>
      </c>
      <c r="E1155" s="7">
        <v>-3.14171269757842E-5</v>
      </c>
      <c r="F1155" s="5">
        <v>1.75981824402085</v>
      </c>
    </row>
    <row r="1156" ht="15.75" customHeight="1">
      <c r="A1156" s="21"/>
      <c r="D1156" s="21">
        <v>45426.0</v>
      </c>
      <c r="E1156" s="5">
        <v>0.00233442522935527</v>
      </c>
      <c r="F1156" s="5">
        <v>1.76392640812877</v>
      </c>
    </row>
    <row r="1157" ht="15.75" customHeight="1">
      <c r="A1157" s="21"/>
      <c r="D1157" s="21">
        <v>45427.0</v>
      </c>
      <c r="E1157" s="5">
        <v>0.00611741163811424</v>
      </c>
      <c r="F1157" s="5">
        <v>1.77471707206664</v>
      </c>
    </row>
    <row r="1158" ht="15.75" customHeight="1">
      <c r="A1158" s="21"/>
      <c r="D1158" s="21">
        <v>45428.0</v>
      </c>
      <c r="E1158" s="5">
        <v>-8.94423005597408E-4</v>
      </c>
      <c r="F1158" s="5">
        <v>1.77312972428895</v>
      </c>
    </row>
    <row r="1159" ht="15.75" customHeight="1">
      <c r="A1159" s="21"/>
      <c r="D1159" s="21">
        <v>45429.0</v>
      </c>
      <c r="E1159" s="5">
        <v>0.00341496801583999</v>
      </c>
      <c r="F1159" s="5">
        <v>1.77918490558534</v>
      </c>
    </row>
    <row r="1160" ht="15.75" customHeight="1">
      <c r="A1160" s="21"/>
      <c r="D1160" s="21">
        <v>45432.0</v>
      </c>
      <c r="E1160" s="5">
        <v>-1.93224328730425E-4</v>
      </c>
      <c r="F1160" s="5">
        <v>1.77884112377627</v>
      </c>
    </row>
    <row r="1161" ht="15.75" customHeight="1">
      <c r="A1161" s="21"/>
      <c r="D1161" s="21">
        <v>45433.0</v>
      </c>
      <c r="E1161" s="5">
        <v>0.00108857603605058</v>
      </c>
      <c r="F1161" s="5">
        <v>1.78077752759555</v>
      </c>
    </row>
    <row r="1162" ht="15.75" customHeight="1">
      <c r="A1162" s="21"/>
      <c r="D1162" s="21">
        <v>45434.0</v>
      </c>
      <c r="E1162" s="5">
        <v>-0.00448701332747456</v>
      </c>
      <c r="F1162" s="5">
        <v>1.77278715509596</v>
      </c>
    </row>
    <row r="1163" ht="15.75" customHeight="1">
      <c r="A1163" s="21"/>
      <c r="D1163" s="21">
        <v>45435.0</v>
      </c>
      <c r="E1163" s="5">
        <v>-0.00659245595381821</v>
      </c>
      <c r="F1163" s="5">
        <v>1.7611001338605</v>
      </c>
    </row>
    <row r="1164" ht="15.75" customHeight="1">
      <c r="A1164" s="21"/>
      <c r="D1164" s="21">
        <v>45436.0</v>
      </c>
      <c r="E1164" s="5">
        <v>0.00438647804875684</v>
      </c>
      <c r="F1164" s="5">
        <v>1.76882516093934</v>
      </c>
    </row>
    <row r="1165" ht="15.75" customHeight="1">
      <c r="A1165" s="21"/>
      <c r="D1165" s="21">
        <v>45440.0</v>
      </c>
      <c r="E1165" s="5">
        <v>-0.0065900709064619</v>
      </c>
      <c r="F1165" s="5">
        <v>1.75716847770762</v>
      </c>
    </row>
    <row r="1166" ht="15.75" customHeight="1">
      <c r="A1166" s="21"/>
      <c r="D1166" s="21">
        <v>45441.0</v>
      </c>
      <c r="E1166" s="5">
        <v>-0.00423322596083366</v>
      </c>
      <c r="F1166" s="5">
        <v>1.74972998649023</v>
      </c>
    </row>
    <row r="1167" ht="15.75" customHeight="1">
      <c r="A1167" s="21"/>
      <c r="D1167" s="21">
        <v>45442.0</v>
      </c>
      <c r="E1167" s="5">
        <v>0.00339521810221802</v>
      </c>
      <c r="F1167" s="5">
        <v>1.75567070141435</v>
      </c>
    </row>
    <row r="1168" ht="15.75" customHeight="1">
      <c r="A1168" s="21"/>
      <c r="B1168" s="7"/>
      <c r="D1168" s="21">
        <v>45443.0</v>
      </c>
      <c r="E1168" s="5">
        <v>0.00809044419765016</v>
      </c>
      <c r="F1168" s="5">
        <v>1.76987485725359</v>
      </c>
    </row>
    <row r="1169" ht="15.75" customHeight="1">
      <c r="A1169" s="21"/>
      <c r="D1169" s="21">
        <v>45446.0</v>
      </c>
      <c r="E1169" s="5">
        <v>-0.00154011930277727</v>
      </c>
      <c r="F1169" s="5">
        <v>1.76714903882244</v>
      </c>
    </row>
    <row r="1170" ht="15.75" customHeight="1">
      <c r="A1170" s="21"/>
      <c r="D1170" s="21">
        <v>45447.0</v>
      </c>
      <c r="E1170" s="5">
        <v>-0.00314224225874552</v>
      </c>
      <c r="F1170" s="5">
        <v>1.76159622843515</v>
      </c>
    </row>
    <row r="1171" ht="15.75" customHeight="1">
      <c r="A1171" s="21"/>
      <c r="D1171" s="21">
        <v>45448.0</v>
      </c>
      <c r="E1171" s="5">
        <v>0.00187568562408676</v>
      </c>
      <c r="F1171" s="5">
        <v>1.76490042915627</v>
      </c>
    </row>
    <row r="1172" ht="15.75" customHeight="1">
      <c r="A1172" s="21"/>
      <c r="D1172" s="21">
        <v>45449.0</v>
      </c>
      <c r="E1172" s="5">
        <v>6.76541337390471E-4</v>
      </c>
      <c r="F1172" s="5">
        <v>1.76609445725297</v>
      </c>
    </row>
    <row r="1173" ht="15.75" customHeight="1">
      <c r="A1173" s="21"/>
      <c r="D1173" s="21">
        <v>45450.0</v>
      </c>
      <c r="E1173" s="5">
        <v>-0.00910049800697604</v>
      </c>
      <c r="F1173" s="5">
        <v>1.75002211816461</v>
      </c>
    </row>
    <row r="1174" ht="15.75" customHeight="1">
      <c r="A1174" s="21"/>
      <c r="D1174" s="21">
        <v>45453.0</v>
      </c>
      <c r="E1174" s="5">
        <v>-5.98364148923378E-4</v>
      </c>
      <c r="F1174" s="5">
        <v>1.74897496766928</v>
      </c>
    </row>
    <row r="1175" ht="15.75" customHeight="1">
      <c r="A1175" s="21"/>
      <c r="D1175" s="21">
        <v>45454.0</v>
      </c>
      <c r="E1175" s="5">
        <v>-0.00719185080558626</v>
      </c>
      <c r="F1175" s="5">
        <v>1.73639660063909</v>
      </c>
    </row>
    <row r="1176" ht="15.75" customHeight="1">
      <c r="A1176" s="21"/>
      <c r="D1176" s="21">
        <v>45455.0</v>
      </c>
      <c r="E1176" s="5">
        <v>-9.95239723791017E-4</v>
      </c>
      <c r="F1176" s="5">
        <v>1.73466846976588</v>
      </c>
    </row>
    <row r="1177" ht="15.75" customHeight="1">
      <c r="A1177" s="21"/>
      <c r="D1177" s="21">
        <v>45456.0</v>
      </c>
      <c r="E1177" s="5">
        <v>-0.00423417141722688</v>
      </c>
      <c r="F1177" s="5">
        <v>1.72732358611283</v>
      </c>
    </row>
    <row r="1178" ht="15.75" customHeight="1">
      <c r="A1178" s="21"/>
      <c r="D1178" s="21">
        <v>45457.0</v>
      </c>
      <c r="E1178" s="5">
        <v>-0.00183399256790394</v>
      </c>
      <c r="F1178" s="5">
        <v>1.72415568749354</v>
      </c>
    </row>
    <row r="1179" ht="15.75" customHeight="1">
      <c r="A1179" s="21"/>
      <c r="D1179" s="21">
        <v>45460.0</v>
      </c>
      <c r="E1179" s="5">
        <v>3.50809404408557E-4</v>
      </c>
      <c r="F1179" s="5">
        <v>1.72476053752338</v>
      </c>
    </row>
    <row r="1180" ht="15.75" customHeight="1">
      <c r="A1180" s="21"/>
      <c r="D1180" s="21">
        <v>45461.0</v>
      </c>
      <c r="E1180" s="5">
        <v>0.00129298165481462</v>
      </c>
      <c r="F1180" s="5">
        <v>1.72699062125734</v>
      </c>
    </row>
    <row r="1181" ht="15.75" customHeight="1">
      <c r="A1181" s="21"/>
      <c r="D1181" s="21">
        <v>45463.0</v>
      </c>
      <c r="E1181" s="5">
        <v>0.00124365510860042</v>
      </c>
      <c r="F1181" s="5">
        <v>1.72913840196597</v>
      </c>
    </row>
    <row r="1182" ht="15.75" customHeight="1">
      <c r="A1182" s="21"/>
      <c r="D1182" s="21">
        <v>45464.0</v>
      </c>
      <c r="E1182" s="5">
        <v>0.0014220873257621</v>
      </c>
      <c r="F1182" s="5">
        <v>1.7315973877719</v>
      </c>
    </row>
    <row r="1183" ht="15.75" customHeight="1">
      <c r="A1183" s="21"/>
      <c r="D1183" s="21">
        <v>45467.0</v>
      </c>
      <c r="E1183" s="5">
        <v>0.00806180297536244</v>
      </c>
      <c r="F1183" s="5">
        <v>1.74555718474477</v>
      </c>
    </row>
    <row r="1184" ht="15.75" customHeight="1">
      <c r="A1184" s="21"/>
      <c r="D1184" s="21">
        <v>45468.0</v>
      </c>
      <c r="E1184" s="5">
        <v>-7.39087127766275E-4</v>
      </c>
      <c r="F1184" s="5">
        <v>1.74426706589874</v>
      </c>
    </row>
    <row r="1185" ht="15.75" customHeight="1">
      <c r="A1185" s="21"/>
      <c r="D1185" s="21">
        <v>45469.0</v>
      </c>
      <c r="E1185" s="5">
        <v>-0.00249384047191816</v>
      </c>
      <c r="F1185" s="5">
        <v>1.73991714209597</v>
      </c>
    </row>
    <row r="1186" ht="15.75" customHeight="1">
      <c r="A1186" s="21"/>
      <c r="D1186" s="21">
        <v>45470.0</v>
      </c>
      <c r="E1186" s="5">
        <v>-0.00960002779164787</v>
      </c>
      <c r="F1186" s="5">
        <v>1.72321388917668</v>
      </c>
    </row>
    <row r="1187" ht="15.75" customHeight="1">
      <c r="A1187" s="21"/>
      <c r="D1187" s="21">
        <v>45471.0</v>
      </c>
      <c r="E1187" s="5">
        <v>9.78907682465756E-4</v>
      </c>
      <c r="F1187" s="5">
        <v>1.72490075649133</v>
      </c>
    </row>
    <row r="1188" ht="15.75" customHeight="1">
      <c r="A1188" s="21"/>
      <c r="D1188" s="21">
        <v>45474.0</v>
      </c>
      <c r="E1188" s="5">
        <v>-0.00116252879991781</v>
      </c>
      <c r="F1188" s="5">
        <v>1.72289550968491</v>
      </c>
    </row>
    <row r="1189" ht="15.75" customHeight="1">
      <c r="A1189" s="21"/>
      <c r="D1189" s="21">
        <v>45475.0</v>
      </c>
      <c r="E1189" s="5">
        <v>0.00447937252098941</v>
      </c>
      <c r="F1189" s="5">
        <v>1.73061300048753</v>
      </c>
    </row>
    <row r="1190" ht="15.75" customHeight="1">
      <c r="A1190" s="21"/>
      <c r="D1190" s="21">
        <v>45476.0</v>
      </c>
      <c r="E1190" s="5">
        <v>0.00579216042229721</v>
      </c>
      <c r="F1190" s="5">
        <v>1.74063698861527</v>
      </c>
    </row>
    <row r="1191" ht="15.75" customHeight="1">
      <c r="A1191" s="21"/>
      <c r="D1191" s="21">
        <v>45478.0</v>
      </c>
      <c r="E1191" s="5">
        <v>0.00162552130419316</v>
      </c>
      <c r="F1191" s="5">
        <v>1.74346643112313</v>
      </c>
    </row>
    <row r="1192" ht="15.75" customHeight="1">
      <c r="A1192" s="21"/>
      <c r="D1192" s="21">
        <v>45481.0</v>
      </c>
      <c r="E1192" s="5">
        <v>0.00146168667456178</v>
      </c>
      <c r="F1192" s="5">
        <v>1.74601483277304</v>
      </c>
    </row>
    <row r="1193" ht="15.75" customHeight="1">
      <c r="A1193" s="21"/>
      <c r="D1193" s="21">
        <v>45482.0</v>
      </c>
      <c r="E1193" s="5">
        <v>0.001410668248529</v>
      </c>
      <c r="F1193" s="5">
        <v>1.7484778804591</v>
      </c>
    </row>
    <row r="1194" ht="15.75" customHeight="1">
      <c r="A1194" s="21"/>
      <c r="D1194" s="21">
        <v>45483.0</v>
      </c>
      <c r="E1194" s="5">
        <v>0.00497267927586978</v>
      </c>
      <c r="F1194" s="5">
        <v>1.75717250017957</v>
      </c>
    </row>
    <row r="1195" ht="15.75" customHeight="1">
      <c r="A1195" s="21"/>
      <c r="D1195" s="21">
        <v>45484.0</v>
      </c>
      <c r="E1195" s="5">
        <v>0.0018277003462361</v>
      </c>
      <c r="F1195" s="5">
        <v>1.76038408496655</v>
      </c>
    </row>
    <row r="1196" ht="15.75" customHeight="1">
      <c r="A1196" s="21"/>
      <c r="D1196" s="21">
        <v>45485.0</v>
      </c>
      <c r="E1196" s="5">
        <v>0.00216483657661509</v>
      </c>
      <c r="F1196" s="5">
        <v>1.76419502882258</v>
      </c>
    </row>
    <row r="1197" ht="15.75" customHeight="1">
      <c r="A1197" s="21"/>
      <c r="D1197" s="21">
        <v>45488.0</v>
      </c>
      <c r="E1197" s="5">
        <v>0.00188502735054787</v>
      </c>
      <c r="F1197" s="5">
        <v>1.76752058470361</v>
      </c>
    </row>
    <row r="1198" ht="15.75" customHeight="1">
      <c r="A1198" s="21"/>
      <c r="D1198" s="21">
        <v>45489.0</v>
      </c>
      <c r="E1198" s="5">
        <v>0.00848659160036483</v>
      </c>
      <c r="F1198" s="5">
        <v>1.78252081005122</v>
      </c>
    </row>
    <row r="1199" ht="15.75" customHeight="1">
      <c r="A1199" s="21"/>
      <c r="D1199" s="21">
        <v>45490.0</v>
      </c>
      <c r="E1199" s="5">
        <v>0.00329452924812308</v>
      </c>
      <c r="F1199" s="5">
        <v>1.78839337699533</v>
      </c>
    </row>
    <row r="1200" ht="15.75" customHeight="1">
      <c r="A1200" s="21"/>
      <c r="D1200" s="21">
        <v>45491.0</v>
      </c>
      <c r="E1200" s="5">
        <v>-0.00530952242690808</v>
      </c>
      <c r="F1200" s="5">
        <v>1.77889786225204</v>
      </c>
    </row>
    <row r="1201" ht="15.75" customHeight="1">
      <c r="A1201" s="21"/>
      <c r="D1201" s="21">
        <v>45492.0</v>
      </c>
      <c r="E1201" s="5">
        <v>-0.00187133836161421</v>
      </c>
      <c r="F1201" s="5">
        <v>1.77556894244101</v>
      </c>
    </row>
    <row r="1202" ht="15.75" customHeight="1">
      <c r="A1202" s="21"/>
      <c r="D1202" s="21">
        <v>45495.0</v>
      </c>
      <c r="E1202" s="5">
        <v>-0.00571430731976983</v>
      </c>
      <c r="F1202" s="5">
        <v>1.76542279583646</v>
      </c>
    </row>
    <row r="1203" ht="15.75" customHeight="1">
      <c r="A1203" s="21"/>
      <c r="D1203" s="21">
        <v>45496.0</v>
      </c>
      <c r="E1203" s="5">
        <v>-0.00244542638291698</v>
      </c>
      <c r="F1203" s="5">
        <v>1.76110558435452</v>
      </c>
    </row>
    <row r="1204" ht="15.75" customHeight="1">
      <c r="A1204" s="21"/>
      <c r="D1204" s="21">
        <v>45497.0</v>
      </c>
      <c r="E1204" s="5">
        <v>-0.00155059828660715</v>
      </c>
      <c r="F1204" s="5">
        <v>1.75837481705289</v>
      </c>
    </row>
    <row r="1205" ht="15.75" customHeight="1">
      <c r="A1205" s="21"/>
      <c r="D1205" s="21">
        <v>45498.0</v>
      </c>
      <c r="E1205" s="5">
        <v>-0.00468201859328541</v>
      </c>
      <c r="F1205" s="5">
        <v>1.75014207346548</v>
      </c>
    </row>
    <row r="1206" ht="15.75" customHeight="1">
      <c r="A1206" s="21"/>
      <c r="D1206" s="21">
        <v>45499.0</v>
      </c>
      <c r="E1206" s="5">
        <v>0.00207696721913976</v>
      </c>
      <c r="F1206" s="5">
        <v>1.75377706118091</v>
      </c>
    </row>
    <row r="1207" ht="15.75" customHeight="1">
      <c r="A1207" s="21"/>
      <c r="D1207" s="21">
        <v>45502.0</v>
      </c>
      <c r="E1207" s="5">
        <v>0.00175098707054451</v>
      </c>
      <c r="F1207" s="5">
        <v>1.75684790213965</v>
      </c>
    </row>
    <row r="1208" ht="15.75" customHeight="1">
      <c r="A1208" s="21"/>
      <c r="D1208" s="21">
        <v>45503.0</v>
      </c>
      <c r="E1208" s="5">
        <v>0.00562449481990153</v>
      </c>
      <c r="F1208" s="5">
        <v>1.76672928406459</v>
      </c>
    </row>
    <row r="1209" ht="15.75" customHeight="1">
      <c r="A1209" s="21"/>
      <c r="B1209" s="7"/>
      <c r="D1209" s="21">
        <v>45504.0</v>
      </c>
      <c r="E1209" s="5">
        <v>0.00484949672784109</v>
      </c>
      <c r="F1209" s="5">
        <v>1.77529703194664</v>
      </c>
    </row>
    <row r="1210" ht="15.75" customHeight="1">
      <c r="A1210" s="21"/>
      <c r="B1210" s="7"/>
      <c r="D1210" s="21">
        <v>45505.0</v>
      </c>
      <c r="E1210" s="5">
        <v>-0.00530298680049876</v>
      </c>
      <c r="F1210" s="5">
        <v>1.76588265521927</v>
      </c>
    </row>
    <row r="1211" ht="15.75" customHeight="1">
      <c r="A1211" s="21"/>
      <c r="D1211" s="21">
        <v>45506.0</v>
      </c>
      <c r="E1211" s="5">
        <v>-0.0033985815308659</v>
      </c>
      <c r="F1211" s="5">
        <v>1.75988115904156</v>
      </c>
    </row>
    <row r="1212" ht="15.75" customHeight="1">
      <c r="A1212" s="21"/>
      <c r="D1212" s="21">
        <v>45509.0</v>
      </c>
      <c r="E1212" s="5">
        <v>-0.00647622973034332</v>
      </c>
      <c r="F1212" s="5">
        <v>1.7484837643575</v>
      </c>
    </row>
    <row r="1213" ht="15.75" customHeight="1">
      <c r="A1213" s="21"/>
      <c r="D1213" s="21">
        <v>45510.0</v>
      </c>
      <c r="E1213" s="5">
        <v>0.00475986864104435</v>
      </c>
      <c r="F1213" s="5">
        <v>1.75680631739685</v>
      </c>
    </row>
    <row r="1214" ht="15.75" customHeight="1">
      <c r="A1214" s="21"/>
      <c r="D1214" s="21">
        <v>45511.0</v>
      </c>
      <c r="E1214" s="5">
        <v>-0.00707880995255018</v>
      </c>
      <c r="F1214" s="5">
        <v>1.74437021935255</v>
      </c>
    </row>
    <row r="1215" ht="15.75" customHeight="1">
      <c r="A1215" s="21"/>
      <c r="D1215" s="21">
        <v>45512.0</v>
      </c>
      <c r="E1215" s="5">
        <v>7.73494374463737E-4</v>
      </c>
      <c r="F1215" s="5">
        <v>1.7457194799042</v>
      </c>
    </row>
    <row r="1216" ht="15.75" customHeight="1">
      <c r="A1216" s="21"/>
      <c r="D1216" s="21">
        <v>45513.0</v>
      </c>
      <c r="E1216" s="5">
        <v>7.30089253868676E-4</v>
      </c>
      <c r="F1216" s="5">
        <v>1.74699401093675</v>
      </c>
    </row>
    <row r="1217" ht="15.75" customHeight="1">
      <c r="A1217" s="21"/>
      <c r="D1217" s="21">
        <v>45516.0</v>
      </c>
      <c r="E1217" s="5">
        <v>-0.00284756675296168</v>
      </c>
      <c r="F1217" s="5">
        <v>1.74201932887359</v>
      </c>
    </row>
    <row r="1218" ht="15.75" customHeight="1">
      <c r="A1218" s="21"/>
      <c r="D1218" s="21">
        <v>45517.0</v>
      </c>
      <c r="E1218" s="5">
        <v>0.00470675455107946</v>
      </c>
      <c r="F1218" s="5">
        <v>1.75021858627783</v>
      </c>
    </row>
    <row r="1219" ht="15.75" customHeight="1">
      <c r="A1219" s="21"/>
      <c r="D1219" s="21">
        <v>45518.0</v>
      </c>
      <c r="E1219" s="5">
        <v>0.00431874912575007</v>
      </c>
      <c r="F1219" s="5">
        <v>1.75777734126719</v>
      </c>
    </row>
    <row r="1220" ht="15.75" customHeight="1">
      <c r="A1220" s="21"/>
      <c r="D1220" s="21">
        <v>45519.0</v>
      </c>
      <c r="E1220" s="5">
        <v>0.00216254470851297</v>
      </c>
      <c r="F1220" s="5">
        <v>1.76157861335529</v>
      </c>
    </row>
    <row r="1221" ht="15.75" customHeight="1">
      <c r="A1221" s="21"/>
      <c r="B1221" s="7"/>
      <c r="D1221" s="21">
        <v>45520.0</v>
      </c>
      <c r="E1221" s="5">
        <v>0.00314433366364612</v>
      </c>
      <c r="F1221" s="5">
        <v>1.76711760429042</v>
      </c>
    </row>
    <row r="1222" ht="15.75" customHeight="1">
      <c r="A1222" s="21"/>
      <c r="D1222" s="21">
        <v>45523.0</v>
      </c>
      <c r="E1222" s="5">
        <v>0.00589811173984818</v>
      </c>
      <c r="F1222" s="5">
        <v>1.77754026137798</v>
      </c>
    </row>
    <row r="1223" ht="15.75" customHeight="1">
      <c r="A1223" s="21"/>
      <c r="D1223" s="21">
        <v>45524.0</v>
      </c>
      <c r="E1223" s="5">
        <v>0.00153050415364023</v>
      </c>
      <c r="F1223" s="5">
        <v>1.78026079413128</v>
      </c>
    </row>
    <row r="1224" ht="15.75" customHeight="1">
      <c r="A1224" s="21"/>
      <c r="D1224" s="21">
        <v>45525.0</v>
      </c>
      <c r="E1224" s="5">
        <v>0.00413303411091662</v>
      </c>
      <c r="F1224" s="5">
        <v>1.78761867271975</v>
      </c>
    </row>
    <row r="1225" ht="15.75" customHeight="1">
      <c r="A1225" s="21"/>
      <c r="D1225" s="21">
        <v>45526.0</v>
      </c>
      <c r="E1225" s="5">
        <v>-0.00406522755328496</v>
      </c>
      <c r="F1225" s="5">
        <v>1.78035159603665</v>
      </c>
    </row>
    <row r="1226" ht="15.75" customHeight="1">
      <c r="A1226" s="21"/>
      <c r="D1226" s="21">
        <v>45527.0</v>
      </c>
      <c r="E1226" s="5">
        <v>0.00639797213560229</v>
      </c>
      <c r="F1226" s="5">
        <v>1.79174223593966</v>
      </c>
    </row>
    <row r="1227" ht="15.75" customHeight="1">
      <c r="A1227" s="21"/>
      <c r="D1227" s="21">
        <v>45530.0</v>
      </c>
      <c r="E1227" s="5">
        <v>3.41977368917097E-4</v>
      </c>
      <c r="F1227" s="5">
        <v>1.79235497123529</v>
      </c>
    </row>
    <row r="1228" ht="15.75" customHeight="1">
      <c r="A1228" s="21"/>
      <c r="D1228" s="21">
        <v>45531.0</v>
      </c>
      <c r="E1228" s="5">
        <v>0.00335244975368127</v>
      </c>
      <c r="F1228" s="5">
        <v>1.79836375121712</v>
      </c>
    </row>
    <row r="1229" ht="15.75" customHeight="1">
      <c r="A1229" s="21"/>
      <c r="D1229" s="21">
        <v>45532.0</v>
      </c>
      <c r="E1229" s="5">
        <v>-0.00159096792860308</v>
      </c>
      <c r="F1229" s="5">
        <v>1.79550261216497</v>
      </c>
    </row>
    <row r="1230" ht="15.75" customHeight="1">
      <c r="A1230" s="21"/>
      <c r="B1230" s="7"/>
      <c r="D1230" s="21">
        <v>45533.0</v>
      </c>
      <c r="E1230" s="5">
        <v>-0.00270654890166383</v>
      </c>
      <c r="F1230" s="5">
        <v>1.79064299654208</v>
      </c>
    </row>
    <row r="1231" ht="15.75" customHeight="1">
      <c r="A1231" s="21"/>
      <c r="D1231" s="21">
        <v>45534.0</v>
      </c>
      <c r="E1231" s="5">
        <v>0.00404635231205165</v>
      </c>
      <c r="F1231" s="5">
        <v>1.79788856897119</v>
      </c>
    </row>
    <row r="1232" ht="15.75" customHeight="1">
      <c r="A1232" s="21"/>
      <c r="D1232" s="21">
        <v>45538.0</v>
      </c>
      <c r="E1232" s="5">
        <v>-0.00189786308080644</v>
      </c>
      <c r="F1232" s="5">
        <v>1.79447642263274</v>
      </c>
    </row>
    <row r="1233" ht="15.75" customHeight="1">
      <c r="A1233" s="21"/>
      <c r="D1233" s="21">
        <v>45539.0</v>
      </c>
      <c r="E1233" s="5">
        <v>-0.00196693021582493</v>
      </c>
      <c r="F1233" s="5">
        <v>1.79094681273548</v>
      </c>
    </row>
    <row r="1234" ht="15.75" customHeight="1">
      <c r="A1234" s="21"/>
      <c r="D1234" s="21">
        <v>45540.0</v>
      </c>
      <c r="E1234" s="5">
        <v>0.00152737520785161</v>
      </c>
      <c r="F1234" s="5">
        <v>1.79368226049583</v>
      </c>
    </row>
    <row r="1235" ht="15.75" customHeight="1">
      <c r="A1235" s="21"/>
      <c r="D1235" s="21">
        <v>45541.0</v>
      </c>
      <c r="E1235" s="5">
        <v>-0.00555046117242068</v>
      </c>
      <c r="F1235" s="5">
        <v>1.78372649675329</v>
      </c>
    </row>
    <row r="1236" ht="15.75" customHeight="1">
      <c r="A1236" s="21"/>
      <c r="D1236" s="21">
        <v>45544.0</v>
      </c>
      <c r="E1236" s="5">
        <v>0.00908749002881626</v>
      </c>
      <c r="F1236" s="5">
        <v>1.79993609350667</v>
      </c>
    </row>
    <row r="1237" ht="15.75" customHeight="1">
      <c r="A1237" s="21"/>
      <c r="D1237" s="21">
        <v>45545.0</v>
      </c>
      <c r="E1237" s="5">
        <v>0.00105497191336543</v>
      </c>
      <c r="F1237" s="5">
        <v>1.80183497553117</v>
      </c>
    </row>
    <row r="1238" ht="15.75" customHeight="1">
      <c r="A1238" s="21"/>
      <c r="D1238" s="21">
        <v>45546.0</v>
      </c>
      <c r="E1238" s="5">
        <v>0.00158814289179788</v>
      </c>
      <c r="F1238" s="5">
        <v>1.80469654693976</v>
      </c>
    </row>
    <row r="1239" ht="15.75" customHeight="1">
      <c r="A1239" s="21"/>
      <c r="D1239" s="21">
        <v>45547.0</v>
      </c>
      <c r="E1239" s="5">
        <v>0.0067191783092317</v>
      </c>
      <c r="F1239" s="5">
        <v>1.8168226248327</v>
      </c>
    </row>
    <row r="1240" ht="15.75" customHeight="1">
      <c r="A1240" s="21"/>
      <c r="D1240" s="21">
        <v>45548.0</v>
      </c>
      <c r="E1240" s="5">
        <v>0.00671416540389507</v>
      </c>
      <c r="F1240" s="5">
        <v>1.82902107244536</v>
      </c>
    </row>
    <row r="1241" ht="15.75" customHeight="1">
      <c r="A1241" s="21"/>
      <c r="D1241" s="21">
        <v>45551.0</v>
      </c>
      <c r="E1241" s="5">
        <v>0.00437502509643876</v>
      </c>
      <c r="F1241" s="5">
        <v>1.83702308553923</v>
      </c>
    </row>
    <row r="1242" ht="15.75" customHeight="1">
      <c r="A1242" s="21"/>
      <c r="D1242" s="21">
        <v>45552.0</v>
      </c>
      <c r="E1242" s="5">
        <v>-0.00191526223468017</v>
      </c>
      <c r="F1242" s="5">
        <v>1.83350470459926</v>
      </c>
    </row>
    <row r="1243" ht="15.75" customHeight="1">
      <c r="A1243" s="21"/>
      <c r="D1243" s="21">
        <v>45553.0</v>
      </c>
      <c r="E1243" s="5">
        <v>-0.00297403108169987</v>
      </c>
      <c r="F1243" s="5">
        <v>1.82805180461934</v>
      </c>
    </row>
    <row r="1244" ht="15.75" customHeight="1">
      <c r="A1244" s="21"/>
      <c r="D1244" s="21">
        <v>45554.0</v>
      </c>
      <c r="E1244" s="5">
        <v>0.00589549119010873</v>
      </c>
      <c r="F1244" s="5">
        <v>1.83882906792853</v>
      </c>
    </row>
    <row r="1245" ht="15.75" customHeight="1">
      <c r="A1245" s="21"/>
      <c r="D1245" s="21">
        <v>45555.0</v>
      </c>
      <c r="E1245" s="5">
        <v>-9.79731909233148E-4</v>
      </c>
      <c r="F1245" s="5">
        <v>1.83702750841506</v>
      </c>
    </row>
    <row r="1246" ht="15.75" customHeight="1">
      <c r="A1246" s="21"/>
      <c r="D1246" s="21">
        <v>45558.0</v>
      </c>
      <c r="E1246" s="5">
        <v>0.00260776141531218</v>
      </c>
      <c r="F1246" s="5">
        <v>1.84181803787037</v>
      </c>
    </row>
    <row r="1247" ht="15.75" customHeight="1">
      <c r="A1247" s="21"/>
      <c r="D1247" s="21">
        <v>45559.0</v>
      </c>
      <c r="E1247" s="5">
        <v>0.00415508682179287</v>
      </c>
      <c r="F1247" s="5">
        <v>1.84947095172767</v>
      </c>
    </row>
    <row r="1248" ht="15.75" customHeight="1">
      <c r="A1248" s="21"/>
      <c r="D1248" s="21">
        <v>45560.0</v>
      </c>
      <c r="E1248" s="5">
        <v>0.00187118407055987</v>
      </c>
      <c r="F1248" s="5">
        <v>1.8529316523115</v>
      </c>
    </row>
    <row r="1249" ht="15.75" customHeight="1">
      <c r="A1249" s="21"/>
      <c r="D1249" s="21">
        <v>45561.0</v>
      </c>
      <c r="E1249" s="5">
        <v>0.00406247320101009</v>
      </c>
      <c r="F1249" s="5">
        <v>1.86045913749232</v>
      </c>
    </row>
    <row r="1250" ht="15.75" customHeight="1">
      <c r="A1250" s="21"/>
      <c r="D1250" s="21">
        <v>45562.0</v>
      </c>
      <c r="E1250" s="5">
        <v>4.16915455550471E-4</v>
      </c>
      <c r="F1250" s="5">
        <v>1.86123479166116</v>
      </c>
    </row>
    <row r="1251" ht="15.75" customHeight="1">
      <c r="A1251" s="21"/>
      <c r="D1251" s="21">
        <v>45565.0</v>
      </c>
      <c r="E1251" s="5">
        <v>-0.00278941964227882</v>
      </c>
      <c r="F1251" s="5">
        <v>1.85604302677441</v>
      </c>
    </row>
    <row r="1252" ht="15.75" customHeight="1">
      <c r="A1252" s="21"/>
      <c r="D1252" s="21">
        <v>45566.0</v>
      </c>
      <c r="E1252" s="5">
        <v>-0.00212303733415669</v>
      </c>
      <c r="F1252" s="5">
        <v>1.85210257813477</v>
      </c>
    </row>
    <row r="1253" ht="15.75" customHeight="1">
      <c r="A1253" s="21"/>
      <c r="D1253" s="21">
        <v>45567.0</v>
      </c>
      <c r="E1253" s="5">
        <v>-0.0066590685068581</v>
      </c>
      <c r="F1253" s="5">
        <v>1.83976930018524</v>
      </c>
    </row>
    <row r="1254" ht="15.75" customHeight="1">
      <c r="A1254" s="21"/>
      <c r="D1254" s="21">
        <v>45568.0</v>
      </c>
      <c r="E1254" s="5">
        <v>-0.00835015253204185</v>
      </c>
      <c r="F1254" s="5">
        <v>1.82440694590492</v>
      </c>
    </row>
    <row r="1255" ht="15.75" customHeight="1">
      <c r="A1255" s="21"/>
      <c r="D1255" s="21">
        <v>45569.0</v>
      </c>
      <c r="E1255" s="5">
        <v>3.17520745669975E-4</v>
      </c>
      <c r="F1255" s="5">
        <v>1.82498623295879</v>
      </c>
    </row>
    <row r="1256" ht="15.75" customHeight="1">
      <c r="A1256" s="21"/>
      <c r="D1256" s="21">
        <v>45572.0</v>
      </c>
      <c r="E1256" s="5">
        <v>-0.00472037052825855</v>
      </c>
      <c r="F1256" s="5">
        <v>1.81637162173026</v>
      </c>
    </row>
    <row r="1257" ht="15.75" customHeight="1">
      <c r="A1257" s="21"/>
      <c r="D1257" s="21">
        <v>45573.0</v>
      </c>
      <c r="E1257" s="5">
        <v>0.00159759783701843</v>
      </c>
      <c r="F1257" s="5">
        <v>1.81927345310435</v>
      </c>
    </row>
    <row r="1258" ht="15.75" customHeight="1">
      <c r="A1258" s="21"/>
      <c r="D1258" s="21">
        <v>45574.0</v>
      </c>
      <c r="E1258" s="5">
        <v>4.35760496522473E-4</v>
      </c>
      <c r="F1258" s="5">
        <v>1.82006622060759</v>
      </c>
    </row>
    <row r="1259" ht="15.75" customHeight="1">
      <c r="A1259" s="21"/>
      <c r="D1259" s="21">
        <v>45575.0</v>
      </c>
      <c r="E1259" s="5">
        <v>-0.00281576585368816</v>
      </c>
      <c r="F1259" s="5">
        <v>1.81494134029215</v>
      </c>
    </row>
    <row r="1260" ht="15.75" customHeight="1">
      <c r="A1260" s="21"/>
      <c r="D1260" s="21">
        <v>45576.0</v>
      </c>
      <c r="E1260" s="5">
        <v>0.00141305365608617</v>
      </c>
      <c r="F1260" s="5">
        <v>1.81750594978863</v>
      </c>
    </row>
    <row r="1261" ht="15.75" customHeight="1">
      <c r="A1261" s="21"/>
      <c r="D1261" s="21">
        <v>45579.0</v>
      </c>
      <c r="E1261" s="5">
        <v>0.00242235416496015</v>
      </c>
      <c r="F1261" s="5">
        <v>1.82190859289594</v>
      </c>
    </row>
    <row r="1262" ht="15.75" customHeight="1">
      <c r="A1262" s="21"/>
      <c r="B1262" s="7"/>
      <c r="D1262" s="21">
        <v>45580.0</v>
      </c>
      <c r="E1262" s="5">
        <v>0.00479044830793008</v>
      </c>
      <c r="F1262" s="5">
        <v>1.83063635183198</v>
      </c>
    </row>
    <row r="1263" ht="15.75" customHeight="1">
      <c r="A1263" s="21"/>
      <c r="D1263" s="21">
        <v>45581.0</v>
      </c>
      <c r="E1263" s="5">
        <v>0.00470098433212447</v>
      </c>
      <c r="F1263" s="5">
        <v>1.83924214463976</v>
      </c>
    </row>
    <row r="1264" ht="15.75" customHeight="1">
      <c r="A1264" s="21"/>
      <c r="D1264" s="21">
        <v>45582.0</v>
      </c>
      <c r="E1264" s="5">
        <v>0.00388082832200423</v>
      </c>
      <c r="F1264" s="5">
        <v>1.84637992764571</v>
      </c>
    </row>
    <row r="1265" ht="15.75" customHeight="1">
      <c r="A1265" s="21"/>
      <c r="D1265" s="21">
        <v>45583.0</v>
      </c>
      <c r="E1265" s="5">
        <v>0.00355404903372557</v>
      </c>
      <c r="F1265" s="5">
        <v>1.85294205244344</v>
      </c>
    </row>
    <row r="1266" ht="15.75" customHeight="1">
      <c r="A1266" s="21"/>
      <c r="D1266" s="21">
        <v>45586.0</v>
      </c>
      <c r="E1266" s="5">
        <v>-0.00105949626239833</v>
      </c>
      <c r="F1266" s="5">
        <v>1.85097886726444</v>
      </c>
    </row>
    <row r="1267" ht="15.75" customHeight="1">
      <c r="A1267" s="21"/>
      <c r="B1267" s="7"/>
      <c r="D1267" s="21">
        <v>45587.0</v>
      </c>
      <c r="E1267" s="5">
        <v>0.00118562129916162</v>
      </c>
      <c r="F1267" s="5">
        <v>1.85317342723377</v>
      </c>
    </row>
    <row r="1268" ht="15.75" customHeight="1">
      <c r="A1268" s="21"/>
      <c r="D1268" s="21">
        <v>45588.0</v>
      </c>
      <c r="E1268" s="5">
        <v>-0.00191356217076252</v>
      </c>
      <c r="F1268" s="5">
        <v>1.84962726466755</v>
      </c>
    </row>
    <row r="1269" ht="15.75" customHeight="1">
      <c r="A1269" s="21"/>
      <c r="D1269" s="21">
        <v>45589.0</v>
      </c>
      <c r="E1269" s="5">
        <v>-0.00696114981929689</v>
      </c>
      <c r="F1269" s="5">
        <v>1.83675173216834</v>
      </c>
    </row>
    <row r="1270" ht="15.75" customHeight="1">
      <c r="A1270" s="21"/>
      <c r="D1270" s="21">
        <v>45590.0</v>
      </c>
      <c r="E1270" s="5">
        <v>-0.00432092478489212</v>
      </c>
      <c r="F1270" s="5">
        <v>1.82881526608512</v>
      </c>
    </row>
    <row r="1271" ht="15.75" customHeight="1">
      <c r="A1271" s="21"/>
      <c r="D1271" s="21">
        <v>45593.0</v>
      </c>
      <c r="E1271" s="5">
        <v>0.00133165757635432</v>
      </c>
      <c r="F1271" s="5">
        <v>1.83125062178996</v>
      </c>
    </row>
    <row r="1272" ht="15.75" customHeight="1">
      <c r="A1272" s="21"/>
      <c r="D1272" s="21">
        <v>45594.0</v>
      </c>
      <c r="E1272" s="5">
        <v>-0.00241208949000238</v>
      </c>
      <c r="F1272" s="5">
        <v>1.82683348141158</v>
      </c>
    </row>
    <row r="1273" ht="15.75" customHeight="1">
      <c r="A1273" s="21"/>
      <c r="D1273" s="21">
        <v>45595.0</v>
      </c>
      <c r="E1273" s="5">
        <v>3.6827742521884E-4</v>
      </c>
      <c r="F1273" s="5">
        <v>1.82750626294242</v>
      </c>
    </row>
    <row r="1274" ht="15.75" customHeight="1">
      <c r="A1274" s="21"/>
      <c r="D1274" s="21">
        <v>45596.0</v>
      </c>
      <c r="E1274" s="5">
        <v>-0.0060962554971373</v>
      </c>
      <c r="F1274" s="5">
        <v>1.8163653178409</v>
      </c>
    </row>
    <row r="1275" ht="15.75" customHeight="1">
      <c r="A1275" s="21"/>
      <c r="D1275" s="21">
        <v>45597.0</v>
      </c>
      <c r="E1275" s="5">
        <v>-0.00216300633658421</v>
      </c>
      <c r="F1275" s="5">
        <v>1.81243650814886</v>
      </c>
    </row>
    <row r="1276" ht="15.75" customHeight="1">
      <c r="A1276" s="21"/>
      <c r="D1276" s="21">
        <v>45600.0</v>
      </c>
      <c r="E1276" s="5">
        <v>0.00277459771151336</v>
      </c>
      <c r="F1276" s="5">
        <v>1.81746529033663</v>
      </c>
    </row>
    <row r="1277" ht="15.75" customHeight="1">
      <c r="A1277" s="21"/>
      <c r="D1277" s="21">
        <v>45601.0</v>
      </c>
      <c r="E1277" s="5">
        <v>0.00278329677837418</v>
      </c>
      <c r="F1277" s="5">
        <v>1.82252383562403</v>
      </c>
    </row>
    <row r="1278" ht="15.75" customHeight="1">
      <c r="A1278" s="21"/>
      <c r="B1278" s="7"/>
      <c r="D1278" s="21">
        <v>45602.0</v>
      </c>
      <c r="E1278" s="5">
        <v>4.47675283648701E-4</v>
      </c>
      <c r="F1278" s="5">
        <v>1.8233397344991</v>
      </c>
    </row>
    <row r="1279" ht="15.75" customHeight="1">
      <c r="A1279" s="21"/>
      <c r="D1279" s="21">
        <v>45603.0</v>
      </c>
      <c r="E1279" s="5">
        <v>0.00655643182521682</v>
      </c>
      <c r="F1279" s="5">
        <v>1.83529433716255</v>
      </c>
    </row>
    <row r="1280" ht="15.75" customHeight="1">
      <c r="A1280" s="21"/>
      <c r="D1280" s="21">
        <v>45604.0</v>
      </c>
      <c r="E1280" s="5">
        <v>-0.00153222183763817</v>
      </c>
      <c r="F1280" s="5">
        <v>1.83248225910066</v>
      </c>
    </row>
    <row r="1281" ht="15.75" customHeight="1">
      <c r="A1281" s="21"/>
      <c r="D1281" s="21">
        <v>45607.0</v>
      </c>
      <c r="E1281" s="5">
        <v>-0.00391173225135393</v>
      </c>
      <c r="F1281" s="5">
        <v>1.8253140791477</v>
      </c>
    </row>
    <row r="1282" ht="15.75" customHeight="1">
      <c r="A1282" s="21"/>
      <c r="D1282" s="21">
        <v>45608.0</v>
      </c>
      <c r="E1282" s="5">
        <v>0.0030713793546791</v>
      </c>
      <c r="F1282" s="5">
        <v>1.8309203111262</v>
      </c>
    </row>
    <row r="1283" ht="15.75" customHeight="1">
      <c r="A1283" s="21"/>
      <c r="D1283" s="21">
        <v>45609.0</v>
      </c>
      <c r="E1283" s="5">
        <v>-4.74506492365902E-4</v>
      </c>
      <c r="F1283" s="5">
        <v>1.83005152755157</v>
      </c>
    </row>
    <row r="1284" ht="15.75" customHeight="1">
      <c r="A1284" s="21"/>
      <c r="D1284" s="21">
        <v>45610.0</v>
      </c>
      <c r="E1284" s="5">
        <v>0.00144168817803789</v>
      </c>
      <c r="F1284" s="5">
        <v>1.83268989120404</v>
      </c>
    </row>
    <row r="1285" ht="15.75" customHeight="1">
      <c r="A1285" s="21"/>
      <c r="D1285" s="21">
        <v>45611.0</v>
      </c>
      <c r="E1285" s="5">
        <v>-0.0029882137194743</v>
      </c>
      <c r="F1285" s="5">
        <v>1.8272134221276</v>
      </c>
    </row>
    <row r="1286" ht="15.75" customHeight="1">
      <c r="A1286" s="21"/>
      <c r="D1286" s="21">
        <v>45614.0</v>
      </c>
      <c r="E1286" s="5">
        <v>0.00340916550085035</v>
      </c>
      <c r="F1286" s="5">
        <v>1.83344269508901</v>
      </c>
    </row>
    <row r="1287" ht="15.75" customHeight="1">
      <c r="A1287" s="21"/>
      <c r="D1287" s="21">
        <v>45615.0</v>
      </c>
      <c r="E1287" s="5">
        <v>0.00539533673195893</v>
      </c>
      <c r="F1287" s="5">
        <v>1.84333473580777</v>
      </c>
    </row>
    <row r="1288" ht="15.75" customHeight="1">
      <c r="A1288" s="21"/>
      <c r="D1288" s="21">
        <v>45616.0</v>
      </c>
      <c r="E1288" s="5">
        <v>-0.00294383446160935</v>
      </c>
      <c r="F1288" s="5">
        <v>1.83790826348821</v>
      </c>
    </row>
    <row r="1289" ht="15.75" customHeight="1">
      <c r="A1289" s="21"/>
      <c r="D1289" s="21">
        <v>45617.0</v>
      </c>
      <c r="E1289" s="5">
        <v>0.00597964753788434</v>
      </c>
      <c r="F1289" s="5">
        <v>1.84889830711084</v>
      </c>
    </row>
    <row r="1290" ht="15.75" customHeight="1">
      <c r="A1290" s="21"/>
      <c r="D1290" s="21">
        <v>45618.0</v>
      </c>
      <c r="E1290" s="5">
        <v>0.00430969196395992</v>
      </c>
      <c r="F1290" s="5">
        <v>1.85686648928717</v>
      </c>
    </row>
    <row r="1291" ht="15.75" customHeight="1">
      <c r="A1291" s="21"/>
      <c r="D1291" s="21">
        <v>45621.0</v>
      </c>
      <c r="E1291" s="5">
        <v>3.64526600893445E-4</v>
      </c>
      <c r="F1291" s="5">
        <v>1.85754336651682</v>
      </c>
    </row>
    <row r="1292" ht="15.75" customHeight="1">
      <c r="A1292" s="21"/>
      <c r="D1292" s="21">
        <v>45622.0</v>
      </c>
      <c r="E1292" s="5">
        <v>0.0023623476920393</v>
      </c>
      <c r="F1292" s="5">
        <v>1.86193152980158</v>
      </c>
    </row>
    <row r="1293" ht="15.75" customHeight="1">
      <c r="A1293" s="21"/>
      <c r="D1293" s="21">
        <v>45623.0</v>
      </c>
      <c r="E1293" s="5">
        <v>0.00278378398545663</v>
      </c>
      <c r="F1293" s="5">
        <v>1.86711474497626</v>
      </c>
    </row>
    <row r="1294" ht="15.75" customHeight="1">
      <c r="A1294" s="21"/>
      <c r="D1294" s="21">
        <v>45625.0</v>
      </c>
      <c r="E1294" s="5">
        <v>0.00344742066373462</v>
      </c>
      <c r="F1294" s="5">
        <v>1.87355147492965</v>
      </c>
    </row>
    <row r="1295" ht="15.75" customHeight="1">
      <c r="A1295" s="21"/>
      <c r="D1295" s="21">
        <v>45628.0</v>
      </c>
      <c r="E1295" s="5">
        <v>-0.00508039758763071</v>
      </c>
      <c r="F1295" s="5">
        <v>1.86403308853612</v>
      </c>
    </row>
    <row r="1296" ht="15.75" customHeight="1">
      <c r="A1296" s="21"/>
      <c r="D1296" s="21">
        <v>45629.0</v>
      </c>
      <c r="E1296" s="5">
        <v>0.00160296298746209</v>
      </c>
      <c r="F1296" s="5">
        <v>1.86702106458445</v>
      </c>
    </row>
    <row r="1297" ht="15.75" customHeight="1">
      <c r="A1297" s="21"/>
      <c r="D1297" s="21">
        <v>45630.0</v>
      </c>
      <c r="E1297" s="5">
        <v>-0.00463310547735937</v>
      </c>
      <c r="F1297" s="5">
        <v>1.85837095906377</v>
      </c>
    </row>
    <row r="1298" ht="15.75" customHeight="1">
      <c r="A1298" s="21"/>
      <c r="D1298" s="21">
        <v>45631.0</v>
      </c>
      <c r="E1298" s="5">
        <v>0.00210396863992908</v>
      </c>
      <c r="F1298" s="5">
        <v>1.862280913283</v>
      </c>
    </row>
    <row r="1299" ht="15.75" customHeight="1">
      <c r="A1299" s="21"/>
      <c r="D1299" s="21">
        <v>45632.0</v>
      </c>
      <c r="E1299" s="5">
        <v>-0.00579275210760803</v>
      </c>
      <c r="F1299" s="5">
        <v>1.85149318159762</v>
      </c>
    </row>
    <row r="1300" ht="15.75" customHeight="1">
      <c r="A1300" s="21"/>
      <c r="D1300" s="21">
        <v>45635.0</v>
      </c>
      <c r="E1300" s="5">
        <v>6.48473390957709E-4</v>
      </c>
      <c r="F1300" s="5">
        <v>1.85269382565943</v>
      </c>
    </row>
    <row r="1301" ht="15.75" customHeight="1">
      <c r="A1301" s="21"/>
      <c r="D1301" s="21">
        <v>45636.0</v>
      </c>
      <c r="E1301" s="7">
        <v>2.39053906431577E-5</v>
      </c>
      <c r="F1301" s="5">
        <v>1.85273811502907</v>
      </c>
    </row>
    <row r="1302" ht="15.75" customHeight="1">
      <c r="A1302" s="21"/>
      <c r="D1302" s="21">
        <v>45637.0</v>
      </c>
      <c r="E1302" s="5">
        <v>0.00172936040453722</v>
      </c>
      <c r="F1302" s="5">
        <v>1.85594216696518</v>
      </c>
    </row>
    <row r="1303" ht="15.75" customHeight="1">
      <c r="A1303" s="21"/>
      <c r="D1303" s="21">
        <v>45638.0</v>
      </c>
      <c r="E1303" s="5">
        <v>-0.00486426621352938</v>
      </c>
      <c r="F1303" s="5">
        <v>1.84691437018815</v>
      </c>
    </row>
    <row r="1304" ht="15.75" customHeight="1">
      <c r="A1304" s="21"/>
      <c r="D1304" s="21">
        <v>45639.0</v>
      </c>
      <c r="E1304" s="5">
        <v>-0.00389927861831223</v>
      </c>
      <c r="F1304" s="5">
        <v>1.83971273647462</v>
      </c>
    </row>
    <row r="1305" ht="15.75" customHeight="1">
      <c r="A1305" s="21"/>
      <c r="D1305" s="21">
        <v>45642.0</v>
      </c>
      <c r="E1305" s="5">
        <v>-0.00559713086234421</v>
      </c>
      <c r="F1305" s="5">
        <v>1.82941562353945</v>
      </c>
    </row>
    <row r="1306" ht="15.75" customHeight="1">
      <c r="A1306" s="21"/>
      <c r="D1306" s="21">
        <v>45643.0</v>
      </c>
      <c r="E1306" s="5">
        <v>-0.00186220217465926</v>
      </c>
      <c r="F1306" s="5">
        <v>1.82600888178694</v>
      </c>
    </row>
    <row r="1307" ht="15.75" customHeight="1">
      <c r="A1307" s="21"/>
      <c r="D1307" s="21">
        <v>45644.0</v>
      </c>
      <c r="E1307" s="5">
        <v>-0.0137361920081319</v>
      </c>
      <c r="F1307" s="5">
        <v>1.80092647317816</v>
      </c>
    </row>
    <row r="1308" ht="15.75" customHeight="1">
      <c r="A1308" s="21"/>
      <c r="D1308" s="21">
        <v>45645.0</v>
      </c>
      <c r="E1308" s="5">
        <v>-0.00390490545591017</v>
      </c>
      <c r="F1308" s="5">
        <v>1.79389402556735</v>
      </c>
    </row>
    <row r="1309" ht="15.75" customHeight="1">
      <c r="A1309" s="21"/>
      <c r="D1309" s="21">
        <v>45646.0</v>
      </c>
      <c r="E1309" s="5">
        <v>0.00509600028055428</v>
      </c>
      <c r="F1309" s="5">
        <v>1.80303571002493</v>
      </c>
    </row>
    <row r="1310" ht="15.75" customHeight="1">
      <c r="A1310" s="21"/>
      <c r="D1310" s="21">
        <v>45649.0</v>
      </c>
      <c r="E1310" s="5">
        <v>-9.14300998261734E-4</v>
      </c>
      <c r="F1310" s="5">
        <v>1.80138719267535</v>
      </c>
    </row>
    <row r="1311" ht="15.75" customHeight="1">
      <c r="A1311" s="21"/>
      <c r="D1311" s="21">
        <v>45650.0</v>
      </c>
      <c r="E1311" s="7">
        <v>1.26301686220962E-5</v>
      </c>
      <c r="F1311" s="5">
        <v>1.80140994449935</v>
      </c>
    </row>
    <row r="1312" ht="15.75" customHeight="1">
      <c r="A1312" s="21"/>
      <c r="D1312" s="21">
        <v>45652.0</v>
      </c>
      <c r="E1312" s="5">
        <v>-0.00177809566982344</v>
      </c>
      <c r="F1312" s="5">
        <v>1.79820686527746</v>
      </c>
    </row>
    <row r="1313" ht="15.75" customHeight="1">
      <c r="A1313" s="21"/>
      <c r="D1313" s="21">
        <v>45653.0</v>
      </c>
      <c r="E1313" s="5">
        <v>-0.00212041883561921</v>
      </c>
      <c r="F1313" s="5">
        <v>1.79439391356998</v>
      </c>
    </row>
    <row r="1314" ht="15.75" customHeight="1">
      <c r="A1314" s="21"/>
      <c r="D1314" s="21">
        <v>45656.0</v>
      </c>
      <c r="E1314" s="5">
        <v>1.61209713111506E-4</v>
      </c>
      <c r="F1314" s="5">
        <v>1.794683187298</v>
      </c>
    </row>
    <row r="1315" ht="15.75" customHeight="1">
      <c r="A1315" s="21"/>
      <c r="D1315" s="21">
        <v>45657.0</v>
      </c>
      <c r="E1315" s="5">
        <v>0.00141787374918167</v>
      </c>
      <c r="F1315" s="5">
        <v>1.79722782147736</v>
      </c>
    </row>
    <row r="1316" ht="15.75" customHeight="1">
      <c r="A1316" s="21"/>
    </row>
    <row r="1317" ht="15.75" customHeight="1">
      <c r="A1317" s="21"/>
    </row>
    <row r="1318" ht="15.75" customHeight="1">
      <c r="A1318" s="21"/>
    </row>
    <row r="1319" ht="15.75" customHeight="1">
      <c r="A1319" s="21"/>
    </row>
    <row r="1320" ht="15.75" customHeight="1">
      <c r="A1320" s="21"/>
    </row>
    <row r="1321" ht="15.75" customHeight="1">
      <c r="A1321" s="21"/>
    </row>
    <row r="1322" ht="15.75" customHeight="1">
      <c r="A1322" s="21"/>
    </row>
    <row r="1323" ht="15.75" customHeight="1">
      <c r="A1323" s="21"/>
    </row>
    <row r="1324" ht="15.75" customHeight="1">
      <c r="A1324" s="21"/>
    </row>
    <row r="1325" ht="15.75" customHeight="1">
      <c r="A1325" s="21"/>
    </row>
    <row r="1326" ht="15.75" customHeight="1">
      <c r="A1326" s="21"/>
    </row>
    <row r="1327" ht="15.75" customHeight="1">
      <c r="A1327" s="21"/>
    </row>
    <row r="1328" ht="15.75" customHeight="1">
      <c r="A1328" s="21"/>
    </row>
    <row r="1329" ht="15.75" customHeight="1">
      <c r="A1329" s="21"/>
    </row>
    <row r="1330" ht="15.75" customHeight="1">
      <c r="A1330" s="21"/>
      <c r="B1330" s="7"/>
    </row>
    <row r="1331" ht="15.75" customHeight="1">
      <c r="A1331" s="21"/>
    </row>
    <row r="1332" ht="15.75" customHeight="1">
      <c r="A1332" s="21"/>
    </row>
    <row r="1333" ht="15.75" customHeight="1">
      <c r="A1333" s="21"/>
    </row>
    <row r="1334" ht="15.75" customHeight="1">
      <c r="A1334" s="21"/>
    </row>
    <row r="1335" ht="15.75" customHeight="1">
      <c r="A1335" s="21"/>
    </row>
    <row r="1336" ht="15.75" customHeight="1">
      <c r="A1336" s="21"/>
    </row>
    <row r="1337" ht="15.75" customHeight="1">
      <c r="A1337" s="21"/>
    </row>
    <row r="1338" ht="15.75" customHeight="1">
      <c r="A1338" s="21"/>
    </row>
    <row r="1339" ht="15.75" customHeight="1">
      <c r="A1339" s="21"/>
    </row>
    <row r="1340" ht="15.75" customHeight="1">
      <c r="A1340" s="21"/>
      <c r="B1340" s="7"/>
    </row>
    <row r="1341" ht="15.75" customHeight="1">
      <c r="A1341" s="21"/>
    </row>
    <row r="1342" ht="15.75" customHeight="1">
      <c r="A1342" s="21"/>
    </row>
    <row r="1343" ht="15.75" customHeight="1">
      <c r="A1343" s="21"/>
    </row>
    <row r="1344" ht="15.75" customHeight="1">
      <c r="A1344" s="21"/>
    </row>
  </sheetData>
  <mergeCells count="7">
    <mergeCell ref="C6:C9"/>
    <mergeCell ref="C10:C13"/>
    <mergeCell ref="C14:C16"/>
    <mergeCell ref="C17:C24"/>
    <mergeCell ref="C26:C31"/>
    <mergeCell ref="C32:C36"/>
    <mergeCell ref="C37:C39"/>
  </mergeCells>
  <hyperlinks>
    <hyperlink r:id="rId1" ref="B19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8.71"/>
    <col customWidth="1" min="3" max="3" width="18.43"/>
    <col customWidth="1" min="4" max="4" width="12.57"/>
    <col customWidth="1" min="5" max="5" width="18.43"/>
    <col customWidth="1" min="6" max="6" width="17.86"/>
    <col customWidth="1" min="7" max="7" width="35.57"/>
    <col customWidth="1" min="8" max="25" width="8.71"/>
  </cols>
  <sheetData>
    <row r="1">
      <c r="A1" s="1" t="s">
        <v>139</v>
      </c>
      <c r="B1" s="1" t="s">
        <v>140</v>
      </c>
      <c r="C1" s="1" t="s">
        <v>141</v>
      </c>
      <c r="E1" s="11" t="s">
        <v>142</v>
      </c>
      <c r="F1" s="11" t="s">
        <v>143</v>
      </c>
    </row>
    <row r="2">
      <c r="A2" s="10">
        <v>2020.0</v>
      </c>
      <c r="B2" s="22">
        <f t="array" ref="B2">INDEX('Daily Returns'!AP2:AP1259, MATCH(DATE(2020,12,31), 'Daily Returns'!A2:A1259, 1)) / INDEX('Daily Returns'!AP2:AP1259, MATCH(DATE(2020,1,2), 'Daily Returns'!A2:A1259, 1)) - 1</f>
        <v>0.1774212603</v>
      </c>
      <c r="C2" s="22">
        <f t="array" ref="C2">INDEX('Daily Returns'!AQ2:AQ1259, MATCH(DATE(2020,12,31), 'Daily Returns'!A2:A1259, 1)) / INDEX('Daily Returns'!AQ2:AQ1259, MATCH(DATE(2020,1,2), 'Daily Returns'!A2:A1259, 1)) - 1</f>
        <v>0.1529281795</v>
      </c>
      <c r="D2" s="11" t="s">
        <v>144</v>
      </c>
      <c r="E2" s="5">
        <v>0.05</v>
      </c>
      <c r="F2" s="4">
        <f> (1 + E2)^(1/252) - 1</f>
        <v>0.0001936305065</v>
      </c>
      <c r="G2" s="11" t="s">
        <v>145</v>
      </c>
    </row>
    <row r="3">
      <c r="A3" s="10">
        <v>2021.0</v>
      </c>
      <c r="B3" s="22">
        <f t="array" ref="B3">INDEX('Daily Returns'!AP2:AP1259, MATCH(DATE(2021,12,31), 'Daily Returns'!A2:A1259, 1)) / INDEX('Daily Returns'!AP2:AP1259, MATCH(DATE(2021,1,4), 'Daily Returns'!A2:A1259, 1)) - 1</f>
        <v>0.2588009567</v>
      </c>
      <c r="C3" s="22">
        <f t="array" ref="C3">INDEX('Daily Returns'!AQ2:AQ1259, MATCH(DATE(2021,12,31), 'Daily Returns'!A2:A1259, 1)) / INDEX('Daily Returns'!AQ2:AQ1259, MATCH(DATE(2021,1,4), 'Daily Returns'!A2:A1259, 1)) - 1</f>
        <v>0.2879237359</v>
      </c>
      <c r="G3" s="11" t="s">
        <v>146</v>
      </c>
    </row>
    <row r="4">
      <c r="A4" s="10">
        <v>2022.0</v>
      </c>
      <c r="B4" s="22">
        <f t="array" ref="B4">INDEX('Daily Returns'!AP2:AP1259, MATCH(DATE(2022,12,30), 'Daily Returns'!A2:A1259, 1)) / INDEX('Daily Returns'!AP2:AP1259, MATCH(DATE(2022,1,3), 'Daily Returns'!A2:A1259, 1)) - 1</f>
        <v>0.03267833658</v>
      </c>
      <c r="C4" s="22">
        <f t="array" ref="C4">INDEX('Daily Returns'!AQ2:AQ1259, MATCH(DATE(2022,12,30), 'Daily Returns'!A2:A1259, 1)) / INDEX('Daily Returns'!AQ2:AQ1259, MATCH(DATE(2022,1,3), 'Daily Returns'!A2:A1259, 1)) - 1</f>
        <v>-0.1995353823</v>
      </c>
    </row>
    <row r="5">
      <c r="A5" s="10">
        <v>2023.0</v>
      </c>
      <c r="B5" s="22">
        <f t="array" ref="B5">INDEX('Daily Returns'!AP2:AP1259, MATCH(DATE(2023,12,29), 'Daily Returns'!A2:A1259, 1)) / INDEX('Daily Returns'!AP2:AP1259, MATCH(DATE(2023,1,3), 'Daily Returns'!A2:A1259, 1)) - 1</f>
        <v>0.06604452382</v>
      </c>
      <c r="C5" s="22">
        <f t="array" ref="C5">INDEX('Daily Returns'!AQ2:AQ1259, MATCH(DATE(2023,12,29), 'Daily Returns'!A2:A1259, 1)) / INDEX('Daily Returns'!AQ2:AQ1259, MATCH(DATE(2023,1,3), 'Daily Returns'!A2:A1259, 1)) - 1</f>
        <v>0.2472901464</v>
      </c>
      <c r="E5" s="11" t="s">
        <v>41</v>
      </c>
      <c r="F5" s="11" t="s">
        <v>35</v>
      </c>
    </row>
    <row r="6">
      <c r="A6" s="10">
        <v>2024.0</v>
      </c>
      <c r="B6" s="22">
        <f t="array" ref="B6">INDEX('Daily Returns'!AP2:AP1259, MATCH(DATE(2024,12,31), 'Daily Returns'!A2:A1259, 1)) / INDEX('Daily Returns'!AP2:AP1259, MATCH(DATE(2024,1,2), 'Daily Returns'!A2:A1259, 1)) - 1</f>
        <v>0.09845383849</v>
      </c>
      <c r="C6" s="22">
        <f t="array" ref="C6">INDEX('Daily Returns'!AQ2:AQ1259, MATCH(DATE(2024,12,31), 'Daily Returns'!A2:A1259, 1)) / INDEX('Daily Returns'!AQ2:AQ1259, MATCH(DATE(2024,1,2), 'Daily Returns'!A2:A1259, 1)) - 1</f>
        <v>0.2401036048</v>
      </c>
      <c r="D6" s="11" t="s">
        <v>147</v>
      </c>
      <c r="E6" s="23">
        <f t="array" ref="E6">PRODUCT(1 + B2:B6)^(1/5) - 1</f>
        <v>0.1237824145</v>
      </c>
      <c r="F6" s="23">
        <f t="array" ref="F6">PRODUCT(1 + C2:C6)^(1/5) - 1</f>
        <v>0.1295149942</v>
      </c>
    </row>
    <row r="7">
      <c r="A7" s="10" t="s">
        <v>148</v>
      </c>
      <c r="B7" s="10" t="s">
        <v>149</v>
      </c>
      <c r="C7" s="10" t="s">
        <v>150</v>
      </c>
      <c r="D7" s="11"/>
    </row>
    <row r="8">
      <c r="A8" s="10" t="s">
        <v>151</v>
      </c>
      <c r="B8" s="4">
        <f>_xlfn.COVARIANCE.P('Daily Returns'!AK2:'Daily Returns'!AK1259, 'Daily Returns'!AJ2:'Daily Returns'!AJ1259) / VARP('Daily Returns'!AJ2:'Daily Returns'!AJ1259)</f>
        <v>0.3211744056</v>
      </c>
      <c r="C8" s="4">
        <f>_xlfn.COVARIANCE.P('Daily Returns'!AJ2:'Daily Returns'!AJ1259, 'Daily Returns'!AJ2:'Daily Returns'!AJ1259) / VARP('Daily Returns'!AJ2:'Daily Returns'!AJ1259)</f>
        <v>1</v>
      </c>
    </row>
    <row r="9">
      <c r="A9" s="10" t="s">
        <v>152</v>
      </c>
      <c r="B9" s="4">
        <f> ((AVERAGE('Daily Returns'!AK2:AK1259) - F2) / _xlfn.STDEV.P('Daily Returns'!AK2:AK1259)) * SQRT(252)</f>
        <v>0.6528851576</v>
      </c>
      <c r="C9" s="4">
        <f> ((AVERAGE('Daily Returns'!AJ2:'Daily Returns'!AJ1259) - F2) / _xlfn.STDEV.P('Daily Returns'!AJ2:'Daily Returns'!AJ1259)) * SQRT(252)</f>
        <v>0.4412780916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